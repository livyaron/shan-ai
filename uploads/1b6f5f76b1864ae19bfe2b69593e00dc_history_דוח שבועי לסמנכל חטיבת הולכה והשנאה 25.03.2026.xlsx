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custom-properties+xml" PartName="/docProps/custom.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דוח שבועי עדכני" sheetId="1" r:id="rId4"/>
  </sheets>
  <externalReferences>
    <externalReference r:id="rId5"/>
    <externalReference r:id="rId6"/>
  </externalReferences>
  <definedNames>
    <definedName name="Slicer_סוג_תחנה">#REF!</definedName>
    <definedName name="Slicer_מנה_פ">#REF!</definedName>
    <definedName name="Slicer_סוג_תחנה1">#REF!</definedName>
    <definedName name="Slicer_סטטוס_הפרויקט_על_ציר_הזמן1">#REF!</definedName>
    <definedName name="Slicer_לדיווח">#REF!</definedName>
    <definedName name="Slicer_סיכון">#REF!</definedName>
    <definedName name="Slicer_מנה_פ1">#REF!</definedName>
    <definedName name="Slicer_חסם">#REF!</definedName>
    <definedName name="Slicer_סטטוס_הפרויקט_על_ציר_הזמן">#REF!</definedName>
    <definedName name="Slicer_לטיפול">#REF!</definedName>
    <definedName name="Slicer_חסם1">#REF!</definedName>
    <definedName name="Slicer_תו_ב">#REF!</definedName>
    <definedName hidden="1" localSheetId="0" name="Z_BD30BB9D_17A9_411B_BBB8_CEE6A91F0EF2_.wvu.FilterData">'דוח שבועי עדכני'!$A$2:$AA$235</definedName>
    <definedName name="SlicerCache_Table_1_Col_4">#N/A</definedName>
    <definedName name="SlicerCache_Table_1_Col_5">#N/A</definedName>
    <definedName name="SlicerCache_Table_1_Col_6">#N/A</definedName>
    <definedName name="SlicerCache_Table_1_Col_10">#N/A</definedName>
    <definedName name="SlicerCache_Table_1_Col_25">#N/A</definedName>
    <definedName name="SlicerCache_Table_1_Col_26">#N/A</definedName>
  </definedNames>
  <calcPr/>
  <customWorkbookViews>
    <customWorkbookView activeSheetId="0" maximized="1" windowHeight="0" windowWidth="0" guid="{BD30BB9D-17A9-411B-BBB8-CEE6A91F0EF2}" name="Filter 1"/>
  </customWorkbookViews>
  <extLst>
    <ext uri="GoogleSheetsCustomDataVersion2">
      <go:sheetsCustomData xmlns:go="http://customooxmlschemas.google.com/" r:id="rId13" roundtripDataChecksum="wO4jqhHGBlWt5kGvFoZvvzfEVlzGqz4y5W7fzt7XaC4="/>
    </ext>
    <ext uri="{46BE6895-7355-4a93-B00E-2C351335B9C9}">
      <x15:slicerCaches>
        <x14:slicerCache r:id="rId7"/>
        <x14:slicerCache r:id="rId8"/>
        <x14:slicerCache r:id="rId9"/>
        <x14:slicerCache r:id="rId10"/>
        <x14:slicerCache r:id="rId11"/>
        <x14:slicerCache r:id="rId12"/>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
      <text>
        <t xml:space="preserve">======
ID#AAAB3Go-aOo
סטאמקר לינוי    (2026-04-08 08:17:14)
נקודות חשובות לדיווח כגון: עליה לקרקע, מסירות וכו'.</t>
      </text>
    </comment>
    <comment authorId="0" ref="S2">
      <text>
        <t xml:space="preserve">======
ID#AAAB3Go-aOs
סטאמקר לינוי    (2026-04-08 08:17:14)
נקודות חשובות לדיווח כגון: עליה לקרקע, מסירות וכו'.</t>
      </text>
    </comment>
    <comment authorId="0" ref="V2">
      <text>
        <t xml:space="preserve">======
ID#AAAB3Go-aOk
סטאמקר לינוי    (2026-04-08 08:17:14)
נקודות חשובות לדיווח כגון: עליה לקרקע, מסירות וכו'.</t>
      </text>
    </comment>
    <comment authorId="0" ref="U2">
      <text>
        <t xml:space="preserve">======
ID#AAAB3Go-aOg
סטאמקר לינוי    (2026-04-08 08:17:14)
נקודות חשובות לדיווח כגון: עליה לקרקע, מסירות וכו'.</t>
      </text>
    </comment>
    <comment authorId="0" ref="R2">
      <text>
        <t xml:space="preserve">======
ID#AAAB3Go-aOc
סטאמקר לינוי    (2026-04-08 08:17:14)
נקודות חשובות לדיווח כגון: עליה לקרקע, מסירות וכו'.</t>
      </text>
    </comment>
    <comment authorId="0" ref="Q2">
      <text>
        <t xml:space="preserve">======
ID#AAAB3Go-aOY
סטאמקר לינוי    (2026-04-08 08:17:14)
נקודות חשובות לדיווח כגון: עליה לקרקע, מסירות וכו'.</t>
      </text>
    </comment>
    <comment authorId="0" ref="O2">
      <text>
        <t xml:space="preserve">======
ID#AAAB3Go-aOU
סטאמקר לינוי    (2026-04-08 08:17:14)
נקודות חשובות לדיווח כגון: עליה לקרקע, מסירות וכו'.</t>
      </text>
    </comment>
    <comment authorId="0" ref="P2">
      <text>
        <t xml:space="preserve">======
ID#AAAB3Go-aOQ
סטאמקר לינוי    (2026-04-08 08:17:14)
נקודות חשובות לדיווח כגון: עליה לקרקע, מסירות וכו'.</t>
      </text>
    </comment>
    <comment authorId="0" ref="T2">
      <text>
        <t xml:space="preserve">======
ID#AAAB3Go-aOM
סטאמקר לינוי    (2026-04-08 08:17:14)
נקודות חשובות לדיווח כגון: עליה לקרקע, מסירות וכו'.</t>
      </text>
    </comment>
    <comment authorId="0" ref="N2">
      <text>
        <t xml:space="preserve">======
ID#AAAB3Go-aOI
סטאמקר לינוי    (2026-04-08 08:17:14)
נקודות חשובות לדיווח כגון: עליה לקרקע, מסירות וכו'.</t>
      </text>
    </comment>
    <comment authorId="0" ref="M2">
      <text>
        <t xml:space="preserve">======
ID#AAAB3Go-aOE
סטאמקר לינוי    (2026-04-08 08:17:14)
נקודות חשובות לדיווח כגון: עליה לקרקע, מסירות וכו'.</t>
      </text>
    </comment>
  </commentList>
  <extLst>
    <ext uri="GoogleSheetsCustomDataVersion2">
      <go:sheetsCustomData xmlns:go="http://customooxmlschemas.google.com/" r:id="rId1" roundtripDataSignature="AMtx7mgY4Ix6H515FpQ+JArG6Vl67EhsrA=="/>
    </ext>
  </extLst>
</comments>
</file>

<file path=xl/sharedStrings.xml><?xml version="1.0" encoding="utf-8"?>
<sst xmlns="http://schemas.openxmlformats.org/spreadsheetml/2006/main" count="4065" uniqueCount="1834">
  <si>
    <t>לדיווח</t>
  </si>
  <si>
    <t>זיהוי</t>
  </si>
  <si>
    <t>שם הפרויקט</t>
  </si>
  <si>
    <t>סוג תחנה</t>
  </si>
  <si>
    <t>מנה"פ</t>
  </si>
  <si>
    <t>תו"ב</t>
  </si>
  <si>
    <t xml:space="preserve">יעד תכנית פיתוח </t>
  </si>
  <si>
    <t>יעד חשמול מסתמן</t>
  </si>
  <si>
    <t>סיכון</t>
  </si>
  <si>
    <t>סטטוס הפרויקט על ציר הזמן</t>
  </si>
  <si>
    <t>זיהוי2</t>
  </si>
  <si>
    <t>פירוט שבועי דוח קודם 7.1</t>
  </si>
  <si>
    <t>פירוט שבועי 14.1</t>
  </si>
  <si>
    <t>פירוט שבועי 21.1</t>
  </si>
  <si>
    <t>פירוט שבועי 28.1</t>
  </si>
  <si>
    <t>פירוט שבועי 04.02.26</t>
  </si>
  <si>
    <t>פירוט שבועי 11.02.26</t>
  </si>
  <si>
    <t>פירוט שבועי 18.02.26</t>
  </si>
  <si>
    <t>פירוט שבועי 25.02.2026</t>
  </si>
  <si>
    <t>פירוט שבועי 04/03/2026</t>
  </si>
  <si>
    <t>פירוט שבועי 11/03/2026</t>
  </si>
  <si>
    <t>פירוט שבועי 18/03/2026</t>
  </si>
  <si>
    <t>פירוט שבועי 25/03/2026</t>
  </si>
  <si>
    <t xml:space="preserve">פירוט סיכונים וחסמים עיקריים </t>
  </si>
  <si>
    <t>לטיפול</t>
  </si>
  <si>
    <t>לטיפול נוסף (במידה ונדרש)</t>
  </si>
  <si>
    <t>עמודה1</t>
  </si>
  <si>
    <t>כן</t>
  </si>
  <si>
    <t>WBC-064</t>
  </si>
  <si>
    <t>רעות - הקמת תחמ"ש פנימית 161/24 ק"ו</t>
  </si>
  <si>
    <t>הקמה</t>
  </si>
  <si>
    <t>אוברקוביץ, ענת</t>
  </si>
  <si>
    <t>סויסה ענת</t>
  </si>
  <si>
    <t>קבלת היתר</t>
  </si>
  <si>
    <t xml:space="preserve">התקבלה תשובה מהועדה.בשלב השלמת בקרת תכן.  החל תהליך חישוף השטח ע"י רשות העתיקות .כריתת עצים הושלמה. 
הוצאו חסמים של בזק, מקורות עבור דרך הגישה. 
פועלים להסדרת נושא חיבור מים מול תאגיד מי מודיעין. שטח התארגנות: מאחר שאין אפשרות להסדיר שטחי התארגנות מחוץ לגבולות המגרש, נדרש להתארגן בתוך שטח התחנה - ככל הנראה באזור השנאים ובשטח הנכסי. מצב זה עלול ליצור עיכובים בהמשך, שכן במהלך העבודות יידרש להזיז את המכולות, מה שעשוי להשפיע על עמידה בלוחות הזמנים ובמועדי המסירה. 
</t>
  </si>
  <si>
    <t xml:space="preserve">המשך ביצוע עבודות חפירות ובדיקות בשטח של רשות העתיקות, כולל חפירות ארכיאולוגיות ידניות. תואם פגישה לבחינת לו"ז וסטטוס לתאריך 21.01 כולל עם נציג רט"ג בשל צורך בהשלמת חישוף השטח . המשך טיפול מול מנר"א בנושא תשלום דמי ההקמה וחיבור המים לאתר. השלמת כתב הכמויות 15.01.26. התוכניות נשלחו להדפסה לצורך בדיקת פיקוח בתאריך 19.01. התקבלה אגרת תשלום לבדיקת הכבאות לתחמ"ש רעות בשלב היתר הבניה-השטח מאושר. המשך השלמת תנאי בקרת תכן. </t>
  </si>
  <si>
    <t>נמשכות עבודות רשות העתיקות בשטח. הערכת זמן נותר כשבועיים. במקביל מתקיים שיח עם רט"ג בנושא חישוף השטח ושמירה על ערכי טבע מוגנים על מנת לקבל אישור מהם. אישור כבאות נשלח לאחר הערות, צפי קבלת אישור אם לא ינתנו הערות נוספות 20.2. נמשך טיפול מול מנר"א בנושא תשלום דמי ההקמה וחיבור המים לאתר. תוכניות הודפסו, נקבעה ישיבת RFT ל 8.2</t>
  </si>
  <si>
    <t xml:space="preserve">לבקשת רשות העתיקות בוצעו מדידות בשטח של כביש הגישה. עבודתם נמשכת גם השבוע. במהלך המדידות התברר כי לא בוצעה כריתה של כלל העצים. המידע הועבר לפיקוח ויש להחזיר את הקבלן לשטח.  ב 02.02 התקיימה פגישה בשטח עם רט"ג והסדרה סביבתית בנוגע לערכי טבע הקיימים ודרישותיהם. מנר"א העבירו התייחסות מפורטת בנושא תשלום דמי הקמה וחיבור המים לאתר. מחכים לתגובת התאגיד. תקבע פגישה בנושא. תוכניות מודפסות הועברו לפיקוח. ישיבת RFT תזוז מעט על מנת לאפשר זמן להערות. </t>
  </si>
  <si>
    <t>מחכים לאישור מרשות העתיקות לשחרור השטח. לדבריהם ייקח מספר ימים.ולא תהיה מגבלה. קבלן כריתת עצים יחזור לכריתה ופינוי הגזם בשבוע הזה. רט"ג מבקשים מאיתנו לבצע חישוף לכלל השטח ובנוסף לפנות את ערימות החישוף הנמצאות בשטח ולשטח אותן בגובה נמוך על מנת למנוע רקבון של הזרעים. הגזם הנמצא בשטח מפריע למציאת שטח לטובת הקצאת אזור מיועד לשימור קרקע לשימור ולכן נמתין לפינוי הגזם ונקבל החלטה. יעד שבוע הבא. תאגיד המים החזיר תשובה כי אין בסמכותו לפרוץ את הדרך שהציע לחיבור מים ולכן אנו בודקים מול התכנון האם ניתן להעביר את הצנרת לאורך תוואי הכביש המתוכנן בדרך אותה אנו פורצים ומסדרים בכל מקרה. בהתאם תוחזר תשובה לתאגיד ונבקש תיאום תכנון. ישיבת RFT נקבעה ליום חמישי 12.02</t>
  </si>
  <si>
    <t xml:space="preserve">רשות העתיקות - התקבל אישור. יידרשו מספר ימי פיקוח בתחילת עבודות הבנייה. פינוי גזם העצים יתבצע במהלך השבוע. לאחר מכן נבצע חשיבה עם רט"ג ופיקוח למציאת שטח לטובת אחסון הקרקע לשימור. תאגיד המים - נושא חיבור המים לתחמ"ש נמצא בשיח מול התאגיד. הוצע לחבר את השטח לאורך כביש הגישה אותו חח"י פורצת ומסדירה. מחכים לתגובתם. בוצעה ישיבת RFT. לקראת סוף שבוע, הוגדר כי יש להעביר הערות נוספות להתייחסויות עד 16.02 ולאחר מכן סוף שבוע, תחילת שבוע הבא התוכניות ישלחו למכרזים. כביש גישה - היתר הבנייה הוא עבור התחמ"ש וכביש הגישה יחד. עבודה על כביש הגישה היא נתיב קריטי שחייבת להתבצע בשלב הראשון של העבודות כיוון שהמושב אינו מסכים שנעבור בשטחיו לטובת כניסה לשטח. את הסדרת הצומת עם כביש 443 חברת נת"י מבקשת לבצע לאחר שחח"י תשלם. הועברו אליהם תוכניות לטובת קבלת אומדן. בנוסף, נקבעה ישיבה עם יו"ר המושב על מנת לנסות למצוא פתרון נוסף לכניסה דרך השטח שלהם למספר חודשים עד להסדרת הכביש. </t>
  </si>
  <si>
    <t xml:space="preserve">פינוי גזם העצים ממשיך השבוע. לאחר מכן נבצע חשיבה עם רט"ג ופיקוח למציאת שטח לטובת אחסון הקרקע לשימור. תאגיד המים - נושא חיבור המים לתחמ"ש נמצא בשיח מול התאגיד. הוצע לחבר את השטח לאורך כביש הגישה אותו חח"י פורצת ומסדירה. נקבעה פגישה ברביעי 26.02 מולם. בוצעה ישיבת RFT. הוגדר כי יש להעביר הערות נוספות להתייחסויות עד 16.02 . נכון להיום מחכים לפיקוח אזרחי להערות. ניתן יעד העברה לרכש עד 05.03. כביש גישה - היתר הבנייה הוא עבור התחמ"ש וכביש הגישה יחד. עבודה על כביש הגישה היא נתיב קריטי שחייבת להתבצע בשלב הראשון של העבודות כיוון שהמושב אינו מסכים שנעבור בשטחיו לטובת כניסה לשטח. את הסדרת הצומת עם כביש 443 חברת נת"י מבקשת לבצע לאחר שחח"י תשלם. הועברו אליהם תוכניות לטובת קבלת אומדן. בנוסף, נקבעה ישיבה עם יו"ר המושב על מנת לנסות למצוא פתרון נוסף לכניסה דרך השטח שלהם למספר חודשים עד להסדרת הכביש.פגישה נוספת מתקיימת ביום חמישי הקרוב (26.02) מול נציגי המושב.  </t>
  </si>
  <si>
    <t>גזם - העבודה לא הסתיימה. נשאר פינוי של מספר ערמות מהשטח. רט"ג - תבוצע חשיבה עם סיום פינוי הגזם למיקום ערמות הקרקע לשימור. תאגיד המים-בוצע זום עם המנכ"ל. העברנו להם חומרים שביקשו במייל מחכים לתגובתם. צומת מכביש 443-מתנהלים מול נת"י, מחכים לבדיקת התוכניות וקבלת אומדן לעבודה. במקביל בוצעה פגישה עם מזכיר האגודה לבחינה נוספת מצידם לכניסה באופן זמני לתחילת העבודות מהכביש הקיים העובר דרך המושב. תשובה סופית תינתן תוך כשבוע. עדיין מחכים לפיקוח אזרחי לאישור תוכניות והערות סוף השבוע יעד אחרון.</t>
  </si>
  <si>
    <t xml:space="preserve">גזם - העבודה לא הסתיימה. נשאר פינוי של מספר ערמות מהשטח, עיכוב בשל המלחמה/גשם. רט"ג - תבוצע חשיבה עם סיום פינוי הגזם למיקום ערמות הקרקע לשימור. תאגיד המים-מנכ"ל מי מודיעין העביר היום התייחסות לשתי האפשריות שהועלו בזום המשותף. נדרש לקיים דיון.  כמו כן ניתנה התייחסות לכך שנדרש לבצע חישוב חדש לדמי הקמה. הובטח שישלח בימים הקרובים. צומת מכביש 443-מתנהלים מול נת"י, מחכים לבדיקת התוכניות וקבלת אומדן לעבודה. במקביל בוצעה פגישה עם מזכיר מושב כפר רות לבחינה נוספת מצידם לכניסה באופן זמני לתחילת העבודות מהכביש הקיים העובר דרך המושב.  ממתינים לתשובתם לקידום הנושא. RFT סופי נדרש לקבל ב 12/03. בוצעה ישיבה לקביעת מיקום חיבור חשמל זמני. יציאות מ"ג - באחריות תכנון להעביר התייחסות לאור בקשתם לשנות כיוונים וכמויות שתוכננו. סוכם כי שינוי בנספח סביבתי יהיה רק לאחר הקמת היתר בנייה. </t>
  </si>
  <si>
    <t xml:space="preserve">גזם - העבודה לא הסתיימה. נשאר פינוי של מספר ערמות מהשטח, עיכוב בשל המלחמה/גשם, קק"ל לא מאשרים כניסה. . רט"ג - תבוצע חשיבה עם סיום פינוי הגזם למיקום ערמות הקרקע לשימור. תאגיד המים-מנכ"ל מי מודיעין העביר  התייחסות לשתי האפשריות שהועלו בזום (חיבור לאורך כביש הגישה או חיבור בהמצאות הנחה/קידוח בתא שטח שלא בבעלות אף גורם). יישלח מיל למנהל אגף להחלטה.  התקבל חישוב חדש לדמי הקמה ללא היטל לחיבור ביוב.  צומת מכביש 443-מתנהלים מול נת"י, מחכים לבדיקת התוכניות וקבלת אומדן לעבודה. במקביל בוצעה פגישה עם מזכיר מושב כפר רות לבחינה נוספת מצידם לכניסה באופן זמני לתחילת העבודות מהכביש הקיים העובר דרך המושב.  ממתינים לתשובתם הסופית לקידום הנושא. כעיקרון ניתנה הסכמה, מבקשים סידור של דרכים נוספות, תיקבע פגישה מול מזכיר האגודה יחד עם פיקוח בניין בהקדם. RFT סופי נשלח, יש עדיין בקשה לתיקונים מצד בקרת חוזים בוצעה ישיבה לקביעת מיקום חיבור חשמל זמני. יציאות מ"ג - סוכם כי שינוי בנספח סביבתי יהיה רק לאחר קבלת היתר בנייה. </t>
  </si>
  <si>
    <t xml:space="preserve">גזם - העבודה לא הסתיימה. נשאר פינוי של מספר ערמות מהשטח, עיכוב בשל המלחמה/גשם, קק"ל לא מאשרים כניסה. . רט"ג - תבוצע חשיבה עם סיום פינוי הגזם למיקום ערמות הקרקע לשימור. תאגיד המים-נסיון לקדם את החלופה של חיבור מים לאורך הכביש. ישנו דין ודברים מול מנר"א ותאגיד המים לגבי סוגיות תשלום. הועברו תוכניות של הכביש לתאגיד המים. צומת מכביש 443-מתנהלים מול נת"י, מחכים לבדיקת התוכניות וקבלת אומדן לעבודה. במקביל בוצעה פגישה עם מזכיר מושב כפר רות לבחינה נוספת מצידם לכניסה באופן זמני לתחילת העבודות מהכביש הקיים העובר דרך המושב.  כמו כן, בוצעה פגישה מולם לבחינת עבודות נוספות שמבקשים לבצע במקום פיצוי כספי. כעיקרון ניתנה הסכמה,מחכים לתצ"א/תוכנית מדידה מסודרת לדרכים הנדרשות להסדרה וכן למכתב מסודר עם בקשתם.  RFT סופי נשלח, ינדרש לקדם נספח 5 בהקדם. בטיפול מול בוריס.  יציאות מ"ג - סוכם כי שינוי בנספח סביבתי יהיה רק לאחר קבלת היתר בנייה. התקבל אישור כיבוי אש ואישור תשתיות עבור ההיתר. </t>
  </si>
  <si>
    <t xml:space="preserve">1. חיבור מים למגרש - בשיח מול התאגיד למציאת פתרון והורדת החסם לאישור נספח סניטרי . 2. שטח התארגנות מצומצם רק בשטח העבודות בלבד. 3. קבלת היתר לפי לו"ז מתוכנן (אישור כיבוי אש, אישור רמ"י, אישור נספח סניטרי). 4. מכרז לבחירת קבלן בשל עיכובים ברכש. 5. עבודות חפירה ודיפון משמעותיות שיכולות להאריך את העבודה. 6. כביש גישה - חסם עיקרי כרגע! לא ניתן להתחיל עבודות בשטח ללא הסדרת דרך גישה. </t>
  </si>
  <si>
    <t>חסם לטיפול מנהל מגזר בפיקוח</t>
  </si>
  <si>
    <t>WBE-158</t>
  </si>
  <si>
    <t>ראש העין-הוספת שנאי 521 והרחבת פ"צ 161</t>
  </si>
  <si>
    <t>הרחבה</t>
  </si>
  <si>
    <t>הרכבה חשמלית</t>
  </si>
  <si>
    <t xml:space="preserve">הגיע מייל מ GE כי צפי להגעת ציוד להרחבת מסדר 161 הינו 03/26.  הרכבת תמיכות - בתהליך. שנאי נמצא בתחנה, מלא בשמן. </t>
  </si>
  <si>
    <t xml:space="preserve">בוצעה ישיבה מול נציגי GE להבנת לו"ז הפרויקט מבחינתם וסטטוס קבלת ציוד. רוב הציוד מוכן למשלוח, ישנו פרט שנדרש לייצר מחדש ע"פ המייל שהגיע-מחכים להתייחסות למשמעות חלק זה . יש לבחון בהתאם ללו"ז הגעת הציוד את תחילת עבודות המומחה בשטח (אמצע מרץ/לאחר פס 12.4). תתואם ישיבת המשך מול GE. </t>
  </si>
  <si>
    <t>מתאמים כעת עם כלל הגורמים, כדי שנוכל להתכנס לתחילת העבודות מיד לאחר פסח, בתאריך 12.4, וכן לתת ל‑GE אישור להגעת המומחה במועד זה</t>
  </si>
  <si>
    <t xml:space="preserve">מתאמים כעת עם כלל הגורמים, כדי שנוכל להתכנס לתחילת העבודות מיד לאחר פסח, בתאריך 12.4, וכן לתת ל‑GE אישור להגעת המומחה במועד זה. ברביעי 11.02 תתקיים ישיבה עם נציג היצרן. נבקש תשובות בנושא לו"ז להגעת הציוד ומוכנותו, לו"ז הגעת מומחים </t>
  </si>
  <si>
    <t xml:space="preserve">ממשיכים תיאומים מול GE. נכון ל 16.02 הציוד עדיין לא נשלח לארץ. ממתינים לעדכון. תאריך לתחילת העבודה והגעת מומחה הינו 12.4 נכון לעכשיו. מתבצע תיאום בין העבדות הנדרשות לביצוע ב DCS בין GE ל ABB. מיקי מלכה צפוי לחזור לעבודה באתר החלמתאריך 22.02 לטובת השלמת הרכבת תמיכות מ"ע. לאחר מכן תתואם מול רת"ק העבודה. </t>
  </si>
  <si>
    <t>ממשיכים תיאומים מול GE. נכון ל 23.02 הציוד עדיין לא נשלח לארץ. ממתינים לעדכון מהרכש. תאריך לתחילת העבודה והגעת מומחה הינו 12.4 נכון לעכשיו. מתבצע תיאום בין העבדות הנדרשות לביצוע ב DCS בין GE ל ABB. השלמת הרכבת תמיכות מ״ע מתעכבת עקב כניסת עבודות דחופות יותר, הדוחקות את הפרויקט בסדר העדיפויות.ניתן לקדם חלק משמעותי מהעבודה כבר כעת, אך בפועל קיים קושי לתאם ולזרז את הצוותים כל עוד המשאבים מופנים לפרויקטים דחופים אחרים.
לאחר סיום הרכבת תמיכות יתואם מול רת״ק, כיבוי אש המשך הביצוע.</t>
  </si>
  <si>
    <t xml:space="preserve">נמשכו תיאומים השבוע מול GE . נכון ל 2.3.26, הציוד לא נשלח עדיין לארץ. בנוסף, התקבל מייל מGE כי מבקשים לדחות הגעת המומחה לתחילת מאי. הנושא בבחינה מול מגזר ביצוע לקבלת התייחסות בהתאם לסדרי עדיפויות שיוגדרו לפרויקטים. </t>
  </si>
  <si>
    <t xml:space="preserve">עדיין מחכים לעדכון מGE ורכש לשליחת ציוד מסדר 161 לארץ. בתיאום מול הרכבה חשמלית ויחידת התחמ"ש סוכם לאשר לGE הגעת מומחה ב 03.05. אך GE הודיעו שכרגע לא יכולים לתת תאריכים מעודכנים ותמיכה עד לסיום המלחמה. תמיכות מ"ג/מ"ע - עבודה מתבצעת השבוע בתקווה לסיים תוך שבוע. </t>
  </si>
  <si>
    <t xml:space="preserve">GE העבירו packing list לרכש ב 12/3. בתיאום מול הרכבה חשמלית ויחידת התחמ"ש סוכם לאשר לGE הגעת מומחה ב 03.05. אך GE הודיעו שכרגע לא יכולים לתת תאריכים מעודכנים ותמיכה עד לסיום המלחמה. תמיכות מ"ג/מ"ע - עבודה מתבצעת השבוע בתקווה לסיים תוך שבוע. </t>
  </si>
  <si>
    <t xml:space="preserve">ללא שינוי משבוע קודם. מחכים לסטטוס משלוח ציוד מהרכש. הובלה באחריות חח"י. בבדיקה מול המרחב למתי דרושות הזמנות חיבור מ"ג. מחכים לתשובות על מנת האם לקדם פרויקט חיבור מסדר 24 חדש לשנאים קיימים. הפרויקט לא הוכנס לסידור העבודה של הרת"ק. בוצעה התערבות מצד הנהלת החטיבה. </t>
  </si>
  <si>
    <t>1. לא ניתן לעמוד ביעד תכנית הפיתוח. הועברה בקשה לשינוי ל 08/26   2. הגעת הציוד לארץ עד מאי 3. סיום עבודות מקדימות למניעת לחץ מיותר עם הגעת המומחה לארץ - האם העבודות יבוצעו ללא מומחה. תידרש בחינה</t>
  </si>
  <si>
    <t>חסם לטיפול מנהל מגזר ביצוע</t>
  </si>
  <si>
    <t>WBE-188</t>
  </si>
  <si>
    <t>אור יהודה -התקנת שנאי רביעי 161/24 ק"ו, 50 מגוו"א וסוללת קבלים</t>
  </si>
  <si>
    <t>הקפאת תצורה</t>
  </si>
  <si>
    <t>נכון לעכשיו, מקדמים התקנת מסדר מ"ג וחיבורו בעזרת שדות מקשרים למסדרי מ"ג קיימים (WBM-10562-ST1)  .. המסדר הורכב.  הוחלט לקדם בשלב זה את הפרויקט עם ייצור ארונות הגנה של ABB  לטובת חשמול ב 06/26 ע"פ החלטת סמנכ"ל שירותי רשת. ארונות הגנה 01/26. תכנון חשמל מפורט 11/25.יש להתארגן להחזרת הרכבה חשמלית לעבודה בתיאום עם יחידת התחמ"ש בסוף ינואר.  בוצעה ישיבה לשינוי תכולות ב 24.12.25. הועבר להמשך טיפול גיל חזום.  לגבי הפרויקט הספציפי של החלפת השנאי, יעד כרגע לקבלת תכניות אלקטרומכניות 01.26. תתואם ישיבה להתנעת הפרויקט במקביל לישיבת שינוי תכולות כלל הפרויקטים בתחנה זו בתחילת ינואר</t>
  </si>
  <si>
    <t xml:space="preserve">תכולות הפרויקטים באור יהודה עודכנו. תתואם בהקדם ישיבת התנעת הפרויקט. </t>
  </si>
  <si>
    <t>צריך לקבל תיעדוף תכנון לקבלת תכניות מעודכנות וכתב כמויות . מתוכננת ישיבת התנעה בפברואר</t>
  </si>
  <si>
    <t xml:space="preserve">פרויקט מקדים (WBM-10562-ST1) בביצוע. מסדר מ"ג נבדק כעת ע"י מדור בדיקות. במקביל מתואמת המשך עבודה מול הרכבה חשמלית ויחידת התחמ"ש. שאר תכולות הפרויקטים עודכנו מול נגה ומול כל הגורמים (תפעול השנאה, תחמ"ש) ומתוכננת ישיבת התנעה במהלך החודש (בתיאום מול תכנון א"מ) להמשך שאר העבודות באשכול הפרויקטים בתחנה. נתנה התייחסות ממגזר תכנון ליעד כתב כמויות 08.2026.  </t>
  </si>
  <si>
    <t>פרויקט מקדים WBM-10562-ST1, מדור בדיקות סיים. צוות מבדקת תחמ"ש נכנס לעבודה לבדיקות מ"ז על מנת לאתר ליקויים ולהזמין את אפקון להמשך עבודה. הרכבה חשמלית תכנס החל מיום רביעי לעבודה להרכבת ארונות הגנה. עבור המשך העבודות באשכול הפרויקטים, יצאה פנייה מתכנון אלקטרומכני לקבלת סכימת  חיבור מעודכנת ובהתאם ועם קבלת תשובות תתואם ישיבת התנעת פרויקט.</t>
  </si>
  <si>
    <t>פרויקט מקדים WBM-10562-ST1, מדור בדיקות סיים. צוות מבדקת תחמ"ש נכנס לעבודה לבדיקות מ"ז אפקון מוזמנים ב 19.02 לתיקון ליקויים. הרכבה חשמלית נמצאת באתר להרכבת ארונות הגנה. עבור המשך העבודות באשכול הפרויקטים, יצאה פנייה מתכנון אלקטרומכני לקבלת סכימת חיבור מעודכנת ובהתאם ועם קבלת תשובות תתואם ישיבת התנעת פרויקט.</t>
  </si>
  <si>
    <t>מתבצעות עבודות עבור פרויקט מקדים WBM-10562-ST1. נקבעה ישיבת התנעת פרויקט WBE-188 לתאריך 22.03</t>
  </si>
  <si>
    <t>מתבצעות עבודות הרכבה חשמלית ומבדקת תחמ"ש עבור פרויקט מקדים WBM-10562-ST1 (היתה מעט פעילות השבוע בעקבות המלחמה וצורך בבודקים עבור ניידות חירום). נקבעה ישיבת התנעת פרויקט WBE-188 לתאריך 22.03</t>
  </si>
  <si>
    <t xml:space="preserve">מתבצעות עבודות הרכבה חשמלית ומבדקת תחמ"ש עבור פרויקט מקדים WBM-10562-ST1 . על מנת להמשיך בעבודות ובמסירה של ה.חשמלית נדרש שאפקון יגיעו לתיקון ליקויים. הנושא מתעכב בשל סקר סיכונים לא תקין שנשלח ע"י אפקון מה שמונע ממונה בטיחות לאשר את קיום העבודה. מנהל המגזר מעורב.  נקבעה ישיבת התנעת לפרויקט WBE-188 לתאריך 22.03 - הישיבה תידחה. תכנון ראשוני עוד לא מוכן. </t>
  </si>
  <si>
    <t xml:space="preserve">מתבצעות עבודות הרכבה חשמלית ומבדקת תחמ"ש עבור פרויקט מקדים WBM-10562-ST1 . קבלן חיווט של הרכבה חשמלית עובד בתחנה. תואם מול הרכבה חשמלית תיקון ליקויים אפקון בתאריך 19/4. בודקים של יחידת התחמ"ש יכנסו לעבודה החל מ 12/4. נקבעה ישיבת התנעת לפרויקט WBE-188 לאחר חג הפסח. </t>
  </si>
  <si>
    <t xml:space="preserve">עמידה בלו"ז. הגעת ציוד מסדר 161 ק"ו בזמן. </t>
  </si>
  <si>
    <t>חסם לטיפול מנהל מגזר תכנון</t>
  </si>
  <si>
    <t>WBE-196</t>
  </si>
  <si>
    <t>"בארות יצחק – הרחבת פ""צ והוספת שנאי חמישי 161/24 ק""ו, 50 מגוו""א וסוללות קבלים."</t>
  </si>
  <si>
    <t>תכנון</t>
  </si>
  <si>
    <t xml:space="preserve">בישיבה שהתקיימה ב 05.01.26 לבחינת תכולות הפרויקטים לבקשת יחידת התחמ"ש בעקבות שינויים צפויים לבקשת המרחב, הוחלט לוותר על הצבת מכולת מ"ג (פרויקט WBM-10726) ולהתקדם עם הוספת השנאי והמכולה בלבד ולתכנן את הניידת כאופציה להוספה במידת הצורך. נדרש לקבל תאריך להוצאת הזמנה לתכנון אזרחי בהקדם. הגנת פ"צ צפויה לתאריך 6.2027. החלפת ההגנה חייבת להתבצע לפני החלפת השנאי החמישי וכן הארכת פ"צ.  לא ניתן לעמוד בתאריך יעד תכנית הפיתוח!  </t>
  </si>
  <si>
    <t xml:space="preserve">לבקשת גיל חזום, לטובת שינוי הפרויקטים בבארות יצחק מחכים להתייחסות מהמחוז לסיכום ישיבה ואישורם הסופי . במקביל מחכים להוצאת הזמנת תכנון אזרחי בהתאם להחלטות שהתקבלו. </t>
  </si>
  <si>
    <t>יצאה הזמנה לתכנון אזרחי 20.01.26. במקביל מתאמים תכנון מול מ"ע</t>
  </si>
  <si>
    <t>יש להתייחס לאשכול פרויקטים בתחנה זו.לאחר מספר דיונים עם כל הגורמים, הוסכם כי תכולות הפרויקטים ישתנו. בקשה זו הועברה לנגה לאישור. עקב מורכבות ביצועית הוצעה חלופה של הצבת ניידת במקום מכולה נוספת, המייתרת שינויים בתחנה ומאפשרת מענה זמני עד לשדרוג התחמ"ש. הוסכם כי פרויקט WBM-10726 הוספת מכולת מ"ג וחיבורה לשנאי 524  יבוטל בהתאם להיתכנות הצבת הניידת.  יצאה הזמנה לתכנון אזרחי עבור פרויקט WBE-196 (הרחבת פ"צ והוספת שנאי חמישי+מכולת מ"ג). התקבל יעד כתב כמויות מהתכנון 05.2026</t>
  </si>
  <si>
    <t xml:space="preserve">יש להתייחס לאשכול פרויקטים בתחנה זו.לאחר מספר דיונים עם כל הגורמים, הוסכם כי תכולות הפרויקטים ישתנו. בקשה זו הועברה לנגה לאישור. עקב מורכבות ביצועית הוצעה חלופה של הצבת ניידת במקום מכולה נוספת, המייתרת שינויים בתחנה ומאפשרת מענה זמני עד לשדרוג התחמ"ש. הוסכם כי פרויקט WBM-10726 הוספת מכולת מ"ג וחיבורה לשנאי 524  יבוטל בהתאם להיתכנות הצבת הניידת.  יצאה הזמנה לתכנון אזרחי עבור פרויקט WBE-196 (הרחבת פ"צ והוספת שנאי חמישי+מכולת מ"ג). התקבל יעד כתב כמויות מהתכנון 05.2026. בבדיקת היתכנות להנפת יסודות טרומיים עבור שדה שנאי </t>
  </si>
  <si>
    <t xml:space="preserve">יש להתייחס לאשכול פרויקטים בתחנה זו.לאחר מספר דיונים עם כל הגורמים, הוסכם כי תכולות הפרויקטים ישתנו. בקשה זו הועברה לנגה לאישור. עקב מורכבות ביצועית הוצעה חלופה של הצבת ניידת במקום מכולה נוספת, המייתרת שינויים בתחנה ומאפשרת מענה זמני עד לשדרוג התחמ"ש. הוסכם כי פרויקט WBM-10726 הוספת מכולת מ"ג וחיבורה לשנאי 524  יבוטל בהתאם להיתכנות הצבת הניידת. נקבעה ישיבה מול מיקי אזוט וחטיבת רשת לדיוק צרכים בפנייה לנגה לתאריך 7.03.  יצאה הזמנה לתכנון אזרחי עבור פרויקט WBE-196 (הרחבת פ"צ והוספת שנאי חמישי+מכולת מ"ג). התקבל יעד כתב כמויות מהתכנון 05.2026. בבדיקת היתכנות להנפת יסודות טרומיים עבור שדה שנאי </t>
  </si>
  <si>
    <t xml:space="preserve">יש להתייחס לאשכול פרויקטים בתחנה זו.לאחר מספר דיונים עם כל הגורמים, הוסכם כי תכולות הפרויקטים ישתנו. בקשה זו הועברה לנגה לאישור. עקב מורכבות ביצועית הוצעה חלופה של הצבת ניידת במקום מכולה נוספת, המייתרת שינויים בתחנה ומאפשרת מענה זמני עד לשדרוג התחמ"ש. הוסכם כי פרויקט WBM-10726 הוספת מכולת מ"ג וחיבורה לשנאי 524  יבוטל בהתאם להיתכנות הצבת הניידת. נקבעה ישיבה מול מיקי אזוט וחטיבת רשת לדיוק צרכים בפנייה לנגה לתאריך 7.03.  יצאה הזמנה לתכנון אזרחי עבור פרויקט WBE-196 (הרחבת פ"צ והוספת שנאי חמישי+מכולת מ"ג). התקבל יעד כתב כמויות מהתכנון 05.2026. בבדיקת היתכנות להנפת יסודות טרומיים עבור שדה שנאי . </t>
  </si>
  <si>
    <t xml:space="preserve">בוצעה ישיבה היום מול מרחב איילון לטובת בחינת הפרויקטים המתוכננים בתחנה זו. במקביל מקודם   פרויקט WBE-196 (הרחבת פ"צ והוספת שנאי חמישי+מכולת מ"ג). הפרויקט נמצא בשלב תכנון אזרחי. סוכם לאחר בחינה מול צמ"ן/יחידת התחמ"ש/פיקוח כי ניתן להתקדם עם תכנון יסודות טרומיים עבור שדה שנאי. </t>
  </si>
  <si>
    <t xml:space="preserve"> פרויקט WBE-196 (הרחבת פ"צ והוספת שנאי חמישי+מכולת מ"ג): נמצא בשלב תכנון אזרחי. במקביל מתקיימות ישיבות מול חטיבת רשת להגדרת תכולות וצרכים בתחנה זו. יציאות מ"ג - קודמו חפירות גישוש וקידוחי נסיון בתחנה באזור המערבי לטובת המחוז</t>
  </si>
  <si>
    <t>1. לא ניתן לעמוד בתאריך יעד תכנית הפיתוח. הועברה בקשה לשינוי. 2. עמידה בלו"ז הפצת כתב כמויות. 3. אישור נגה ושינוי תכולות הפרויקטים</t>
  </si>
  <si>
    <t>WBE-125</t>
  </si>
  <si>
    <t>תמנע-רב-שלבי,שדרוג מסדר 161 ק"ו מע' עזר</t>
  </si>
  <si>
    <t>אוחייון, איתן</t>
  </si>
  <si>
    <t xml:space="preserve">בסיל כהן יפעת </t>
  </si>
  <si>
    <t xml:space="preserve">עבודה אזרחית </t>
  </si>
  <si>
    <t>קבלן יצא מהשטח, בוצעה ישיבת התנעה עבור השלמות שלב א', שלב ב' (מבנה) והוספת שנאי WBE200</t>
  </si>
  <si>
    <t>קבלן יצא מהשטח, בוצעה ישיבת התנעה עבור השלמות שלב א', שלב ב' (מבנה) והוספת שנאי WBE200
נדרש RFT עבור תכולה מאוחדת WBE-125 שלב א', שלב ב' וחומה עד 31/3/2026</t>
  </si>
  <si>
    <t>בתכנון לצורך עדכון תכניות וכ"כ עבור איחוד שלבים
נדרש RFT עבור תכולה מאוחדת WBE-125 שלב א', שלב ב' וחומה עד 31/3/2026</t>
  </si>
  <si>
    <t>בתכנון לצורך עדכון תכניות וכ"כ עבור איחוד שלבים
נדרש RFT עבור תכולה מאוחדת WBE-125 שלב א', שלב ב' וחומה עד 31/3/2026
נדרש לבנות את כ"כ לפי חוזה הקמות ישן מאחר והמבנה כבר בנוי כך</t>
  </si>
  <si>
    <t>נדרש הירתמות התכנון לאיחוד התכולות ליציאה ל RFT חדש תוך זמן קצר</t>
  </si>
  <si>
    <t>WBE-200</t>
  </si>
  <si>
    <t>תמנע-הוספת שנאי שני 50 מגוו"א</t>
  </si>
  <si>
    <t>הקפאת תכולה</t>
  </si>
  <si>
    <t>הוגשה בקשה לקדם בתכנון להוסיף כתכולה לקבלן שיבחר ל WBE125</t>
  </si>
  <si>
    <t>הוגשה בקשה לקדם בתכנון להוסיף כתכולה לקבלן שיבחר ל WBE125
נדרש תכנון אזרחי  לביצוע WBE-200 עד 31/12/2026</t>
  </si>
  <si>
    <t>WBE-235</t>
  </si>
  <si>
    <t>צומת כרמיה – הקמת 2 שדות מ"ע חדשים והתאמת שדה 1 לזרם 2000 א'. משיק ל-WBO-824, WBO-823 .</t>
  </si>
  <si>
    <t>בחירת קבלן</t>
  </si>
  <si>
    <t xml:space="preserve">בשבוע שעבר עבר RFT, ממתין לאישור נספח 5 ואומדנים עבור השו"שיים. יש לקבל הזמנה מתכנון א"מ עבור חפירות גישוש
</t>
  </si>
  <si>
    <t xml:space="preserve">ממתין לאישור נספח 5 ואומדנים עבור השו"שיים. 
יש לקבל הזמנה מתכנון א"מ עבור חפירות גישוש
תכולת שדרוג שדה 1 נכנסת תלתכולת שלב א' - נדרש אישור כוחות לפורטל לקידום תכנון של הולכה
</t>
  </si>
  <si>
    <t xml:space="preserve">ממתין לאישור נספח 5 
יש לקבל הזמנה מתכנון א"מ עבור חפירות גישוש
תכולת שדרוג שדה 1 נכנסת תלתכולת שלב א' - נדרש אישור כוחות לפורטל לקידום תכנון של הולכה
</t>
  </si>
  <si>
    <t xml:space="preserve">
יש לקבל הזמנה מתכנון א"מ עבור חפירות גישוש
תכולת שדרוג שדה 1 נכנסת תלתכולת שלב א' - נדרש אישור כוחות לפורטל לקידום תכנון של הולכה
</t>
  </si>
  <si>
    <r>
      <rPr>
        <rFont val="Arial"/>
        <color rgb="FF000000"/>
        <sz val="12.0"/>
      </rPr>
      <t xml:space="preserve">
יש לקבל הזמנה מתכנון א"מ עבור חפירות גישוש
</t>
    </r>
    <r>
      <rPr>
        <rFont val="Arial"/>
        <strike/>
        <color rgb="FF000000"/>
        <sz val="12.0"/>
      </rPr>
      <t xml:space="preserve">
</t>
    </r>
    <r>
      <rPr>
        <rFont val="Arial"/>
        <color rgb="FF000000"/>
        <sz val="12.0"/>
      </rPr>
      <t xml:space="preserve">נגה לא מאשרים הפסקת שדה 1 בסתיו 2026
</t>
    </r>
  </si>
  <si>
    <t>הועברה הזמנה לחפירות גישוש
מכרז להקמת שדות תקוע ברכש</t>
  </si>
  <si>
    <t>הועברה הזמנה לחפירות גישוש
מכרז להקמת שדות תקוע ברכש - יעד לקבלן 5/2026</t>
  </si>
  <si>
    <t>הועברה הזמנה לחפירות גישוש
מכרז להקמת שדות הוכנס לרשימת תיעדוף ברכש - יעד לקבלן 5/2026</t>
  </si>
  <si>
    <t>יצאה הזמנה לחפירות גישוש
סיור קבלנים מתוכנן ב 19/3/2026 צפי קבלן זוכה 30/5/2026</t>
  </si>
  <si>
    <t>יצאה הזמנה לחפירות גישוש - יתכן ולא תמומש בשל הסמיכות לעלית קבלן לקרקע
התקיים סיור קבלנים מתוכנן ב 19/3/2026
 צפי קבלן זוכה 15/4/2026</t>
  </si>
  <si>
    <t>WBE-260</t>
  </si>
  <si>
    <t>מצפה רמון - התקנת שנאי מס' 531- מערכתי</t>
  </si>
  <si>
    <t>נמצא במחלקת מכרזים, עדיין לא פורסם המכרז.  התקבל מבנה ברזל, מכולת מ"ג ראשונה צפויה להתקבל השבוע</t>
  </si>
  <si>
    <t>נקבע סיור קבלנים
מכולת מ"ג ראשונה התקבלה</t>
  </si>
  <si>
    <t>נקבע סיור קבלנים 5/2
מכולת מ"ג ראשונה התקבלה שניה צפויה השבוע</t>
  </si>
  <si>
    <t>התקיים סיור קבלנים, צפי לקבלן במחצית מרץ 2026
התקבלו מכולות מ"ג</t>
  </si>
  <si>
    <t>הגשת הצעות קבלנים 26/2/2026</t>
  </si>
  <si>
    <t>צפי לקבלן זוכה 15/3/2026</t>
  </si>
  <si>
    <t>צפי לקבלן זוכה בשבוע הקרוב
תחילת עבודות 30/4/2026</t>
  </si>
  <si>
    <t>אי עמידה בתכנית פיתוח
לאחר שקבלן יתחיל בעבודות נדרש לבצע עדכון מול נוגה</t>
  </si>
  <si>
    <t>חסם לטיפול רב פרויקטלי</t>
  </si>
  <si>
    <t>WBE-259</t>
  </si>
  <si>
    <t>מצפה רמון - החלפת שנאי מס' 532- מערכתי</t>
  </si>
  <si>
    <t>תכולה אזרחית נכללה כאופציה במכרז של WBE260. לאחר שיבחר קבלן ובהתאם לביצועים שלו יוחלט אם נדרש תכנון למכרז או לביצוע</t>
  </si>
  <si>
    <t>תכולה אזרחית נכללה כאופציה במכרז של WBE260. לאחר שיבחר קבלן ובהתאם לביצועים שלו יוחלט אם נדרש תכנון למכרז או לביצוע
אושרה דחיה של ת.פ. ל 30/4/2027 בהתאם למצב, תידרש דחיה נוספת</t>
  </si>
  <si>
    <t xml:space="preserve">תכולה אזרחית נכללה כאופציה במכרז של WBE260. לאחר שיבחר קבלן ובהתאם לביצועים שלו יוחלט אם נדרש תכנון למכרז או לביצוע
</t>
  </si>
  <si>
    <t>WBE-118</t>
  </si>
  <si>
    <t>יוטבתה - החלפת שנאי 531 ועיגון השנאי</t>
  </si>
  <si>
    <t>השנאי הוחלף, לא בוצעו תכולות אזרחיות. יבוצעו בסיום WBE202 הוספת שנאי 533</t>
  </si>
  <si>
    <t>השנאי הוחלף, לא בוצעו תכולות אזרחיות. יבוצעו בסיום WBE202 הוספת שנאי 533
הוגשה בקשה להכללת התכולות הנותרות בפרויקט ההרחבה WBE-120</t>
  </si>
  <si>
    <t>WBE-120</t>
  </si>
  <si>
    <t>יוטבתה-שדרוג התחמ"ש-רב שלבי</t>
  </si>
  <si>
    <t>חדר פיקוד הסתיים אזרחי, שדות 3,9 בשלבי סיום. מתוכננת מסירה ב 19/1/2026</t>
  </si>
  <si>
    <t>חדר פיקוד הסתיים אזרחי, שדות 3,9 בשלבי סיום. מתוכננת מסירה לאחר תיקון רג'קטים ב 28/1/2026</t>
  </si>
  <si>
    <t>נמסר להרכבה חשמלית</t>
  </si>
  <si>
    <t>נמסר להרכבה חשמלית שלא מבצעים עבודה באתר בגלל תיעדוף ומהיום גם המלחמה
קוי פיקוד שתוכננו לא מתאימים לשטח וכעת מנסים למצוא פתרון להעברת קוי הפיקוד לשדות החדשים</t>
  </si>
  <si>
    <t>הרכבה חשמלית הודיעו שנכנסים היום לעבודה 8/3/2026
קוי פיקוד שתוכננו לא מתאימים לשטח וכעת מנסים למצוא פתרון להעברת קוי הפיקוד לשדות החדשים</t>
  </si>
  <si>
    <t>בשלב ברכבת ציות מ"ע בשדות
נדרש ליישם פתרון להעברת קווי פיקוד לשדות החדשים לפני סיום עבודות הקבלן לשלב א'</t>
  </si>
  <si>
    <t>בשלב הרכבת ציוד מ"ע בשדות
השבוע מתוכנן חיבור צנרת פיקוד מהשדות למבנה הפיקוד והעברת כבל מ"ג המתוכנן לשנאים 531 ו 533</t>
  </si>
  <si>
    <t>WBE-202</t>
  </si>
  <si>
    <t>יוטבתה-הוספת שנאי 532 161/36 ק"ו 50 מגוו"א</t>
  </si>
  <si>
    <t>יבוצע בסיום WBE120</t>
  </si>
  <si>
    <t>WBC-099</t>
  </si>
  <si>
    <t>אשקלון צפון-הקמת תחמ"ש חיצונית 161/24 ק"</t>
  </si>
  <si>
    <t>ממתין לתשובת תכנון לגבי שוחות מ"ג וכן ל ASMADE מביצוע מ"ג להשלמת DR,  צפי לניתר 3-4/2026</t>
  </si>
  <si>
    <t>ממתין לתשובת תכנון לגבי שוחות מ"ג וכן ל ASMADE מביצוע מ"ג להשלמת DR,  צפי להיתר 3-4/2026</t>
  </si>
  <si>
    <t>ממתין לתשובת תכנון לגבי שוחות מ"ג וכן ל ASMADE מביצוע מ"ג. הופץ RFT,  צפי להיתר 3-4/2026</t>
  </si>
  <si>
    <t>ממתין לתשובת תכנון לגבי שוחות מ"ג וכן ל ASMADE מביצוע מ"ג. הופץ RFT,  צפי להיתר 5/2026</t>
  </si>
  <si>
    <t>ממתין לתשובת תכנון לגבי שוחות מ"ג וכן ל ASMADE מביצוע מ"ג.
ממתין ברכש ליציאה למכרז
,צפי להיתר נדחה ל 7/2026</t>
  </si>
  <si>
    <t>ממתין לתשובת תכנון לגבי שוחות מ"ג וכן ל ASMADE מביצוע מ"ג.
ברכש ליציאה למכרז, צפי קבלן זוכה 30/5/2026
,צפי להיתר  6/2026</t>
  </si>
  <si>
    <t>WBD-001</t>
  </si>
  <si>
    <t>שפרעם ניידת-פירוק התחמ"ש הניידת</t>
  </si>
  <si>
    <t>ניידת</t>
  </si>
  <si>
    <t>אוחנה, אלי</t>
  </si>
  <si>
    <t>הלוי בת אל</t>
  </si>
  <si>
    <t>בטיפול המחוז להסטת תשתיות</t>
  </si>
  <si>
    <t>WBC-121</t>
  </si>
  <si>
    <t>רוקח(רמת אביב חדשה)-הקמת תחמ"ש פנימית</t>
  </si>
  <si>
    <t>החלטות הוועדה אמורות להתקבל עד 14/01/2026 לצורך המשך התהליך לשלב התכן
טרם הוסדר נושא רכישת הקרקע המהווה חסם להיתר.</t>
  </si>
  <si>
    <t>התקבלה החלטת הוועדה לעבור לשלב התכן, מבוצע השלמת הדרישות והאישורים הנדרשים.
טרם הוסדר נושא רכישת הקרקע המהווה חסם להיתר.
החל תהליך הכנת החומר למכרז הקבלנים.</t>
  </si>
  <si>
    <t>התקבלה החלטת הוועדה לעבור לשלב התכן, מבוצע השלמת הדרישות והאישורים הנדרשים.
טרם הוסדר נושא רכישת הקרקע המהווה חסם להיתר.
החל תהליך הכנת החומר למכרז הקבלנים.
22.02.2026- צפי לסיור קבלנים
טרם הוסרה תשתית קו הביוב משטח התחנה- באחריות עיריית תל אביב</t>
  </si>
  <si>
    <t>התקבלה החלטת הוועדה לעבור לשלב התכן, מבוצע השלמת הדרישות והאישורים הנדרשים.
טרם הוסדר נושא רכישת הקרקע המהווה חסם להיתר.
החל תהליך הכנת החומר למכרז הקבלנים.
17.02.2026- צפי לסיור קבלנים
טרם הוסרה תשתית קו הביוב משטח התחנה- באחריות עיריית תל אביב</t>
  </si>
  <si>
    <t>התקבלה החלטת הוועדה לעבור לשלב התכן, מבוצע השלמת הדרישות והאישורים הנדרשים.
טרם הוסדר נושא רכישת הקרקע המהווה חסם להיתר.
החל תהליך הכנת החומר למכרז הקבלנים.
17.02.2026- בוצע סיור קבלנים
טרם הוסרה תשתית קו הביוב משטח התחנה- באחריות עיריית תל אביב
22/02/2026- סיור לכריתת העתקת עצים, עפ"י דרישת האגרונום העירוני, ביצוע העתקת עצים עד 04/2026 (אחרת נידרש להעתיק רק בעוד כחצי שנה) לכן נדרש פינוי התשתיות ברכישת השטח במיידי</t>
  </si>
  <si>
    <t>התקבלה החלטת הוועדה לעבור לשלב התכן, מבוצע השלמת הדרישות והאישורים הנדרשים.
טרם הוסדר נושא רכישת הקרקע המהווה חסם להיתר.
החל תהליך הכנת החומר למכרז הקבלנים.
17.02.2026- בוצע סיור קבלנים
טרם הוסרה תשתית קו הביוב משטח התחנה- באחריות עיריית תל אביב
ביצוע העתקת עצים עד 04/2026 (אחרת נידרש להעתיק רק בעוד כחצי שנה) לכן נדרש פינוי התשתיות ברכישת השטח במיידי
החל תהליך של מכרז ספק יחיד לצורך כריתת העצים</t>
  </si>
  <si>
    <t>התקבלה החלטת הוועדה לעבור לשלב התכן, מבוצע השלמת הדרישות והאישורים הנדרשים.
טרם הוסדר נושא רכישת הקרקע המהווה חסם להיתר.
ממתינים להצעות מחיר הקבלנים.
טרם הוסרה תשתית קו הביוב משטח התחנה- באחריות עיריית תל אביב.
החל תהליך של מכרז ספק יחיד לצורך כריתת העצים.</t>
  </si>
  <si>
    <t>ממתינים לאישור כיבוי אש ובקשה להיתר
טרם הוסדר נושא רכישת הקרקע המהווה חסם להיתר.
ממתינים להצעות מחיר הקבלנים.
טרם הוסרה תשתית קו הביוב משטח התחנה- באחריות עיריית תל אביב. (הנושא הוסדר עם גורמי העירייה בסיום כריתת העצים, ההעתקה תבוצע)
החל תהליך של מכרז ספק יחיד לצורך כריתת העצים.</t>
  </si>
  <si>
    <t>ממתינים לאישור כיבוי אש ובקשה להיתר
טרם הוסדר נושא רכישת הקרקע המהווה חסם להיתר.
ממתינים להצעות מחיר הקבלנים.
טרם הוסרה תשתית קו הביוב משטח התחנה- באחריות עיריית תל אביב. (הנושא הוסדר עם גורמי העירייה בסיום כריתת העצים, ההעתקה תבוצע)
נבחר ספק יחיד לצורך כריתת העצים, צפי תחילת עבודות 25.03.2026</t>
  </si>
  <si>
    <t>העתקת עצים
השלמת תהליך רכישת הקרקע ע"י מנר"א
עמידת ההולכה בלו"ז לביצוע תשתית מ"ע.</t>
  </si>
  <si>
    <t>חסם לטיפול מנהל אגף</t>
  </si>
  <si>
    <t>WBD-124</t>
  </si>
  <si>
    <t>חפר ארעית- הקמת תחמ"ש ארעית</t>
  </si>
  <si>
    <t>המשך עבודות הקמה של הארעית, מבוצעות בשטח עבודות לשיפור מעברים וגידור לצורך הרכבת הציודים החשמליים.
בעקבות פגעי מזג האויר נדרשים עבודות שיקום של גדרות היקפיים בתחנה.</t>
  </si>
  <si>
    <t>עיכוב בעבודות אזרחיות להקמת הארעית בשל מחסור בכ"א בפועלים.
הרכבות, תמיכות וציוד חשמלי כולל חיווט במסדרי 161 ק"ו ו- 24 ק"ו.
עיכוב בבדיקות מכולות פיקוד ומסדרי 24 ק"ו (קיים מחסור בבודקים)</t>
  </si>
  <si>
    <t>עיכוב בעבודות אזרחיות להקמת הארעית בשל מחסור בכ"א בפועלים.
הרכבות, תמיכות וציוד חשמלי כולל חיווט במסדרי 161 ק"ו ו- 24 ק"ו.
עיכוב בבדיקות מכולות פיקוד ומסדרי 24 ק"ו (קיים מחסור בבודקים)
עצירה ניכרת בעבודות הביצוע עקב מחסור בכ"א מתמשך</t>
  </si>
  <si>
    <t>המשך עבודות התקנת ציוד ועבודות פיתוח שטח</t>
  </si>
  <si>
    <t>המשך עבודות התקנת ציוד ועבודות פיתוח שטח
ישנן תקלות בשנאים כולל השנאי החדש- בטיפול הביצוע</t>
  </si>
  <si>
    <t>המשך עבודות התקנת ציוד ועבודות פיתוח שטח (כרגע עצירת עבודות בשל המצב הביטחוני)
ישנן תקלות בשנאים כולל השנאי החדש- בטיפול הביצוע</t>
  </si>
  <si>
    <t>המשך עבודות התקנת ציוד ועבודות פיתוח שטח 
לאחר עיכוב של שבוע בשל המצב הבטחוני.
ישנן תקלות בשנאים כולל השנאי החדש- בטיפול הביצוע</t>
  </si>
  <si>
    <t>בוצע סיור למסירת עבודה אזרחית, ישנם מספר רג'קטים קטנים לתיקון
טיפול שמן לשנאי 522 יבוצע ב 17.03.2026
קיים מחסור בבודקים מזה כשלושה שבועות</t>
  </si>
  <si>
    <t>בוצע סיור למסירת עבודה אזרחית, ישנם מספר רג'קטים קטנים לתיקון
לאור המצב הבטחוני/מזג האויר וחופשת הפסח המתקרבת מסתמן עיכוב בהכנסה לניצול של התחנה של כחודש</t>
  </si>
  <si>
    <t>נדרש תגבור של כ"א כללי לתחנה- קבלנים, ביצוע ובודקים</t>
  </si>
  <si>
    <t xml:space="preserve">חסם לטיפול מנהלת מחלקה </t>
  </si>
  <si>
    <t xml:space="preserve">חסם לטיפול מנהל אגף תפעול השנאה </t>
  </si>
  <si>
    <t>WBJ-004</t>
  </si>
  <si>
    <t>חפר-הקמת תחמ"ג 400/161 ק"ו,650*3 מגוו"א- שנאי קישור שלישי 454 יותקן ולא יחושמל-רב שלבי</t>
  </si>
  <si>
    <t>נבחר קבלן ואושר ע"י הדריקטריון, צפי לישיבת תיאום עם הפיקוח האזרחי בשבוע הבא.
בעקבות פגעי מזג האויר נדרשים עבודות שיקום של גדרות היקפיים בתחנה.</t>
  </si>
  <si>
    <t>נקבעה ישיבת התנעה עם קבלן זוכה לשלב ב'</t>
  </si>
  <si>
    <t>בוצעה ישיבת התנעה עם קבלן זוכה לשלב ב'</t>
  </si>
  <si>
    <t>ממתינים לסיום חתימת החוזה ותחילת העבודה של הקבלן האזרחי</t>
  </si>
  <si>
    <t>הסתיים חתימת החוזה
ממתינים לתחילת העבודה של הקבלן האזרחי</t>
  </si>
  <si>
    <t>הסתיים חתימת החוזה
ממתינים לתחילת העבודה של הקבלן האזרחי
עיכוב בתחילת עבודות מסדר 400 ק"ו מאחר ונתוני הציוד טרם התקבלו וכמו כן טרם נבחר ספק זוכה ולכן ביצוע תכנון אלק"מ ואזרחי לא החל. (צפי תחילת עבודות 07-08/2026
ייעכב את תחילת העבודות של הקבלן שנבחר.</t>
  </si>
  <si>
    <t xml:space="preserve">הסתיים חתימת החוזה
ממתינים לתחילת העבודה של הקבלן האזרחי
בוצעה ישיבה עם יוסי כהן ונווה כהן לצורך תיאום שלבי קבלת נתוני הציוד וביצוע תוכניות בשלבים על מנת להימנע מעצירת עבודות הקבלן האזרחי
</t>
  </si>
  <si>
    <t xml:space="preserve">ממתינים לתחילת העבודה של הקבלן האזרחי.
בוצעה ישיבה עם יוסי כהן ונווה כהן לצורך תיאום שלבי קבלת נתוני הציוד וביצוע תוכניות בשלבים על מנת להימנע מעצירת עבודות הקבלן האזרחי
</t>
  </si>
  <si>
    <t>השלמת תכנון של מסדרי 400 ק"ו עם קבלת נתוני הציוד.</t>
  </si>
  <si>
    <t>WBD-120</t>
  </si>
  <si>
    <t>תפוח- הצבת תחמ"ש ניידת</t>
  </si>
  <si>
    <t>אוקון שמעון</t>
  </si>
  <si>
    <t>סיור עם כל הגורמים המעורבים בפרויקט בתחילת פברואר</t>
  </si>
  <si>
    <t xml:space="preserve">
סיור עם כל הגורמים המעורבים בפרויקט בתחילת פברואר</t>
  </si>
  <si>
    <t>בוצע סיור עם גורמי תכנון ב 4.2, התקבלה דרישה מהקמ"ט למצוא מיקום חלופי</t>
  </si>
  <si>
    <t>עדיין לא התקבלה תשובה ממנהל נכסים לגבי מיקום אלטרנטיבי</t>
  </si>
  <si>
    <t>נבדקת חלופה מספר 2 למיקום חלופי לניידת</t>
  </si>
  <si>
    <t>WBD-090</t>
  </si>
  <si>
    <t>ענתות-הצבת תחמ"ש ניידת 30 מגוו"א</t>
  </si>
  <si>
    <t>תקוע באישורי קמ"ט ולא  ניתן עד אז גם להוציא הזמנה לקבלן האזרחי שמתוכנן למכבים ומסוגל לבצע גם בענתות</t>
  </si>
  <si>
    <t xml:space="preserve">
עדכון 14.1: תקוע באישורי קמ"ט ולא  ניתן עד אז גם להוציא הזמנה לקבלן האזרחי שמתוכנן למכבים ומסוגל לבצע גם בענתות
עדכון 20.1: הועברה תוכנית העמדה כולל פיתוח שטח שביל כניסה לאתר ליוסי סיטרון להמשך טיפול לאישור מול קמ"ט </t>
  </si>
  <si>
    <t xml:space="preserve">עדכון 14.1: תקוע באישורי קמ"ט ולא  ניתן עד אז גם להוציא הזמנה לקבלן האזרחי שמתוכנן למכבים ומסוגל לבצע גם בענתות
עדכון 20.1: הועברה תוכנית העמדה כולל פיתוח שטח שביל כניסה לאתר ליוסי סיטרון להמשך טיפול לאישור מול קמ"ט </t>
  </si>
  <si>
    <t xml:space="preserve">תקוע באישורי קמ"ט ולא  ניתן עד אז גם להוציא הזמנה לקבלן האזרחי שמתוכנן למכבים ומסוגל לבצע גם בענתות
הועברה תוכנית העמדה כולל פיתוח שטח שביל כניסה לאתר ליוסי סיטרון להמשך טיפול לאישור מול קמ"ט </t>
  </si>
  <si>
    <t xml:space="preserve">כן </t>
  </si>
  <si>
    <t>WBD-121</t>
  </si>
  <si>
    <t>עמנואל 2 ניידת- הצבת תחמ"ש ניידת</t>
  </si>
  <si>
    <t>מתוכננת הובלה כפולה בליל ה 29.1 מאלעד לעמנואל ומעמנואל למודיעין הכנסת ניידת ב29.1</t>
  </si>
  <si>
    <t xml:space="preserve">מתוכננת הובלה כפולה בליל ה 29.1 מאלעד לעמנואל ומעמנואל למודיעין הכנסת ניידת ב29.1
ניידת באלעד 2 פורקה, עברה טסט ומוכנה להובלה
ב 26.1 תובלה הגיעו לעמנואל להכין את הנגרר לפינוי </t>
  </si>
  <si>
    <t>הניידת שהייתה מיועדת לעמנואל מאלעד 2 הוקצתה לירושלים ד, בהחלטת הנהלה עקב תקלה שהייתה בניידת בירושלים. 
בלילה 29.1 פונה הנגרר התקול מעמנואל למודיעין 
יש לקבל הקצאת ניידת עבור עמנואל</t>
  </si>
  <si>
    <t>אין הקצאת ניידת - HOLD</t>
  </si>
  <si>
    <t>WBD-096</t>
  </si>
  <si>
    <t>א.ת. מכבים- הצבת תחמ"ש ניידת 161/33 ק"ו, 20 מגוו"א</t>
  </si>
  <si>
    <t>תקוע באישורי קמ"ט ולא  ניתן עד אז גם להוציא הזמנה לקבלן האזרחי שבאתר</t>
  </si>
  <si>
    <t>עדכון 14.1: תקוע באישורי קמ"ט ולא  ניתן עד אז גם להוציא הזמנה לקבלן האזרחי שבאתר
עדכון 20.1: התקבלה הדעה מסעיד ביום 18.1-" יש התכנות רעיונית ונדרש להגיש תכנית מפורטת" - הנושא בבירור של יוסי סיטרון מול סעיד להבין מה נדרש להגיש (כבר הוגשה תכנית העמדה כפי שביקש)</t>
  </si>
  <si>
    <t>עדכון 14.1: תקוע באישורי קמ"ט ולא  ניתן עד אז גם להוציא הזמנה לקבלן האזרחי שבאתר
עדכון 20.1: התקבלה הדעה מסעיד ביום 18.1- יש התכנות רעיונית ונדרש להגיש תכנית מפורטת - הנושא בבירור של יוסי סיטרון מול סעיד להבין מה נדרש להגיש (כבר הוגשה תכנית העמדה כפי שביקש)</t>
  </si>
  <si>
    <t>עדכון 5.2: התקבל אישור קמ"ט אנרגיה לביצוע והקמת האתר לניידת מכבים.</t>
  </si>
  <si>
    <t>התקבל אישור קמ"ט אנרגיה לביצוע והקמת האתר לניידת מכבים.</t>
  </si>
  <si>
    <t>בשלב מו"מ עם הקבלן</t>
  </si>
  <si>
    <t>בשלב הכנת הסכם רכש מול הקבלן</t>
  </si>
  <si>
    <t>WBD-123</t>
  </si>
  <si>
    <t>א.ת. מכבים- הצבת תחמ"ש ניידת 161/24 ק"ו, 20 מגוו"א</t>
  </si>
  <si>
    <t xml:space="preserve"> התקבל אישור קמ"ט אנרגיה לביצוע והקמת האתר לניידת מכבים.</t>
  </si>
  <si>
    <t>WBE-288</t>
  </si>
  <si>
    <t>שפרינצק-התקנת שנאי רביעי מס' 524, 50 מגוו"א וסוללות קבלים</t>
  </si>
  <si>
    <t>ארליך-בקיש, רחלי</t>
  </si>
  <si>
    <t>רחאנה ענבל עינב</t>
  </si>
  <si>
    <t>טרם נקבע</t>
  </si>
  <si>
    <t>הוקדם מתוכנית הפיתוח  מ 12/28 ל 06/27 , לא נעשה בתיאום עם חטיבת הפרויקטים, מסתמן שלא מסתנכרן עם  הפרויקטים האחרים בתחנה. נדרשת פגישה עם כל בעלי העניין לניתוח כלל האשכול - באחריות מנה"פ.</t>
  </si>
  <si>
    <t>התקבל שינו מהתבונה - סיום ת.פ הוחזר ל 12/28. נדרשת פגישה עם כל בעלי העניין לניתוח כלל האשכול - באחריות מנה"פ. 
נדרש לקדם הזמת תכנון להיתר</t>
  </si>
  <si>
    <t xml:space="preserve">התקבל שינו מהתבונה - סיום ת.פ הוחזר ל 12/28. נדרשת פגישה עם כל בעלי העניין לניתוח כלל האשכול - באחריות מנה"פ. 
</t>
  </si>
  <si>
    <t>התקבל שינו מהתבונה - סיום ת.פ הוחזר ל 12/28. נדרשת פגישה עם כל בעלי העניין לניתוח כלל האשכול - באחריות מנה"פ. תתואם פגישה לקראת סוף אפריל</t>
  </si>
  <si>
    <t>WBE-290</t>
  </si>
  <si>
    <t>איילון- התקנת שנאי רביעי 75 מגוו"א 161/24 ק"ו</t>
  </si>
  <si>
    <t xml:space="preserve">פרויקט מתפרץ. בוצע סיור מקדים מול תכנון אלקטרומכני, מחלקת ציוד וכיבוי אש. נקבעה ישיבת התנעת פרויקט ל 25.02. </t>
  </si>
  <si>
    <t>בוצעה ישיבת התנעה לפרויקט. הוצאת הזמנה לתכנון אזרחי 03/26. כתב כמויות 06/26. בבדיקה מול רת"ק תוואי כבל 161 בין השנאי למסדר.</t>
  </si>
  <si>
    <t>הזמנה לתכנון אזרחי הופצה ב 16/3/26. בבדיקה מול רת"ק תוואי כבל 161 בין השנאי למסדר.</t>
  </si>
  <si>
    <t xml:space="preserve">הזמנה לתכנון אזרחי הופצה ב 16/3/26. בבדיקה מול רת"ק תוואי כבל 161 בין השנאי למסדר. תואמה פגישה עם צמ"ן לבחינת השטח לטובת העברת השנאי משטח 6. </t>
  </si>
  <si>
    <t xml:space="preserve">עמידה בלו"ז </t>
  </si>
  <si>
    <t>WBD-128</t>
  </si>
  <si>
    <t>תימורים- תכנון הצבת 2 תחמ"ש ניידות,30 מגוו"א כ"א</t>
  </si>
  <si>
    <t>אלטחן, קובי</t>
  </si>
  <si>
    <t>קיעביץ יוסף</t>
  </si>
  <si>
    <t>בדיונים על סגירת תוכנית העמדה של הניידות. נקבעה ישיבת הקפאת תצורה לתאריך 29.3.26.
נבחנת אפשרות להצבת הניידות מכוח צו שר במקום הליך היתר</t>
  </si>
  <si>
    <t>משך הטיפול בהיתר עלול לקחת זמן רב אשר מייתר את הצורך בהצבת ניידות</t>
  </si>
  <si>
    <t>WBC-075</t>
  </si>
  <si>
    <t>תימורים-הקמת תחמ"ש חיצונית 161/24 ק"ו</t>
  </si>
  <si>
    <t xml:space="preserve">השבוע יצאה הזמנה של מועצה אזורית באר טוביה למתכנן קו הסניקה - משך התכנון - כחודש. התקבלו הערות לתיקון טרם דיון הועדה בהיתר הבנייה - התכנון עובד על תיקונם. עקב עיכוב בהגשת בקשה להיתר צפי לקבלת היתר 05/2026, חריגה מיעד ת.פ 11/26.  </t>
  </si>
  <si>
    <t>הבקשה להיתר המתוקנת הוגשה שוב בתאריך 19.1.26</t>
  </si>
  <si>
    <t>ממתינים לדיון ועדה. במקביל מקדמים את פרויקט הניידות</t>
  </si>
  <si>
    <t>הבקשה שוב חזרה עם הערות לתיקון. עובדים על תיקונם והבקשה תוגש שוב בשבוע הבא</t>
  </si>
  <si>
    <t>הבקשה שוב חזרה עם הערות לתיקון. עובדים על תיקונם והבקשה תוגש שוב עד סוף השבוע</t>
  </si>
  <si>
    <t xml:space="preserve">הבקשה להיתר הוגשה שוב, ממתינים לדיון ועדה.
השבוע צפוי להסתיים התכנון של הקו סניקה </t>
  </si>
  <si>
    <t>הבקשה שוב נדחתה וניתנו הערות לתיקון.
ביום חמישי צפויה להתקיים פגישה עם מהנדסת העיר להבין מה הבעיה (בכפוף למצב הביטחוני)</t>
  </si>
  <si>
    <t>התקיימה פגישה עם מח' הנדסה של העירייה ועברנו יחד על הערות שניתנו - הערות תוקנו והבקשה הוגשה שוב.</t>
  </si>
  <si>
    <t>ממתינים לקבלת תכנון חיצוני להעתקת קו הסניקה.
הבקשה עברה ועדה והתקבלו תנאי התכן.
שטח התארגנות סוכם עם מהנדסת העיר והועבר לטיפול מנר"א מול גזברות העירייה</t>
  </si>
  <si>
    <t>קו הסניקה הקיים בשטח מהווה חסם לעלייה לקרקע.</t>
  </si>
  <si>
    <t>WBC-123</t>
  </si>
  <si>
    <t>שחר(כוכב מיכאל)-הקמת תחמ"ש חיצונית</t>
  </si>
  <si>
    <t>השבוע הוגשה הבקשה להיתר</t>
  </si>
  <si>
    <t>הבקשה להיתר חזרה עם הערות. צוות התכנון עובד על תיקונם</t>
  </si>
  <si>
    <t>הבקשה להיתר הוגשה שוב לאחר תיקון הערות. ממתינים לדיון ועדה</t>
  </si>
  <si>
    <t>הבקשה להיתר הוגשה שוב לאחר תיקון הערות. ממתינים לדיון ועדה, כרגע צפי היתר ב 07/26 - עיכוב של חודשיים מהתכנון המקורי. נעשה את הכל כדי למזער את העיכוב.
הצלחנו לבטל את הדרישה לפיתוח נופי סביב התחנה - חסכון של כ 250 אש"ח</t>
  </si>
  <si>
    <t>ממתינים לדיון ועדה
כתב כמויות צפוי להסתיים בשבוע הבא</t>
  </si>
  <si>
    <t>ממתינים לדיון ועדה</t>
  </si>
  <si>
    <t>הבקשה הוגשה שוב וממתינים לדיון ועדה</t>
  </si>
  <si>
    <t>הבקשה שובצה לדיון ועדה לתאריך 11.5.26. פועלים כדי להקדים. חבילת מסירה של תכנון הועברה להערות הפיקוח ב 15.3.26 - נקבעה ישיבת RFT  לתאריך 30.3.26</t>
  </si>
  <si>
    <t>דיון הועדה הוקדם ל 14.4.26, עקב עיכוב בשליחת התוכניות המודפסות לפיקוח - ישיבת ה RFT נדחתה ל 15.4.26</t>
  </si>
  <si>
    <t>סיכון - מטע הזיתים שקיים בשטח היה אמור להיות מפונה. עד כה המטע לא פונה.</t>
  </si>
  <si>
    <t>WBC-072</t>
  </si>
  <si>
    <t>ראשון תעשיה- הקמת תחמ"ש פנימית 161/24 ק"</t>
  </si>
  <si>
    <t xml:space="preserve">הסתיימו כל שלבי התכן והוגשו לעירייה – ממתינים לקבלת היתר. 
כל נושא הזכויות על הקרקע עדיין לא הוסדר מול העירייה –התקיימה פגישה עם סמנכ"ל העירייה להסרת חסמים. נושא רישום הזכויות ע"י העירייה מעכב את התקדמות הסכם וההיתר 
בוצע דיגום קרקע טרם תחילת העבודות   - התקבלו תוצאות חלקיות וחלקיות אשר מצביעות על "חריגות קלות" בקרקע. </t>
  </si>
  <si>
    <t>כל נושא הזכויות על הקרקע עדיין לא הוסדר מול העירייה –התקיימה פגישה עם סמנכ"ל העירייה להסרת חסמים. נושא רישום הזכויות ע"י העירייה מעכב את התקדמות הסכם וההיתר</t>
  </si>
  <si>
    <t>ישנה התקדמות קלה בשיחות על הסכם הזכויות על הקרקע. העירייה במקביל הגישה את המסמכים לרישום המגרש בטאבו. ממתינים שהנושא יוסדר  - באחריות מנר"א</t>
  </si>
  <si>
    <t>התקיימה פגישה נוספת עם העירייה בתאריך 1.2.26 וחלה התקדמות נוספת בשיחות על הסכם הזכויות על הקרקע. העירייה במקביל הגישה את המסמכים לרישום המגרש בטאבו. ממתינים שהנושא יוסדר  - באחריות מנר"א</t>
  </si>
  <si>
    <t>העירייה  הגישה את המסמכים לרישום המגרש בטאבו. ממתינים שהנושא יוסדר  - באחריות מנר"א</t>
  </si>
  <si>
    <t>העירייה  הגישה את המסמכים לרישום המגרש בטאבו. ממתינים שהנושא יוסדר  - באחריות מנר"א
כמו כן ממתינים לדוח סקר קרקע מהמשרד להגנת הסביבה</t>
  </si>
  <si>
    <t>העירייה  הגישה את המסמכים לרישום המגרש בטאבו. ממתינים שהנושא יוסדר  - באחריות מנר"א
נקבעה ישיבה נוספת עם מנכ"ל העירייה לתאריך 22.3.26
כמו כן ממתינים לדוח סקר קרקע מהמשרד להגנת הסביבה</t>
  </si>
  <si>
    <t xml:space="preserve">התקיימה הפגישה עם מנכ"ל העירייה - העירייה מנסה לקדם את הטיפול ברישום הזכויות והתקבל מידע ממפ"י כי ההליך יושלם בתוך כשבועיים. תיקבע ישיבת המשך למעקב עם העירייה לאחר פסח
מח' אסדרה סביבתית חווה קשיים רבים מול המשרד להגנת הסביבה בנושא אישור סקר קרקע היסטורי - תנאי לקבלת היתר הבנייה
</t>
  </si>
  <si>
    <t>עיכוב בנושא הסדרת הזכויות על הקרקע
אישור סקר קרקע היסטורי</t>
  </si>
  <si>
    <t>WBC-057</t>
  </si>
  <si>
    <t>ליילנד-הקמת תחמ"ש פנימית 161/24ק"ו 50*2</t>
  </si>
  <si>
    <t xml:space="preserve">הבקשה להיתר הוגשה בשנית וממתינים לדיון ועדה , כמו כן צפויה פגישה עם מהנדס העיר 23.02.26 לקידום ההיתר, צפי קבלת היתר 06/2026. </t>
  </si>
  <si>
    <t>הבקשה היתר חזרה לתיקון הערות. צוות התכנון עובד על תיקונן</t>
  </si>
  <si>
    <t xml:space="preserve">ממתינים לדיון ועדה. </t>
  </si>
  <si>
    <t>אחת הערות מהעירייה דורשת התערבות משפטית - הנושא נידון עם ארז סרי, ממתינים לתשובת יועמ"שית של עיריית אשדוד</t>
  </si>
  <si>
    <t>העירייה טוענית כי עפ"י התב"ע לא ניתן לבנות מרתף - ארז סרי מנסה לפתור את הנושא מול היועמ"שית של עיריית אשדוד.
פגישה מתוכננת שהייתה צריכה להתקיים עם מהנדס העיר אשדוד ב 24.2.26 נדחת ל 30.3.26</t>
  </si>
  <si>
    <t>העירייה טוענית כי עפ"י התב"ע לא ניתן לבנות מרתף ומבקשת לשנות את מיקום התחנה- ארז סרי מנסה לפתור את הנושא מול היועמ"שית של עיריית אשדוד.
פגישה מתוכננת שהייתה צריכה להתקיים עם מהנדס העיר אשדוד ב 24.2.26 נדחת ל 30.3.26</t>
  </si>
  <si>
    <t>העירייה טוענית כי עפ"י התב"ע לא ניתן לבנות מרתף ומבקשת לשנות את מיקום התחנה- ארז סרי מנסה לפתור את הנושא מול היועמ"שית של עיריית אשדוד.
פגישה מתוכננת שהייתה צריכה להתקיים עם מהנדס העיר אשדוד ב 24.2.26 נדחתה ל 30.3.26</t>
  </si>
  <si>
    <t>WBC-061</t>
  </si>
  <si>
    <t>גן רווה-הקמת תחמ"ש חיצונית קבועה 161/24 ק"ו</t>
  </si>
  <si>
    <t>חושמל ב30/06/2025</t>
  </si>
  <si>
    <t>טופס 4</t>
  </si>
  <si>
    <t>האתר חושמל בתאריך 30/06/2025.
 נשאר לבצע מכירה של הציוד הקיים שיפורק על ידי הקבלנים – נבחר קבלן שצפוי להתחיל את העבודה בשבוע הבא.
נדרש לבצע את הצומת לחיבור לכביש 4111 – התקבלה הצעה מנת"י לביצוע הצומת על ידם בעלות1.4 מש"ח . נת"י מתנהלת באיטיות בישיבות מו"מ.
ישנה בעיה סטטוטורית להנחת קו המים, כרגע יש חיבור זמני ולא קבוע – הנושא מטופל ע"י מנר"א מול רשות המים.</t>
  </si>
  <si>
    <t>עד סוף השבוע הקבלן של הפירוק ארעית יסיים את עבודתו. תואמה כניסת קבלן אזרחי להשלמת פיתוח השטח לתאריך 1.2.26</t>
  </si>
  <si>
    <t>הקבלן שרכש את הברזל סיים את עבודתו ופירק את תכולת התחמ"ש שיועדה למכירה. קבלן אזרחי צפוי להתחיל את עבודתו לפיתוח השטח ב 1.2.26</t>
  </si>
  <si>
    <t>קבלן אזרחי התחיל להיערך לתחילת עבודות בפיתוח שטח הארעית. יחל את עבודתו השבוע.</t>
  </si>
  <si>
    <t>הקבלן האזרחי החל בעבודות גידור האתר ושיקום דרך הגישה לקראת תחילת עבודות פיתוח שטח הארעית</t>
  </si>
  <si>
    <t>הקבלן החל היום 16.2.26 את עבודתו בפיתוח השטח של התחנה הארעית</t>
  </si>
  <si>
    <t>הקבלן ממשיך בעבודתו בפיתוח שטח</t>
  </si>
  <si>
    <t>הקבלן עצר את עבודתו עקב המצב הביטחוני</t>
  </si>
  <si>
    <t>הקבלן נערך לחזרה לעבודה לפיתוח שטח הארעית</t>
  </si>
  <si>
    <t>הקבלן חזר לעבודת פיתוח השטח</t>
  </si>
  <si>
    <t>הקבלן מתקדם בעבודות פיתוח השטח</t>
  </si>
  <si>
    <t>WBC-066</t>
  </si>
  <si>
    <t>בית הלוחם- הקמת תחמ"ש פנימית</t>
  </si>
  <si>
    <t>חושמל 18/06/2025</t>
  </si>
  <si>
    <t>התחנה מחושמלת
עקב דרישות אג"א נדרש להחליף דלת ממ"ד. הקבלן סיים יציקת קירות הגנה, משלים את הפיתוח והגינון.
התקיים פיקוח של העירייה לטובת תעודת גמר – התקבלו מס' הערות לתיקון – נדרש להגיש תוכנית שינויים לעירייה.
ממשיכים טיפול בטופס 4</t>
  </si>
  <si>
    <t>משלימים תנאים לקבלת תעודת גמר. ישנם מס' חסמים מול העירייה, עובדים על הסרתם</t>
  </si>
  <si>
    <t>התקבל אישור פיקוד העורף.
ישנם מס' חסמים מול העירייה  - פעולים להסרתם</t>
  </si>
  <si>
    <t>התקבל אישור פיקוד העורף.
ישנם מס' חסמים מול העירייה  - פעולים להסרתם
נקבעה פגישת זום עם העירייה ליום שני 9.3.26 (בכפוף למצב הביטחוני)</t>
  </si>
  <si>
    <t>התקבל אישור פיקוד העורף.
ישנם מס' חסמים מול העירייה  - פעולים להסרתם
 פגישת זום עם העירייה שתוכננה ל 9.3.26 (נדחתה ל 18.3.26 (בכפוף למצב הביטחוני)</t>
  </si>
  <si>
    <t>התקיימה פגישה עם מהנדס העיר ומנהל אגף התנועה ומסתמן כי החסמים הוסרו.
ממתינים להשלמת מדידה לצורך הכנת תוכנית שינויים</t>
  </si>
  <si>
    <t>קבלן אזרחי משלים את עבודתו בצורה איטית. ממתינים זמן רבל לקבלת המדידה ולשתילת העצים</t>
  </si>
  <si>
    <t>WBE-285</t>
  </si>
  <si>
    <t>איתן - הקמת שדה מס' 1 במסדר 161 ק"ו. יכולת זרם 2000 א'. משיק ל- WBM-40241.</t>
  </si>
  <si>
    <t>עיכוב בקבלת תכנון, נמצא פתרון לקבלת תכנון בחלקים על מנת לא לעכב את הקבלן בביצוע</t>
  </si>
  <si>
    <t xml:space="preserve">יצא חלק ראשון של התכנון לפיקוח לצורך תחילת עבודות. התכנון עובד על החלק השני של שדה </t>
  </si>
  <si>
    <t>הקבלן האזרחי עדיין לא החל את עבודתו בשדה 1 . מקדמים מולו את הנושא</t>
  </si>
  <si>
    <t>הקבלן עדיין לא החל את עבודתו בשדה 1 - ישנה סוגיה כספית מולו שמנסים לפתור אותה על מנת שיחזור לעבודה.</t>
  </si>
  <si>
    <t xml:space="preserve">הקבלן נערך לתחילת עבודותו על שדה 1 ותשתית הנחת כבלים לטובת הגנת פ"צ. </t>
  </si>
  <si>
    <t>הקבלן עדיין לא החל את עבודתו</t>
  </si>
  <si>
    <t>ממתינים להסדרת הדיווח לועדת המכרזים לצורך שהקבלן יחל את עבודתו</t>
  </si>
  <si>
    <t>WBE-087</t>
  </si>
  <si>
    <t>איתן-החל' שנאים ומסדרים-4 שלבים</t>
  </si>
  <si>
    <t>מסדר 24 ק"ו חושמל ב20/05.– מסדר מ"ג 522 הישן פורק 
שדרוג שדה 18 –עדיין לא החלו בדיקות הכנסה לניצול.
שדרוג שדה 22 הסתיים.
חושמל מסדר אפס של שנאי 522 , עבודות על יסוד שנאי 524 לקראת סיום ומסירה להרכבה חשמלית.
קבלן סיים את העבודות המאצרה ומסדרי אפס.
קושי בקבלת בודקים – צפי לעיכוב עבודות – נדרשת התערבות הנהלה (הוצג בנושאים קריטיים ב 1.12.25 (הנושא טרם הוסדר)
עבודות הקמת שורת הפורטלים העבודה תדחה לעונת ההפסקות הבאה</t>
  </si>
  <si>
    <t>יסוד שנאי נמסר להרכבה חשמלית. עובדים על פיתוח השטח מסביב על מנת לאפשר למנוף להתמקם ולהציב את השנאי. חוסר בחווטים במסדר מ"ג מעכב את התקדמות העבודה</t>
  </si>
  <si>
    <t>ממתינים לצמ"ן לקבלת תאריך להצבת השנאי על היסוד - צפי להצבה בשבוע הבא. עושים את כל המאמצים לחשמל את שנאי 524 עד סוף חודש מרץ 26.</t>
  </si>
  <si>
    <t>שנאי יוצב על היסוד בתאריך 4.2.26 ומקדמים את העבודות לחשמול השנאי והמסדר עד סוף חודש מרץ 26.
העבודות בשדה 11 בוטלו עקב העדפת קידום עבודות בצפית</t>
  </si>
  <si>
    <t>שנאי 524 הוצב על היסוד - יעד חשמול סוף מרץ 26'.
עקב ביטולים חוזים ונשנים של הפסקות נבנית בימים אלה תוכנית חדשה לאופן ניהול הפרויקט בתחמ"ש איתן שתוצג בקרוב למנהל האגף.</t>
  </si>
  <si>
    <t>שנאי 524 צריך להיות מחושמל בסוף חודש מרץ. בתאריך 24.2.26 עודכנתי כי הבודקים צריכים לצאת מאיתן לטובת פרויקט אחר - דבר שמעמיד בסכנה את חשמול השנאי בהתאם ליעד!
נדרשת התערבות הנהלה!</t>
  </si>
  <si>
    <t>עקב המצב הביטחוני העבודות נעצרו. הבודקים יצאו מהאתר לטובת פרויקטי חירום
לאור זאת חשמול השנאי 524 יידחה</t>
  </si>
  <si>
    <t>העבודות חודשו ובשל המחלמה וחג הפסח - חשמול שנאי 524 יידחה ככל הנראה לסוף חודש אפריל</t>
  </si>
  <si>
    <t xml:space="preserve">חוסר בבודקים
</t>
  </si>
  <si>
    <t>חסם לטיפול סמנכ"ל</t>
  </si>
  <si>
    <t>WBE-232</t>
  </si>
  <si>
    <t>קרית המודיעין-הת' 2 שנאים 161/24ק'50 מגוו"א כ"א וסוללות קבלים</t>
  </si>
  <si>
    <t>אלמארו זיאמר</t>
  </si>
  <si>
    <t xml:space="preserve">הרכבה חשמלית עתידים להיכנס לביצוע בשנת 2026, הסיור שנקבע עם מגזר הביצוע נדחה בגלל הגשמים, יקבע מועד חדש </t>
  </si>
  <si>
    <t xml:space="preserve">נקבע סיור עם הרכבות לתאריך 22.1.26 לצורך בחינת הקדמת כניסה לעבודות הרכבה </t>
  </si>
  <si>
    <t xml:space="preserve">בתאריך 22.1.26 בוצע סיור עם הרכבות חשמליות ויחידת התחמ"ש בכדי לבחון הקדמת כניסת הרכבה חשמלית, סוכם להכין לו"ז עקרוני להקדמת החשמול </t>
  </si>
  <si>
    <t>בהמשך לסיור מתאריך 22.1.26 הוכן גאנט ראשוני לקיצור לו"ז הפרויקט והועבר להתייחסות נציגי חח"י, ממתין להתייחסות</t>
  </si>
  <si>
    <t>בתאריך 5.2.26 בוצע סיור בתחמ"ש יחד עם נציג הרכבות חשמליות לצורך בחינת השטח והעברת דרישות כתנאי לכניסה של הרכבות חשמליות. הדרישות הועברו ליזם לצורך התארגנות</t>
  </si>
  <si>
    <t>בהמתנה לתשובות היזם לצורך התארגנות הרכבה חשמלית</t>
  </si>
  <si>
    <t xml:space="preserve">העבודות בשטח מתקדמות, במקביל מקדמים התאמות לכניסת הרכבות חשמליות. צפי לכניסת הרכבות חשמליות 15.3.26 </t>
  </si>
  <si>
    <t>העבודות בשטח מתקדמות, במקביל מקדמים התאמות לכניסת הרכבות חשמליות. צפי לכניסת הרכבות חשמליות 15.3.26 . יורם עדני עדכן שהרכבות חשמליות לא יכנסו לעבודות בקריית מודיעין לפני פסח</t>
  </si>
  <si>
    <t>העבודות בשטח מתקדמות, במקביל מקדמים התאמות לכניסת הרכבות חשמליות. בתאריך 17.3.26 מתוכנן סיור נוסף עם נציג הרכבה חשמלית לבחינת מוכנות השטח לכניסת הרכבות חשמליות.</t>
  </si>
  <si>
    <t xml:space="preserve">העבודות בשטח מתקדמות, במקביל מקדמים התאמות לכניסת הרכבות חשמליות. בתאריך 17.3.26 בוצע סיור עם נציג הרכבה חשמלית לבחינת מוכנות השטח לכניסת הרכבות חשמליות. הרכבות מבקשים לעשות סיור נוסף עם יורם </t>
  </si>
  <si>
    <t>תכנון, ביצוע ופיקוח ע"י היזם - מעורבות חח"י מוגבלת</t>
  </si>
  <si>
    <t>WBE-236</t>
  </si>
  <si>
    <t>נתיבות-הקמת שדה קו 161 ק"ו חדש מס' 9 יכולת 3000 א'</t>
  </si>
  <si>
    <t xml:space="preserve">הועבר בקשה לתכנון אזרחי האם הפורטלים עמידים לשדרוג הקו </t>
  </si>
  <si>
    <t xml:space="preserve">ממתינים להייחסות תכנון אזרחי לצורך קידום תכנון </t>
  </si>
  <si>
    <t>בתאריך 19.1.26 התקבלה התייחסות של תכנון אזרחי שהפורטלים בשדה 9 לא יעמדו בעומסים של השדרוג, נידרש לבחון את המשמעות של ההתייחסות לאשכול הפרויקטים בתחמ"ש</t>
  </si>
  <si>
    <t>1.2.26 נבחן אפשרות להוריד עומסים על הפורטלים,  הנ"ל בטיפולו של אלכסנדר קנוכט , במקביל בוחנים משמעויות של אשכול הפרויקטים אם ובמידה ולא ניתן לשדרג את פסי הצבירה</t>
  </si>
  <si>
    <t>בהסכמה של תכנון אזרחי ותכנון אלקטרומכני הוחלט שאם העומסים החדשים לאחר השדרוג לא עולים מהתכנון המקורי אז אין צורך בבדיקה נוספת. נדרש לקדם את הפרויקט</t>
  </si>
  <si>
    <t>בבדיקה לצורך סגירת תכולות</t>
  </si>
  <si>
    <t>בשלב תכנון ובדיקת לו"ז הפרויקט מול קשטן אלעזר</t>
  </si>
  <si>
    <t>בשלב תכנון ובדיקת לו"ז הפרויקט מול קשטן אלעזר. במקביל מתאמים פגישה מול נגה לבחינת אשכול הפרויקטים</t>
  </si>
  <si>
    <t>WBM-40525</t>
  </si>
  <si>
    <t>נתיבות - שדרוג שדה 3 ליכולת 2000A</t>
  </si>
  <si>
    <t>שוש</t>
  </si>
  <si>
    <t>בתאריך 7/12/25 תכנון אזרחי העביר התייחסות שהיסוד וחוזק הברגים עומדים בעומסים, אך ביקשו במקביל לבדוק את מיקום הברגים וקוטר הברגים. הוזמן מדידות לקוטר הברגים ומיקומם</t>
  </si>
  <si>
    <t>המדידות התקבלו והועברו לתכנון אלקטרומכני להמשך תכנון</t>
  </si>
  <si>
    <t xml:space="preserve">לאור התייחסות של תכנון אזרחי נידרש לקבל החלטה כיצד לקדם את הפרויקט </t>
  </si>
  <si>
    <t>בבחינה האם נכון להתקדם בשדרוג שדה 3 אם בסופו של דבר לא יהיה ניתן לשדרג את פסי הצבירה</t>
  </si>
  <si>
    <t>מתקדמים עם התכנון, בסוף חודש 2/26 מתוכנן הקפאת תצורה</t>
  </si>
  <si>
    <t>בסוף חודש 2/26 מתוכנן הקפאת תצורה</t>
  </si>
  <si>
    <t>בתחילת 3/26  מתוכנן הקפאת תצורה</t>
  </si>
  <si>
    <t>בתאריך 8/3/26 מתוכנן הקפאת תצורה</t>
  </si>
  <si>
    <t>בתאריך 8.3.26 בוצע הקפאת תצורה, מתקדמים בתכנון וממתינים להתייחסות תו"ב מגזר התכנון ללו"ז שהוצג</t>
  </si>
  <si>
    <t>WBM-70032</t>
  </si>
  <si>
    <t xml:space="preserve">נתיבות - פירוק סוללת קבלים והתקנת 4 סוללות מודולריות  חדשות </t>
  </si>
  <si>
    <t>בתאריך 23.11.25 בוצע סיור בתחמ"ש לבחינת תכולות העבודה. נדרש לבחון חלופות לביצוע הפרויקט</t>
  </si>
  <si>
    <t>לבחון חלופות ולהוסיף לאשכול הפרויקטים בנתיבות</t>
  </si>
  <si>
    <t>בשלבי תכנון של אלקטרומכני</t>
  </si>
  <si>
    <t>WBD-093</t>
  </si>
  <si>
    <t>ניר יצחק ניידת-הצבת 2 תחמ"ש ניידות</t>
  </si>
  <si>
    <t xml:space="preserve">ממתינים לתכנית ביסוס של המטה ההנדסי עבור עמודים של מ"ע לצורך המשך תכנון </t>
  </si>
  <si>
    <t xml:space="preserve">התקבל תכנית ביסוס והועבר לתכנון אלקטרומכני לסגירות האחרונות של התכנון וכן הזמנת תכנון אזרחי </t>
  </si>
  <si>
    <t>נווה כהן ביקש להקפיא את הפרויקט</t>
  </si>
  <si>
    <t>מתנהל דוח שיח בין חטיבת הרשת לאגף התכנון, נידרש להחליט אם מקפיאים את הפרויקט או מקדמים.</t>
  </si>
  <si>
    <t>עדיין בשלבי קבלת החלטה לגבי המשך הפרויקט</t>
  </si>
  <si>
    <t>אגף התכנון "הקפיא" את הפרויקט, נדרש מכתב הצדקה מחטיבת רשת לקידום הניידות, במקביל מקדמים את ההקמה של התחנה הקבוע</t>
  </si>
  <si>
    <t>בתהליך תיאום פגישת המשך עם מהנדס הוועדה בנושא בקשת חח"י להציב את הניידות בפטור  מהיתר. במקביל חטיבת רשת נידרשים להעביר מכתב הצדקה להצבת הניידות לאור העובדה שמקדמים גם את ההקמה של התחנה הקבוע</t>
  </si>
  <si>
    <t>בתאריך 10.3.26 מתוכנן הקפאת תצורה, מקדמים תכנון ובמאמצים לקבוע פגישת המשך מול מהנדס המחוז בנושא פטור מהיתר</t>
  </si>
  <si>
    <t>בתאריך 10.3.26 בוצע הקפאת תצורה, מקדמים תכנון ובמאמצים לקבוע פגישת המשך מול מהנדס המחוז בנושא פטור מהיתר, לאור הקושי בקביעת פגישה מול מהנדס הוועדה סוכם לנסח מכתב בקשה למהנדס</t>
  </si>
  <si>
    <t xml:space="preserve">בתאריך 10.3.26 בוצע הקפאת תצורה, מקדמים תכנון , לאור הקושי בקביעת פגישה מול מהנדס הוועדה נשלח מכתב בקשה למהנדס הוועדה להצבת הניידות בפטור </t>
  </si>
  <si>
    <t>אין היתר לתחנה, נידרש להחליט כיצד נכון להתקדם</t>
  </si>
  <si>
    <t>WBC-122</t>
  </si>
  <si>
    <t>ניר יצחק-הקמת תחמ"ש חיצונית ו- 2 שלבים</t>
  </si>
  <si>
    <t xml:space="preserve">בתאריך 7.1.26 בוצע פגישת RFT, מתקמים לעדכון הערות מגזר הפיקוח והעברת החומר למח' מכרזים </t>
  </si>
  <si>
    <t>בוצע פגישת RFT בשלבי הכנות מסמך RFT עם הערות וגיבוש נסח 5א' סופי</t>
  </si>
  <si>
    <t>בתאריך 29.1.25 התקיימה פגישה עם מהנדס המועצה לצורך קידום הפקעת דרך הגישה לתחמ"ש והסדרת חיבור מים לתחנה . במקביל מתקדם שלב העברת החומר למכרז</t>
  </si>
  <si>
    <t xml:space="preserve">בתאריך 3.2.26 חבילת המכרז הועברה למכרזים, מתקיימים שיחות בין הקיבוץ לחח"י בנושא דרך הגישה לתחמ"ש ולשטח השצ"פ. </t>
  </si>
  <si>
    <t>בסיום תהליך הכנת המכרז</t>
  </si>
  <si>
    <t>בתאריך 22.2.26 תנאי ההתקשרות של ניר יצחק אושרו בוועדה , צפי לסיור קבלנים במהלך חודש 3/26 .</t>
  </si>
  <si>
    <t>הופק אגרות  לתשלום עבור ההיתר, צפי לסיור קבלנים בתוכנן למהלך חודש 3/26</t>
  </si>
  <si>
    <t>אגר ההיתר שולמה בתאריך 8.3.26. ממתינים לסיור קבלנים ובמקביל מקדמים תיאום תכנון מול מקורות</t>
  </si>
  <si>
    <t>בתאריך 15.03.26 התקבל היתר לתחנה, במקביל מקדמים הליך מכרז, צפי לסיור קבלנים בשבוע של 22/3 וצפי לבחירת קבלן זוכה עד לסוף 4/26</t>
  </si>
  <si>
    <t>WBC-083</t>
  </si>
  <si>
    <t>בית הגדי- הקמת תחמ"ש חיצונית 161/24 ק"ו</t>
  </si>
  <si>
    <t xml:space="preserve">לו"ז סיום תכנון למכרז נדחה עקב שינוים בתכנון אלקטרומכני, במקביל מקדמים קבלת היתר </t>
  </si>
  <si>
    <t>בשלבים מתקדמים של תכנון למכרז</t>
  </si>
  <si>
    <t xml:space="preserve">בשלבים מתקדמים של תכנון למכרז, צפי לקבלת כתב כמויות וחבילת תכנון במהלך חודש 3/2026 </t>
  </si>
  <si>
    <t>בשלבים מתקדמים של תכנון למכרז, קיים עיכוב בלו"ז עקב המלחמה. צפי לקבלת כתב כמויות וחבילת תכנון בסוף חודש 3/26</t>
  </si>
  <si>
    <t>WBE-177</t>
  </si>
  <si>
    <t>אורים -חח"י-הוספת 2 שנאים 50 מגוו"א</t>
  </si>
  <si>
    <t xml:space="preserve">הקבלן עלה לקרקע, במקביל מתקדם תיאום תכנון, מתקיימות פגישות מו"מ לגיבוש הסכם מול היזם קיימות מס' סוגיות שעדיין במחלוקת </t>
  </si>
  <si>
    <t>היזם "מאיים" לעצור את העבודות של חח"י אם לא נגיע להסכם חתום ואישור אבני דרך לתשלום בטרם נחתם חוזה</t>
  </si>
  <si>
    <t>WBE-237</t>
  </si>
  <si>
    <t>אופקים-הקמת שדה קו 161 ק"ו (מס' 1)</t>
  </si>
  <si>
    <t>עדיין לא בוצע התנעת פרויקט, מזגר התכנון לא רואה סיבה להניע בשלב זה את הפרויקט</t>
  </si>
  <si>
    <t>עדיין לא בוצע התנעת פרויקט, מגזר התכנון לא רואה סיבה להניע בשלב זה את הפרויקט</t>
  </si>
  <si>
    <t>אין מזכרים/נתונים לגבי הפרויקט</t>
  </si>
  <si>
    <t>ממתינים לקבלת מזכרים/נתונים לגבי הפרויקטים בתחמ"ש</t>
  </si>
  <si>
    <t>WBE-210</t>
  </si>
  <si>
    <t>אופקים-הוספת שנאי רביעי ( 524) 50 מגוו"א</t>
  </si>
  <si>
    <t xml:space="preserve">לפרויקט יש STAGE הנדרש ל2027 יש להתחיל להניע את הפרויקט </t>
  </si>
  <si>
    <t>WBE-018</t>
  </si>
  <si>
    <t>ת"א צפון-החלפת 2 שנאים 50  ל- 75 מגוו"א</t>
  </si>
  <si>
    <t>שנאי 1 - 31/06/27
שנאי 2 - 31/08/27</t>
  </si>
  <si>
    <t>השנאים 75 מגוו"א הוסטו לפרויקט בת ים.  כניסה לתחילת הרכבות נדחתה לאביב 2027</t>
  </si>
  <si>
    <t>השנאים 75 מגוו"א הוסטו לפרויקט בת ים.  כניסה לתחילת הרכבות נדחתה לאביב 2027
עדכון חדש: מתבצעת בדיקה מול הרכבה חשמלית מול משמעויות ביצוע פרויקט שו"ש החלפת מסדרי מ"ג יחד עם החלפת השנאים</t>
  </si>
  <si>
    <t>השנאים 75 מגוו"א הוסטו לפרויקט בת ים.  כניסה לתחילת הרכבות נדחתה לאביב 2027
עדכון : מתבצעת בדיקה מול הרכבה חשמלית מול משמעויות ביצוע פרויקט שו"ש החלפת מסדרי מ"ג יחד עם החלפת השנאים</t>
  </si>
  <si>
    <t>WBD-119</t>
  </si>
  <si>
    <t>שערי עכו- הצבת 2 תחמ"ש ניידות, 30 מגוו"ט כ"א</t>
  </si>
  <si>
    <t xml:space="preserve">ממתין להחלטת מנהל אגף הרשת לנחיצות, מותנה בהוצאת הקווים מתחמ"ש יאסיף. </t>
  </si>
  <si>
    <t>בשבוע הראשון של פברואר מתוכנן דיון אצל מנהל אגף הרשת לקבלת החלטה</t>
  </si>
  <si>
    <t>פגישה מתוכננת ליום ה'  השבוע  אצל מנהל אגף הרשת לקבלת החלטה</t>
  </si>
  <si>
    <t>התקיימה פגישה אצל עופר מסרי, סוכם כי ינסו לחבר את הקווים מיאסיף ובמקביל הניידות לשערי עכו נדרשות לאפריל 2027 באחריות רחלי ונתי דביר לקדם אישור צו שר למיקום המקורי</t>
  </si>
  <si>
    <t>אין שינוי מחכים לפגישה עם ארז סרי - באחריות נתי דביר</t>
  </si>
  <si>
    <t>קיים סיכון באי קבלת אישור צו שר לאור דחייה קודמת</t>
  </si>
  <si>
    <t>WBE-282</t>
  </si>
  <si>
    <t>שירת הדבורה-חח"י – התקנת שנאי שלישי 161/24 ק"ו, 50 מגוו"א מס' 523</t>
  </si>
  <si>
    <t>השלמת הרכבה עבור הציוד החסר - מסדר 0 + מנתק פ"צ (שלא סופק ע"י היזם)</t>
  </si>
  <si>
    <t>השבוע החלה משיכת הציוד והתחלת התקנה</t>
  </si>
  <si>
    <t xml:space="preserve">שבוע שעבר החלה משיכת הציוד והתחלת התקנה  </t>
  </si>
  <si>
    <t xml:space="preserve">ב 15/02 צוות של הרכבה חשמלית חזר להשלמת התקנות באתר . קבלן מטעם היזם הגיע השבוע להשלמת אפוקסי באולם מסדרים. </t>
  </si>
  <si>
    <t xml:space="preserve">הושלם אפוקסי ע"י הקבלן, היה אירוע של נזילת מים מאולם המסדרים, מחכים לייבוש האולם לראות איך והאם השפיע על האפוקסי. נדרש תחקיר אירוע יחד עם היזם.
</t>
  </si>
  <si>
    <t>צוות של הרכבה חשמלית יכנס לעבודה ביום רביעי הקרוב.</t>
  </si>
  <si>
    <t>הרכבה חשמלית ממשיכה בהתקנה</t>
  </si>
  <si>
    <t xml:space="preserve">השלמת הציוד המתינה לתיקון יסוד שדה 3 שהושלם השבוע, לאחריו יתקינו את הציודים החסרים,  הרכבה חשמלית עובדים בצוות מצומצם בגלל סדרי עדיפויות. מסירה לבדיקות תידחה לאפריל  וצפי חישמול יוני 2026.  </t>
  </si>
  <si>
    <t>ב 23/3 בוצעה מסירה חלקית של ה.חשמלית לבדיקות של השנאי וארון פיקוד שדה. ביום ה' 26/3 צפויה מסירה של שדה שנאי . עבור מסירה סופית נדרש קבלן כבלים, השלמה של חיווט (נדרש בודק מלווה מהתחמ"ש) והשלמת ארון, בגלל סדרי עדיפויות צפי סיום למסירה - סוף אפריל ולכן חישמול ידחה ל 30/06/26</t>
  </si>
  <si>
    <t>בשל העיכוב המתמשך מצד היזם וגם לאור המצב הבטחוני החדש - סיום הפרויקט בסיכון - צפי ל 30/06/26</t>
  </si>
  <si>
    <t>WBE-167</t>
  </si>
  <si>
    <t>שירת דבורה - תחמ"ש -הוספת 2 שנאי חח"י 50 מו"א</t>
  </si>
  <si>
    <t xml:space="preserve">חושמל 04/12/2025 </t>
  </si>
  <si>
    <t>שני השנאים חושמלו ממתינים לקבלת טופס 4 מהיזם וסגירת חוזה (ישנם נושאים פתוחים ברמה המשפטית לגבי שינויים ותשלום)</t>
  </si>
  <si>
    <t>עפ"יי הנחיות קונסטרוקטור, היזם נדרש לתקן יסודות של המפסק. ממתינים להגעת קבלן של היזם</t>
  </si>
  <si>
    <t>קבלן היזם הגיע ב 15/3 לביצוע עיבוי למפסק, יום ד' יגיע לפרק את תמיכות העץ, ולאחריו ממתינים לקבל אישור קונסטרוקטור</t>
  </si>
  <si>
    <t>התקבל אישור קונסטרוקטור. הרכבות מתקינים את הציוד. נותר לסגור נושאים פיננסים מול אמל - באחריו רחלי וקבלת טופס 4 וסיום חוזה.</t>
  </si>
  <si>
    <t>WBE-229</t>
  </si>
  <si>
    <t>קצרין- רב שלבי-החלפת 3 ניידות 20 מגוו"א ל2 שנאים 50 מגוו"א</t>
  </si>
  <si>
    <t>בוצע  ב 11/3 חושמלו הקווים ונותקו מהניידת</t>
  </si>
  <si>
    <t xml:space="preserve">הסתיים </t>
  </si>
  <si>
    <t>הושלמו הוצאת קיי מ"ג מהשנאי החדש, נותר לתאם הוצאת ניידת שלישית (לא נתיב קריטי)</t>
  </si>
  <si>
    <t>התברר כי טרם הסתיימה עבודת המחוז לניתוק הקוים מהניידת והעברתם לשנאי החדש ,תואמה השלמה לשבוע הבא</t>
  </si>
  <si>
    <t>התברר כי טרם הסתיימה עבודת המחוז לניתוק הקוים מהניידת והעברתם לשנאי החדש ,תואמה השלמה לשבוע הבא - בטיפול</t>
  </si>
  <si>
    <t>המחוז השלים את חפירת התוואי והטמנת הקווים החדשים, עכשיו שלב בדיקות ע"י יח' התחמ"ש, לאחריו תנותק הניידת. צפי סיום 28/02/2026</t>
  </si>
  <si>
    <t>הסתיימה הכנת הקווים ממתינים לבדיקת מעבדה לאישור לפני חישמול</t>
  </si>
  <si>
    <t>ב 22/02 תואמו בדיקות מעבדה לכבלים ו ב 01/03 מתוכנן חישמול וניתוק הניידת. לאחר מכן נתאם הוצאתה מהאתר.</t>
  </si>
  <si>
    <t>אין שינוי בשל המצב הבטחוני יתכן עיכוב</t>
  </si>
  <si>
    <t>היום מחושמלים הקווים האחרונים מהניידת. תיאום הוצאת הניידת באחריות רחלי מול דודו ששון</t>
  </si>
  <si>
    <t xml:space="preserve">הועברה בקשה לדודו ששון  לקידום הוצאת הניידת. מועד העברת הניידת לזבולון יקבע ע"י דודו ויח' התחמ"ש  (מותנה בסדרי עדיפויות ומצב בטחוני) </t>
  </si>
  <si>
    <t>ללא שינוי משבוע קודם. בניגוד לדיווח של יח' התחמ"ש (בלן דביר פרויקטור) הסתבר כי הניידת עדיו מחוברת לפס הצבירה וישנם עדין כבלים שפזורים באתר שנדרש פנות, נדרש להוציא גז.. באחריות רחלי לקיים פגישה ייעודים לסגירת הקצוות.</t>
  </si>
  <si>
    <t>WBE-100</t>
  </si>
  <si>
    <t>נייר חדרה - שידרוג התחמ"ש</t>
  </si>
  <si>
    <t>ממתינים לקבלת תב"ע על מנת להתחיל תכנון להיתר</t>
  </si>
  <si>
    <t xml:space="preserve">עדכון שהתקבל מתכנון אזרחי: לאחר שעברנו הפקדה ותמה תקופת ההתנגדויות ללא אף התנגדות שהוגשה, המחוז קבע כי התכנית נדרשת לאישור שר. </t>
  </si>
  <si>
    <t>התקבלה הודעה שהתוכנית צפויה לקבל אישור ואגרה תוך חודשיים. המשמעות היא שניתן לפתוח תיק להיתר רק לאחר קבלת התב"ע המעודכנת ולכן צריך לדחות את סיום הפרויקט בהתאם.</t>
  </si>
  <si>
    <t>WBE-249</t>
  </si>
  <si>
    <t>יאסיף-התקנת שני שנאים בהספק 50 מגו"א כ"א</t>
  </si>
  <si>
    <t xml:space="preserve">צוות של הרכבה חשמלית יחזור לתחנה עם השלמת הציוד החסר: מסדר 0 ותמיכות לשנאים. נדרש לתאם מילוי שמן </t>
  </si>
  <si>
    <t>מילוי שמן נקבע ל 15/2/26</t>
  </si>
  <si>
    <t>מילוי השמן נדחה לתחילת מרץ בשל תעדוף מעודכן של האגף. במקביל משלימים בדיקת בושינגים ע"י המעבדה.</t>
  </si>
  <si>
    <t>הושלמה בדיקת הבושינגים. הרכבות יחזרו להתקנה עם מילוי השמן במרץ.</t>
  </si>
  <si>
    <t>ב 1/3 מתוכנן סיום מסירה עם היזם לטובת סגירת החוזה</t>
  </si>
  <si>
    <t>המסירה לא התבצעה בגלל המצב הבטחוני. יקבע מועד חדש. היום נכנס צוות להשלים הכנות בשנאי לקראת סחרור שמן.</t>
  </si>
  <si>
    <t>סחרור שמן יחל ב 11/03 עבור 2 השנאים.</t>
  </si>
  <si>
    <t xml:space="preserve">השבוע החלו סחרור שמן למשך כשבועיים </t>
  </si>
  <si>
    <t xml:space="preserve">השבוע מסתיים מילוי השמן ב 2 השנאים. חזרה של הרכבות לאתר תלויה בסדרי עדיפויות. </t>
  </si>
  <si>
    <t xml:space="preserve"> לא נעמוד ביעד הפנימי שהוגדר ע"י החטיבה. צפי סיום 31/8/26
</t>
  </si>
  <si>
    <t>WBC-119</t>
  </si>
  <si>
    <t>בראון (עמק הבכא)-הרחבת תחמ"ש פרטי(לחח"י)</t>
  </si>
  <si>
    <t>שנאי 1 חושמל 13/05 , שנאי 2+3 עתיד להתחשמל -06/2026</t>
  </si>
  <si>
    <t xml:space="preserve">בדיקות </t>
  </si>
  <si>
    <t>צוות הבדיקות נכנס השבוע לבדיקות הכנסה לניצול עבור 2 השנאים הנותרים (הוצאו מהתחנה לטובת פרויקטים אחרים) צפי סיום פבר'-מרץ 2026</t>
  </si>
  <si>
    <t>צוות הבדיקות נכנס  לבדיקות הכנסה לניצול עבור 2 השנאים הנותרים (הוצאו מהתחנה לטובת פרויקטים אחרים) צפי סיום פבר'-מרץ 2026 - בטיפול</t>
  </si>
  <si>
    <t>צוות הבדיקות נכנס לבדיקות הכנסה לניצול עבור 2 השנאים הנותרים (הוצאו מהתחנה לטובת פרויקטים אחרים) צפי סיום פבר'-מרץ 2026 - בטיפול</t>
  </si>
  <si>
    <t>צוות הבדיקות נכנס לבדיקות הכנסה לניצול עבור 2 השנאים הנותרים (הוצאו מהתחנה לטובת פרויקטים אחרים) צפי סיום מרץ 2026 - בטיפול</t>
  </si>
  <si>
    <t>הצוות יצא לטיפול בניידת חירום בזבולון.  גם עקב המצב הבטחוני בצפון,  כרגע אין צפי חזרה</t>
  </si>
  <si>
    <t xml:space="preserve">לא נעמוד ביעד תוכנית הפיתוח. צפי סיום 06/26 </t>
  </si>
  <si>
    <t>WBE-192</t>
  </si>
  <si>
    <t>בראון- התקנת שנאי רביעי 161/36 ק"ו, 50 מגוו"א</t>
  </si>
  <si>
    <t>בבדיקת נחיצות של נגה, החלטה תתקבל בסוף ינואר 2026. בינתיים, מקדמים בקשה בקשה לפטור מהיתר</t>
  </si>
  <si>
    <t>בבדיקת נחיצות של נגה, החלטה תתקבל בסוף ינואר 2026. בינתיים, מקדמים בקשה בקשה לפטור מהיתר- בטיפול</t>
  </si>
  <si>
    <t xml:space="preserve">טרם התקבלה נחיצות מנגה </t>
  </si>
  <si>
    <t>WBE-191</t>
  </si>
  <si>
    <t>בר לב - התקנת שנאי שלישי 161/24 ק"ו , 50 מגוו"א</t>
  </si>
  <si>
    <t>התקיים דיון אצל מונה לבחינת קיצור לו"ז השלמת תכנון למכרז.  נקבע השלמת תכנון עקרוני למכרז לשבוע הראשון של פברואר. באחריות רחלי לתאם DR להערות סוף ינואר</t>
  </si>
  <si>
    <t>התקיים דיון אצל מונה לבחינת קיצור לו"ז השלמת תכנון למכרז.  נקבע השלמת תכנון עקרוני למכרז לשבוע הראשון של פברואר. באחריות רחלי לתאם DR להערות סוף ינואר- בטיפול</t>
  </si>
  <si>
    <t>נקבע DR ל 04/02 לבחינת סטטוס התקדמות השלמת החומר עד ליעד שנקבע 15/02/26</t>
  </si>
  <si>
    <t>התקיים סטטוס לקראת  DR  צפי קבלת כתב כמויות 15/02/26 הוצג למנהל האגף לו"ז מעודכן לסיום הפרויקט ב 12/26</t>
  </si>
  <si>
    <t>ב 15/02 התקבלה דרישת הרכש  מקדמים בדיקה קצרה ומתאמים מול פיקוח אזרחי בדיקת החומר והשלמת RFT</t>
  </si>
  <si>
    <t>ב 23/2 התקיים DR , עד 26/02 יועברו הערות אחרונות, תחילת שבוע יושלם נספח 5 ו RFT לטובת יציאה מהירה למכרז</t>
  </si>
  <si>
    <t xml:space="preserve">הוגשו הטפסים לפטור מהיתר. 
לאור המצב הבטחוני נספח 5 יושלם עד סוף השבוע </t>
  </si>
  <si>
    <t>נספח 5 יושלם עד 10/03</t>
  </si>
  <si>
    <t>הושלם נספח 5 לאחר חתימה של גלי ואריאל יועבר לביצוע מכרז</t>
  </si>
  <si>
    <t>נחתם נספח 5 נדרש לקדם את המכרז. לפי מח' רכש סיום מכרז  15/06/26</t>
  </si>
  <si>
    <t>WBE-223</t>
  </si>
  <si>
    <t>בית שאן-התקנת שנאי חמישי 161/24 ק"ו 50 מ</t>
  </si>
  <si>
    <t>בשלב עבודה אזרחית - שלב יציקת אולם מסדרים מתקדמים עם קיר תומך בצד התחנה התפעולית והשלמת יסודות מסדר 161 ק"ו לאחר שחרור ה HOLD . אושר שטח ההתארגנות והועבר לחח"י הסכם שכירות. התקבל מהעיריה אישור לפתיחת שער חירום עבור התחנה התפעולית במקום הסדרת דרך נוספת, אישור זה משחרר לקבלן לקדם ביצוע של יסודות השנאים על הדרך הראשית (יתואם סיור לקבלת אישור לשער מיח' התחמ"ש)</t>
  </si>
  <si>
    <t>התקבל אישור התחמ"ש לשער חירום ,ניתנה לקבלן האפשרות לקדם את העבודות ליסודות השנאים</t>
  </si>
  <si>
    <t>המשך עבודות אזרחיות. טיפול במועדי מסירה  מעודכנים. נקבעה פגישה עם הקבלן למחר בבוקר עם הפיקוח להטמעת הלו"ז בגאנט הפרויקט</t>
  </si>
  <si>
    <t>התקבלו תאריכים מעודכנים ע:י הקבלן האזרחי בשלבי הטמעה במערכת חח"י</t>
  </si>
  <si>
    <t>1. ביום חמישי בשלב עבודות גישוש ליסוד מיכל המים התגלו מים והעבודות נעצרו. היום הגיע נציג של תאגיד המים ונציג מקורות לעזור לאתר את מקור המים ונמצא שהמים לא מגיעים מקו מקורות ולא  מקו של התאגיד, הקבלן ממשיך בחפירות הגישוש.
2. בקיר הצפון מערבי, הקבלן השלים יציקה ומחר ישלים מילוי וחיפוי של קו מ"ג שנחשף.
3. עבודות הקבלן על הכלונסאות לקיר התמך המזרחי ממתינים לניתוק הקו שזוהה ע"י ארז בוהדנה. החיתוך יתבצע ביום חמישי 12/02/26. התעכבנו עם זיהוי הקו והחיתוך שלו קרוב ל 3 חודשים בהמתנה לגורם חח"י שיבוא לזהות (משפיע על לו"ז עבודות הקבלן ועלויות נוספות על ימי המתנה ביוזמת חח"י)
בתחמ"ש בית שאן מתגלים בלתמ"ים רבים בעקבות תשתיות שנמצאות בשטח התחנה. לכל האירועים ישנה השפעה משמעותית על יכולת התקדמות הקבלן ליעדים שנקבעו במקור</t>
  </si>
  <si>
    <t xml:space="preserve">1. הושלמו חפירות הגישוש ממתינים להנחיות תכנון אזרחי לגבי ביצוע היסוד.
2. הושלמה יציקת החומה והמילוי, וחודש הקו.
3. הסתיים ניתוק הקו והושלמו הכלונסאות.
</t>
  </si>
  <si>
    <t>1. התקבלו הנחיות מתכון מאזרחי לשינויים הנדרשים עבור יסוד המיכל והמשאבה. 
צפי מסירה ראשונה להרכבה חשמלית לאחר פסח.
ממשיכים בעבודות עפ"י התוכנית.</t>
  </si>
  <si>
    <t>9/3 התקיימה מנהלת ממשיכים לפי לו"ז</t>
  </si>
  <si>
    <t>23/03 התקיים סיור משותף יחד עם מח' בנין ונציגי ה. חשמלית לטובת היכיות ותיאומים לקראת מסירה ראשונה אחרי החגים.</t>
  </si>
  <si>
    <t>WBE-162</t>
  </si>
  <si>
    <t>בית שאן- הקמת מסדר 161, בניין מסדרים מ"ג והחלפת שנאים 521,522,531</t>
  </si>
  <si>
    <t>WBE-286</t>
  </si>
  <si>
    <t>אלעד-התקנת שנאי שלישי 50 מגוו"א 161/24 ק"ו מס' 523</t>
  </si>
  <si>
    <t>הפרויקט אושר עקרונית מול נגה, ממתינים למעבר לאופרטיבי. צפי התנעת פרויקט Q1 2027.</t>
  </si>
  <si>
    <t>הפרויקט אושר עקרונית מול נגה, ממתינים למעבר לאופרטיבי. צפי התנעת פרויקט Q1 2027. - בטיפול</t>
  </si>
  <si>
    <t xml:space="preserve">23.2 התקיימה ישיבה לבקשת המחוז, לטובת הוספת קווים. נתבקשנו לבחון אפשרות של הקדמת הוספת המסדר 24 ק"ו  עוד לפני השנאי. </t>
  </si>
  <si>
    <t>WBC-068</t>
  </si>
  <si>
    <t>אלעד- הקמת תחמ"ש חיצונית, 161/24 ק"ו</t>
  </si>
  <si>
    <t>חושמל 30/09/2025</t>
  </si>
  <si>
    <t>הוגשו כל הטפסים ממתינים לקבלת תשלום אגרה וטופס 4 - בטיפול שרונה</t>
  </si>
  <si>
    <t>העירייה אישרה טופס 4 ,אך הודיעה כי תעביר אותו רק לאחר פינוי הניידת והשלמת ניקוי השטח ( צפי 29/1 )</t>
  </si>
  <si>
    <t>ב 29/1 הניידת יוצאת. בראשון יקודם ניקיון השטח.</t>
  </si>
  <si>
    <t>ביישורת האחרונה לקבלת טופס 4.
טיפול בהערות אחרונות של נציג העירייה.
עדכון ניידת: הניידת (אלעד 2) יצאה ב 29/1 מהאתר. השבוע טיפול בהחזרת השטח לקדמותו. 
קביעת סיור למסירה סופית של הקבלן הראשי באחריות סאמר.</t>
  </si>
  <si>
    <t>טופס 4 - ללא שינוי 
השבוע מקדמים את החזרת השטח לקדמותו , העירייה התנתה את קבלת טופס 4 בפינוי שטח הניידת</t>
  </si>
  <si>
    <t>טופס 4  - קיבלנו אישור העירייה על פינוי שטח הניידת. יישורת אחרונה ממתינים לקבלת אגרה.</t>
  </si>
  <si>
    <t xml:space="preserve">בפגישה שהתקיימה עם עיריית אלעד, העירייה בקשה להעביר לה חישוב שטחים תפוסים בשביל הפקת אגרה - הועברה בקשה לתכנון אזרחי </t>
  </si>
  <si>
    <t>הועבר חישוב השטחים לפי בקשת העירייה. ממתינים לקבלת אגרה לתשלום.</t>
  </si>
  <si>
    <t>הועבר חישוב השטחים לפי בקשת העירייה. ממתינים לקבלת אגרה לתשלום.17/3 סיור עם מפקח העירייה לאחריו אגרה</t>
  </si>
  <si>
    <t>ב 17/03 התקיים סיור עם פיקוח העירייה. ממתינים לקבלת טופס 4 חתום.</t>
  </si>
  <si>
    <t>WBM-40194</t>
  </si>
  <si>
    <t>תל אביב דרום - החלפת שנאי 512 ל-56 מגו"א</t>
  </si>
  <si>
    <t>אשקבנד, נסים</t>
  </si>
  <si>
    <t>רביפור פריד</t>
  </si>
  <si>
    <r>
      <rPr>
        <rFont val="Arial"/>
        <color theme="1"/>
        <sz val="12.0"/>
      </rPr>
      <t xml:space="preserve">קיימת אפשרות לביטול הפרויקט - באחריות גיל חזום , </t>
    </r>
    <r>
      <rPr>
        <rFont val="Arial"/>
        <b/>
        <color rgb="FFFF0000"/>
        <sz val="12.0"/>
      </rPr>
      <t xml:space="preserve">רשמתי זאת בתאריך 12.01.26 ואני מצפה לקבל תשובות לא ייתכן שאני רושם הערות ואין תשובות </t>
    </r>
  </si>
  <si>
    <t xml:space="preserve">קיימת אפשרות לביטול הפרויקט - באחריות גיל חזום , הועברה בקשה לPMO למתן מענה לגבי נחיצות </t>
  </si>
  <si>
    <t>קיימת אפשרות לביטול הפרויקט - באחריות גיל חזום , הועברה בקשה לPMO למתן מענה לגבי נחיצות , אני רושם זאת יותר מחודש ואין תגובה</t>
  </si>
  <si>
    <t>קיימת אפשרות לביטול הפרויקט - באחריות גיל חזום , הועברה בקשה  למתן מענה לגבי נחיצות , רושם זאת יותר מחודש ואין תגובה</t>
  </si>
  <si>
    <t xml:space="preserve">פרויקט החלפת שנאי תקוע זמן רב ולא קודם מצד התכנון,שנה אני פונה לכל הגורמים  במערכת בכדי שאקבל נתונים בנושא זה , אני דרשתי לקבל את התכנון בתאריך 03.27 , נאמר שפרויקט זה לא נמצא ברשימת  התכנון לשנת 2026 ,השבוע פניתי שוב ואני ממתין למענה </t>
  </si>
  <si>
    <t xml:space="preserve">מכיוון שאני לא קיבלתי הקפאת תכולה , או מסמך כלשהוא בנדון  ומכיוון שפרויקט זה לא נמצא בסדר עדיפות של תכנון , הפרויקט לא יסתיים בתאריך 03.2027 ונדרש לדחותו </t>
  </si>
  <si>
    <t>WBM-40276</t>
  </si>
  <si>
    <t>באר שבע - שדרוג שדות 5, 13, שדרוג מקשר 7-8 והחלפת פ"צ</t>
  </si>
  <si>
    <t>ממתין לקבלת הפסקות להחלפת פסי צבירה</t>
  </si>
  <si>
    <t>ממתין לקבלת הפסקות:  להחלפת פס צבירה 2 זה יקרה רק בתום חשמול 2 השנאים ברמת חובב כולל מסדרי מ"ג - צפי 04.2026 , לכן החלפת פ"צ 2 תהיב בסתין 2026 , החלפת פ"צ מס' 1 עדיין אין לכך תכנון וצפי ככל הנראה אביב 2027</t>
  </si>
  <si>
    <t>ממתין לקבלת הפסקות:  להחלפת פס צבירה 2 זה יקרה רק בתום חשמול 2 השנאים ברמת חובב כולל מסדרי מ"ג - צפי 04.2026 , לכן החלפת פ"צ 2 תהיב בסתין 2026 , החלפת פ"צ מס' 1 עדיין אין לכך תכנון וצפי ככל הנראה אביב 2027 , החלפת מנתק פ"צ 2 נקבעה להפסקות אביב 2026</t>
  </si>
  <si>
    <t>ממתין לקבלת הפסקות:  להחלפת פס צבירה 2 זה יקרה רק בתום חשמול 2 השנאים ברמת חובב כולל מסדרי מ"ג - צפי 06.2026 , לכן החלפת פ"צ 2 תהיב בסתין 2026 , החלפת פ"צ מס' 1 עדיין אין לכך תכנון וצפי ככל הנראה אביב 2027 , החלפת מנתק פ"צ 2 נקבעה להפסקות אביב 2026</t>
  </si>
  <si>
    <t xml:space="preserve">ממתין לקבלת הפסקות:  להחלפת פס צבירה 2 זה יקרה רק בתום חשמול 2 השנאים ברמת חובב כולל מסדרי מ"ג - צפי 06.2026 , לכן החלפת פ"צ 2 תהיב בסתין 2026 , החלפת פ"צ מס' 1 עדיין אין לכך תכנון וצפי ככל הנראה אביב 2027 , החלפת מנתק פ"צ 2 נקבעה להפסקות אביב 2026  נדחה בעקבות המצב הבטחוני </t>
  </si>
  <si>
    <t>WBM-40221</t>
  </si>
  <si>
    <t>כורנוב- תוספת שדה מספר 1 ושדרוג שדה 7.</t>
  </si>
  <si>
    <t>12.2027      12.2028</t>
  </si>
  <si>
    <r>
      <rPr>
        <rFont val="Arial"/>
        <color theme="1"/>
        <sz val="12.0"/>
      </rPr>
      <t xml:space="preserve"> 
</t>
    </r>
    <r>
      <rPr>
        <rFont val="Arial"/>
        <color theme="1"/>
        <sz val="12.0"/>
      </rPr>
      <t>הפרויקט הוא: תוספת שדה מספר 1 ושדרוג שדה 7.</t>
    </r>
    <r>
      <rPr>
        <rFont val="Arial"/>
        <color theme="1"/>
        <sz val="12.0"/>
      </rPr>
      <t xml:space="preserve">
מבדיקת נציג פרויקטי הולכה, סול נתנאל וגיל חזום, ככל הנראה הפרויקט נדרש לתאריך 06/2028. </t>
    </r>
    <r>
      <rPr>
        <rFont val="Arial"/>
        <b/>
        <color rgb="FFFF0000"/>
        <sz val="12.0"/>
      </rPr>
      <t>ממתינים לאישור סופי.( שוב פעם עד מתי אני אמתיו)</t>
    </r>
    <r>
      <rPr>
        <rFont val="Arial"/>
        <color theme="1"/>
        <sz val="12.0"/>
      </rPr>
      <t xml:space="preserve">
מנה"פ בקש מתכנון אלק"מ להתחיל בתכנון ולהוציא הזמנה לתכנון אזרחי לבניית  שדה מס'1 ובניית יסודות לשדה 7 כעת (אין צורך בהפסקות).
מנהל התכנון, מק נאור לא מוכן לבצע זאת כעת עקב עבודות רבות המחלקתו.
</t>
    </r>
  </si>
  <si>
    <t xml:space="preserve"> 
הפרויקט הוא: תוספת שדה מספר 1 ושדרוג שדה 7.
בתאריך 21.01.2026 התקבל מזכר מנגה בו מצויין כי תוספת שדה מס' 1 עד 12.2027 וכי שדרוג שדה 7 עד 12.2028 ביצעתי לו"ז וקבעתי דיון לצורך הקפאת תכולה לתאריך 09.02.2026
</t>
  </si>
  <si>
    <t>פרויקט הוא: תוספת שדה מספר 1 ושדרוג שדה 7.
 תוספת שדה מס' 1 עד 12.2027 וכי שדרוג שדה 7 עד 12.2028 קבעתי  דיון לצורך הקפאת תכולה לתאריך 09.02.2026</t>
  </si>
  <si>
    <t xml:space="preserve">
 תוספת שדה מס' 1 עד 12.2027 וכי שדרוג שדה 7 עד 12.2028 בוצע דיון הקפאת תכולה בתאריך 09.02.2026 קבעתי לו"ז לקבלת תכנון,  דרשתי אישור משירן לופוביץ לאשר את הלו"ז עם התכנון </t>
  </si>
  <si>
    <t xml:space="preserve">
 תוספת שדה מס' 1 עד 12.2027 ושדרוג שדה 7 עד 12.2028 בוצע דיון הקפאת תכולה בתאריך 09.02.2026 קבעתי לו"ז לקבלת תכנון,  דרשתי אישור משירן לופוביץ לאשר את הלו"ז עם התכנון   לדברי שירן עד 15.03.26 יינתן תשובה  </t>
  </si>
  <si>
    <t xml:space="preserve"> תוספת שדה מס' 1 עד 12.2027 ושדרוג שדה 7 עד 12.2028 בוצע דיון הקפאת תכולה בתאריך 09.02.2026 קבעתי לו"ז לקבלת תכנון,  דרשתי אישור משירן לופוביץ לאשר את הלו"ז עם התכנון   לדברי שירן עד 15.03.26 יינתן תשובה  </t>
  </si>
  <si>
    <t xml:space="preserve">תוספת שדה מס' 1 עד 12.2027 ושדרוג שדה 7 עד 12.2028 בוצע דיון הקפאת תכולה בתאריך 09.02.2026 קבעתי לו"ז לקבלת תכנון,  דרשתי אישור משירן לופוביץ לאשר את הלו"ז עם התכנון  לדברי שירן עד 15.03.26 תינתן תשובה </t>
  </si>
  <si>
    <t>תוספת שדה מס' 1 עד 12.2027 ושדרוג שדה 7 עד 12.2028 בוצע דיון הקפאת תכולה בתאריך 09.02.2026 קבעתי לו"ז לקבלת תכנון,  דרשתי אישור משירן לופוביץ לאשר את הלו"ז עם התכנון  לדברי שירן עד 15.03.26 תינתן תשובה, ב-15/03/2026 נשלחה התראה חוזרת</t>
  </si>
  <si>
    <t>נאמר ע"י תכנון (לימור ופיארז) קבלת כ"כ 09/2026. מנה"פ מבקש להקדים ל-08/2026, מכיוון שבכורנוב נדרשת עבודה אזרחית, מנה"פ העביר רשימת קבלנים המורשים לעבוד בכורנוב לערן בוכנר להתייחסות.</t>
  </si>
  <si>
    <t>עמידה בלו"ז תכנון שקבע מנהל הפרויקט ובחירת קבלן אזרחי</t>
  </si>
  <si>
    <t>WBM-40611</t>
  </si>
  <si>
    <t>שער הגיא- פירוק מסדר מ"ג מסוג BEU3  והתקנת מסדר מ"ג חדש</t>
  </si>
  <si>
    <t>יבוצע רק לאחר חשמול שנאי 524 שצפוי להסתיים עד תאריך 30/06/2027</t>
  </si>
  <si>
    <t>יבוצע רק לאחר חשמול שנאי 524 שצפוי להסתיים עד תאריך 30/06/2028</t>
  </si>
  <si>
    <t>WBE-189</t>
  </si>
  <si>
    <t>שער הגיא- הוספת שנאי שלישי 161/24 ק"ו, 50 מגוו"א מס' 524</t>
  </si>
  <si>
    <r>
      <rPr>
        <rFont val="Arial"/>
        <b/>
        <color rgb="FFFF0000"/>
        <sz val="12.0"/>
      </rPr>
      <t>תכנון אזרחי שמתבצע ע"י אגף פרו' ייצור שהיה אמור להתקבל ב-08/2025 התקבל בתאריך 14.01.26 ממתין להוצאת שרטוטים וקביעת DR</t>
    </r>
    <r>
      <rPr>
        <rFont val="Arial"/>
        <color theme="1"/>
        <sz val="12.0"/>
      </rPr>
      <t xml:space="preserve">
</t>
    </r>
  </si>
  <si>
    <t xml:space="preserve">תכנון אזרחי שמתבצע ע"י אגף פרו' ייצור שהיה אמור להתקבל ב-08/2025 התקבל בתאריך 14.01 נקבע  DR לתאריך 11.02.26
</t>
  </si>
  <si>
    <t>נקבע  DR לתאריך 11.02.26</t>
  </si>
  <si>
    <t>דיון בוצע בתאריך 11.02.26 ממתינים לעדכון הדרישה והוצאת RFT עד 02.2026</t>
  </si>
  <si>
    <t xml:space="preserve">בתאריך 11.02.26 בוצע דיון נרחב לסיום RFT עד היום המסמך לא התקבל ,תכנון אזרחי של אגף הייצור עדיין לא  סיים משימותיו למרות שביקשתי שיסיימו זאת עד 02.2026 קיים עיכוב מצידם גם בנושא התכנון האזרחי שתוכנן  זמן רב </t>
  </si>
  <si>
    <t xml:space="preserve">בתאריך 05.03.26 התקיים דיון  דחוף בו התקבלו החלטות לצאת למכרז פומבי , החומר הכולל RFT,  נספח 5 , פטור מהיתר יועבר למחלקת  בנין ( אילנית לוי ) השבוע לבדיקה ולאחר מכן יועבר למח' מכרזים </t>
  </si>
  <si>
    <t xml:space="preserve">טרם התקבל RFT מתכנון אגף פרויקטי ייצור. פטור מהיתר ונספח 5 נשלחו לבקרת חוזים. </t>
  </si>
  <si>
    <t>ב-16/03/2026 התקבל RFT. החומר הועבר בקרת חוזים לבדיקה והעברה למכרז</t>
  </si>
  <si>
    <t>WBM-40275</t>
  </si>
  <si>
    <t>רמת חובב - שדרוג שדות 20 , 21
החלפת כל ציוד השדות</t>
  </si>
  <si>
    <t>לקראת ביצוע</t>
  </si>
  <si>
    <r>
      <rPr>
        <rFont val="Arial"/>
        <color theme="1"/>
        <sz val="12.0"/>
      </rPr>
      <t>העברת שדה 20 ל-19 לצורך שדרוג שדה 20 תבוצע בתחילת 03/2026, שדרוג השדה יארך בין 2 ל-3 חדשים.</t>
    </r>
    <r>
      <rPr>
        <rFont val="Arial"/>
        <b/>
        <color rgb="FFFF0000"/>
        <sz val="12.0"/>
      </rPr>
      <t>ביקשתי מנגה להקדים הפסקות</t>
    </r>
    <r>
      <rPr>
        <rFont val="Arial"/>
        <color theme="1"/>
        <sz val="12.0"/>
      </rPr>
      <t xml:space="preserve">
שדרוג שדה 21 יבוצע בחדש 09/2026, שדרוג השדה יארך בין 2 ל-3 חדשים.</t>
    </r>
  </si>
  <si>
    <t xml:space="preserve"> לדברי קינבסקי דימטרי הפסקות לשדרוג שדה 20 יבוצע בתחילת 03/2026, שדרוג השדה יארך בין 2 ל-3 חדשים.
שדרוג שדה 21 יבוצע בחדש 09/2026, שדרוג השדה יארך בין 2 ל-3 חדשים. בהתאם לסיום שדרוג שדה 20 ייקבע אם ניתן לשדרג מיד את שדה 21 , הפסקות יכולות להינתן עד סוף חודש 06.2026</t>
  </si>
  <si>
    <t xml:space="preserve">ביקשתי מצוות ביצוע ( הרכה חשמלית ) להביא את כל הציוד ולהתחיל הרכבות בחוץ , ולהיערך לביצוע </t>
  </si>
  <si>
    <t xml:space="preserve">ממתינים לקבלת הפסקה ( ככל הנראה בתחילת מרץ) קיימת דרישה בסך 392,662  ל10 שבועות לכל שדה שהועברה לקבלן , אך מכיוון שרוצים לצמצם זאת ל4 שבועות הקבלן מבקש תוספת של 306,000 שח , נתבקשתי להכין מסמך הצדקה לחתימת מנהלת מחלקתי ומנהל האגף - מסמך הצדקה ממתין לחתימה </t>
  </si>
  <si>
    <t>ממתינים לקבלת הפסקה ( ככל הנראה בתחילת מרץ) קיימת דרישה בסך 392,662  ל10 שבועות לכל שדה שהועברה לקבלן , אך מכיוון שרוצים לצמצם זאת ל4 שבועות הקבלן מבקש תוספת של 306,000 שח , נתבקשתי להכין מסמך הצדקה לחתימת מנהלת מחלקתי ומנהל האגף - מסמך הצדקה ממתין לחתימה ,נדרש לסיים עבודות אזרחיות תוך שבועיים נקבע דיון עם מנהל האגף  לתאריך 17.02.26</t>
  </si>
  <si>
    <t xml:space="preserve">בעקבות בקשת סמנכל לסיים את שדרוג שדות 20,21 עד 05.2026 , תכולת הפרויקט מבחינת עבודות אזרחיות שונתה , העברת שדה 20 ל- 19 תחל מתאריך 01.03.26 כולם ערוכים לכך </t>
  </si>
  <si>
    <t>העברת שדה 20 ל- 19 תחל מתאריך 01.03.26 כולם ערוכים לכך. בתאריך 24/02/2026 הפסקה שנקבעה ל-01/03/2026 נדחתה.</t>
  </si>
  <si>
    <t xml:space="preserve">בעקבות המצב הבטחוני שדרוג שדה 20 שנקבע לתאריכים 01.03.26 ו- 08.03.26  בוטל לתאריך לא ידוע </t>
  </si>
  <si>
    <t>בתאריך 15/03/2026 התקבלה הודעה כי העברת שדה מ-20 ל-19 תחל מתאריך 19/03/2026. אנו נערכים לכך. צפי סיום 21/04/2026. מהדקים לשדות 20, 21 הוזמנו בתאריך 07/07/2025 ועדיין לא הגיעו. נשלחה הודעה לכהן נווה ומיטרני יצחק, בקשתי מצוות תכנון להשיג מהדקים מתנחנות אחרות</t>
  </si>
  <si>
    <t>העברת שדה 20 ל-19 לצורך שדרוג שדה 20 נקבע לתאריך 24/03/2026 , יום ג' בלילה. החל מיום ד' 25/03/2026 יחלו לשחרר מתחים ופרוק ציוד בשדה. צפי סיום שדרוג השדה 07/05/2026 ומיד שדרוג שדה 21.</t>
  </si>
  <si>
    <t xml:space="preserve">נדרשת עבודה בימי שישי, חול המועד כולל משגיח </t>
  </si>
  <si>
    <t>WBE-184</t>
  </si>
  <si>
    <t>רמת חובב-החלפת שנאי 33 מגוו"א 522 מגוו"א ל-50 מגוו"א</t>
  </si>
  <si>
    <t>החלפת השנאי הסתיימה ללא שדרוג מסדר מ"ג (שדות 20, 23 שיבוצע בתום החלפת שנאי 521)</t>
  </si>
  <si>
    <t xml:space="preserve">החלפת השנאי הסתיימה ללא שדרוג מסדר מ"ג.  שדות 20, 23 יבוצעו בתום החלפת שנאי 521 ובהתאם להפסקות </t>
  </si>
  <si>
    <t xml:space="preserve">נותר לשדרג את שדות  20,23. נקבע כי שדרוג שדה מ"ג 20 ישודרג החל מתאריך 01.03.26 למשך חודש בסיומן נשדרג את שדה שנאי 23 יידרש הפסקת שנאי 522 למשך חודש ימים </t>
  </si>
  <si>
    <t xml:space="preserve">נותר לשדרג את שדות  20,23. נקבע כי שדרוג שדה מ"ג 20 ישודרג החל מתאריך 01.03.26 , נדחה ע"י נגה  לתאריך 08.03 ונדחה שוב למועד לא ידוע בגלל המלחמה  בסיומו נשדרג את שדה 23  מ"ג בו יידרש הפסקת שנאי 522 למשך חודש ימים </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</si>
  <si>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</si>
  <si>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t>
  </si>
  <si>
    <t xml:space="preserve">קבלן אזרחי ממתין לבצע זאת ונדחה שוב ושוב </t>
  </si>
  <si>
    <t>WBE-178</t>
  </si>
  <si>
    <t>רמת חובב-החלפת שנאי 33 מגוו"א 521 מגוו"א ל-50 מגוו"א</t>
  </si>
  <si>
    <t>שנאי חושמל , נשאר מ"ג</t>
  </si>
  <si>
    <r>
      <rPr>
        <rFont val="Arial"/>
        <color theme="1"/>
        <sz val="12.0"/>
      </rPr>
      <t xml:space="preserve">שדה שנאי נמסר לבדיקות למחלקת תפעול ומבדקה, ביצוע יסודות למסדר מ"ג (שדה 9) בעיצומה. חשמול השנאי מותנה בסיום שדה 9 כולל בדיקות של שדה שנאי </t>
    </r>
    <r>
      <rPr>
        <rFont val="Arial"/>
        <b/>
        <color rgb="FFFF0000"/>
        <sz val="12.0"/>
      </rPr>
      <t>בעקבות מזג האוויר חשש  לעיכוב חשמול בעוד שבוע מתאריך היעד</t>
    </r>
  </si>
  <si>
    <t>בתאריך 08.01.26 שדה שנאי נמסר לבדיקות למחלקת תפעול ומבדקה,  יסודות למסדר מ"ג (שדה 9) יימסר בתאריך 28.01.2026 . יידרש הרכת ציוד ,חיווט ובדיקות ולכן לא נעמוד ביעד חשמול השנאי , בתאריך 25.01.26 ביקשתי לקיים דיון דחוף עם ההנהלה.</t>
  </si>
  <si>
    <t xml:space="preserve"> יסודות למסדר מ"ג (שדה 9)נמסרו בתאריך 28.01.2026 , בתאריך 01.02.26  נמסר המתקן לתפעול לאחר בדיקתו הרכבתו וחיווט ,חשמול עד סוף השבוע 06.02.2026. בתאריך 02.02.2026 התקבלה הודעה מתפעול ב"ש שחשמול השנאי יידחה לתאריך 11.02.2026 בעקבות אי קבלת הפסקות וסיום הבדיקות</t>
  </si>
  <si>
    <t>היום 09.02.26 נערכה וועדת חשמול -נקבע חשמול השנאי לתאריך  11.02.2026</t>
  </si>
  <si>
    <t xml:space="preserve">שנאי חושמל בתאריך 11.02.26 נותרו החלפת מנתק ומפסק בשדות מ"ג 20,23 כולל עבודות אזרחיות </t>
  </si>
  <si>
    <t>WBE-138</t>
  </si>
  <si>
    <t>רותם-הקמת שני שדות והתקנת שני שנאים 161 כולל תוספת מפסק ומ"ז בשדה מקשר</t>
  </si>
  <si>
    <t>חושמל</t>
  </si>
  <si>
    <r>
      <rPr>
        <rFont val="Arial"/>
        <color theme="1"/>
        <sz val="12.0"/>
      </rPr>
      <t xml:space="preserve">נדרש לשדרג את שדה מקשר 6, הוספת מפסק ומשני זרם, ממתינים להוראות תפעול ומבדקה מעל לשנה. 
</t>
    </r>
    <r>
      <rPr>
        <rFont val="Arial"/>
        <b/>
        <color rgb="FFFF0000"/>
        <sz val="12.0"/>
      </rPr>
      <t>נקבע פגישה באתר בתאריך 13/01/2026 ונדחה בעקבות מזג האויר נקבע לתאריך  22.01.26 , נדרש גם החלפת סליל כיבוי</t>
    </r>
  </si>
  <si>
    <t>נדרש לשדרג את שדה מקשר 6, הוספת מפסק ומשני זרם, ממתינים להוראות תפעול ומבדקה מעל לשנה. 
נקבע פגישה באתר בתאריך 13/01/2026 ונדחה בעקבות מזג האויר נקבע לתאריך  22.01.26  ונדחה בעקבות מחלת אחד העובדים , נקבע סיור נוסף לתאריך 29.01.26  נדרש גם החלפת סליל כיבוי</t>
  </si>
  <si>
    <t>נדרש לשדרג את שדה מקשר 6, הוספת מפסק ומשני זרם, ממתינים להוראות תפעול ומבדקה מעל לשנה. 
נקבע פגישה באתר בתאריך 13/01/2026 ונדחה בעקבות מזג האויר נקבע לתאריך  22.01.26  ונדחה בעקבות מחלת אחד העובדים , נקבע סיור נוסף לתאריך 29.01.26 ונדחה לתאריך 05.02.26 נדרש גם החלפת סליל כיבוי</t>
  </si>
  <si>
    <t xml:space="preserve">נדרש לשדרג את שדה מקשר 6, הוספת מפסק ומשני זרם, נדרש גם החלפת סליל כיבוי
בתאריך  05.02.26 נערכה פגישה באתר ונקבעו תהליכי עבודה - צפי לסיום עד 05.2025 בהתאם להפסקות ולכ"א מצד תפעול </t>
  </si>
  <si>
    <t xml:space="preserve">נדרש לשדרג את שדה מקשר 6, הוספת מפסק ומשני זרם, נדרש גם החלפת סליל כיבוי
בתאריך  05.02.26 נערכה פגישה באתר ונקבעו תהליכי עבודה - צפי לסיום עד 05.2025 בהתאם להפסקות ולכ"א מצד תפעול , ממתינים לתחילת התארגנות  מצד הרכבה חשמלית </t>
  </si>
  <si>
    <t xml:space="preserve">הרכבה חשמלית הודיעה כי פרויקט זה לא נמצא בסדר עדיפות בעקבות ריבוי משימות , אני ממתין להחלטתם לתחילת עבודות </t>
  </si>
  <si>
    <t xml:space="preserve">הרכבה חשמלית הודיעה כי פרויקט זה לא נמצא בסדר עדיפות בעקבות ריבוי משימות , אני ממתין להחלטתם לתחילת עבודות  , ביקשתי טיפול של מנהל מגזר כבר שבועיים ללא מענה </t>
  </si>
  <si>
    <t xml:space="preserve">הרכבה חשמלית הודיעה כי פרויקט זה לא נמצא בסדר עדיפות בעקבות ריבוי משימות , אני ממתין להחלטתם לתחילת עבודות  , ביקשתי טיפול של מנהל מגזר כבר חודש ימים ללא מענה . </t>
  </si>
  <si>
    <t xml:space="preserve">אמנם החלפתי את שני הניידות בשתי שנאים  אך הפרויקט לא הסתיים  ממס סיבות שבעיקרן הפסקות שלא ניתנו  ולו"ז  תפעול  , עדיין לא סגרתי את הפרויקט מבחינה תקציבית </t>
  </si>
  <si>
    <t>WBE-181</t>
  </si>
  <si>
    <t>רותם- התקנת 2 שדות קווים לקליטת קו מערד</t>
  </si>
  <si>
    <t>טרם התקבל מזכר רשמי בנושא</t>
  </si>
  <si>
    <t xml:space="preserve">נדחה לתאריך 30.06.2029  עדיין מוקדם לבצע תכנון, </t>
  </si>
  <si>
    <t>נדחה לתאריך 30.06.2029  עדיין מוקדם לבצע תכנון</t>
  </si>
  <si>
    <t>בתאריך 15/03/2026 התקבלה הודעת מערכת תבונה כי הפרויקט נדחה לתאריך 31/12/2029</t>
  </si>
  <si>
    <t>בתאריך 15/03/2026 התקבלה הודעת מערכת תבונה כי הפרויקט נדחה לתאריך 31/12/2029 לכן עדיין מוקדם לקדם הפרויקט</t>
  </si>
  <si>
    <t>WBM-40195</t>
  </si>
  <si>
    <t>רמת אביב – החלפת שנאים 511 ו-512</t>
  </si>
  <si>
    <t xml:space="preserve">שלחתי בקשה לדעת מה מהות הפרויקט ממנהלת מחלקתי ומצוותה כולל חזום גיל עוד לפני מס חדשים ואני מצפה לקבל תשובות , בשלב זה מצידי הפרויקט מושהה עד לקבלת תשובות </t>
  </si>
  <si>
    <t>נדרש לקבל תשובות מPMO עבור נחיצות הפרויקט</t>
  </si>
  <si>
    <t>נדרש לקבל תשובות מPMO עבור נחיצות הפרויקט, ממתין מעל חודש ימים לתשובה.</t>
  </si>
  <si>
    <t>נדרש לקבל תשובות מPMO עבור נחיצות הפרויקט,</t>
  </si>
  <si>
    <t xml:space="preserve">נדרש לקבל תשובות מPMO עבור נחיצות הפרויקט,זמן רב אני מבקש תשובות לפרויקט זה  ללא מענה  ולכן מעביר לטיפול מנהל האגף </t>
  </si>
  <si>
    <t>WBE-193</t>
  </si>
  <si>
    <t>עטרות– התקנת שנאי חמישי 161/36 ק"ו</t>
  </si>
  <si>
    <r>
      <rPr>
        <rFont val="Arial"/>
        <color theme="1"/>
        <sz val="12.0"/>
      </rPr>
      <t xml:space="preserve">לדברי מחלקת בניין הקבלן ימסור עבודתו ב-30/01/2026, המצב בשטח לא מראה זאת. </t>
    </r>
    <r>
      <rPr>
        <rFont val="Arial"/>
        <color rgb="FFFF0000"/>
        <sz val="12.0"/>
      </rPr>
      <t>הודעה שהתקבלה המסירה תהיה ב 08.02.26</t>
    </r>
    <r>
      <rPr>
        <rFont val="Arial"/>
        <color theme="1"/>
        <sz val="12.0"/>
      </rPr>
      <t xml:space="preserve">
הובלת השנאי יקבע רק לאחר מסירת יסוד השנאי.
</t>
    </r>
    <r>
      <rPr>
        <rFont val="Arial"/>
        <b/>
        <color rgb="FFFF0000"/>
        <sz val="12.0"/>
      </rPr>
      <t xml:space="preserve">כבלי מ"ג מהמכולה החוצה  בוצע בתאריך 15.01.26 , העברת המכולה תבוצע רק לאחר הידוק השטח שיסתיים בתאריך 22.01.26 </t>
    </r>
    <r>
      <rPr>
        <rFont val="Arial"/>
        <color theme="1"/>
        <sz val="12.0"/>
      </rPr>
      <t xml:space="preserve"> יידרש הפסקת פ"צ 2</t>
    </r>
    <r>
      <rPr>
        <rFont val="Arial"/>
        <b/>
        <color theme="1"/>
        <sz val="12.0"/>
      </rPr>
      <t xml:space="preserve">. </t>
    </r>
    <r>
      <rPr>
        <rFont val="Arial"/>
        <b/>
        <color rgb="FFFF0000"/>
        <sz val="12.0"/>
      </rPr>
      <t>הערכת מנהל הפרויקט לאי סיום הפרויקט בתאריך הנקוב</t>
    </r>
  </si>
  <si>
    <t>לדברי מחלקת בניין הקבלן ימסור עבודתו ב-30/01/2026, המצב בשטח לא מראה זאת. הודעה שהתקבלה המסירה תהיה ב 08.02.26 לדעתי גם לא  
הובלת השנאי יקבע רק לאחר מסירת יסוד השנאי.
כבלי מ"ג מהמכולה החוצה בוצע בתאריך 15.01.26 , העברת המכולה תבוצע לאחר קבלת הפסקות ככל הנראה רק בעוד שבועיים- לדברי  תפעול אין להם זמן לקבוע הפסקות</t>
  </si>
  <si>
    <t xml:space="preserve">
הובלת השנאי ותחילת הרכבתו יקבע רק לאחר מסירת יסוד השנאי ככל הנראה בעוד שבועיים 
 העברת המכולה נקבעה לתאריך 19.2.26  , לפי הערכתי לא יהיה ניתן לחשמל השנאי עד 05.2026 </t>
  </si>
  <si>
    <t xml:space="preserve">עדיין לא נמסר יסוד השנאי , העברת המכולה נקבעה לתאריך 19.2.26  ,  קטע חפירה לכבלי מ"ג שהמחוז נדרש לבצע מתעכב ,לפי הערכתי לא יהיה ניתן לחשמל השנאי עד 05.2026 </t>
  </si>
  <si>
    <t xml:space="preserve">עדיין לא נמסר יסוד השנאי , העברת המכולה נקבעה לתאריך 19.2.26  , קטע חפירה לכבלי מ"ג שהמחוז נדרש לבצע מתעכב ,לפי הערכתי לא יהיה ניתן לחשמל השנאי עד 05.2026 בנוסף מתאריך 10.02.26 הופסקה עבודתו של הקבלן באתר בעקבות ליקויי בטיחות חמורים ככל בנראה יחזור לעבודה השבוע   </t>
  </si>
  <si>
    <t xml:space="preserve">עדיין לא נמסר יסוד השנאי  - צפי 10.03.26 העברת המכולה בוצעה בתאריך 19.2.26, קטע חפירה לכבלי מ"ג שהמחוז נדרש לבצע מתעכב  הועברה לידיעתו של בוחבוט שלום  ,השחלת כבלי מ"נ על סולמות בקיר המערבי של התחנה מהווה סכנה בטיחותית הוחלט להרכיב פיגום , לפי הערכתי חשמול יידחה ל 06.2026     </t>
  </si>
  <si>
    <t xml:space="preserve"> העברת המכולה בוצעה ,החלו בחיווט, עדיין לא נמסר יסוד השנאי  נקבע סיור לתאריך 02.03.26 לצורך תכנון הצבת שנאי וכנראה יבוטל בעקבות המלחמה - קטע חפירה לכבלי מ"ג שהמחוז נדרש לבצע נקבע לביצוע השבוע - כנראה לא יבוצע בעקבות המלחמה  ,השחלת כבלי מ"נ על סולמות בקיר המערבי של התחנה מהווה סכנה בטיחותית הוחלט להרכיב פיגום שנקבע לתאריך 01.03.36 - יידחה בעקבות המלחמה   בדיון שהתנהל עם מנהל האגף נקבע שסיום  עבודות הרכבה חשמלית ומסירה לתפעול  עד תאריך 31.03.26 ,חשמול נקבע לתאריך ל 31.05.26 אינני רואה שניתן להגיע ליעד זה גם בעקבות המלחמה </t>
  </si>
  <si>
    <t>בתאריך 10.03.26 נקבע העברת השנאי  ו2 יסודות טרומיים במקום , כמו כן נקבע הרכבת פיגום להנחת כבלי מ"נ , בתאריך 12.03.25 יבוצע חפירה ע"י רתק  ירושלים בנושא כבלי מ"ג , ע"פ בקשת מנהל האגף - סיום עבודות הרכבה חשמלית עד 01.05.206</t>
  </si>
  <si>
    <t>בתאריך 10/03/2026 הוצב השנאי על יסוד והחלו בהרכבת הציוד. צפי הכנסת שמן 24/03/2026. בשלב זה הרכבה חשמלית מרכיבים שדה שנאי ומשכילים כבלים בכל האתר. חפירות לכבלי מ"ג בעיצומן.</t>
  </si>
  <si>
    <t xml:space="preserve"> הכנסת שמן לשנאי תחל  ב  24/03/2026. בשלב זה הרכבה חשמלית מרכיבים שדה שנאי ומשחילים כבלים בכל האתר. חפירות לכבלי מ"ג בעיצומן.</t>
  </si>
  <si>
    <t xml:space="preserve">עמידה ביעד הרכבה </t>
  </si>
  <si>
    <t>WBE-206</t>
  </si>
  <si>
    <t>להבים-התקנת שנאי שלישי 50 מגוו"א</t>
  </si>
  <si>
    <t>31.05.26</t>
  </si>
  <si>
    <t xml:space="preserve">בתאריך 11/01/2026 נערכה מסירה אזרחית.
הרכבת השנאי תסתיים בתאריך 15/01/2026, נקבע הכנסת שמן לתאריך 18/01/2026 אך בוטל בהעקבות החלפת שנאי בשער הגיא (שנשרף).
לדברי בתי מלאכה יעד להכנסת שמן 11/02/2026
</t>
  </si>
  <si>
    <t xml:space="preserve">בתאריך 11/01/2026 נערכה מסירה אזרחית.
הרכבת השנאי הסתיימה ללא עשיית ראשי כבלים  מ"ג שהושחלו. 25.01.26 החל הכנסת שמן לשנאי, חסר בודקים באתר ולכן יעד חשמול 02.2026 בסכנה
</t>
  </si>
  <si>
    <t xml:space="preserve">בתאריך 11/01/2026 נערכה מסירה אזרחית.
29.01.26 הסתיים הכנסת שמן לשנאי 01.02.26 החלו בדיקות לשנאי - צפי חשמול 02.2026
</t>
  </si>
  <si>
    <t xml:space="preserve">צפי חשמול 26.02.26 לדברי הבודקים קיים חשש לחשמול בתאריך זה בעקבות הוספה ובדיקות של SCS  כפי שקרה בשדרות </t>
  </si>
  <si>
    <t xml:space="preserve">צפי חשמול 26.02.26 </t>
  </si>
  <si>
    <t>צפי חשמול 10.03.2026</t>
  </si>
  <si>
    <t>בעקבות עבודות של תפעול באר שבע (ניידות) חשמול השנאי ידחה לסוף חודש 03/2026</t>
  </si>
  <si>
    <t>בעקבות עבודות של תפעול באר שבע (ניידות) ומצב בטחוני ,לדברי תפעול ב"ש חשמול השנאי ידחה לסוף חודש 05/2026</t>
  </si>
  <si>
    <t>בעקבות עבודות של תפעול באר שבע (ניידות) ומצב בטחוני ,לדברי תפעול ב"ש חשמול השנאי ידחה לסוף חודש 04/2026</t>
  </si>
  <si>
    <t>סיום בדיקות כולל SCS</t>
  </si>
  <si>
    <t>WBC-050</t>
  </si>
  <si>
    <t>טרומן - הקמת תחמ"ש פנימית 161/24 ק"ו</t>
  </si>
  <si>
    <t>31.10.27</t>
  </si>
  <si>
    <r>
      <rPr>
        <rFont val="Arial"/>
        <color theme="1"/>
        <sz val="12.0"/>
      </rPr>
      <t>היתר התקבל ב-04/01/2026, לקראת תחילת עבודות אזרחיות</t>
    </r>
    <r>
      <rPr>
        <rFont val="Arial"/>
        <b/>
        <color rgb="FFFF0000"/>
        <sz val="12.0"/>
      </rPr>
      <t xml:space="preserve"> ארון חשמל ( פילר) מוכן</t>
    </r>
  </si>
  <si>
    <t xml:space="preserve">היתר התקבל ב-04/01/2026, קבלן אזרחי החל התארגנותו באתר  ארון חשמל ( פילר) מוכן עדיין ללא חיבור לצריפי הקבלן </t>
  </si>
  <si>
    <t xml:space="preserve">היתר התקבל ב-04/01/2026, קבלן אזרחי החל התארגנותו באתר </t>
  </si>
  <si>
    <t xml:space="preserve"> קבלן אזרחי החל בבייצוע קידוחי קלונסאות מסביב לגדר </t>
  </si>
  <si>
    <t xml:space="preserve">קבלן אזרחי סיים קידוחי קלונסאות מסביב לגדר,והחל בחפירות , בימים הקרובים ייקבע מועד דיון התחלתי בו אציג את היעדים של כל בעלי העניין </t>
  </si>
  <si>
    <t>קבלן אזרחי סיים קידוחי קלונסאות מסביב לגדר,והחל קידוח קלונסאות סביב בנין הפיקוד</t>
  </si>
  <si>
    <t xml:space="preserve">קבלן אזרחי סיים קידוחי קלונסאות מסביב לגדר,והחל קידוח קלונסאות סביב בנין הפיקוד , נקבע פגישה באתר בנושא גדר / חומה של השכן לתאריך 01.03.26 ובוטלה בגלל המלחמה </t>
  </si>
  <si>
    <t xml:space="preserve"> קבלן אזרחי צימצם את לו"ז המסירה לתאריך03.2027  מסירת חדר פיקוד 11.2026 ,מסירת בנין 24   10.26, מסירת  יסודות שנאים 12.2026 החל קידוח קלונסאות סביב בנין הפיקוד והכנת השטח לבניית הבניין</t>
  </si>
  <si>
    <t>בתאריך 12/03/2026 התקיים דיון  מנהלת  בה הוצגו יעדי מסירה של קבלן האזרחי</t>
  </si>
  <si>
    <t>קבלן אזרחי ממשיך בעבודתו</t>
  </si>
  <si>
    <t>WBE-280</t>
  </si>
  <si>
    <t>דימונה סולארי- הקמת שדות 19 ו-21 במסדר 161 ק"ו</t>
  </si>
  <si>
    <t>מנה"פ ביקש להעביר מידית ביצוע קידוחים לברגי עיגון על יסודות קיימים של שדות 19 ו-21. מנה"פ מנסה להקדים את הפרויקט בחצי שנה</t>
  </si>
  <si>
    <t xml:space="preserve">מנה"פ ביקש להעביר מידית ביצוע קידוחים לברגי עיגון על יסודות קיימים של שדות 19 ו-21. מנה"פ מנסה להקדים את הפרויקט בחצי שנה, מדוע קשה למסור עבודה של 30,000 שח לקבלן לביצוע </t>
  </si>
  <si>
    <t>עבודה של 30,000 ₪ לברגי עיגון בלבד לא החלה ,מבקש לקבל טיפול בהקדם</t>
  </si>
  <si>
    <t>עבודה של 30,000 ₪ לקידוח 120 ברגי עיגון בלבד לא החלה ,מבקש לקבל טיפול בהקדם</t>
  </si>
  <si>
    <t>בתאריך 26.02.26 התקיים דיון עם מנהל האגף בנושא קידוח ברגי הילתי בכל יסודות 2 השדות , הוחלט כי עד סוף חודש 04 העבודה תסתיים</t>
  </si>
  <si>
    <t xml:space="preserve">למרות ששדרוג השדות נועד לתאריך 31.12.26 אני מעוניין להקדים זאת ( קיימת השפעה לשדרוג שדה 7 בדימונה שממתינים לכך 4 שנים) אי עמידה ביעד לא יאפשר שדרוג שדה 7 השנה </t>
  </si>
  <si>
    <t>WBM-40507</t>
  </si>
  <si>
    <t xml:space="preserve">דימונה - שדה 6 </t>
  </si>
  <si>
    <t>30.09.26</t>
  </si>
  <si>
    <r>
      <rPr>
        <rFont val="Arial"/>
        <color theme="1"/>
        <sz val="12.0"/>
      </rPr>
      <t xml:space="preserve">עבודות אזרחיות הועברו לאילנית לוי לצורך העברתם לביצוע ע"י קבלן שנמצא  באתר - </t>
    </r>
    <r>
      <rPr>
        <rFont val="Arial"/>
        <b/>
        <color rgb="FFFF0000"/>
        <sz val="12.0"/>
      </rPr>
      <t xml:space="preserve">19.01.26 עדיין ממתין </t>
    </r>
  </si>
  <si>
    <t xml:space="preserve">עבודות אזרחיות הועברו לאילנית לוי לצורך העברתם לביצוע ע"י קבלן שנמצא  באתר - 19.01.26 עדיין ממתין </t>
  </si>
  <si>
    <t xml:space="preserve">עבודות אזרחיות הועברו למחלקת בנין והעברתם לביצוע ע"י קבלן שנמצא  באתר- צפי העברת השדה ותחילת השדרוג 03.2026 , תכנון אלק"מ ואזרחי עדיין לא קיבלו החלטה היכן ימוקמו מגיני הברק </t>
  </si>
  <si>
    <t xml:space="preserve">עבודות אזרחיות הועברו לביצוע ע"י קבלן שנמצא  באתר- צפי העברת השדה ותחילת השדרוג 03.2026 , נדרש החלטות בנושא הפורטל שנדרש להחליפו </t>
  </si>
  <si>
    <t xml:space="preserve">עבודות אזרחיות הועברו לביצוע ע"י קבלן שנמצא  באתר- צפי העברת השדה ותחילת השדרוג 03.2026 , נדרש החלטות בנושא הפורטל שנדרש להחליפוביקשתי לקיים דיון דחוף עם מנהל האגף ולהכניס זאת להצגה בפרויקטים קריטיים </t>
  </si>
  <si>
    <t xml:space="preserve">עבודות אזרחיות הועברו לביצוע ע"י קבלן שנמצא  באתר- צפי העברת השדה ותחילת השדרוג 03.2026 , נדרש החלטות בנושא הפורטל שנדרש להחליפו ביקשתי לקיים דיון דחוף עם מנהל האגף ולהכניס זאת להצגה בפרויקטים קריטיים,שוחחתי עם וינדר שמוליק בנושא ואנו מצפים לטיפול ,היום 02.03.26 שוחחתי עם מנהל אגף התכנון נווה כהן בו הוחלט לקיים דיון עם הנוגעים בדבר לצורך קבלת החלטות </t>
  </si>
  <si>
    <r>
      <rPr>
        <rFont val="Arial"/>
        <color theme="1"/>
        <sz val="11.0"/>
      </rPr>
      <t>עבודות אזרחיות הועברו לביצוע ע"י קבלן שנמצא  באתר- צפי העברת השדה ותחילת השדרוג 03.2026 , נדחה בעקבות המלחמה לתאריך לא ידוע ,נדרש החלטות בנושא הפורטל שנדרש להחליפו ביקשתי לקיים דיון דחוף עם מנהל האגף ולהכניס זאת להצגה בפרויקטים קריטיים,שוחחתי עם וינדר שמוליק בנושא ואנו מצפים לטיפול ,בתאריך 02.03.26 שוחחתי עם מנהל אגף התכנון נווה כהן בו הוחלט לקיים דיון עם הנוגעים בדבר לצורך קבלת החלטות ממתין לזימון דיון</t>
    </r>
    <r>
      <rPr>
        <rFont val="Arial"/>
        <color theme="1"/>
        <sz val="12.0"/>
      </rPr>
      <t xml:space="preserve">  </t>
    </r>
  </si>
  <si>
    <t xml:space="preserve">עבודות אזרחיות הועברו לביצוע ע"י קבלן שנמצא  באתר- צפי העברת השדה ותחילת השדרוג 03.2026 , נדחה בעקבות המלחמה לתאריך לא ידוע ,נדרש החלטות בנושא הפורטל שנדרש להחליפו ביקשתי לקיים דיון דחוף עם מנהל האגף ולהכניס זאת להצגה בפרויקטים קריטיים,שוחחתי עם וינדר שמוליק בנושא ואנו מצפים לטיפול ,בתאריך 02.03.26 שוחחתי עם מנהל אגף התכנון נווה כהן בו הוחלט לקיים דיון עם הנוגעים בדבר לצורך קבלת החלטות ממתין לזימון דיון  </t>
  </si>
  <si>
    <t>עבודות אזרחיות הועברו לביצוע ע"י קבלן שנמצא  באתר- צפי העברת השדה ותחילת השדרוג 04.2026 ,  נדרש החלטות בנושא הפורטל שנדרש להחליפו , בתאריך 02.03.26 שוחחתי עם מנהל אגף התכנון נווה כהן בו הוחלט לקיים דיון עם הנוגעים בדבר לצורך קבלת החלטות סיור בשטח נקבע לתאריך 12/04/2026</t>
  </si>
  <si>
    <t xml:space="preserve">בניית פורטל חדש במקום הקיים </t>
  </si>
  <si>
    <t>WBM-40523</t>
  </si>
  <si>
    <t>דימונה - שדרוג שדה 13</t>
  </si>
  <si>
    <t>26.02.26</t>
  </si>
  <si>
    <t>ממתינים להפסקת פ"צ לצורך הרכבת מנתק פ"צ</t>
  </si>
  <si>
    <t xml:space="preserve">שדרוג השדה הסתיים ללא בדיקות ,ממתינים להפסקת פ"צ לצורך הרכבת מנתק פ"צ </t>
  </si>
  <si>
    <t xml:space="preserve">אם לא יתקבל הפסקה, חשמול שדה 13 יידחה  כמו כן שדרוג שדות נוספים בתחמ"ש יידחה , לדברי נציגי תפעול ב"ש לא ידוע יעד הפסקת פ"צ </t>
  </si>
  <si>
    <t>WBM-10432</t>
  </si>
  <si>
    <t>דימונה התאמת תיילים ומהדקים בפורטלים לשדות 20 ו-6</t>
  </si>
  <si>
    <t>בשלב תכנון</t>
  </si>
  <si>
    <t xml:space="preserve">נדרש החלפת פורטל בטיפול תכנון  אלק"מ </t>
  </si>
  <si>
    <t xml:space="preserve">נדרש החלפת פורטל בטיפול תכנון  אלק"מ, נדרש החלטות בנושא הפורטל שנדרש להחליפו ביקשתי לקיים דיון דחוף עם מנהל האגף ולהכניס זאת להצגה בפרויקטים קריטיים </t>
  </si>
  <si>
    <t>נדרש החלפת פורטל בטיפול תכנון  אלק"מ, נדרש החלטות בנושא הפורטל שנדרש להחליפו ביקשתי לקיים דיון דחוף עם מנהל האגף ולהכניס זאת להצגה בפרויקטים קריטיים , ביקשתי גם מוינדר שמוליק , נקבע שיחה עם תכנון ושמוליק וינדר לפני שנגיע למנהל האגף</t>
  </si>
  <si>
    <t xml:space="preserve">נדרש החלפת פורטל בטיפול תכנון  אלק"מ, נדרש החלטות בנושא הפורטל שנדרש להחליפו ביקשתי לקיים דיון דחוף עם מנהל האגף ולהכניס זאת להצגה בפרויקטים קריטיים , בתאריך 02.03.26 שוחחתי עם מנהל אגף התכנון נווה כהן בו הוחלט לקיים דיון עם הנוגעים בדבר לצורך קבלת החלטות ממתין לזימון דיון  </t>
  </si>
  <si>
    <r>
      <rPr>
        <rFont val="Arial"/>
        <color theme="1"/>
        <sz val="12.0"/>
      </rPr>
      <t xml:space="preserve">נדרש החלפת פורטל בטיפול תכנון  אלק"מ, נדרש החלטות בנושא הפורטל שנדרש להחליפו ביקשתי לקיים דיון דחוף עם מנהל האגף ולהכניס זאת להצגה בפרויקטים קריטיים , בתאריך 02.03.26 שוחחתי עם מנהל אגף התכנון נווה כהן בו הוחלט לקיים דיון עם הנוגעים בדבר לצורך קבלת החלטות </t>
    </r>
    <r>
      <rPr>
        <rFont val="Arial"/>
        <color theme="1"/>
        <sz val="11.0"/>
      </rPr>
      <t xml:space="preserve">ממתין לזימון דיון  </t>
    </r>
  </si>
  <si>
    <t>נדרש החלטות בנושא הפורטל שנדרש להחליפו , בתאריך 02.03.26 שוחחתי עם מנהל אגף התכנון נווה כהן בו הוחלט לקיים דיון עם הנוגעים בדבר לצורך קבלת החלטות סיור בשטח נקבע לתאריך 12/04/2026</t>
  </si>
  <si>
    <t xml:space="preserve">אי חשמול שדה 6 בזמן </t>
  </si>
  <si>
    <t>WBM-40062</t>
  </si>
  <si>
    <t>דימונה - שדרוג שדה 14 - התאמת יכולת ל-1600 א'</t>
  </si>
  <si>
    <t>יבוצע רק לאחר סיום שדה 6</t>
  </si>
  <si>
    <t>יבוצע רק לאחר סיום שדה 6 כנראה יתחיל רק בסתיו</t>
  </si>
  <si>
    <t>יבוצע רק לאחר סיום שדה 6 כנראה יתחיל בשנת 2027</t>
  </si>
  <si>
    <r>
      <rPr>
        <rFont val="Aptos"/>
        <color theme="1"/>
        <sz val="12.0"/>
      </rPr>
      <t>WBE</t>
    </r>
    <r>
      <rPr>
        <rFont val="Arial"/>
        <color theme="1"/>
        <sz val="12.0"/>
      </rPr>
      <t>-289</t>
    </r>
  </si>
  <si>
    <t>דימונה-התאמת שדה 7 לדימונה סולארי ל-2500 א'</t>
  </si>
  <si>
    <t xml:space="preserve">עדיין מוקדם להתחיל בתכנון </t>
  </si>
  <si>
    <t xml:space="preserve">כל עוד לא יסתיים שדרוג שדות 19,21 בדימונה סולארי לא ניתן לשדרג את שדה 7 בתחמ"ש דימונה </t>
  </si>
  <si>
    <t xml:space="preserve">כל עוד לא יסתיים שדרוג שדות 19,21 בדימונה סולארי לא ניתן לשדרג את שדה 7 בתחמ"ש דימונה , </t>
  </si>
  <si>
    <t>כל עוד לא יסתיים שדרוג שדות 19,21 בדימונה סולארי לא ניתן לשדרג את שדה 7 בתחמ"ש דימונה , צפי סיום 06/2027</t>
  </si>
  <si>
    <t>WBE-088</t>
  </si>
  <si>
    <t>דימונה- התקנת שנאי שלישי 33 ק"ו 50 מגו"א</t>
  </si>
  <si>
    <r>
      <rPr>
        <rFont val="Arial"/>
        <b/>
        <color rgb="FFFF0000"/>
        <sz val="12.0"/>
      </rPr>
      <t xml:space="preserve">קבלן אזרחי עדיין לא סיים בניית המאצרה ומסירת עבודתו </t>
    </r>
    <r>
      <rPr>
        <rFont val="Arial"/>
        <color theme="1"/>
        <sz val="12.0"/>
      </rPr>
      <t xml:space="preserve"> צפי 02/2026, 
בדיקות בעיצומן לקראת חשמול.</t>
    </r>
  </si>
  <si>
    <t>קבלן אזרחי עדיין לא סיים בניית המאצרה ומסירת עבודתו  צפי 02/2026, שבוע שעבר נתגלה כי ארון הגנת שנאי הורכב במקום לא מתאים ( טעות תכנון – הרכבה חשמלית הרכיבה ע"פ הוראות התכנון) 
לארון הושחלו כבלי פיקוד וחווטו ,נדרש לשנות מיקום הארון ככל הנראה גם חלק מהכבלים נצטרך להחליף כמובן חיווט וכל הנדרש  צוות הרכבה חשמלית יצא מהאתר ( סדום) ביקשתי לחזור בדחיפות ולבצע את העברת הארון  והעברתו לבדיקות שוב 
בדיקות בעיצומן לקראת חשמול.</t>
  </si>
  <si>
    <t>קבלן אזרחי עדיין לא סיים בניית המאצרה ומסירת עבודתו  צפי 02/2026, שבוע שעבר נתגלה כי ארון הגנת שנאי הורכב במקום לא מתאים- המיקום הוחלף עד 05.02.26 יסתיים החיווט
בדיקות בעיצומן לקראת חשמול.ב 26.02.2026</t>
  </si>
  <si>
    <t>קבלן אזרחי עדיין לא סיים בניית המאצרה ומסירת עבודתו  צפי 02/2026, ארון הגנת שנאי הורכב שוב ונמסר לבדיקות,  
בדיקות בעיצומן לקראת חשמול.ב 26.02.2026</t>
  </si>
  <si>
    <t>קבלן אזרחי עדיין לא סיים בניית המאצרה ומסירת עבודתו  צפי 02/2026, ,  
בדיקות בעיצומן לקראת חשמול עד 08.03.26</t>
  </si>
  <si>
    <t>בדיקות בעיצומן לקראת חשמול עד 08.03.26</t>
  </si>
  <si>
    <t>בעקבות עבודות של תפעול באר שבע (ניידות) חשמול השנאי ידחה לחודש 04/2026</t>
  </si>
  <si>
    <t xml:space="preserve">אי חשמול ביעד הנדרש </t>
  </si>
  <si>
    <t>WBM-01448</t>
  </si>
  <si>
    <t xml:space="preserve">אריאל - פירוק סוללות קבלים מ"ג קיימות והתקנת 5 סוללות קבלים מודולריות </t>
  </si>
  <si>
    <t>פרוק סולללות קבלים ממתין לאישור תפעול ומבדקת ירושלים</t>
  </si>
  <si>
    <t xml:space="preserve">פרוק סולללות קבלים מודולריות - נדרש שחרור מתחים מהתפעול  והוצאת הסוללות שמפריעות לפרויקט תוספת שנאי ביקשתי זאת מעל לחודשיים  לדברי נציגי תפעול הם עסוקים מאוד </t>
  </si>
  <si>
    <t>פרוק סולללות קבלים מודולריות - נדרש שחרור מתחים מהתפעול  והוצאת הסוללות שמפריעות לפרויקט תוספת שנאי ביקשתי זאת מעל לחודשיים  לדברי נציגי תפעול הם עסוקים מאוד ,</t>
  </si>
  <si>
    <t>נקבע לביצוע פינוי סוללת קבלים אחת היום 01.03.26 אך נדחה בעקבות המלחמה,קיימת בעיה לפינוי כל ארבעת הסוללות בגלל השמן שנמצא הנושא בטיפול , בשלב זה אני אפנה אותם באתר לאזור שלא יפריע לעבודות הקבלן</t>
  </si>
  <si>
    <t>נקבע לביצוע פינוי סוללת קבלים אחת בתאריך 01.03.26 אך נדחה שוב בעקבות המלחמה,קיימת בעיה לפינוי כל ארבעת הסוללות בגלל השמן שנמצא הנושא בטיפול , בשלב זה אני אפנה אותם באתר לאזור שלא יפריע לעבודות הקבלן</t>
  </si>
  <si>
    <t>נקבע לביצוע פינוי סוללת קבלים אחת בתאריך 09.03.26 ,קיימת בעיה לפינוי כל ארבעת הסוללות בגלל השמן שנמצא הנושא בטיפול , בשלב זה אני אפנה אותם באתר לאזור שלא יפריע לעבודות הקבלן</t>
  </si>
  <si>
    <t>סוללת קבלים אחת פורקה. עדיין  קיימת בעיה לפינוי כל ארבעת הסוללות בגלל השמן שנמצא הנושא בטיפול , בשלב זה אני אפנה אותם באתר לאזור שלא יפריע לעבודות הקבלן</t>
  </si>
  <si>
    <t>WBE-190</t>
  </si>
  <si>
    <t>אריאל – התקנת שנאי חמישי 161/36 ק"ו</t>
  </si>
  <si>
    <t xml:space="preserve">נמצא במחלקת מכרזים מתאריך   06.11.25 לקראת סיור קבלנים- עדיין ממתינים, אוסיף ואומר כל עיכוב יגרום לעיכוב החשמול </t>
  </si>
  <si>
    <r>
      <rPr>
        <rFont val="Arial"/>
        <color theme="1"/>
        <sz val="12.0"/>
      </rPr>
      <t>נמצא במחלקת מכרזים מתאריך   06.11.25 לקראת</t>
    </r>
    <r>
      <rPr>
        <rFont val="Arial"/>
        <b/>
        <color rgb="FFFF0000"/>
        <sz val="12.0"/>
      </rPr>
      <t xml:space="preserve"> </t>
    </r>
    <r>
      <rPr>
        <rFont val="Arial"/>
        <color theme="1"/>
        <sz val="12.0"/>
      </rPr>
      <t>סיור קבלנים-</t>
    </r>
  </si>
  <si>
    <t>נמצא במחלקת מכרזים מתאריך   06.11.25 לקראת סיור קבלנים שנקבע לתאריך  12.02.2026 הודעתי בעבר ואדגיש שוב  כי עבודות אזרחיות יימשכו 9.2 חדשים עם שחישמול יהיה 06.2027 ועוד צפוי להידחות יותר , הודעתי פעמיים על הצורך  בדחיית הפרויקט אך טרם קיבלתי תשובה</t>
  </si>
  <si>
    <t>נמצא במחלקת מכרזים מתאריך 06.11.25,סיור קבלנים נקבע לתאריך  12.02.2026 הודעתי בעבר ואדגיש שוב כי עבודות אזרחיות יימשכו 9.2 חודשים כך שחישמול יהיה 06.2027 ועוד צפוי להידחות יותר , הודעתי פעמיים על הצורך בדחיית הפרויקט אך טרם קיבלתי תשובה</t>
  </si>
  <si>
    <t xml:space="preserve">בוצע סיור קבלנים בתאריך 12.02.2026 הודעתי בעבר ואדגיש שוב כי עבודות אזרחיות יימשכו 9.2 חודשים כך שחישמול יהיה 06.2027 ועוד צפוי להידחות יותר ,מנסים להקדים ולצמצם את הלו"ז </t>
  </si>
  <si>
    <t xml:space="preserve">בוצע סיור קבלנים בתאריך 12.02.2026 , צפי הגשת הצעות 04.03.26 הודעתי בעבר ואדגיש שוב כי עבודות אזרחיות יימשכו 9.2 חודשים כך שחישמול יהיה 06.2027 ועוד צפוי להידחות יותר ,מנסים להקדים ולצמצם את הלו"ז, דיון לצמצום הלוז נקבע ל 24.02.26   </t>
  </si>
  <si>
    <t>הוחלט לצמצם את לו"ז נספח  5 ל חמישה חדשים לכן הגשת הצעות הקבלן נדחתה לתאריך  12.03.26 ,לצורך עמידה ביעד חשמול 01.27 נדרש 3 משגיחים באופן צמוד זה התנאי לעמידת לו"ז הקבלן .</t>
  </si>
  <si>
    <t xml:space="preserve"> הגשת הצעות הקבלן נדחתה לתאריך  12.03.26 ,לצורך עמידה ביעד חשמול 01.27 נדרש 3 משגיחים באופן צמוד זה התנאי לעמידת לו"ז הקבלן .</t>
  </si>
  <si>
    <t>בתאריך 15/03/2026 פורסם קבלן זוכה. צפי עלית הקבלן לקרקע 19/04/2026</t>
  </si>
  <si>
    <t xml:space="preserve">שלושה משגיחים באופן צמוד, ללא תנאי זה קבלן אזרחי לא יעמוד ביעד של שישה חדשים  </t>
  </si>
  <si>
    <t>WBC-041</t>
  </si>
  <si>
    <t>עזריאלי -הקמת תחמ"ש פנימית 161/24 ק"ו</t>
  </si>
  <si>
    <t>בר אור, מעיין</t>
  </si>
  <si>
    <t>פגישות מול עזריאלי לטובת גיבוש חוזה</t>
  </si>
  <si>
    <t>כרגע אין עדיין תבע. יש לדחות ת.פ. ל 2032</t>
  </si>
  <si>
    <t>אין עדיין תבע. ההסכם נמצא בדיונים בין המחלקה המשפטית ועזריאלי עדיין</t>
  </si>
  <si>
    <t>WBE-175</t>
  </si>
  <si>
    <t>פתח תקווה-הוספת שנאי 525 161/24 ק"ו 50 מ</t>
  </si>
  <si>
    <t>08/01/2026 - צפי הבאת השנאי והמשך עבודות הרכבה חשמלית- בוצע </t>
  </si>
  <si>
    <t>8/1/26 השנאי הועבר לתחנה.                                               22/1/26 צפי הובלת מכולת מ"ג לתחנה. לפני כן יש לבצע עבודות יישור השטח</t>
  </si>
  <si>
    <t>8/1/26 השנאי הועבר לתחנה.                                               22/1/26 מכולת מ"ג הוצבה בתחנה.                            28/1- מסירה אזרחית להרכבה חשמלית</t>
  </si>
  <si>
    <t xml:space="preserve">עבודות הרכבה חשמלית על שנאי + מכולת מ"ג. </t>
  </si>
  <si>
    <t>25/02 - ישיבת תיאום עבודות בשטח אל מול רת"ק, יחידת התחמ"ש והרכבה. המשך עבודות הרכבה חשמלית וצפי סיום ומסירה ליחידת תהחמ"ש ב 10/03</t>
  </si>
  <si>
    <t xml:space="preserve">ישיבת תיאום עבודות בשטח-רת"ק, הרכבה, תחמ"ש-  נדחתה עקב המצב.                                                               המשך עבודות הרכבה חשמלית וצפי סיום ומסירה ליחידת תהחמ"ש ב 10/03   </t>
  </si>
  <si>
    <t>לקראת סיום עבודות הרכבה חשמלית, ותחילת עבודות תחמ"ש</t>
  </si>
  <si>
    <t>תואמו עבודות בימ"ל על השנאי לאחר החג, וכן עבודות מ"ע</t>
  </si>
  <si>
    <t>WBE-205</t>
  </si>
  <si>
    <t>ערד-החלפת 2 שנאים 33 ל-2 שנאים 50, הוספת שנאי רביעי  50 מגוו"א רב שלבי</t>
  </si>
  <si>
    <t xml:space="preserve">22/12/25 - נשלח RFT סופי ומעודכן 
03/2026 - צפי עליית קבלן חדש לקרקע עבור שלושת הפרויקטים 205,272,273 
05/2026 - העברת יציאות לסקציות חדשות 
11/01/2026 - הועבר נספח 5 חתום 
</t>
  </si>
  <si>
    <t>צפי מהרכש לסיום תהליך ועליית קבלן לקרקע בעוד 4 חודשים</t>
  </si>
  <si>
    <t>24/02 - סיור קבלנים באתר</t>
  </si>
  <si>
    <t>בוצע סיור קבלנים באתר. קבלת הצעות בעוד כ-3 שבועות</t>
  </si>
  <si>
    <t>בוצע סיור קבלנים באתר. קבלת הצעות בעוד כ-שבועיים</t>
  </si>
  <si>
    <t>בוצע סיור קבלנים באתר. קבלת הצעות בעוד כ-שבוע</t>
  </si>
  <si>
    <t>בתהליך בדיקת הצעות קבלנים ברכש. צפי לבחירת קבלן- סוף אפריל.</t>
  </si>
  <si>
    <t>תהליך ארוך של בחירת קבלן - יש לתת עדיפות לפרויקט</t>
  </si>
  <si>
    <t>WBE-153</t>
  </si>
  <si>
    <t>ערד-הוספת שנאי שלישי 161/36 ק"ו 50 מגו"א</t>
  </si>
  <si>
    <t xml:space="preserve">19/01/26 - צפי קבלת סל מידע מנגה. יש לקבל אישור תעדוף מנגה. כרגע חסם אל מול דוד חיים - עזרה בטיפול מנהלת מחלקה. 
19/02/26-  צפי חשמול שנאי 533 
</t>
  </si>
  <si>
    <t xml:space="preserve"> סל מידע מנגה- עדיין לא התקבל . יש לקבל אישור תעדוף מנגה. כרגע חסם אל מול דוד חיים - עזרה בטיפול מנהלת מחלקה. 
14/3/26-  צפי חשמול שנאי 533 
</t>
  </si>
  <si>
    <t xml:space="preserve"> סל מידע מנגה- עדיין לא התקבל . יש לקבל אישור תעדוף מנגה. כרגע חסם אל מול דוד חיים - עזרה בטיפול מנהלת מחלקה. 
18/3/26-  צפי חשמול שנאי 533 בהנתן קבלת סל מידע עד 12/02
</t>
  </si>
  <si>
    <t>התקבל סל מידע. 16/02 - בדיקות סימולציה</t>
  </si>
  <si>
    <t>המשך עבודות יחידת תהחמ"ש. צפי חשמול - 25/03</t>
  </si>
  <si>
    <t>המשך עבודות יחידת תהחמ"ש. צפי חשמול -סוף מרץ 2026</t>
  </si>
  <si>
    <t>המשך עבודות יחידת תהחמ"ש. ממתינים לבדיקת תקינות מהמעבדה. צפי חשמול -סוף מרץ 2026</t>
  </si>
  <si>
    <t>יתכן עיכוב קל בעקבות המצב הבטחוני</t>
  </si>
  <si>
    <t>WBE-152</t>
  </si>
  <si>
    <t>ערד-הוספת 2 מסדרי מ"ג 36 ק"ו (פ''צ 3, 4).</t>
  </si>
  <si>
    <t xml:space="preserve">19/01/26 - צפי קבלת סל מידע מנגה. יש לקבל אישור תעדוף מנגה. כרגע חסם אל מול דוד חיים - עזרה בטיפול מנהלת מחלקה. -עדיין לא התקבל
19/02/26-  צפי חשמול שנאי 533 
</t>
  </si>
  <si>
    <t xml:space="preserve">המשך עבודות יחידת תהחמ"ש. צפי חשמול - סוף מרץ 2026. </t>
  </si>
  <si>
    <t>WBE-273</t>
  </si>
  <si>
    <t>ערד- השלמת שדה מקשר פ"צ, הוספת מ"מ לפ"צ מס' 2, התקנת הגנת פ"צ</t>
  </si>
  <si>
    <t>בוצע סיור קבלנים באתר. קבלת הצעות בעוד כשבועיים</t>
  </si>
  <si>
    <t>בוצע סיור קבלנים באתר. קבלת הצעות בעוד כשבוע</t>
  </si>
  <si>
    <t>WBE-272</t>
  </si>
  <si>
    <t>ערד- הקמת שדה 9 במסדר 161 ק"ו</t>
  </si>
  <si>
    <t>WBC-116</t>
  </si>
  <si>
    <t>נחל צופים-הקמת תחמ"ש פנימית 161/13.8 ק"ו</t>
  </si>
  <si>
    <t>חושמל 27/11/2025</t>
  </si>
  <si>
    <t xml:space="preserve">02/2026- צפי סיום פיתוח שטח   
03/2026 - צפי סיום מובל דרומי (על כלל מערכותיו) ופירוק הניידת  
טופס 4 - בתהליך השלמת כלל המסמכים
</t>
  </si>
  <si>
    <t xml:space="preserve">04/2026- צפי סיום פיתוח שטח   
03/2026 - צפי סיום מובל דרומי (על כלל מערכותיו) ופירוק הניידת  
טופס 4 - בתהליך השלמת כלל המסמכים
</t>
  </si>
  <si>
    <t>04/2026- צפי סיום פיתוח שטח   
03/2026 - צפי סיום מובל דרומי (על כלל מערכותיו) ופירוק הניידת  
טופס 4 - בתהליך השלמת כלל המסמכים
25/02 - סיור במובל הדרומי</t>
  </si>
  <si>
    <t xml:space="preserve">04/2026- צפי סיום פיתוח שטח   
04/2026 - צפי סיום מובל דרומי (על כלל מערכותיו) ופירוק הניידת  
טופס 4 - בתהליך השלמת כלל המסמכים
</t>
  </si>
  <si>
    <t>WBC-015</t>
  </si>
  <si>
    <t>גנים(אתר מכבית)-הקמת תחמ"ש פנימית 161/24</t>
  </si>
  <si>
    <t>צפי לחשמול הניידת 03/26 זאת בהתאם למוכנות העברת עומסים לקריית אריה. - כרגע יש קושי של אגף הרשת בהעברת עומסים והצפי הינו אפריל 2026</t>
  </si>
  <si>
    <t>צפי לחשמול הניידת 03/26 זאת בהתאם למוכנות העברת עומסים לקריית אריה. - כרגע יש קושי של אגף הרשת בהעברת עומסים והצפי הינו אפריל 2026.                          19/1- התקיימה ישיבה והוצעו פיתרונות לזירוז ביצוע העבודות</t>
  </si>
  <si>
    <t>צפי לחשמול הניידת 03/26 זאת בהתאם למוכנות העברת עומסים לקריית אריה. - כרגע יש קושי של אגף הרשת בהעברת עומסים והצפי הינו אפריל 2026.                          19/1- התקיימה ישיבה והוצעו פיתרונות לזירוז ביצוע העבודות      29/1- ישיבת תיאום נופי שטחי שצ"פ</t>
  </si>
  <si>
    <t>03/02/26 - שליחת תכנון שצ"פ לאישור מהנדס העירייה.  03/2026 - צפי כניסה לוועדה בעירייה . 06/2026 - צפי קבלת היתר בניה.  04/2026 - צפי העברת עומסים לקריית אריה</t>
  </si>
  <si>
    <t>03/02/26 - שליחת תכנון שצ"פ לאישור מהנדס העירייה.  03/2026 - צפי כניסה לוועדה בעירייה . 06/2026 - צפי קבלת היתר בניה.  05/2026 - צפי העברת עומסים לקריית אריה</t>
  </si>
  <si>
    <t>צפי העברת עומסים לקריית אריה וחשמל הניידת - 05/2026 צפי קבלת היתר בנייה - 07/2026</t>
  </si>
  <si>
    <t>השלמת עבודות. בכפוף להסדרת עבודות השיקום ולאישור ראש העיר , צפי העברת עומסים לקריית אריה וחשמל הניידת - 07/2026 צפי קבלת היתר בנייה - 07/2026</t>
  </si>
  <si>
    <t xml:space="preserve">השלמת עבודות. בכפוף להסדרת עבודות השיקום ולאישור ראש העיר , צפי העברת עומסים לקריית אריה וחשמל הניידת - 07/2026 צפי קבלת היתר בנייה - 08/2026. שנאי הורכב, ממתין לאישור נויהויז לסנכרון שמו של בימ"ל </t>
  </si>
  <si>
    <t>WBD-049</t>
  </si>
  <si>
    <t>גנים (מכבית) ניידת-  הצבת תחמ"ש ניידת</t>
  </si>
  <si>
    <t xml:space="preserve">כלל המסמכים וגרמושקה חתומה נשלחו לעירייה והתחילה בתהליך קבלת ההיתר - יש מחלוקת מול עירייה וממתינים לכניסה לוועדה עד לפתרון המחלוקת. 
05/01/26 - פגישה עם מנכ"ל העירייה - לטובת יישוב המחלוקות. 
היבט תכנוני - קבלת הערות סופיות מהמתכנן החיצוני לטובת RFT סופי 
</t>
  </si>
  <si>
    <t>המשך ישיבות תיאום. תלות בהעברת עומסים לקריית אריה. צפי - 04/2026</t>
  </si>
  <si>
    <t>המשך ישיבות תיאום. תלות בהעברת עומסים לקריית אריה. צפי - 05/2026</t>
  </si>
  <si>
    <t xml:space="preserve">המשך ישיבות תיאום. תלות בהעברת עומסים לקריית אריה. צפי - 07/2026. </t>
  </si>
  <si>
    <t>WBC-027</t>
  </si>
  <si>
    <t>גבעתיים - הקמת תחמ"ש פנימית 161/24 ק"ו</t>
  </si>
  <si>
    <t>22/01/2026 - צפי סיום עבודות קבלן על פי הערות מחלקת תשתיות לאחר סיור משותף -לאישור מחלקת תשתיות </t>
  </si>
  <si>
    <t>22/01/2026 - צפי סיום עבודות קבלן על פי הערות מחלקת תשתיות לאחר סיור משותף -לאישור מחלקת תשתיות .                                                      טופס 4- התקדמות בהעברת כלל הממכים הנדרשים לקבלת טופס 4</t>
  </si>
  <si>
    <t>4/2/2026 - צפי סיום עבודות קבלן על פי הערות מחלקת תשתיות לאחר סיור משותף -לאישור מחלקת תשתיות .    טופס 4- התקדמות בהעברת כלל הממכים הנדרשים לקבלת טופס 4</t>
  </si>
  <si>
    <t>טופס 4 - התקדמות מול כלל הנושאים. דגש על בנייה ירוקה. צפי לקבלת תעודת גמר - 04/2026</t>
  </si>
  <si>
    <t>טופס 4 - התקדמות מול כלל הנושאים. סיום עבודות אזרחיות לבקשת מחלקת תשתיות העירייה. צפי קבלת אישור מח' תשתיות - 02/2026. המשך עבודות מול יועץ לטובת בנייה ירוקה. צפי לקבלת תעודת גמר - 04/2026</t>
  </si>
  <si>
    <t>טופס 4 - התקדמות מול כלל הנושאים. סיום עבודות אזרחיות לבקשת מחלקת תשתיות העירייה. צפי קבלת אישור מח' תשתיות - 03/2026. המשך עבודות מול יועץ לטובת בנייה ירוקה. צפי לקבלת תעודת גמר - 04/2026</t>
  </si>
  <si>
    <t>טופס 4 - התקדמות מול כלל הנושאים. סיום עבודות אזרחיות לבקשת מחלקת תשתיות העירייה. צפי קבלת אישור מח' תשתיות, גביה -סוף 03/2026. המשך עבודות מול יועץ לטובת בנייה ירוקה. צפי לקבלת תעודת גמר - 04/2026</t>
  </si>
  <si>
    <t>WBE-204</t>
  </si>
  <si>
    <t>אשלים-התקנת  2 שנאים 50 מגוו"א</t>
  </si>
  <si>
    <t> 30/12/25 - עלייה לקרקע של הקבלן </t>
  </si>
  <si>
    <t>בביצוע עבודות אזרחיות</t>
  </si>
  <si>
    <t xml:space="preserve">ביצוע עבודות אזרחיות. </t>
  </si>
  <si>
    <t>המשך ביצוע עבודות אזרחיות. יסודות טרומיים בוצעו כמעט במלואם</t>
  </si>
  <si>
    <t>WBE-180</t>
  </si>
  <si>
    <t>אשלים-PV3- התקנת שני שדות קווים 161/24 ק"ו</t>
  </si>
  <si>
    <t>ביצוע עבודות אזרחיות. תיאום עבודות ביסוס של עמודי מ"ע</t>
  </si>
  <si>
    <t>WBK-021</t>
  </si>
  <si>
    <t>אבן ספיר-התקנת שנאי קישור 400/161 ק"ו שלישי, 575 מגוו"א</t>
  </si>
  <si>
    <t xml:space="preserve">בתהליך אספקת ציוד: 
10/2026 - אספקת אוטושנאים 
07/2027 - אספקת 2 דיאמטרים 400 ק"ו - התאריך אספקה אינו תומך בתאריך תכנית הפיתוח - יש לעדכן. 
28/01/26 - צפי סיור שטח לפרויקטים 021, 014 ושו"ש סוללות קבלים 
10/2026 - צפי קבלת בנק שנאי 
</t>
  </si>
  <si>
    <t>דחיית קבלת כ"כ מתכנון ל 08/2026. צפי קבלת אוטושנאים 10/2026</t>
  </si>
  <si>
    <t>דחיית קבלת כ"כ מתכנון ל 08/2026. צפי קבלת אוטושנאים 10/2026. דחיית ישיבת הקפאת תצורה מאחר ועדיין לא התקבלו תכניות יצרן</t>
  </si>
  <si>
    <t>דחיית קבלת כ"כ מתכנון ל 08/2026. צפי קבלת אוטושנאים 10/2026. בתאריך 25.3- נקבעה ישיבת הקפאת תצורה, וסיור בשטח לאחר החג</t>
  </si>
  <si>
    <t>WBK-014</t>
  </si>
  <si>
    <t>אבן ספיר-הרחבת תחמ"ג וחיבור שנאי קישור שלישי 453</t>
  </si>
  <si>
    <t>בתהליך אספקת ציוד</t>
  </si>
  <si>
    <t>בתהליך אספקת ציוד ותהליך פטור מהיתר</t>
  </si>
  <si>
    <t>WBJ-015</t>
  </si>
  <si>
    <t xml:space="preserve">דן- הקמת תחמ"ג </t>
  </si>
  <si>
    <t>ברח'ד, טובה</t>
  </si>
  <si>
    <t>גולדשטיין אורית</t>
  </si>
  <si>
    <t>ב 18.12.25 הוגשה בקשה להיתר ונתקבלו הערות והשלמות לתנאי הסף מהות"ל.
פינוי תשתיות: תש"א-הסכם חומרים אושר בועדת מכזים. הסכם ביצוע בשלבי מו"מ.קצא"א- הסכם חומרים במו"מ. הסכם ביצוע טרם נתקבל בחח"י. שאר ההסכמים טרם נחתמו (יכין, מקורות וכ"ו)</t>
  </si>
  <si>
    <t xml:space="preserve">נקבעה ישיבה עם נציגי הות"ל בנושאי כבישים ונוף.
צפי להזמנת תכנון למכרז לתכנון אזרחי: 30.01.2026
פינוי תשתיות: תש"א-הסכם חומרים אושר בועדת מכזים נמצא בשלב חתימות. הסכם ביצוע בשלבי מו"מ.קצא"א- הסכם חומרים במו"מ. הסכם ביצוע טרם נתקבל בחח"י. הסכם תכנון קו מקורות הועבר לאישור ועדת מכרזים. הסכם העתקת קו מים יכין חכ"ל הועבר לאישור ועדת מכרזים (העתקה מותנית בהסדרת דרך גישה חלופית לדרך החקלאית ) שאר ההסכמים טרם נחתמו </t>
  </si>
  <si>
    <t xml:space="preserve">נקבעה ישיבה עם נציגי הות"ל בנושאי כבישים ונוף.
צפי להזמנת תכנון למכרז לתכנון אזרחי: 30.01.2026
פינוי תשתיות: תש"א-הסכם חומרים אושר בועדת מכזים נמצא בשלב חתימות. הסכם ביצוע בשלבי מו"מ.קצא"א- הסכם חומרים הוסכם. נספח סופי הועבר לועדת מכרזים לאישור והמשך תהליך. טיוטת הסכם ביצוע נתקבל בחח"י ב 22.1.26. הסכם תכנון קו מקורות הועבר לאישור ועדת מכרזים. הסכם העתקת קו מים יכין חק"ל הועבר לאישור ועדת מכרזים (העתקה מותנית בהסדרת דרך גישה חלופית לדרך החקלאית ) שאר ההסכמים טרם נחתמו
התקיימה ישיבת סופרפוזיציה על תכנון פינוי התשתיות לכלל מתכנני חח"י. הועברה הנחיה שאין לתכנן ולהקים תשתיות חשמל בשטח רצועת התשתיות העתידית. </t>
  </si>
  <si>
    <t>הזמנת תכנון למכרז הופצה ב 29.01.2026
ממשיכים במילוי דרישות תנאי הסף לבקשה שהוגשה לות"ל ב 12/2025
נערכה ישיבה עם הות"ל בנושא כבישים ונוף.</t>
  </si>
  <si>
    <t xml:space="preserve">הזמנת תכנון למכרז הופצה ב 29.01.2026 </t>
  </si>
  <si>
    <t>הזמנת תכנון למכרז הופצה ב 29.01.2026
צפי סיום תכנון למכרז יולי 2026
ב 15.02.2026 התקיימה פגישה עם חברת יכין חכ"ל לתיאום נושאים הקשורים אליהם (שטח התארגנות, העתקת קו מים, פיצוי הפסד שטחים חקלאיים) לדרישתם - נדרש להסדיר אישור סטאטוטורי לדרך החלופית לדרך החוצה את המגרש. הנושא יבחן בישיבה שתיקבע עם נת"י</t>
  </si>
  <si>
    <t xml:space="preserve">הושלמו כל תנאי הסף להיתר, טרם התקבל מועד לדיון בועדת הות"ל.
</t>
  </si>
  <si>
    <t xml:space="preserve">נתקבלו מועדת הות"ל תיקוני גרפיקה לתוכנית. צפי לסיום התיקונים בימים הקרובים. טרם התקבל מועד לדיון בועדת הות"ל.
הסכם חומרים סופי חתום טרם נשלח לקצא"א לחתימה,. ללא קבלת הסכם חתום ע"י קצא"א לא יועבר תשלום ועל כן לא יתחיל תהליך הזמנת החומרים שצפוי לקחת מספר חודשים ונמצא בעיכוב משמעותי.
הסכם חומרים סופי חתום  נשלח לתש"א לחתימה ללא עימות משפטי מטעם חח"י ועל כן הנושא מתעכב. ללא קבלת הסכם חתום ע"י תש"א לא יועבר תשלום ועל כן לא יתחיל תהליך הזמנת החומרים שצפוי לקחת מספר חודשים ונמצא בעיכוב משמעותי.
</t>
  </si>
  <si>
    <t>נתקבלו מועדת הות"ל תיקוני גרפיקה לתוכנית. צפי לסיום התיקונים בימים הקרובים. טרם התקבל מועד לדיון בועדת הות"ל.
הסכם חומרים סופי חתום טרם נשלח לקצא"א לחתימה.
הסכם חומרים סופי חתום  נשלח לתש"א לחתימה אך טרם נתקבל חתום על ידם.
ללא קבלת הסכם חתום ע"י תש"א לא יועבר תשלום ועל כן לא יתחיל תהליך הזמנת החומרים שצפוי לקחת מספר חודשים ונמצא בעיכוב משמעותי.</t>
  </si>
  <si>
    <t>תקבלו מועדת הות"ל תיקוני גרפיקה לתוכנית. צפי לסיום התיקונים בימים הקרובים. טרם התקבל מועד לדיון בועדת הות"ל.
הסכם חומרים סופי נחתם ע"י קצא"א  ב 22.03.2026.
הסכם חומרים סופי חתום  נשלח לתש"א לחתימה אך טרם נתקבל חתום על ידם.
ללא קבלת הסכם חתום ע"י תש"א לא יועבר תשלום ועל כן לא יתחיל תהליך הזמנת החומרים שצפוי לקחת מספר חודשים ונמצא בעיכוב משמעותי.
ב 22.03.2026 התקיימהישיבה עם מנכ"ל נשרד האנרגיה והנהלת חח"י לקידום נושאים פתוחים במסגרת המו"מ עם חברות הדלק על הסכמי הביצוע.
מנהלת הפרויקט מתריעה כי נדרש לצרף גורם מקצועי מטעם חח"י לניהול החוזה וליווי התכנון החיצוני להעתקת הקוים.</t>
  </si>
  <si>
    <t xml:space="preserve">
1. עמידה בלוחות זמני פינוי תשתיות: בעיכוב פינוי קוי דלק לרבות עיכוב ביעד חתימת חוזים
2. הסדרת נושאים סטטטוריים  - תש"א וקצא"א.
3. הסדרת דרך חלופית לדרך חקלאית בהיבט סטאטוטורי
4. פינוי מנחת
5. לוז קבלת היתר מול הות"ל</t>
  </si>
  <si>
    <t>WBE-283</t>
  </si>
  <si>
    <t>צחר-הקמת שדה קו חיבור כבל תת"ק משדה עמיאל</t>
  </si>
  <si>
    <t>עבודות אזרחיות מבוצעות ע"י קבלן ההקמה</t>
  </si>
  <si>
    <t>לאור מבצע "שאגת הארי" והמצב הביטחוני - הופסקה הפעילות באתר החל מ 01.03.2026
לאור זאת הרכבה חשמלית דחתה את כניסתה לאתר בשלב זה וצפוי עיכוב ביעדי הפרויקט</t>
  </si>
  <si>
    <t>לאור מבצע "שאגת הארי" והמצב הביטחוני - הופסקה הפעילות באתר החל מ 01.03.2026</t>
  </si>
  <si>
    <t>WBC-007</t>
  </si>
  <si>
    <t>צחר- הקמת תחמש חיצונית 161/24 ק"ו</t>
  </si>
  <si>
    <t>עבודות קבלן אזרחי על המבנים(מסדר 24, חדר פיקוד ויסודות למסדר 161)
יסודות לשנאים הסתיימו.
צפי כניסת הרכבה 15.02.26 - מותנה במוכנות בשטח.</t>
  </si>
  <si>
    <t>עבודות קבלן אזרחי על המבנים(מסדר 24, חדר פיקוד ויסודות למסדר 161)
יסודות לשנאים הסתיימו.
צפי כניסת הרכבה לקראת סוף פברואר - מסתמן עיכוב ביעדי מסירה אזרחית לאור מזג האויר.</t>
  </si>
  <si>
    <t>עבודות קבלן אזרחי על המבנים
צפי קבלת חבילות מסירה להרכבה חשמלית לפי סיכום עם הקבלן .</t>
  </si>
  <si>
    <t>עבודות קבלן אזרחי על המבנים
צפי קבלת חבילות מסירה להרכבה חשמלית לפי סיכום עם הקבלן  לקראת סוף פברואר 2026</t>
  </si>
  <si>
    <t>יעד לכניסת הרכבה חשמלית: 24.02.2026
החלו בהנחת צנרת HDP. 
צפי למסירה אזרחית של מסדר 161 - 28.02.2026
ממשיכים בייצור ארונות לתחנה דיגיטלית. צפי אספקה: מאי 2026 (תואם ליעד סיום המבנים ללא מערכות).</t>
  </si>
  <si>
    <t>מכולות להתארגנות של מחלקת הרכבה חשמלית יוכנסו לאתר ב 24.02.2026 - בעיכוב של כשבועיים מהיעד המקורי לאור מזג האויר החורפי שהשפיע על התקדמות הקבלן.
צפי תחילת אספקות  ב 1.3.2026
קבלן הולכה להנחת צנרת מחוץ לשטח לשטח התחמ"ש צפוי להיכנס לעבודה במהלך השבועיים הקרובים</t>
  </si>
  <si>
    <t>מכולות להתארגנות של מחלקת הרכבה חשמלית הוכנסו לאתר ב 24.02.2026.
לאור מבצע "שאגת הארי" והמצב הביטחוני - הופסקה הפעילות באתר החל מ 01.03.2026
לאור זאת הרכבה חשמלית דחתה את כניסתה לאתר בשלב זה וצפוי עיכוב ביעדי הפרויקט</t>
  </si>
  <si>
    <t xml:space="preserve">
לאור מבצע "שאגת הארי" והמצב הביטחוני - הופסקה הפעילות באתר החל מ 01.03.2026. ב 08.03.2026 נעשה ניסיון לחזור לפעילות באתר אך מרבית הקבלנים מתנגדים להגיע.
לאור זאת הרכבה חשמלית דחתה את כניסתה לאתר בשלב זה וצפוי עיכוב ביעדי הפרויקט</t>
  </si>
  <si>
    <t>לאור מבצע "שאגת הארי" והמצב הביטחוני - הופסקה הפעילות באתר החל מ 01.03.2026. ב 23.03.2026 קבלן השלד חזר לאתר עם צוות עובדים מצומצם על מנת לקדם את העבודה האזרחית בפרויקט.
לאור זאת הרכבה חשמלית דחתה את כניסתה לאתר בשלב זה וצפוי עיכוב ביעדי הפרויקט.
קבלן להנחת צנרת מ"ע טרם נכנס לעבודה לאור המצב הביטחוני - מנהלת הפרויקט מתריעה על צפי באי עמידה בלו"ז הנדרשב 24.03.2026 צפויה להגיע מיגונית נוספת לאתר במטרה לדרבן את הקבלן להגדיל את מצבת כח האדם בשטח.</t>
  </si>
  <si>
    <t>לאור מבצע "שאגת הארי" והמצב הביטחוני - הופסקה הפעילות באתר החל מ 01.03.2026 וצפוי עיכוב ביעדי הפרויקט
לאור זאת הרכבה חשמלית דחתה את כניסתה לאתר בשלב זה וצפוי עיכוב ביעדי הפרויקט</t>
  </si>
  <si>
    <t>WBC-004</t>
  </si>
  <si>
    <t>ביכורים (אסיף)-הקמת תחמ"ש פנימית 161/24</t>
  </si>
  <si>
    <t>בהקפאה</t>
  </si>
  <si>
    <t>ישיבה בנוכחות:  יונה יהב, מנכ"ל נגה, והנהלת חח"י נקבעה ל 16.2.2026</t>
  </si>
  <si>
    <t>ב 16.02.2026 התקיימה ישיבה במעמד ראש העיר וסמנכ"ל נגה. סוכם שהעיריה תפנה את חח"י למשרד אדריכלות לשינוי נראות המבנה. טרם נתקבל פרוטוקול מישיבה זו.</t>
  </si>
  <si>
    <t>WBE-154</t>
  </si>
  <si>
    <t>ירושלים ה -הוספת שנאי 514 , 56 מגוו"א</t>
  </si>
  <si>
    <t>ברקוביץ, משה</t>
  </si>
  <si>
    <t>השנאי חושמל ביום שני 12.126 עם פ"צ מס' 1. כניסת מבדקת תחמ"ש לבדיקת מסדרי מ"ג חדשים מתוכנן למרץ 2026.</t>
  </si>
  <si>
    <t>השנאי חושמל ביום שני 12.1.26 עם פ"צ מס' 1. כניסת מבדקת תחמ"ש לבדיקת מסדרי מ"ג חדשים מתוכנן למרץ 2026.</t>
  </si>
  <si>
    <t>צפי לבדיקת שנאי תקול 511 - אמצע מרץ 26. בהתאם לממצאים: אם השנאי תקול - שנאי חדש יגיע בספטמבר 26' ולכן עד אז לא יהיה שינוי מצב. במידה והשנאי תקין - מסדר מ"ג של פ"צ 4 - ייבדק ויחושמל בהתאם לתיעדוף של אגף השנאה.</t>
  </si>
  <si>
    <t>צפי לבדיקת שנאי תקול 511 -  מרץ 26. בהתאם לממצאים: אם השנאי תקול - שנאי חדש יגיע בספטמבר 26' ולכן עד אז לא יהיה שינוי מצב. במידה והשנאי תקין - מסדר מ"ג של פ"צ 4 - ייבדק ויחושמל בהתאם לתיעדוף של אגף השנאה.</t>
  </si>
  <si>
    <t>WBM-00885-055</t>
  </si>
  <si>
    <t>ירושלים ה'- התאמת מע' מים לכיבוי אש</t>
  </si>
  <si>
    <t>הושלמו כלל המסמכים עבור תיק הרישוי. למרות תזכורות עדיין לא התקבלה תגובת העירייה. התכנון (ע"י פרוייקטי ייצור) בשלבי בדיקה אחרונים. בהתאם לתזמון ההיתר הבנייה נקיים RFT</t>
  </si>
  <si>
    <t>ביום 4.2 תתקיים פגישה מקדימה ל RFT. מסמכים שהועלו לעיריית ים' לא נקלטו כנדרש. הנושא בבדיקה.</t>
  </si>
  <si>
    <t>פגישה מקדימה ל RFT נדחתה ליום 11.2.</t>
  </si>
  <si>
    <t>סיור עם תכנון אזרחי ופיקוח אזרחי מתואם ליום 26.2.26. לאחריו נקיים DR ובהמשך RFT</t>
  </si>
  <si>
    <t xml:space="preserve">התקיים סיור עם התכנון ופיקוח אזרחי  התקבלו הערות מגזר הפיקוח. באחריות התכנון להוסיף את ההערות.נקיים  DR בעוד כשבועיים </t>
  </si>
  <si>
    <t>ישיבת DR תואמה ל- 29.3.26</t>
  </si>
  <si>
    <t>מדור רישוי עידכנו כי צפי לקבל היתר בנייה - אוג' 26. ב- 29.3.26 תואמה פגישת DR. לקראת מאי נקיים RFT. נשלחה הודעה לאגף רשת ים' לפנות את שטח המיועד לבניית המיכל</t>
  </si>
  <si>
    <t>מדור רישוי עידכנו כי צפי לקבל היתר בנייה - אוג' 26.  פגישת DRנדחתה לאחר פסח עקב הארכת חופשה. לקראת מאי נקיים RFT. נשלחה הודעה לאגף רשת ים' לפנות את שטח המיועד לבניית המיכל</t>
  </si>
  <si>
    <t>קבלת היתר בנייה, בחירת קבלן / מכרז.</t>
  </si>
  <si>
    <t>WBC-044</t>
  </si>
  <si>
    <t>ירושלים דרום (גבעת המטוס)-הקמת תחמ"ש פנימית 161/13.8</t>
  </si>
  <si>
    <t>צפי קבלת תכנון תשתיות עתידי בסוף ינואר מחברת מתן בראשי. פגישה עם ישיבת אתרי נדחתה משבוע שעבר ליום 21.1.26 יחד עם מנהל נכסים בנושא הסכם השכרת שטח עבור התארגנות</t>
  </si>
  <si>
    <t>התקיימה פגישת מו"מ עם ישיבת איתרי ומנהל נכסים בנושא השכרת שטח עבור שטח התארגנות. עם קבלת הערכה שמאית ומדידה נוספת של השטח נקיים פגישה מסכמת. מיקום תשתיות עתידי צפוי להתקבל ע"י נציג העירייה היום בערב. דווח ע"י מתכנן הכביש כי נדרש ליישם את קיר הדיפון המזרחי של התחמ"ש כדי לבצע את הצומת והכביש על ידם. נקיים פגישה ונבין את הארוע. העירייה מעודכנת.</t>
  </si>
  <si>
    <t>התקיימה פגישת מו"מ עם ישיבת איתרי ומנהל נכסים בנושא השכרת שטח עבור שטח התארגנות. עם קבלת הערכה שמאית ומדידה נוספת של השטח נקיים פגישה מסכמת. מיקום תשתיות עתידי התקבל והועבר למתכננים. דווח ע"י מתכנן הכביש כי נדרש ליישם את קיר הדיפון המזרחי של התחמ"ש כדי לבצע את הצומת והכביש על ידם. נקיים פגישה ונבין את הארוע. העירייה מעודכנת.</t>
  </si>
  <si>
    <t>התקיימה פגישה בנושא קיר דיפון מזרחי. סוכם פתרון "דיקור" שטח חח"י. מקובל על כל הצדדים כולל העירייה. נבחנת מחדש סוגיית כניסות מ"ג בצד דרום - יש ריבוי תשתיות ומעט מקום. התקיימה פגישה עם מחוז ים' ותכ' א"מ - בוחנים הצבת שוחה בצד מזרח שביצוע יהיה יחד עם הכביש ויפחית עומס מצד דרום. כאשר תגובש, נקיים פגישה נוספת עם העירייה ומתכנן הכביש והצומת.</t>
  </si>
  <si>
    <t xml:space="preserve">בתאריך 17/2 תתקיים פגישה בנושא פיזור כבלי מ"ג ע"י שוחה חיצונית עם מחוז ים'. תכנון כביש וצומת מתקדם. מקודם תצ"ר הכולל טבלאות איזון וחלוקה. בסיום התהליך הכביש ירשם ע"ש העירייה והתחמ"ש ירשם ע"ש רמ"י.
התצ"ר אושר בעירייה והועבר לבדיקת מפ"י (מרכז מיפוי ישראל) ולאחריו יעבור לרישום בטאבו.
</t>
  </si>
  <si>
    <t>עד 26.2.26 צפויים לקבל פריסת כבלים מ"ג ושוחות חיצוניות ממחוז ים' בהתאם לסיכום בנושאים קריטיים. תכנון כביש וצומת מתקדם. מקודם תצ"ר הכולל טבלאות איזון וחלוקה. בסיום התהליך הכביש ירשם ע"ש העירייה והתחמ"ש ירשם ע"ש רמ"י. ביום 22.2.26 הושלמו מדידות בשטח כולל שטח התארגנות - לא ניתן אישור ע"י כבאות למדוד גבהים בשטח שלהם.</t>
  </si>
  <si>
    <t>תכנון פריסת כבלים מ"ג ושוחות עדיין לא התקבל (סוכם אצל מנהל האגף שיתקבל ב-26.2). התקיים דיון מקצועי בנושא קיר סלארי - הוחלט ממס' רב של סיבות לבצע קיר כלונסאות. הושלמה תוכנית מדידה בהתאם לדרישת האדריכל. ביום 5.3 יוצג תכנון שוחות ופריסת כבלים מ"ג למתכננים כולל מתכנן כביש וצומת.</t>
  </si>
  <si>
    <t>מדידות חדשות הועברו למתכננים. התקיימו עוד 2 פגישות בנושא שוחות ופריסת כבלים מ"ג בשלב סופי. בשבוע הבא נדרש עוד סיור בשטח כדי לסכם סופית את הנושא. נתאם פגישה עם חברת מתן בראשי על מנת להציג להם את התכנון  - עם קבלת אישור מהם ניתן יהיה לקדם את ההיתר לחפירה, ההיתר לכביש וצומת - יש לשלב את עבודות השוחות עם ביצוע הכביש והצומת. עדיין לא התקבל שומת מקרקעין ממנר"א לצורך קידום נושא שטח ההתארגנות.</t>
  </si>
  <si>
    <t>ביום 16.3 יוצג תכנון פריסת הכבלים החדשה למתכנני חב' מתן בראשי (כביש וצומת). בהתאם נקדם פגישה עם מחלקת תנועה בעירייה ומנהל מחוז ים' לסכם בניית השוחות תוך כדי הסדרת כביש וצומת.  עדיין לא התקבל שומת מקרקעין ממנר"א לצורך קידום נושא שטח ההתארגנות.</t>
  </si>
  <si>
    <t>הוצגה פריסת כבלים ומובלים. השבוע יועברו תוכניות מפורטות לחברת מתן בראשי לאישור. בהתאם יעודכנו מתכננים אזרחיים. התקיימה פגישה ראשונה עם הגיחון בנושא העתקת גמל מים של תחנת כבאות. צפויה פגישה שנייה בשיתוף נציג כבאות. יידרש להעתיק גם 2 סוגי צנרת מים - לחץ נמוך וביניים. נושא שומת המקרקעין נבדק ע"י עו"ד מטעם מתן בראשי. אחרי חג הפסח צפויה פגישה מסכמת בנושא הסכם חתום עם ישיבת איתרי.</t>
  </si>
  <si>
    <t>השלמת השכרת שטח התארגנות מישיבת אתרי. השלמת תכנון וביצוע כביש וצומת כתנאי להיתר בנייה. תא שטח קטן וחפירה מאוד עמוקה. כמות כבלים מ"ג גבוהה מאוד יחסית לשטח.</t>
  </si>
  <si>
    <t>WBE-093</t>
  </si>
  <si>
    <t>ירושלים ד'- הקמת בנין</t>
  </si>
  <si>
    <t>לקראת השלמת כלל הבדיקות לקבלת תעודת גמר. בטיפול שרונה רידוד דרישות עיריית ים'. בדיקות של מדור בדיקות צפוי לסיים בשבוע הבא. נדרש לבחון תיקון דליפות גז במס' תאים (תוקן ע"י סימנס).</t>
  </si>
  <si>
    <t>לקראת השלמת התנאים. לקראת השלמת הבדיקות.</t>
  </si>
  <si>
    <t>בבדיקות של מבדקת תחמ"ש - צפי לסיום סוף פברואר. הערת פקע"ר - העתקת מזגן בממ"מ - מבוצע השבוע. השלמת חייגן וכרטיס סים - השבוע. בכך יושלמו הערות גילוי אש. נדרש עדכון עורך הבקשה אביב שניידר. צפי קבלת תעודת גמר (טופס 4) אמצע פברואר 26'.</t>
  </si>
  <si>
    <t>המשך בדיקות מבד' תחמ"ש. הושלמו הערות כיבוי  אש. הושלם חייגן. עם קבלת עדכון עורך הבקשה (אביב במקום מוני) צפויים לקבל תעודת גמר. ביום 5.2 תתקיים פגישה עם מחוז ים' בראשות ליאור ברקוביץ לגבי תוכנית להעתקות כבלים מ"ג ומ"נ בשילוב כל קבוצות העבודה וקבלן אזרחי מטעמנו.</t>
  </si>
  <si>
    <t>בדיקות מבדקת תחמ"ש צפויות להסתיים בסוף פברואר. לקראת השחלת 150 כבלי פיקוד. התקיימה פגישה עם יוסי אילוז ומחוז ים' כולל מתכנני האגף ויח' תחמ"ש - סוכם על המשך פעילות של כולם. נקבעו מס' פגישות עבודה לקדם את נושא העתקת התשתיות. נדרש לגבש עד פסח לו"ז מוסכם. עדיין לא נחתם סופית הסכם שו"שים חדש, לפיכך כתב כמויות צפוי להתקבל במהלך מרץ 26' - דבר זה עלול לגרום לעיכוב התחלת עבודות אזרחיות הנדרשות (נדרשות לאחרי פסח ועד חודש יולי).</t>
  </si>
  <si>
    <t>בדיקות מבדקת תחמ"ש צפויות להסתיים בסוף פברואר. התחלת השחלת 150 כבלי פיקוד. התקיימה פגישה עם יוסי אילוז ומחוז ים' כולל מתכנני האגף ויח' תחמ"ש - סוכם על המשך פעילות של כולם. נקבעו מס' פגישות עבודה לקדם את נושא העתקת התשתיות. נדרש לגבש עד פסח לו"ז מוסכם. עדיין לא נחתם סופית הסכם שו"שים חדש, לפיכך כתב כמויות צפוי להתקבל במהלך מרץ 26' - דבר זה עלול לגרום לעיכוב התחלת עבודות אזרחיות הנדרשות (נדרשות לאחרי פסח ועד חודש יולי).</t>
  </si>
  <si>
    <t>בדיקות מבד' תחמ"ש יסתיימו השבוע. בדיקות מתח יתר - תוזמנו לאמצע מרץ 26'. ד"ש עבור עבודות קבלן חדש הועבר למכרזים כולל כלל החומר. בשלבי גיבוש תוכנית מפורטת להעתקות קווי מ"ג. המשך השחלת כבלי פיקוד (בקצב מוגבל עקב הרמאדן).</t>
  </si>
  <si>
    <t>עדיין קיים דליפת גז מינורית באחד מפסי הצבירה. פועלים להבאת מעבדה מטעם חחי ואם לא יעזור את סימנס. המשך השחלת כבלי פיקוד - בקצב מתחת לממוצע עקב צום רמדאן. דרישת שירות לעבודות אזרחיות להעתקת תשתית הועברה למח' מכרזים. המשך עדכון תוכנית הכנסה לפעולה של כלל 5 מסדרי מ"ג. בדיקת מתח יתר תוזמנה ל- 15.3.26. תיקון מ"מ אינו מקובל על יח' תחמ"ש - בבדיקת מח' ציוד מול וועדת מכרזים - אישור הצעת מחיר של 40000 ש"ח לרכישת חדש - עקב סיום אחריות (המסדר היה במחסנים כ-3 שנים).</t>
  </si>
  <si>
    <t>עובדי סימנס יגיעו ביום 12.3 לטיפול בנושא דליפת הגז. עובדי קבלן משיכת כבלים לא הגיעו בשבוע שעבר עקב מחסור במשגיחים. מנסים להחזירם השבוע (ראשון ושני לא נגיעו). סה"כ הושחלו כ-40% מכבלי הפיקוד. תוכנית להעתקת מסדרים ישנים לחדשים הופצה - לקראת פגישה מסכמת לנושא טרם הפסח.</t>
  </si>
  <si>
    <t>נמצאה דליפת גז בתא 1006. נדרש להוריד גז ולתקן ע"י סימנס. פועלים לבצע זאת בשבוע הבא. עדיין לא אושר החלפת מ"מ שנמצא סדוק ותוקן ע"י סימנס (אחריות הסתיימה). השחלת כבלי פיקוד שלב א תסתיים השבוע. נספח 5א נשלח להערות טרם העברתו לפיקוח אזרחי. ביום חמישי תתקיים פגישה מורחבת בראשות מנהל המרחב (ליאור ברקוביץ) בנושא מוכנות להעתקות - נדרש עבודות אזרחיות, הפסקות 4 שנאים לסירוגין ועבודה מתואמת בין כלל הקבוצות.</t>
  </si>
  <si>
    <t>דליפת הגז מתוקנת החל מיום 23.3 ע"י חברת סימנס. עדיין לא אושר החלפת מ"מ שעבר תיקון. נותרו 10 כבלי פיקוד להשחיל. הושלם הכנת 70% מכבלי הפיקוד לתוך דופלקס. נותרו כלל הכבלים לחיווט במסדרים חדשים. התקיימה פגישה מורחבת בנושא העתקות תשתית בראשות ליאור ברקוביץ. יצא סיכום עם משימות. השבוע נשלים סבב נוסף של פגישות לסכם את מרבית הפרטים. מכינים גם הפסקת שנאים כחלק מעבודות מקדימות וכדי לאפשר הפסקות קצרות יותר בחודשים חמים. הערכות לקראת היתרי חפירה. נספח 5א הועברו הערות יח' תחמ"ש ופיקוח אזרחי - יועבר לחתימת בוריס וגלי.</t>
  </si>
  <si>
    <t>1בחירת קבלן אזרחי בהסכם שו"ש החדש. 2.ביצוע העתקת קווי מתח גבוה. 3. עבודות אזרחיות שיאפשרו את ההעתקות. 4. העתקת כבלי מתח פיקוד לתפעול מסדרים חדשים דרך חדר פיקוד ישן.</t>
  </si>
  <si>
    <t>WBE-278</t>
  </si>
  <si>
    <t>תעשיה אדומים-משיק ל-wbn-103-הוספת שני שדות מעגלים 161 ק"ו</t>
  </si>
  <si>
    <t xml:space="preserve">בן חמו, דביר </t>
  </si>
  <si>
    <t xml:space="preserve">טרם התקבל מזכר מנגה - לא ניתן להתקדם, טרם עבר הקפאת תכולה </t>
  </si>
  <si>
    <t xml:space="preserve">טרם התקבל מזכר מנגה - לא ניתן להתקדם, נדרש לקבל בדחיפות ע"מ להתקדם </t>
  </si>
  <si>
    <t xml:space="preserve">התקבל ממערכת תבונה שינוי ת.פ - שם מופיע 
תעשיה אדומים-משיק ל-wbn-103-הוספת שני שדות מעגלים 161 ק"ו	WBE-278 31/12/2029
</t>
  </si>
  <si>
    <t>לא ניתן להתחיל את הפרויקט</t>
  </si>
  <si>
    <t>WBE-148</t>
  </si>
  <si>
    <t>צפית-החלפת מנתקים, מ"ז ומ"מ 400 ק"ו</t>
  </si>
  <si>
    <t>מדובר בפרויקט בשלבים בכל עונת מעבר להפסקות עד לתאריך 30/03/2028</t>
  </si>
  <si>
    <t xml:space="preserve">ממתינים לעונת מעבר מרץ 26 להפסקות </t>
  </si>
  <si>
    <t>בימים אלה הופסקה יחידת יצור בתחנת הכוח צפית - אנחנו מנצלים את ההפסקה להחלפת משנה זרם נוסף בשדה 3C. לאחר מכן נמשיך על פי תוכנית מקורית</t>
  </si>
  <si>
    <t>בתוכנית הפסקות התקבלה הפסקה של 3 שבועות לשדה 6A ו6C נערכים לעבודה לתקופה זו</t>
  </si>
  <si>
    <t>נקבע תחילת עבודות דיאמטר 6 לתאריך 26.04.2026</t>
  </si>
  <si>
    <t>ממתינים לקבלת הזמנה ממכרזים</t>
  </si>
  <si>
    <t>WBM-40487</t>
  </si>
  <si>
    <t>צפית -החלפת ציוד 161 ק"ו-שדות 6,9</t>
  </si>
  <si>
    <t>מדובר בשלוש עונות מעבר של הפסקות עד ל- 03/2027</t>
  </si>
  <si>
    <t>התקבל כתב כמויות -  מתוכנן סיור עם פיקוח אזרחי ב-19.01.26</t>
  </si>
  <si>
    <t>התקבל כתב כמויות -  מתוכנן סיור עם פיקוח אזרחי ב-27.01.2026</t>
  </si>
  <si>
    <t>התקבל כתב כמויות -  מתוכנן סיור עם פיקוח אזרחי ב-02.02.2026</t>
  </si>
  <si>
    <t>המתנה לתקופת הפסקות הבאה</t>
  </si>
  <si>
    <t>WBM-40489-ST2</t>
  </si>
  <si>
    <t>צפית  - החלפת ציוד 161 ק"ו בשדה 14</t>
  </si>
  <si>
    <t>מדובר בשלוש עונות מעבר של הפסקותעד ל- 03/2027</t>
  </si>
  <si>
    <t xml:space="preserve">יצא RFT </t>
  </si>
  <si>
    <t xml:space="preserve">תחילת עבודות ב-01.03.2026 יש פגישת מנהלי מחלקות ומגזרים עבור הבנת הלו"ז וקבלת החלטות על זמני העבודה </t>
  </si>
  <si>
    <t>תחילת עבודות 01.03.2026</t>
  </si>
  <si>
    <t>עקב המצב הביטחוני הפרויקט הוקפא. נדע בהמשך האם הפרויקט יבוצע בחלקו או כולו בתקופת ההפסקות הנוכחית</t>
  </si>
  <si>
    <t xml:space="preserve">ברקע המצב הביטחוני הפרויקט אינו מתועדף בנגה </t>
  </si>
  <si>
    <t>WBE-240</t>
  </si>
  <si>
    <t>סדום צפון-הקמת שדה לצורך קליטת קו מפארן</t>
  </si>
  <si>
    <t xml:space="preserve">טרם עבר הקפאת תכולה </t>
  </si>
  <si>
    <t>WBM-40305</t>
  </si>
  <si>
    <t>סדום צפון-התא.שדות (3)לכורנוב ו (8) לסדו</t>
  </si>
  <si>
    <t>01/07/2026 לא אפשרי! יתקבל יעד חדש לאחר קבלת המסמכים</t>
  </si>
  <si>
    <t>14/01/2026 - פגישה עם מתכנו מ"ע לבדיקת ישימות.</t>
  </si>
  <si>
    <t>נערך סיור בשטח נבדקות אפשרויות גישור שונות - תתקיים ישיבת המשך לבדיקת סטטוס התכנון בעוד כשבועיים</t>
  </si>
  <si>
    <t>נערך סיור בשטח נבדקות אפשרויות גישור שונות - תתקיים ישיבת המשך לבדיקת סטטוס התכנון בתאריך 29.01.2026</t>
  </si>
  <si>
    <t>נערך סיור בשטח נבדקות אפשרויות גישור שונות - תתקיים ישיבת המשך לבדיקת סטטוס התכנון בתאריך 08.02.2026</t>
  </si>
  <si>
    <t>WBE-114</t>
  </si>
  <si>
    <t>סדום צפון-החלפת שנאי  ל-50 מגוו"א והתאמת יציאות מ"ג</t>
  </si>
  <si>
    <t>25.01.2026-נקבע תחילת עבודות</t>
  </si>
  <si>
    <t>עבודות מתקיימות בימים אלה</t>
  </si>
  <si>
    <t>עבודה צפויה להסתיים בתאריך 19.02.2026</t>
  </si>
  <si>
    <t>הסתיים בתאריך 18/2/26</t>
  </si>
  <si>
    <t>WBE-279</t>
  </si>
  <si>
    <t>מעלה אפריים- משיק ל-wbo-103-הוספת ארבעה שדות מעגלים 161 ק"ו</t>
  </si>
  <si>
    <t>WBM-60088-024</t>
  </si>
  <si>
    <t>ירושלים ג' – השלמת מאצרות שמן</t>
  </si>
  <si>
    <t>ממתינים לעליית קבלן עד לסוף החודש</t>
  </si>
  <si>
    <t>קבלן התחיל עבודתו היום</t>
  </si>
  <si>
    <t>קבלן התחיל עבודתו 15/2/26</t>
  </si>
  <si>
    <t>הוקפא בשל המצב הביטחוני</t>
  </si>
  <si>
    <t>ממשיכים בעבודות לאחר הפוגה של שבוע עקב המצב הביטחוני</t>
  </si>
  <si>
    <t>WBM-40532</t>
  </si>
  <si>
    <t>ירושלים ג'- התאמת שדה מקשר (5,6) ליכולת 1400 א'</t>
  </si>
  <si>
    <t xml:space="preserve">בשלב תכנון </t>
  </si>
  <si>
    <t xml:space="preserve">הועבר לאישור תוכנית הפסקות סתיו 2026 </t>
  </si>
  <si>
    <t>WBM-40531</t>
  </si>
  <si>
    <t>ירושלים ג'- התאמת שדה 3 ליכולת 1400 א'</t>
  </si>
  <si>
    <t>01.03.2026-תחילת עבודות</t>
  </si>
  <si>
    <t xml:space="preserve">בתוכנית הפסקות של הולכה יש קושי לקיים את העבודה במקביל עם ניידת רמת רחל נדרש תיעדוף </t>
  </si>
  <si>
    <t>בשיחה שהיתה עם מנהלת המחלקה תועדפה ניידת רמת רחל והוחלט לנסות לקדם לתוכנית הפסקות הבאה.</t>
  </si>
  <si>
    <t>הפסקה</t>
  </si>
  <si>
    <t>WBE-258</t>
  </si>
  <si>
    <t>ירושלים ג- החלפת שנאי 521 וציוד בשדה 161 ק"ו מס' 2</t>
  </si>
  <si>
    <t xml:space="preserve">תחילת העבודות נדחו בשבוע עקב המצב הביטחוני. העבודה החלה השבוע </t>
  </si>
  <si>
    <t xml:space="preserve">השבוע תחילת עבודות אזרחיות </t>
  </si>
  <si>
    <t>ביצוע</t>
  </si>
  <si>
    <t>WBM-00895</t>
  </si>
  <si>
    <t>סדום דרום</t>
  </si>
  <si>
    <t>30/06/2026 לא אפשרי! עיכוב בקבלת קבלן נכון להודעה אחרונה החישמול יהיה ב-09.2026</t>
  </si>
  <si>
    <t>ממתינים לקבלן זוכה</t>
  </si>
  <si>
    <t>המכרזים הודיעו כי ייתכן שקבלן יגיע רק לקראת חודש מרץ 26</t>
  </si>
  <si>
    <t>התקבל מהמכרזים כי יתקיים סיור קבלנים בתאריך - 24.02.2026</t>
  </si>
  <si>
    <t xml:space="preserve">התקיים סיור קבלנים ממתינים לתוצאות המכרז </t>
  </si>
  <si>
    <t>צפי עליית קבלן לקרקע 30/4/26</t>
  </si>
  <si>
    <t>החשמול עלול להתעכב. בעקבות חישמול ניידת חצבה בתצורה זמנית יש נחיצות גדולה לסיים את הפרויקט להוספתת שדה 1A. מנגה נמסר שהתצורה הנוכחית פוגעת באמינות הרשת.</t>
  </si>
  <si>
    <t>WBE-194</t>
  </si>
  <si>
    <t>קרית הלאום
משיק wbo-122-הרחבת מסדר פנימי 161 ק"ו ב-3 שדות מ"ע , 2שדות קווים למעגלים מתחמ"ג ירושלים</t>
  </si>
  <si>
    <t>14.01.2026-ישיבת התנעה</t>
  </si>
  <si>
    <t>לאחר ישיבת התנעה נקבע המשך מעקב על הזמנת הציוד מהיצרן - לקביעת לו"ז מתאים</t>
  </si>
  <si>
    <t>נקבעה פגישת סטטוס ציוד לתאריך 01.03.2026</t>
  </si>
  <si>
    <t>בפגישת סטטוס ציוד נמסר שישנם שיחות עם היצרן יתקיים מעקב אחת לחודש/חודשיים לבחינת התקדמות ייצור המסדר</t>
  </si>
  <si>
    <t>WBK-022</t>
  </si>
  <si>
    <t>גן שורק מסדר 400 ק"ו-הקמת דיאמטר 5 עם 2 יציאות 400 ק"ו לתחמ"ג תקומה</t>
  </si>
  <si>
    <t>נמסר מזכר תכולות מנגה</t>
  </si>
  <si>
    <t xml:space="preserve">מאחר ומדובר בציוד ייחודי נדרש לפתוח פס ייצור ייעודי על כן נמצא בשלב אפיון ציוד </t>
  </si>
  <si>
    <t>ת.פ זז לתאריך 04.2033</t>
  </si>
  <si>
    <t>WBE-287</t>
  </si>
  <si>
    <t>גן שורק-חיבור 4 מעגלי כבלים מתח"כ שורק 900 לשדות 6,7,8,9</t>
  </si>
  <si>
    <t>15.11.2025-נערכה ישיבת התנעה + סיור בתחמ"ש. המשך התכנון נעצר עקב המתנה להכנסת הפרויקט לתוכנית שנתית של מגזר תכנון. ב-19.01.2026-נקבעה ישיבת הקפאת תצורה.</t>
  </si>
  <si>
    <t>19.01.2026, היום - נערכה ישיבת המשך, תיקבע ישיבה להקפאת תצורה</t>
  </si>
  <si>
    <t>יש בקשה ממגזר תכנון להזיז את הלו"ז לקבלת כתב כמויות רק בחודש 8.26 ולא בחודש 5.26 על פי בקשה מקורית כרגע לא מעכב חשמול</t>
  </si>
  <si>
    <t>פגישת סטטוס הציוד תתקיים ב-20.04</t>
  </si>
  <si>
    <t>WBC-078</t>
  </si>
  <si>
    <t>תל השומר- הקמת תחמ"ש פנימית 161/24 ק"ו</t>
  </si>
  <si>
    <t>יהודר בכר, אורית</t>
  </si>
  <si>
    <t>עבודה אזרחית- ביצוע חפירות וכלונסאות. התקבל התייחסות תש"א - יש  אישור לביצוע,  לבחון המשך טיפול נדרש, מתנים  דו'' ח השפעה לצורך חישמול תחמ''ש</t>
  </si>
  <si>
    <t>עבודה אזרחית- ביצוע חפירות וכלונסאות. התקבל התייחסות תש"א - יש  אישור לביצוע,  לבחון המשך טיפול נדרש, מתנים  דו'' ח השפעה לצורך חישמול תחמ''ש- שאול שגיא - טרם התקבלה תשובה</t>
  </si>
  <si>
    <t xml:space="preserve">עבודה אזרחית- ביצוע חפירות וכלונסאות. התקבל התייחסות תש"א - יש  אישור לביצוע, הועבר מייל לנדב ושגיא  להמשך טיפול  אישור התחייבות חח"י מהולכה , מתנים  דו'' ח השפעה לצורך חישמול תחמ''ש. </t>
  </si>
  <si>
    <t xml:space="preserve">עבודה אזרחית- ביצוע חפירות וכלונסאות. כ 60% התקבל התייחסות תש"א - יש  אישור לביצוע,  להמשך טיפול  נדב ברזילי מול נגה ותש"א עדכון מכתב  התחייבות לצורך חישמול תחמ''ש. </t>
  </si>
  <si>
    <t>עבודה אזרחית- ביצוע חפירות וכלונסאות. כ 80% התקבל התייחסות תש"א - יש  אישור לביצוע,  להמשך טיפול  נדב ברזילי מול נגה ותש"א עדכון מכתב  התחייבות לצורך חישמול תחמ''ש.  המשך עבודה רפסודה. הועברה פניה  לעדכון ל 10.27 עם בנ"מ</t>
  </si>
  <si>
    <t>התקבל התייחסות תש"א - יש  אישור לביצוע,  להמשך טיפול  נדב ברזילי מול נגה ותש"א עדכון מכתב  התחייבות לצורך חישמול תחמ''ש.- הועברה התייחסות חוזרת  לתש''א עבודה אזרחית - בוצעו כ 80%,  המשך עבודה רפסודה. הועברה פניה  לעדכון ל 10.27 עם בנ"מ</t>
  </si>
  <si>
    <t>28.2.26- מבצע שאגת הארי ,הפסקת כלל העבודה קבלן וחח"י באתר עקב מצב בטחוני 
החלו עבודות קבלן בתאריך 3/3/26</t>
  </si>
  <si>
    <t>עבודות אזרחיות - בשלב  בדיקת כלונסאות פי כשבועיים, המשך עבודות פינוי עפר , הכנה לרפסודה.</t>
  </si>
  <si>
    <t>עבודות אזרחיות - בשלב  בדיקת כלונסאות צפי כשבועיים, המשך עבודות פינוי עפר , הכנה לרפסודה.</t>
  </si>
  <si>
    <t>עבודות אזרחיות - בשלב  בדיקת כלונסאות - 161 וושנאים בדיקות תקינות , המשך עבודות פינוי עפר , הכנה לרפסודה.</t>
  </si>
  <si>
    <t>אישור תש''א - יידרש לחישמול התחמ''ש - בטיפול של נציג איכות הסביבה. נשלחה התייחסות לתש''א טרם התקבל מענה- לבדיקה מול שאול שגיא, נדב ברזילי</t>
  </si>
  <si>
    <t>WBC-073</t>
  </si>
  <si>
    <t>רחובות צפון- הקמת תחמ"ש פנימית 161/24 ק"</t>
  </si>
  <si>
    <r>
      <rPr>
        <rFont val="Arial"/>
        <color rgb="FF000000"/>
        <sz val="12.0"/>
      </rPr>
      <t>עבודה אזרחית - עיכוב בעבודות קבלן 4 חד'. השלמת מסדר 24 ק"ו- צפי סיום סוף חודש 1.26, שנאים - וחדר פיקוד - צפי מסירה אמצע פברואר., בביצוע גדר., מערכות אלק"מ. הרכבה חשמלית - הרכבת מסדר 161 ק"ו</t>
    </r>
    <r>
      <rPr>
        <rFont val="Arial"/>
        <color rgb="FFFF0000"/>
        <sz val="12.0"/>
      </rPr>
      <t>. יש עיכוב בעבודות אישור לרת"ק ממהנדס עיריית נס ציונה - בטיפול דורון שגי- נדרש טיפול ההנהלה</t>
    </r>
  </si>
  <si>
    <t>עבודה אזרחית - עיכוב בעבודות קבלן 4 חד'. השלמת מסדר 24 ק"ו- צפי סיום סוף חודש 1.26, שנאים - וחדר פיקוד - צפי מסירה אמצע פברואר., בביצוע גדר., מערכות אלק"מ. הרכבה חשמלית - הרכבת מסדר 161 ק"ו. קיים צפי לעמידה בלוז חישמול 7.26, צפי  לחודש 9.26.  יש עיכוב בעבודות אישור לרת"ק ממהנדס עיריית נס ציונה - בטיפול דורון שלגי- נדרש טיפול ההנהלה- בתאריך 27.1 עם מהנדס העיר</t>
  </si>
  <si>
    <t>קיים עיכוב בעבודות אזרחיות,  מסדר 24 ק"ו- עיכוב לתחילת חודש 2/26 בקום סוף חודש 1.26. חדר פיקוד , שנאים - צפוי עיכוב לסוף חודש 2.26.  חיווטים - עבודות הרבה - הוחלט ע"י קבלן חיווטים, בשלביי אישור . הרכבה  חשמלית - המשך עבודות מסדר 161 ק"ו .קיים צפי לעמידה בלוז חישמול 7.26, צפי  לחודש 9.26.  יש עיכוב בעבודות אישור לרת"ק ממהנדס עיריית נס ציונה - בטיפול דורון שלגי- נדרש טיפול ההנהלה- בתאריך 27.1 עם מהנדס העיר</t>
  </si>
  <si>
    <t>קיים עיכוב בעבודות אזרחיות,  מסדר 24 ק"ו- עיכוב לתחילת חודש 2/26 בקום סוף חודש 1.26. חדר פיקוד , שנאים - צפוי עיכוב לסוף חודש 2.26.  חיווטים - עבודות הרבה - החלו עבודות  קבלן חיווטים- יש לבחון התקדמות שלא יהווה עיכוב . הרכבה  חשמלית - המשך עבודות מסדר 161 ק"ו .קיים צפי לעמידה בלוז חישמול 7.26, צפי  לחודש 9.26.  יש עיכוב בעבודות אישור לרת"ק ממהנדס עיריית נס ציונה - צפוי עיכוב חיבור לחודש 8.26</t>
  </si>
  <si>
    <r>
      <rPr>
        <rFont val="Arial"/>
        <color theme="1"/>
        <sz val="12.0"/>
      </rPr>
      <t>קיים עיכוב בעבודות אזרחיות,  מסדר 24 ק"ו- עיכוב לחודש 2/26 במקום סוף חודש 1.26. חדר פיקוד, שנאים - צפוי עיכוב ל3/26.</t>
    </r>
    <r>
      <rPr>
        <rFont val="Arial"/>
        <b/>
        <color theme="1"/>
        <sz val="12.0"/>
      </rPr>
      <t>העיכוב גדל.</t>
    </r>
    <r>
      <rPr>
        <rFont val="Arial"/>
        <color theme="1"/>
        <sz val="12.0"/>
      </rPr>
      <t xml:space="preserve">  קבלן חיווטים- יש לבחון התקדמות שלא יהווה עיכוב . הרכבה חשמלית - המשך עבודות מסדר 161 ק"ו .קיים צפי לאי עמידה בלוז חישמול 7.26, צפי לחודש 9.26.  יש עיכוב בעבודות אישור לרת"ק ומתח גבוה ממהנדס עיריית נס ציונה - צפוי עיכוב חיבור לחודש 8.26</t>
    </r>
  </si>
  <si>
    <r>
      <rPr>
        <rFont val="Arial"/>
        <color rgb="FF000000"/>
        <sz val="12.0"/>
      </rPr>
      <t>קיים עיכוב בעבודות אזרחיות,  מסדר 24 ק"ו ומסדר אפס- מסירה 16.2.2. חדר פיקוד, שנאים - צפוי עיכוב ל3/26.</t>
    </r>
    <r>
      <rPr>
        <rFont val="Arial"/>
        <b/>
        <color rgb="FF000000"/>
        <sz val="12.0"/>
      </rPr>
      <t>העיכוב גדל.</t>
    </r>
    <r>
      <rPr>
        <rFont val="Arial"/>
        <color rgb="FF000000"/>
        <sz val="12.0"/>
      </rPr>
      <t xml:space="preserve">  כ 5 חד'. הרכבה חשמלית - המשך עבודות מסדר 161 ק"ו .  צפי לאי עמידה בלוז חישמול 7.26, צפי לחודש 9.26.  יש עיכוב בעבודות אישור לרת"ק-מ ומתח גבוה ממהנדס עיריית נס ציונה - צפוי עיכוב חיבור לחודש 8.26</t>
    </r>
  </si>
  <si>
    <r>
      <rPr>
        <rFont val="Arial"/>
        <color rgb="FF000000"/>
        <sz val="12.0"/>
      </rPr>
      <t>קיים עיכוב בעבודות אזרחיות,  מסדר 24 ק"ו ומסדר אפס- מסירה 16.2.26- בוצע . חדר פיקוד, שנאים - צפוי עיכוב ל3/26.</t>
    </r>
    <r>
      <rPr>
        <rFont val="Arial"/>
        <b/>
        <color rgb="FF000000"/>
        <sz val="12.0"/>
      </rPr>
      <t>העיכוב גדל.</t>
    </r>
    <r>
      <rPr>
        <rFont val="Arial"/>
        <color rgb="FF000000"/>
        <sz val="12.0"/>
      </rPr>
      <t xml:space="preserve">  כ 5 חד'. הרכבה חשמלית - המשך עבודות מסדר 161 ק"ו . מסדר 24 ק"ו - הכנסת מסדרים  , הכנסת ציוד מסדריי אפס.  צפי לאי עמידה בלוז חישמול 7.26, צפי לחודש 9.26. עיכוב של כ שבוע בתחילת בדיקות קומשניג עקב בעיות בציוד, כמו כן  </t>
    </r>
    <r>
      <rPr>
        <rFont val="Arial"/>
        <color rgb="FF000000"/>
        <sz val="12.0"/>
      </rPr>
      <t xml:space="preserve"> </t>
    </r>
    <r>
      <rPr>
        <rFont val="Arial"/>
        <color rgb="FF000000"/>
        <sz val="12.0"/>
        <u/>
      </rPr>
      <t>עפ"י דיווח של יורם עדני   תהיה האטה כפייתית  ברחובות ובת ים  עקב דחיפות קריטית בעומס בפרויקטים אחרים</t>
    </r>
    <r>
      <rPr>
        <rFont val="Arial"/>
        <color rgb="FF000000"/>
        <sz val="12.0"/>
      </rPr>
      <t xml:space="preserve">    </t>
    </r>
    <r>
      <rPr>
        <rFont val="Arial"/>
        <color rgb="FFFF0000"/>
        <sz val="12.0"/>
      </rPr>
      <t xml:space="preserve">     </t>
    </r>
    <r>
      <rPr>
        <rFont val="Arial"/>
        <color rgb="FF000000"/>
        <sz val="12.0"/>
      </rPr>
      <t xml:space="preserve">                                                                                                                                                                                                                                                                                                                               יש עיכוב בעבודות אישור לרת"ק-מ ומתח גבוה ממהנדס עיריית נס ציונה - צפוי עיכוב חיבור לחודש 8.26- עיריית נס ציונה - שתלה עצים  בשצ"פ בתוואי מ"ג ואזור כניסה צנרת מ''ע לתחמ''ש ללא אישור חח"י.</t>
    </r>
  </si>
  <si>
    <t>28.2.26- מבצע "שאגת הארי" , 1.3.26-  מצב חירום אין עבודה באתר, תאריך 2.3.26- אישור מהנהלה לעבודה בתחמ"ש פיקוח וקבלן, - קבלן בעבודה הרכבה חשמלית-  עבודה מצומצמת  התחלת קומשניג - צוות אפרת קריטי</t>
  </si>
  <si>
    <t>עבודות אזרחיות -קיים עיכוב ביעדיים: חדר פיקוד - צפי מסירה 30.3.26, מסירת שנאים - 18.3.  אספקת שנאים צפויה מתאריך 18.3.26,  הרכבה חשמלית - עבודות במסדר 161 ק"ו , מסירה 3 שדות לבדיקות קומשניג - קיים צוות מצומצם מסדר 24 ק"ו- צפי מסירה לקומשניג -22.3.26. רת"ק - התקבלו אישורים  מעיריית  נס ציונה.</t>
  </si>
  <si>
    <t>עבודות אזרחיות -קיים עיכוב ביעדיים: חדר פיקוד - צפי מסירה 30.3.26, מסירת שנאים -16.3,  17.3 הרכבה חשמלית - עבודות במסדר 161 ק"ו , מסירה 3 שדות לבדיקות קומשניג - קיים צוות מצומצם ,  מועד בדיקות מתח יתר שתוכננו ל 31.5 - צפויות להדחות ב כחודש  יוני - יולי. מסדר 24 ק"ו- צפי מסירה לקומשניג -22.3.26. -  צפוי להדחות אחריי פסח. לאור  רת"ק - התקבלו אישורים  מעיריית  נס ציונה- בשלבים להיערכות  כניסה לעבודה.</t>
  </si>
  <si>
    <t>עבודות אזרחיות -קיים עיכוב ביעדיים: חדר פיקוד , סוללות מצברים ,שנאיי בית - דחייה ל  - 12.4.26 , ס"ק - 23.4.26  הרכבה חשמלית - עבודות במסדר 161 ק"ו , התחלת עבודות הרכבת שנאים, מסדר 161 ק"ו -עבודת לבדיקות קומשניג - קיים צוות מצומצם ,  מועד בדיקות מתח יתר שתוכננו ל 31.5 - צפויות להדחות ב כחודש  יוני - יולי. מסדר 24 ק"ו- מסירה לקומשניג -22.3.26. -24.3.26  - אין כ"א יידחה ל 19.4 ,  רת"ק - החלו עבודות קבלן להנחת צנרת מחוץ לתחמ''ש</t>
  </si>
  <si>
    <t>עיכוב בעבודות אזרחיות בהמשך יעדים.נדרש לקבל את חדר הפיקוד.  -  מגזר ביצוע - כח אדם מצומצם בבדיקות קומשניג. צפי סיום בדיקות ומסירה לבדיקות מתח יתר 6.26- 7.26 , צפי הכנסה לניצול צפוי להדחות לחודש 9.26-10.26</t>
  </si>
  <si>
    <t>WBC-042</t>
  </si>
  <si>
    <t>קרית משה
הקמת תחמ"ש פנימית</t>
  </si>
  <si>
    <t>חושמל 18/12/24</t>
  </si>
  <si>
    <t>נדרש - השלמת חיבור מים קבוע לתחמ''ש- לטיפול מנר"א</t>
  </si>
  <si>
    <t>אין אספקת מים לתחמ''ש (מלבד מיכל מים למערכת כיבוי אש)</t>
  </si>
  <si>
    <t xml:space="preserve">נדרש המשך טיפול של מנר"א לאחר ישיבה שנערכה בחודש 12.25 עם מנכ"ל תאגיד הבאר השלישי - רחובות </t>
  </si>
  <si>
    <t>WBE-170</t>
  </si>
  <si>
    <t>לוד-הוספת שנאי 526 161/24 ק"ו 50 מגוו"א</t>
  </si>
  <si>
    <t>בתאריך 9.1.25 חושמל השנאי, הופץ מסמך הכנסה לניצול עדיין לדבריי יובל נויהוז יש תקלות במקשר, בבקר, ס"ק -טרם הסתיים</t>
  </si>
  <si>
    <t xml:space="preserve">הופץ  מסמך הכנסה לניצול, יש עדיין בעיה בהפעלת השנאי, עקב בעיה בבקר פונקציות מיוחדות </t>
  </si>
  <si>
    <t>הופץ  מסמך הכנסה לניצול, יש עדיין בעיה בהפעלת השנאי, עקב בעיה בבקר פונקציות מיוחדות .נשלח מייל ליובל - לא התקבלה התייחסות</t>
  </si>
  <si>
    <t>טרם הועברה התייחסות מיובל,נשלח  מייל ליובל ואירנה  לסגירת חשבון במידת הצורך פתיחת חשבון שו"ש</t>
  </si>
  <si>
    <t>הועבר מייל ליובל נויהוז, צריך למצוא פיתרון, יש שעות מועמסות על הפרוייקט , הועבר מייל לבדיקה - טרם התקבלה תשובה</t>
  </si>
  <si>
    <t>WBC-028</t>
  </si>
  <si>
    <t>בת ים - הקמת תחמ"ש פנימית 161/24 ק"ו</t>
  </si>
  <si>
    <t>בשלבי ביצוע עבודה אזרחית- מסדר 24 ק"ו מסירה 2.26-  שנאים -3.26  השלמות בהתאם ליעדים.הרכבה חשמלית - עבודה בחדר פיקוד ומסדר 161 ק"ו.  כביש גישה -  התקיימה ישיבה עם מהנדס העיר, יש לקדם תכנון חלופה נוספת - בטיפול משה ליבוביץ לאחר אישורשל נווה יישלח לעירייה.- צפי סיום 14.1.26</t>
  </si>
  <si>
    <t>המשך  עבודה אזרחית ,    הרכבה חשמלית - הרכבת מסדר 161 ק"ו, נדרש המשך השלמת טיפול  בכביש גישה, המשך עבודות הרכבה חשמלית מסדר 24 ק"ו</t>
  </si>
  <si>
    <t xml:space="preserve">8.2- מתוכננת מסירה אזרחית  מסדר 24 ק"ו , מנהרת כבלים </t>
  </si>
  <si>
    <t>8.2- מתוכננת מסירה אזרחית  מסדר 24 ק"ו , מנהרת כבלים , השלמה עבודות למסירה עד 11.2 הרכבה חשמלית - המשך עבודות הרכבה מסדר 161 ק"ו, ביצוע חיווטים, חדר פיקוד - המשך ביצוי חיווטים. 15.2.25- הבאת מסדר 24 ק"ו</t>
  </si>
  <si>
    <t xml:space="preserve">8.2-  מסירה אזרחית  מסדר 24 ק"ו , מנהרת כבלים , השלמה עבודות למסירה עד 11.2- בוצע , אספקת מסדר 24 ק"ו - 15.2.26-16.2.26 , הרכבה חשמלית - המשך עבודות הרכבה מסדר 161 ק"ו, ביצוע חיווטים, חדר פיקוד - המשך ביצוי חיווטים. </t>
  </si>
  <si>
    <r>
      <rPr>
        <rFont val="Aptos Narrow"/>
        <color theme="1"/>
        <sz val="12.0"/>
      </rPr>
      <t>8.2-  מסירה אזרחית  מסדר 24 ק"ו , מנהרת כבלים , - בוצע , אספקת מסדר 24 ק"ו - 15.2.26-16.2.26 - בוצע, הרכבה חשמלית - המשך עבודות הרכבה מסדר 161 ק"ו,- עבודות קומשניג  נדחו ל 1.3.26 עקב חלק חסר , חדר פיקוד - המשך ביצוע חיווטים.  מסירת מסדר 24 ק"ו ומסדרי אפס - סוף חודש 2/26. המשך עבודות אזרחיות בשטח.  כביש גישה - התקיימה ישיבה עם נציג חברת קדישא וחח"י - הועברה תוכנית מעודכנת ממשה ליבוביץ לנווה להמשך טיפול סמנ"כל מול העיריה וחברת קדישא.</t>
    </r>
  </si>
  <si>
    <t>עיכוב במשך עבודות עקב חלק חסר שדה 1 לא החלו עבודות קומשניג ,  28.2.26- מבצע "שאגת הארי" , 1.3.26-  מצב חירום אין עבודה באתר, תאריך 2.3.26- אישור מהנהלה לעבודה בתחמ"ש פיקוח וקבלן, הרכבה חשמלית- לא בעבודה</t>
  </si>
  <si>
    <t>עבודות אזרחיות -קיים עיכוב ביעדים-המשך מסירות מסדרי אפס , ס"ק  3.26. שנאים  5.4, נקבע סיור מקדים לשינוע ב 11.3, מועד אספקה לשטח  צפוי אחריי פסח. הרכבה חשמלית - המשך עבודות מסדר 161 ק"ו - נשבר חלק בשדה 1 -, שדה 7- חסר ציוד שנלקח לגליל,. מועד תחילת קומשניג נדחה לסוף חודש מרץ.  עקב מחסור בכ"א - צפוי  אחרי  פסח</t>
  </si>
  <si>
    <t>עבודות אזרחיות -קיים עיכוב ביעדים-המשך מסירות מסדרי אפס , ס"ק  3.26. שנאים  5.4, נקבע סיור חוזר לשינוע ב 26.3, מועד אספקה לשטח  צפוי אחריי פסח. הרכבה חשמלית - המשך עבודות מסדר 161 ק"ו - נשבר חלק בשדה 1 -, שדה 7- חסר ציוד שנלקח לגליל,. מועד תחילת קומשניג נדחה לסוף חודש מרץ.  עקב מחסור בכ"א - צפוי  אחרי  פסח</t>
  </si>
  <si>
    <t>עבודות אזרחיות -קיים עיכוב ביעדים-מסירות מסדרי אפס , ס"ק , שנאיי בית - 22.3.23 ,  3.26. שנאים  5.4, נקבע סיור חוזר לשינוע ב 26.3, מועד אספקה לשטח  צפוי אחריי פסח. הרכבה חשמלית - המשך עבודות מסדר 161 ק"ו שדה 7- חסר ציוד שנלקח לגליל,.- אספקת חלקים חודש מאי . - מעכב עבודות הרכבה חשמלית,  מועד תחילת קומשניג נדחה  - צפי אחרי פסח  עקב מחסור בכ"א - יש לקבל התייחסות של שמוליק וינדר</t>
  </si>
  <si>
    <t>עיכוב בכביש גישה-שטח עבודה בתחמ''ש מצומצם- טיפול סמנכ"ל .  לאור זאת יש  עיכוב בעבודות גדר ופיתוח שטח,קיים חוסר משאביי כ"א  מגזר ביצוע עקב  סדריי עדיפויות   בפרויקטים , בעיית ציוד בחלקים ב  161 ק"ו - עיכוב אספקה עקב המלחמה, צפי  תחילת קומשניג צפוי רק מ 4.26, דחיית בדיקות מתח יתר לחודש 7.26</t>
  </si>
  <si>
    <t>WBK-015</t>
  </si>
  <si>
    <t>קיסריה- התקנת ש"ק שלישי 650 מגוו"א</t>
  </si>
  <si>
    <t>יעקבי, ניר</t>
  </si>
  <si>
    <t>טרם התקבלה תכולה</t>
  </si>
  <si>
    <t>עיכוב חשמול נדרש</t>
  </si>
  <si>
    <t>WBE-221</t>
  </si>
  <si>
    <t>ציפורית-התקנת שנאי רביעי והחלפת 2 שנאים</t>
  </si>
  <si>
    <t>בתהליך התנעת פרויקט (שלב הבא- סיור באתר)</t>
  </si>
  <si>
    <t>בתהליך התנעת פרויקט (21.01.2026- בוצע סיור באתר)</t>
  </si>
  <si>
    <t>בתהליך התנעת פרויקט (04.02.2026- ישיבת מתכננים לקראת הקפאת תצורה)</t>
  </si>
  <si>
    <t>בתהליך התנעת פרויקט (04.02.2026- בוצעה ישיבת מתכננים לקראת הקפאת תצורה)</t>
  </si>
  <si>
    <t>בתהליך התנעת פרויקט (17.02.2026- מתוכננת ישיבת הקפאת תצורה PDR)</t>
  </si>
  <si>
    <t>בתהליך התנעת פרויקט (17.02.2026- בוצעה ישיבת הקפאת תצורה PDR)
לטובת התחלת התכנון נדרשת הקצאת מסדר מ"ג
(בשלבי מכרז- צפוי להתקבל במאי 2026)</t>
  </si>
  <si>
    <t>בתהליך התנעת פרויקט (17.02.2026- בוצעה ישיבת הקפאת תצורה PDR)
לטובת התחלת התכנון נדרשת הקצאת מסדר מ"ג
(בשלבי מכרז- צפוי להתקבל במאי 2026)
30.09.2026- צפי לסיום כתב כמויות</t>
  </si>
  <si>
    <t>לטובת התחלת התכנון נדרשת הקצאת מסדר מ"ג
(בשלבי מכרז- צפוי להתקבל במאי 2026)
30.09.2026- צפי לסיום כתב כמויות</t>
  </si>
  <si>
    <t>לטובת התחלת התכנון נדרשת הקצאת מסדר מ"ג</t>
  </si>
  <si>
    <t>WBE-168</t>
  </si>
  <si>
    <t>צור שלום - התקנת שנאי 524 161/24 ק"ו, 50 מגוו"א בשדה 10 בתחמ"ש צור שלום. התקנת סוללות קבלים 2x5 מגווא"ר.</t>
  </si>
  <si>
    <t>25.01.2026- ישיבת DR</t>
  </si>
  <si>
    <t>25.01.2026- בוצע DR</t>
  </si>
  <si>
    <t>בתהליך בחירת קבלן</t>
  </si>
  <si>
    <t xml:space="preserve">בתהליך בחירת קבלן- נכנסנו לעיכוב, לא תומך את הלו"ז הפרויקט </t>
  </si>
  <si>
    <t>טרם נבחר קבלן מסתמן עיכוב במועד ת.פ</t>
  </si>
  <si>
    <t>WBE-263</t>
  </si>
  <si>
    <t>כרמיאל-החלפת 4 שנ.מ-33 ל-50 מו"א-רב שלבי</t>
  </si>
  <si>
    <t>שנאי 522+521 ב12/2026 , שנאי 523 ב06/2027 , שנאי 524 ב12/2027</t>
  </si>
  <si>
    <t>טרם הוכרז קבלן זוכה</t>
  </si>
  <si>
    <t>13.01.2026- הוכרז קבלן זוכה, התארגנות קבלן לאישורים ועלייה לקרקע</t>
  </si>
  <si>
    <t>התארגנות קבלן</t>
  </si>
  <si>
    <t>התארגנות קבלן, צפי תחילת עבודות 23/03/2026 (ביטוחים)</t>
  </si>
  <si>
    <t>התארגנות קבלן, צפי תחילת עבודות 23.03.2026 (ביטוחים)</t>
  </si>
  <si>
    <t>התארגנות קבלן, צפי תחילת עבודות 29.03.2026 (עיכוב עקב תדריך בטיחות)</t>
  </si>
  <si>
    <t xml:space="preserve">
</t>
  </si>
  <si>
    <t>WBE-226</t>
  </si>
  <si>
    <t>כורסי-רב שלבי-החלפת 2 שנאים 521,522 והתקנת 2 שנאים 523,524</t>
  </si>
  <si>
    <t xml:space="preserve">שנאי 521,324,524 
30/06/2027
שנאי 522
28/02/2028
</t>
  </si>
  <si>
    <t xml:space="preserve">הפרויקט בעבודה אזרחית </t>
  </si>
  <si>
    <t>15.03.2026 צפי מסירה אזרחית</t>
  </si>
  <si>
    <t>15.03.2026 צפי מסירה אזרחית חלקית
מגזר תכנון הודיע על עיכוב של חמישה חודשים בגמר כתב כמויות שלב ב', משמעות עיכוב חשמול שנאי 522, 523,524  ל02.2028 (ת.פ 06.2027)
התקבל מנגה אישור להפסקה סוללות קבלים ב- 06.2026</t>
  </si>
  <si>
    <t xml:space="preserve"> התקיים דיון עם מגזר התכנון על עיכוב גמר כתב כמויות
תבוצע פנייה לדחיית חשמול שנאי 522- בבדיקה</t>
  </si>
  <si>
    <t xml:space="preserve"> התקיים דיון עם מגזר התכנון על עיכוב גמר כתב כמויות
תבוצע פנייה לדחיית חשמול שנאי 522- בבדיקה
25.02.2026- נקבעה ישיבת נושאים קריטיים</t>
  </si>
  <si>
    <t xml:space="preserve"> התקיים דיון עם מגזר התכנון על עיכוב גמר כתב כמויות.
25.02.2026- בוצעה ישיבת נושאים קריטיים, שנאי 521,523 ו- 524 עמידה בלו"ז נדרש. שנאי 522 02.2028</t>
  </si>
  <si>
    <t>צפי מסירות אזרחיות זמניות אמצע אפריל</t>
  </si>
  <si>
    <t>מלחמה- עיכובים</t>
  </si>
  <si>
    <t>WBE-233</t>
  </si>
  <si>
    <t>יזרעאל-הח' 2 שנאים161/24 30 ב-50מגוו"א כ"א</t>
  </si>
  <si>
    <t>21.01.2026- הצבת שנאי 521 חדש</t>
  </si>
  <si>
    <t>21.01.2026- הצבת שנאי 521 חדש
נדחה לתאריך 29.01.2026 עיכוב קבלן אזרחי</t>
  </si>
  <si>
    <t>29.01.2026- הובלה והצבת שנאי 521 חדש</t>
  </si>
  <si>
    <t>03.02.2026- הובלה והצבת שנאי 521 חדש</t>
  </si>
  <si>
    <t>03.02.2026- הובלה והצבת שנאי 521 חדש- בוצע
12.02.2026- התחלת מילוי וסחרור שמן</t>
  </si>
  <si>
    <t>המשך עבודת הרכבה חשמלית</t>
  </si>
  <si>
    <t>המשך עבודת הרכבה חשמלית
מסירה חשמלית יש עיכובים צפי 15/03/2026</t>
  </si>
  <si>
    <t xml:space="preserve">עצירת עבודות - מלחמה
</t>
  </si>
  <si>
    <t xml:space="preserve">19/03/2026- 
מסירות לטובת בדיקות שנאי 521
</t>
  </si>
  <si>
    <t xml:space="preserve">25/03/2026- 
מסירות לטובת בדיקות שנאי 521
</t>
  </si>
  <si>
    <t xml:space="preserve">עיכוב בבדיקות ציוד עקב מזג אויר </t>
  </si>
  <si>
    <t>WBE-135</t>
  </si>
  <si>
    <t>יזרעאל- החלפת שנאים 522 ו-524 ל-50 מגוו"א.</t>
  </si>
  <si>
    <t>נמצא בניהול ובקרת חוזים</t>
  </si>
  <si>
    <t>בשלב בחירת קבלן</t>
  </si>
  <si>
    <t>מכרזים- בשלב בחירת קבלן</t>
  </si>
  <si>
    <t>מכרזים- בשלב בחירת קבלן
05.01.2026- הועבר לרכש, צפי סיום 05.2026</t>
  </si>
  <si>
    <t>19.03.2026- צפי לסיור קבלנים
צפי סיום בחיקת קבלן 05.2026</t>
  </si>
  <si>
    <t>19.03.2026- צפי לסיור קבלנים
צפי סיום בחירת קבלן 05.2026</t>
  </si>
  <si>
    <t xml:space="preserve"> 19.03.2026- צפי לסיור קבלנים
התקיים  ב- 23.03.2026
צפי סיום בחירת קבלן 05.2026</t>
  </si>
  <si>
    <t>WBE-169</t>
  </si>
  <si>
    <t>יהלום-הוספת שנאי 50 MVA רב שלבי</t>
  </si>
  <si>
    <t>תיקון ליקויים</t>
  </si>
  <si>
    <t xml:space="preserve">עצירת עבודות עקב מלחמה
</t>
  </si>
  <si>
    <t>WBE-252</t>
  </si>
  <si>
    <t>חולה - החלפת שנאי 522 מ- 33 ל- 50 מגוו"א והחלפת מסדר מ"ג פ"צ 2</t>
  </si>
  <si>
    <t>הוכרז קבלן זוכה, בתהליך אישורים</t>
  </si>
  <si>
    <t xml:space="preserve"> הוכרז קבלן זוכה, התארגנות קבלן לאישורים ועלייה לקרקע</t>
  </si>
  <si>
    <t>06.01.2026- הוכרז קבלן זוכה
15.02.2026- עליית קבלן לקרקע</t>
  </si>
  <si>
    <t>06.01.2026- הוכרז קבלן זוכה
22.02.2026- עליית קבלן לקרקע</t>
  </si>
  <si>
    <t>06.01.2026- הוכרז קבלן זוכה
23.02.2026- קבלן החל עבודות אזרחיות</t>
  </si>
  <si>
    <t>עצירת עבודות עקב מלחמה
23.02.2026- קבלן החל עבודות אזרחיות</t>
  </si>
  <si>
    <t>עצירת עבודות עקב מלחמה
23.02.2026- קבלן החל עבודות אזרחיות
11/03/2026- צפי חזרת הקבלן לעבודה</t>
  </si>
  <si>
    <t xml:space="preserve">עצירת עבודות עקב מלחמה
23.02.2026- קבלן החל עבודות אזרחיות
</t>
  </si>
  <si>
    <t>WBE-199</t>
  </si>
  <si>
    <t>זבולון-התקנת שנאי שלישי 161/24 ק"ו 50 מגוו"א</t>
  </si>
  <si>
    <t>בשלב התנעת פרויקט (בשלב סיור באתר)</t>
  </si>
  <si>
    <t>בשלב התנעת פרויקט (בוצע סיור באתר, השלב הבא ישיבות תכנון לקראת הקפאת תצורה)</t>
  </si>
  <si>
    <t>בשלב התנעת פרויקט (03/02/2026 ישיבת מתכננים לקראת הקפאת תצורה)</t>
  </si>
  <si>
    <t>בשלב התנעת פרויקט (03/02/2026 בוצעה ישיבת מתכננים לקראת הקפאת תצורה)</t>
  </si>
  <si>
    <t>בתהליך התנעת פרויקט (15.03.2026- מתוכננת ישיבת הקפאת תצורה PDR)</t>
  </si>
  <si>
    <t>בתהליך התנעת פרויקט (30.03.2026- מתוכננת ישיבת הקפאת תצורה PDR)</t>
  </si>
  <si>
    <t>WBK-013</t>
  </si>
  <si>
    <t>זבולון-השלמת שדה 23 והתאמתו ליכולת 2500 א' במסדר 161 ק"ו. התקנת אוטו שנאי 400/170 ק"ו רביעי, בהספק 575 מגוו"א</t>
  </si>
  <si>
    <t>בתהליך התנעת פרויקט (תקבע ישיבת הקפאת תצורה PDR בהמשך)</t>
  </si>
  <si>
    <t>בתהליך התנעת פרויקט (תקבע ישיבת הקפאת תצורה PDR בהמשך)
נדרשת ישיבת נושאים קריטים בנוגע לרת"ק 400, ממתינים לישיבה</t>
  </si>
  <si>
    <t>בתהליך התנעת פרויקט (תקבע ישיבת הקפאת תצורה PDR בהמשך)
10/03/2026- מתוכננת ישיבת נושאים קריטים בנושא רת"ק 400</t>
  </si>
  <si>
    <t xml:space="preserve">בתהליך התנעת פרויקט (נקבעה ישיבת הקפאת תצורה PDR 19.03.2026)
10/03/2026- בוצעה ישיבת נושאים קריטים בנושא רת"ק 400 </t>
  </si>
  <si>
    <t xml:space="preserve">בתהליך התנעת פרויקט (נקבעה ישיבת הקפאת תצורה PDR 25.03.2026)
10/03/2026- בוצעה ישיבת נושאים קריטים בנושא רת"ק 400 </t>
  </si>
  <si>
    <t>רת"ק 400 ק"ו-  יצאה פנייה לנגה לקבלת סכמה מעודכנת, משפיע על התכנון. ממתינים. בטיפול גיל חזום</t>
  </si>
  <si>
    <t>WBC-206</t>
  </si>
  <si>
    <t>הדרי שאן(טירת צבי)-חח"י-התקנת 4 שנאים 50 מגוו"א</t>
  </si>
  <si>
    <t xml:space="preserve">בהרכבה חשמלית </t>
  </si>
  <si>
    <t>בשלב הרכבה חשמלית 
18.01.2026-החל סחרור שמן בשנאים 521,523</t>
  </si>
  <si>
    <t xml:space="preserve">בשלב הרכבה חשמלית , עבודות משולבות חדר פיקוד
שנאי 521- הסתיים מילוי 
השבוע צפוי להסתיים מילוי שמן בשנאי 523
</t>
  </si>
  <si>
    <t xml:space="preserve">בשלב הרכבה חשמלית , עבודות משולבות חדר פיקוד
שנאי 521- הסתיים מילוי 
הסתיים מילוי שמן בשנאי 523
</t>
  </si>
  <si>
    <t xml:space="preserve">בשלב הרכבה חשמלית , עבודות משולבות חדר פיקוד
19.02.2026- מסירה לבדיקות שנאי 521+ מסדרי מ"ג 1+2
15.04.2026-צפי חשמול
</t>
  </si>
  <si>
    <t xml:space="preserve">בשלב הרכבה חשמלית , עבודות משולבות חדר פיקוד
נדחה ל 25/02/2026 מסירה לבדיקות שנאי 521+ מסדרי מ"ג 1+2
15.04.2026-צפי חשמול
</t>
  </si>
  <si>
    <t xml:space="preserve">19.02.2026
 נמסר ליח' תחמ"ש שנאי 521+ מסדרי מ"ג 1+2
15.04.2026 צפי חשמול </t>
  </si>
  <si>
    <t>בטפול מנהל פרויקט-
קבלת טופס 2
הרכבת ציוד 161 ק"ו ע"י יזם
עיכוב בתיקון ליקויים ע"י היזם</t>
  </si>
  <si>
    <t>WBE-197</t>
  </si>
  <si>
    <t>אדמירליטי -התקנת שנאי שלישי 161/24 ק"ו, 50 מגוו"א</t>
  </si>
  <si>
    <t>בתהליך התנעת פרויקט (20.01.2026- בוצע סיור באתר)</t>
  </si>
  <si>
    <t>בשלב התנעת פרויקט (04/02/2026 ישיבת מתכננים לקראת הקפאת תצורה)</t>
  </si>
  <si>
    <t>בשלב התנעת פרויקט (04/02/2026 בוצעה ישיבת מתכננים לקראת הקפאת תצורה)</t>
  </si>
  <si>
    <t>בתהליך התנעת פרויקט (15/04/2026- נקבעה ישיבת הקפאת תצורה PDR )</t>
  </si>
  <si>
    <t>בתהליך התנעת פרויקט (15.04.2026- נקבעה ישיבת הקפאת תצורה PDR )</t>
  </si>
  <si>
    <t>WBD-127</t>
  </si>
  <si>
    <t>כרמיאל ניידת- תכנון הצבת תחמ"ש ניידת</t>
  </si>
  <si>
    <t>ממתינים לעליית קבלן לשטח</t>
  </si>
  <si>
    <t>WBD-129</t>
  </si>
  <si>
    <t>הדרי שאן- תכנון הצבת תחמ"ש ניידת, 30 מגוו"א</t>
  </si>
  <si>
    <t>בדיקות יח' תחמ"ש ומעבדת חשמל</t>
  </si>
  <si>
    <t>04.03.2026
צפי חשמול 161 ק"ו
05.03.2026
חיבור יציאות מ"ג כולל קצר חי</t>
  </si>
  <si>
    <t>הסתיים
04.03.2026- ניידת חושמלה בריקם
05.03.2026- חיבור וחשמול יציואת מ"ג</t>
  </si>
  <si>
    <t>WBE-253</t>
  </si>
  <si>
    <t>"כברי - החלפת שנאי 523  ומסדר מ""ג פ""צ 3"</t>
  </si>
  <si>
    <t>31.01.2026- הוצאת הזמנה לתכנון אזרחי</t>
  </si>
  <si>
    <t>31.01.2026- הוצאת הזמנה לתכנון אזרחי
צפי  לגמר כתב כמויות  15.05.2026</t>
  </si>
  <si>
    <t>.מגזר תכנון הודיע על עיכוב בגמר כתב כמויות 
 משמעות עיכוב של חודש מת.פ 
אין בנ"מ בפרויקט</t>
  </si>
  <si>
    <t>.מגזר תכנון הודיע על עיכוב בגמר כתב כמויות 
 משמעות עיכוב של שבעה חודשים מת.פ 
אין בנ"מ בפרויקט</t>
  </si>
  <si>
    <t>.מגזר תכנון הודיע על עיכוב בגמר כתב כמויות 
  התקיים דיון, החולט על פיצול ד.ש (הנחת עבודה של ד.ש אחת לא יידרש תיחור)</t>
  </si>
  <si>
    <t>.מגזר תכנון הודיע על עיכוב בגמר כתב כמויות 
  התקיים דיון, החולט על פיצול ד.ש (הנחת עבודה של ד.ש אחת לא יידרש תיחור)
נדרש לעדכן מועדים לדרישות שירות</t>
  </si>
  <si>
    <t>.מגזר תכנון הודיע על עיכוב בגמר כתב כמויות 
  התקיים דיון, החולט על פיצול ד.ש (הנחת עבודה של ד.ש אחת לא יידרש תיחור)
נדרש לעדכן מועדים לדרישות שירות
לאור שינוייים בתכנון יתבצע הקפאת תצורה חוזרת 19.03.2026</t>
  </si>
  <si>
    <t>.לאור שינוייים בתכנון יתבצע הקפאת תצורה חוזרת 19.03.2026</t>
  </si>
  <si>
    <t>.לאור שינוייים בתכנון יתבצע הקפאת תצורה חוזרת 24.03.2026</t>
  </si>
  <si>
    <t xml:space="preserve">אי עמידה בלו"ז נדרש לתכנון שלב א'
יש לעדכן תכנית עבודה מול מגזר תכנון  ורב פרויקטלי
</t>
  </si>
  <si>
    <t>WBD-092</t>
  </si>
  <si>
    <t>שרון ניידת-הצבת תחמ"ש ניידת</t>
  </si>
  <si>
    <t>כוכבה כהן</t>
  </si>
  <si>
    <t>הפסקה מתוכננת ל 22.1 לחיבור תיילים עמוד זוית מ"ע לימוד קיים, לאחר מכן הרכבה חשמלית תמשיך בעבודתם ושאר הפעילויות 
מועד חשמול מסתמן בשבוע האחרון של 2/26</t>
  </si>
  <si>
    <t>ללא שינוי מיום 14.1 -
 הפסקה מתוכננת ל 22.1 לחיבור תיילים עמוד זוית מ"ע לימוד קיים, לאחר מכן הרכבה חשמלית תמשיך בעבודתם ושאר הפעילויות 
מועד חשמול מסתמן בשבוע האחרון של 2/26</t>
  </si>
  <si>
    <t>עקב מזג האוויר ההפסקה שתוכננה ל 22.1 נדחתה ל 25.1, לטובת חיבור תיילים מ"ע מעמוד זוית לעמוד קיים. 
קבלן הנחת כבלים נכנס לעבודה 
הרכבה חשמלית בעבודה 
חשמול משוער סוף פברואר 26</t>
  </si>
  <si>
    <t>חיבור עמוד זוית מ"ע לעמוד מ"ע - חובר וחושמל
הונחו כבלי יציאות מ"ג - יחוברו לאחר חשמול הניידת
עדכון 2.2: קיים עיכוב בביצוע הארקות, לא מוצאים נק התחברות להארקה של תחמ"ש שרון וקיימים ליקוי הארקות בתחמ"ש שיש לטפל כתנאי הכרחי לחשמול- ממתין לקבלת דוח בודק הארקות.
חשמול משוער סוף פברואר</t>
  </si>
  <si>
    <t xml:space="preserve">בוצעה בדיקת הארקות ווהתגלה ליקוי בגדר היקפית של התחמ"ש הקיימת , התיקון הוא תנאי הכרחי לחשמול- טרם התקבל דוח בודק. כשיתקבל יטופל מול יח' התחמ"ש.
כעת בשלב של סיום עבודות הרכבה ווכניסת צוות תקשורת תפעולית ו יח' התחמש להליך בדיקות .
חשמול משוער סוף פברואר </t>
  </si>
  <si>
    <t xml:space="preserve">מועד חשמול נקבע ליום חמישי 26.2.26 משמרת יום 
בוצעה בהצלחה סימולציה בין תקשורת תפעולית, פיקוח הולכה, מחוז צפון ונגה
נדרש לתקן ליקוי מדוח בודק הארקות - להשלים חצץ בכניסה לתחמ"ש והארקת שער
</t>
  </si>
  <si>
    <t>ליקויים מדוח בודק הארקות תוקנו במלואם 
ועדת חשמול תתקיים ב 24.2.26
מועד חשמול נקבע ליום רביעי 25.2.26 15:00-00:00</t>
  </si>
  <si>
    <t>ניידת חושמלה ב 25.2.26
חיבור יציאות מ"ג מתוכנן ל 5.3.26- תלוי במצב הבטחוני
פתרון קבוע למעבר בטוח בין שני המפלסים בתחמש- בטיפול מול תכנון ויח' התחמש</t>
  </si>
  <si>
    <t xml:space="preserve">ניידת חושמלה ב 25.2.26
חיבור יציאות מ"ג שתוכנן ל 5.3.26- נדחה עקב המצב הבטחוני
פתרון קבוע למעבר בטוח בין שני המפלסים בתחמש- בטיפול מול תכנון ויח' התחמש- ממתין למדידת מדרון מצב חדש לצורך החלטה </t>
  </si>
  <si>
    <t>WBD-118</t>
  </si>
  <si>
    <t>שוהם-ב.ס.ר-הצבת תחמ"ש ניידת, 30 מגוו"א</t>
  </si>
  <si>
    <t xml:space="preserve">טרם ידוע </t>
  </si>
  <si>
    <t>פרויקט מוקפא- עד לקבלת החלטה אם לבנות תחנת משנה ארעית במקום ניידת</t>
  </si>
  <si>
    <t>ללא שינוי מיום 14.1-
פרויקט מוקפא- עד לקבלת החלטה אם לבנות תחנת משנה ארעית במקום ניידת</t>
  </si>
  <si>
    <t>ללא שינוי מיום 21.1
פרויקט מוקפא- עד לקבלת החלטה אם לבנות תחנת משנה ארעית במקום ניידת</t>
  </si>
  <si>
    <t xml:space="preserve">
פרויקט מוקפא- עד לקבלת החלטה אם לבנות תחנת משנה ארעית במקום ניידת</t>
  </si>
  <si>
    <t xml:space="preserve">עדכון של מיקי אזוט 15.3: הוחלט להציב ניידת ולא תחמש ארעית. יש מיקום מועדף שהוצע ע"י מועצת חבל מודיעין. יש לבדוק היתכנות למיקום מול כל המתכננים. </t>
  </si>
  <si>
    <t>WBD-117</t>
  </si>
  <si>
    <t>עזריאלי ניידות- הצבת 2 תחמ"ש ניידות, 20 מגוו"א כ"א</t>
  </si>
  <si>
    <t>תלוי במועד בחירת מיקום סופי</t>
  </si>
  <si>
    <t>נקבעה ישיבת המשךב 18/1 עם רבוחין וירון בנושא בחירת מיקום להצבת הניידות ותשובות לנושאים:
*אם ניתן לתת מענה ללקוחות חיוניים עם ניידת אחת בלבד
*התכנות הצבת 2 ניידות על מעגל אחד
*לבחון אפשרות לשימוש בשצ"פ עמוד 5887 מול העיריה או חלופות חדשות
*הערכה למשך זמן הצפוי לקבלת אישורי מעבר בהתאם לכמות החלקות הרבות באזור עמוד 5886</t>
  </si>
  <si>
    <t>נקבעה ישיבת המשךב 1/2/26 עם ראבוחין וירון בנושא בחירת מיקום להצבת הניידות ותשובות לנושאים:
*אם ניתן לתת מענה ללקוחות חיוניים עם ניידת אחת בלבד- תשובה : לא ניתן לתת מענה עם ניידת אחת לקוחות גדולים רכבת קלה וחנייוני טעינה, נדרש 2 ניידות.
*התכנות הצבת 2 ניידות על מעגל אחד- תשובה: יש היתכנות. 
*לבחון אפשרות לשימוש בשצ"פ עמוד 5887 מול העיריה או חלופות חדשות- תשובה : הנושא טרם נבדק מול העירייה. באזור השצפ ניתן להציב ניידת אחת בלבד. יש לקבוע בהקדם ישיבה עם העירייה להצגת חלופות כאשר המועדפת 5886 שבה ניתן להציב 2 ניידות, נדרש לכך אישור מהנדס  העיר ונת"י (כי זה בתוך שטח תת"ל)
*הערכה למשך זמן הצפוי לקבלת אישורי מעבר בהתאם לכמות החלקות הרבות באזור עמוד 5886</t>
  </si>
  <si>
    <t xml:space="preserve">ללא שינוי מיום 21.1 
נקבעה ישיבת המשךב 1/2/26 עם ראבוחין וירון בנושא בחירת מיקום להצבת הניידות ותשובות לנושאים:
*אם ניתן לתת מענה ללקוחות חיוניים עם ניידת אחת בלבד- תשובה : לא ניתן לתת מענה עם ניידת אחת לקוחות גדולים רכבת קלה וחנייוני טעינה, נדרש 2 ניידות.
*התכנות הצבת 2 ניידות על מעגל אחד- תשובה: יש היתכנות. 
*לבחון אפשרות לשימוש בשצ"פ עמוד 5887 מול העיריה או חלופות חדשות- תשובה : הנושא טרם נבדק מול העירייה. באזור השצפ ניתן להציב ניידת אחת בלבד. יש לקבוע בהקדם ישיבה עם העירייה להצגת חלופות כאשר המועדפת 5886 שבה ניתן להציב 2 ניידות, נדרש לכך אישור מהנדס העיר ונת"י (כי זה בתוך שטח תת"ל)
*הערכה למשך זמן הצפוי לקבלת אישורי מעבר בהתאם לכמות החלקות הרבות באזור עמוד 5886- תשובה: משך צפוי להיות ארוך מאוד, נבדקת אפשרות לעבור במסלול שבו קו הולכה מ"ע , אך גם הוא בשטח תת"ל. הנושא בבדיקה </t>
  </si>
  <si>
    <t>נקבעה ישיבת המשךב 8/2/26 עם ראבוחין וירון  מנהל האגף בנושא בחירת מיקום להצבת הניידות ותשובות לנושאים:
*אם ניתן לתת מענה ללקוחות חיוניים עם ניידת אחת בלבד- תשובה : לא ניתן לתת מענה עם ניידת אחת לקוחות גדולים רכבת קלה וחנייוני טעינה, נדרש 2 ניידות.
*התכנות הצבת 2 ניידות על מעגל אחד- תשובה: יש היתכנות. 
*לבחון אפשרות לשימוש בשצ"פ עמוד 5887 מול העיריה או חלופות חדשות- תשובה : הנושא טרם נבדק מול העירייה. באזור השצפ ניתן להציב ניידת אחת בלבד. יש לקבוע בהקדם ישיבה עם העירייה להצגת חלופות כאשר המועדפת 5886 שבה ניתן להציב 2 ניידות, נדרש לכך אישור מהנדס העיר ונת"י (כי זה בתוך שטח תת"ל)
*הערכה למשך זמן הצפוי לקבלת אישורי מעבר בהתאם לכמות החלקות הרבות באזור עמוד 5886- תשובה: לאחר בדיקה ניתן לעבור בתוואי פתוח עם חלקה פרטית אחת בלבד, דבר שיכול להקל על הליך אישורי מעבר</t>
  </si>
  <si>
    <t>נקבעה ישיבת המשךב 22/2/26 עם ראבוחין וירון  מנהל האגף בנושא בחירת מיקום להצבת הניידות ותשובות לנושאים:
*אם ניתן לתת מענה ללקוחות חיוניים עם ניידת אחת בלבד- תשובה : לא ניתן לתת מענה עם ניידת אחת לקוחות גדולים רכבת קלה וחנייוני טעינה, נדרש 2 ניידות.
*התכנות הצבת 2 ניידות על מעגל אחד- תשובה: יש היתכנות. 
*לבחון אפשרות לשימוש בשצ"פ עמוד 5887 מול העיריה או חלופות חדשות- תשובה : הנושא טרם נבדק מול העירייה. באזור השצפ ניתן להציב ניידת אחת בלבד. יש לקבוע בהקדם ישיבה עם העירייה להצגת חלופות כאשר המועדפת 5886 שבה ניתן להציב 2 ניידות, נדרש לכך אישור מהנדס העיר ונת"י (כי זה בתוך שטח תת"ל)
*הערכה למשך זמן הצפוי לקבלת אישורי מעבר בהתאם לכמות החלקות הרבות באזור עמוד 5886- תשובה: לאחר בדיקה ניתן לעבור בתוואי פתוח עם חלקה פרטית אחת בלבד, דבר שיכול להקל על הליך אישורי מעבר</t>
  </si>
  <si>
    <t>נקבעה ישיבת המשךב 8/3/26 עם ראבוחין וירון בנושא בחירת מיקום להצבת הניידות ותשובות לנושאים:
*אם ניתן לתת מענה ללקוחות חיוניים עם ניידת אחת בלבד- תשובה : לא ניתן לתת מענה עם ניידת אחת לקוחות גדולים רכבת קלה וחנייוני טעינה, נדרש 2 ניידות.
*התכנות הצבת 2 ניידות על מעגל אחד- תשובה: יש היתכנות. 
*לבחון אפשרות לשימוש בשצ"פ עמוד 5887 מול העיריה או חלופות חדשות- תשובה : הנושא טרם נבדק מול העירייה. באזור השצפ ניתן להציב ניידת אחת בלבד. יש לקבוע בהקדם ישיבה עם העירייה להצגת חלופות כאשר המועדפת 5886 שבה ניתן להציב 2 ניידות, נדרש לכך אישור מהנדס העיר ונת"י (כי זה בתוך שטח תת"ל)
*הערכה למשך זמן הצפוי לקבלת אישורי מעבר בהתאם לכמות החלקות הרבות באזור עמוד 5886- תשובה: לאחר בדיקה ניתן לעבור בתוואי פתוח עם חלקה פרטית אחת בלבד, דבר שיכול להקל על הליך אישורי מעבר</t>
  </si>
  <si>
    <t xml:space="preserve">התקיימה ישיבה עם ירון וראבוחין ב 8.3.26. הוחלט להיפגש  עם מהנדסת העירייה לאישור חלופה לעמוד 5886 שבשטח התת"ל ובה ניתן להציב 2 ניידות. מסתמן קושי באישור דרך גישה שרבוי בקרקעות פרטיות. בתוואי מ"ג יש רק בעלות פרתית אחת. מבחינת מ"ע יש ישימות.  </t>
  </si>
  <si>
    <t>התקיימה ישיבה עם העירייה ב12.3 ובצוע סיור בשטח ל2 מיקומים מוצעים: עמודים 5891 בחניון, 5890 במזבלה
נדרש לבדוק היתכנות/ישימות למיקום מול המתכננים ולאחר מכן לאשר מיקום סופי אצל מנכל העירייה.</t>
  </si>
  <si>
    <t>WBD-099</t>
  </si>
  <si>
    <t>ספיר ניידת- תכנון הצבת 2 ניידות</t>
  </si>
  <si>
    <t>ב 7/1 התקיימה ישיבה עם כל בגורמים לקידום תשובות להנהלה בנוגע למיקום הניידות בתחמ"ש הקבועה, להלן התייחסויות:
*תפעול מ"ג - במהלך ינואר תתקבל תשובה מנגה למכסות. מסתמן כחיובי. אין התחייבויות מול לקוחות אך קיימות פניות רבות לייצרני pv, המשמעות שמועד התחייבות תלוי בלוז הפרויקט שיוחלט ועד כ 3.5 שנים מיום הבקשה של היזם. משך ביצוע רוב היציאות עד 5/27 והשאר בהדרגה.
*משך מ"ע- קיימת אפשרות לתכנון וביצוע מסעף כשנה (בכפוף לתעדוף ולוז הפרויקט)
*סימולצית לתמרון הכנסה והוצאת הניידות- הוצגה תוכנית עקרונית ומסתמן כחיובי. 
** יועבר סיכום/ תיקבע ישיבה לירון להצגת התשובות</t>
  </si>
  <si>
    <t xml:space="preserve">ב 7/1 התקיימה ישיבה עם כל בגורמים לקידום תשובות להנהלה בנוגע למיקום הניידות בתחמ"ש הקבועה, להלן התייחסויות:
*תפעול מ"ג - במהלך ינואר תתקבל תשובה מנגה למכסות. מסתמן כחיובי. אין התחייבויות מול לקוחות אך קיימות פניות רבות לייצרני pv, המשמעות שמועד התחייבות תלוי בלוז הפרויקט שיוחלט ועד כ 3.5 שנים מיום הבקשה של היזם. משך ביצוע רוב היציאות עד 5/27 והשאר בהדרגה.
*משך מ"ע- קיימת אפשרות לתכנון וביצוע מסעף כשנה (בכפוף לתעדוף ולוז הפרויקט)
*סימולצית לתמרון הכנסה והוצאת הניידות- הוצגה תוכנית עקרונית ומסתמן כחיובי. 
** לבחינה - 
האם הליך צו שר הוא היתר רגיל
אישור סופי מצד  תכנון אלמ לתוכנית העמדה בתוך התחמש הקבועה עתידית
לו"ז - מועד חשמול, ניידת אחת או 2 ניידות  
צפי להקפאת תצורה 1/2 </t>
  </si>
  <si>
    <t xml:space="preserve">טרם התקבל אישור למכסות מנגה- מהווה חסם להמשך תהליך 
טרם התקבל אישור סופי מתכנון אלמ (פרויקטי ייצור והשנאה) לתוכנית העמדה עקרונית בתוך תחמדש הקבועה
*צפי להקפאת תצורה מתעכב - 2/26
* לו"ז מסתמן לחשמול ניידת אחת או שתיים (תלוי בלו"ז ביצוע מ"ג)- 5/27 </t>
  </si>
  <si>
    <t xml:space="preserve">טרם התקבל אישור למכסות מנגה- מהווה חסם להמשך תהליך - הועבר לבדיקה של גיל חזום  מול נגה .
טרם התקבל אישור סופי מתכנון אלמ (פרויקטי ייצור והשנאה) לתוכנית העמדה עקרונית בתוך תחמדש הקבועה
*צפי להקפאת תצורה מתעכב - 2/26
* לו"ז מסתמן לחשמול ניידת אחת או שתיים (תלוי בלו"ז ביצוע מ"ג)- 5/27 </t>
  </si>
  <si>
    <t xml:space="preserve">טרם התקבל אישור למכסות מנגה- מהווה חסם להמשך תהליך - הועבר לבדיקה של גיל חזום  מול נגה - הועבר לעזרתו של אלי אוחנה 
תוכנית העמדה סופית הופצה להתייחסות מתכננים - ממתין לנתונים סופיים למ"ע 
קיים עיכוב בקבלת מפת מדידה - בטיפול מול נכסים 
*צפי להקפאת תצורה סוף פברואר
* לו"ז מסתמן לחשמול הניידות - 5/27 </t>
  </si>
  <si>
    <t xml:space="preserve">
*בדיקת אישור נגה למכסות הולכה- מבירור של גיל מול נגה:
1.	חיבור יצרנים פרטיים, נגה ציינה שללא הניידות היא לא תוכל לאפשר חיבור.
2.	הפחתת עומסים מתחנות שכנות
3.	פירוק ניידת חצבה שלא יכולה להישאר שם לאורך התקופה
** מפת מדידה  - טרם התקבלה. מעכב לו"ז הפרויקט. צפוי להתקבל בימים הקרובים.
** צפי הקפאת תצורה סוף פברואר 
** לו"ז מסתמן לחשמול הניידות -5/27</t>
  </si>
  <si>
    <t xml:space="preserve">
** מפת מדידה  - טרם התקבלה. מעכב לו"ז הפרויקט. צפוי להתקבל בימים הקרובים.
** הקפאת תצורה -12.2.26
** לו"ז מסתמן לחשמול הניידות -5/27</t>
  </si>
  <si>
    <t>הקפאת תצורה 12.12.26
מפת מדידה התקבלה ב 4.3.26
הועבר חומר לרישוי להתחיל תהליך היתר- בקשה לתיק מידע
ממתין להזמנת יועץ קרקע 
ממתין לקבלת סכמת חיבור מנגה
החל תכנון מפורט מ"ע כולל מסעף, סיום משעור כולל ביצוע 2/27 
תכנון וביצוע מ"ג - טרם ידוע מועד סיום כל היציאות, יבוצע בהדרגה. 
לו"ז מסתמן לחשמול הניידת 5/27- תלוי היתר</t>
  </si>
  <si>
    <t xml:space="preserve">ממתין לרישוי לבקשה לתיק מידע. החל הליך לאישור שכירות מול רמי. ממתין לדוח יועץ קרקע </t>
  </si>
  <si>
    <t>WBE-274</t>
  </si>
  <si>
    <t>תל אור - 2 מתקני אגירת אנרגיה בסוללות</t>
  </si>
  <si>
    <t>לופטון כהן, אדווה</t>
  </si>
  <si>
    <t xml:space="preserve">הסכם- אגירת אנרגיה </t>
  </si>
  <si>
    <t>האתר מוכן לכניסת היזם לעבודה.</t>
  </si>
  <si>
    <t>WBD-087</t>
  </si>
  <si>
    <t>שער שומרון – התקנת תחמ"ש ניידת 20 מגוו"א</t>
  </si>
  <si>
    <t>הניידת בשלבי סיום בדיקות .
1. לגבי בדיקות על חי : בשבועיים הקרובים נגה יסיימו להכין תמונה לתחנה ואז נבצע סימולציה ובדיקות - בטיפול תחמ"ש ותקשורת תפעולית.
2. בעקבות מזג האוויר הסוער, שגרם להתדרדרות הסלעים מאיזור המפלס העליון של ההר, הגיע יועץ קרקע לתחנה - כרגע עפ"י המלצתו נדרש לשים גדר זמנית בדופן ההר למניעת המפולת. באביב, יבצעו בדיקה מחודשת לייצוב מפלס ההר. (אין פגיעה ביציבות עמוד מ"ע במפלס העליון) .
3. נותרו מס' עבודות לקבלן מחוץ לשטח התחנה. נערך לביצוע בשבועיים הקרובים.
צפי חישמול 31/01/2026</t>
  </si>
  <si>
    <t>הניידת בשלבי סיום בדיקות .
1. לגבי בדיקות על חי : עברו ב-15.1 בהצלחה
2. בעקבות מזג האוויר הסוער, שגרם להתדרדרות הסלעים מאיזור המפלס העליון של ההר, הגיע יועץ קרקע לתחנה - כרגע עפ"י המלצתו נדרש לשים גדר זמנית בדופן ההר למניעת המפולת. באביב, יבצעו בדיקה מחודשת לייצוב מפלס ההר. (אין פגיעה ביציבות עמוד מ"ע במפלס העליון) .- ממתינה לאישור ביצוע העבודה ע"י בטיחות ומנהל תחמ"ש
3. נותרו מס' עבודות לקבלן מחוץ לשטח התחנה. נערך לביצוע בשבועיים הקרובים.- כביש (לא מעכב חשמול) + פלטות הגנה- יבוצע יחד עם תיקון דופן ההר
4. קולטי ברק - נמצא בייצור בית מלאכה - יהיה מוכן עד יום חמישי ואז הרכבה בתחילת שבוע + הכנסת פיסטרים לניידת ואיטום- יומיין עבודה
צפי חישמול 31/01/2026</t>
  </si>
  <si>
    <t>1. בידקות הסתיימו. נשאר רק לחזור על בדיקת הארקות לאחר פיזור חצץ
2. בעקבות מזג האוויר הסוער, שגרם להתדרדרות הסלעים מאיזור המפלס העליון של ההר, הגיע יועץ קרקע לתחנה ונתן הנחיות לביצוע. כרגע אנחנו מכיניסים את הקבלן לסיים את כל העבודות שנשארו לו כולל תיקון הגדר ודופן ההר. במידה וזה יהיה מספיק + הוספת חומה מבטון נחשמל את הניידת . במידה ולא נושא החשמול יהיה להחלטת מנהל האגף
3. קולטי ברק - סיימו לייצר- יותקנו במהלך השבוע
צפי חישמול תחילת פברואר, אלא אם כן עדין תהיה בעיה בטיחותית ממפולת האבנים.
התקבל עדכון מדימטרי (נגה) שבמידה והניידת לא תחושמל עד סוף פברואר לא יהיה ניתן לחשמל אותה עד הסתיו בשל עבודות על הקו</t>
  </si>
  <si>
    <t>1. בדיקות הסתיימו. נשאר רק לחזור על בדיקת הארקות לאחר פיזור חצץ.
2. בעקבות מזג האוויר הסוער, שגרם להתדרדרות הסלעים מאיזור המפלס העליון של ההר, הגיע יועץ קרקע לתחנה ונתן הנחיות לביצוע. כרגע אנחנו מכיניסים את הקבלן לסיים את כל העבודות שנשארו לו כולל תיקון הגדר ודופן ההר. במקביל תכנון אזרחי יוציא הנחיות לתיקון של הגדר.
3. קולטי ברק - סיימו לייצר- יותקנו במהלך השבוע
צפי חישמול במהלך פברואר (אחרי פיתרון בעיה בטיחותית)
התקבל עדכון מדימטרי (נגה) שבמידה והניידת לא תחושמל עד סוף פברואר לא יהיה ניתן לחשמל אותה עד הסתיו בשל עבודות על הקו</t>
  </si>
  <si>
    <t>1. בוצע סיור באתר עם מנהל האגף והוסכם על תיקון הגדר ומפולת הסלעים על מנת לחשמל עוד החודש את הניידת . אנו נערכים במהלך השבוע וחצי לתיקון כלל העבודות וכן שינוע של גדר ניו גרסי לאתר.
אנחנו נהיה מוכנים לחשמול עד השבוע של ה22
2. הועבר ע"י פיקוח הולכה כי נגה מתנים את חשמול הניידת לעבודות שטרם בוצעו באריאל. יש לוודא כי נגה ערוכים לחשמול לקראת סוף החודש.</t>
  </si>
  <si>
    <t>1. הקבלן בשלב של סיום עבודות הן מבחינת ניקוי הסלעים, גידור חדש וגדר בטיחון למעלה ופיזור חצץ
2. בתאריך 17.2 יגיע לאתר ניו גרסי להנחה בתוך התחנה
3.בתאריך 18.2 מתוכננת בדיקת הארקות חוזרת אחרונה
במידה והבדיקה תעבור בהצלחה נהיה מוכנים לחשמול בשבוע האחרון של פברואר.</t>
  </si>
  <si>
    <t>הסתיימות כל העבודות באתר כולל בדיקת הארקות חוזרת שאושרה.
ממתינה שארז גרינברג מיח התחמ"ש יוציא הודעת מוכנות חשמול וכן יקבע מועד למסירה של האתר מהקבלן ליח התחמ"ש</t>
  </si>
  <si>
    <t>הסתיימות כל העבודות באתר כולל בדיקת הארקות חוזרת שאושרה.
יצאה הודעת מוכנות לחשמול אל מנהל האגף. רמי שטן עידכן שהוא אישר את החמשול - טרם חושמלה ניידת.
מסירה סופית של התחנה מהקבלן לתחמ"ש תוכננה ל1.3 - בשל המצב הביטחוניף נדחה לתחילת שבוע הבא.
לפי עדכון של נתי דביר אין צורך של הגשת מסמכים על התחנה (כדמוי של טופס 4, לא היה היתר על התחנה)</t>
  </si>
  <si>
    <t>ביום חמישי האחרון בוצעה עבודת חיבור הידרידות מעמוד המ"ע וכן בדיקות על הניידת ע"י תחמ"ש, במהלך הבדיקות נמצאה תקלה שעדין לא נפתרה
ביום שישי הורידו את הירידות והיום - יום א' בוצעו בדיקות נוספות וביום שלישי 10/3 המשך בדיקות
במהלך יום שלישי נראה האם הנייידת חושמלה בהצלחה או לא.</t>
  </si>
  <si>
    <t>הניידת חושמלה בהצלחה</t>
  </si>
  <si>
    <t>WBD-084</t>
  </si>
  <si>
    <t>רמת רחל ניידת- העתקת ניידת</t>
  </si>
  <si>
    <t xml:space="preserve">הקבלן סיים את עבודתו בשטח, בהמתנה עד עונת האביב על מנת שנקבל הפסקות מ"ג + מ"ע. החל ממרץ ועד מאי נשנע את הניידת, נרכיב ונחשמל.
</t>
  </si>
  <si>
    <t>הקבלן סיים את עבודתו בשטח, בהמתנה עד עונת האביב על מנת שנקבל הפסקות מ"ג + מ"ע. החל ממרץ ועד מאי נשנע את הניידת, נרכיב ונחשמל.</t>
  </si>
  <si>
    <t xml:space="preserve">אנו נערכים להפסקות מ"ג ומ"ע - 15/3 - 15/5 והעברת ניידת רמת רחל </t>
  </si>
  <si>
    <t>ב22.2 נערך קייזן עם כלל בעלי העניין
במסגרתו נקבע לו"ז מעודכן לפרויקט שיחל ב15.3 - פירוק, שינוע והרכבה עד לתאריך 15.5 אלה מועדי ההפסקות שאנו נערכים לקבל</t>
  </si>
  <si>
    <t>בהמשך לקייזן שבוצע, נערכנו לתחילת הפסקות במ"ע החל מה15.3 ועד ה20.5
כדי לבצע את תחילת ההפסקות בזמן, מ"ג היו אמורים היום, 8.3 להתחיל בעבודות הכנה לצורך הפיזור בעוד שבוע.
נגה - בעקבות המלחמה עצרו את ההפסקה ולא מאשרים התחלתה כמתוכנן.
בעקבות הדחייה, הלו"ז כולו כפי שנקבע ידחה בהתאם.
כל עוד נגה יאשרו לנו להיכנס להתחלות עד אחרי פסח אנו נוכל לעמוד ביעד של הזזת הניידת מהקיבוץ בזמן, אחרת הפרויקט ידחה.
בנוסף יש לדעת כי ההפסקות נפרסות על פני חודשיים שלמים, כך שאם מתחילים באפריל סיום העבודות יגיעו ליוני (תחילת הקיץ)</t>
  </si>
  <si>
    <t xml:space="preserve">1.	החל מהשבוע הנוכחי – המרחב, מבצע פיזור עומס, כלומר ניידת משוחררת ממ"ג עד ל17.3 כולל - באחריות רויטל עמית
2.	במהלך שלושת הימים הראשונים של שבוע הבא ועד ה18.3– הכנת כביש גישה ליציאת הניידת לאחר שאושרה מול אייל דומר– באחריות לוי עמנואל ואייל דומר
3.	החל מה-18.3 ביצוע רת"ק -מבצע מקצרים + חיתוך קו + פירוק הכבל של הניידת הקיימת 
4.	החל מה19.3 כניסת עבודות תחמ"ש לפירוק הניידת, אחריהם החל מה-22.3 כניסת הרכבה חשמלית ותחבורה לפירוקים והכנת הניידת לשינוע וטסט 
5.	החל מה19.3 עבודות קבלן להכנת כביש הגישה בדרך ברעם לכניסת הניידת בתאריך המתוכנן. 
שינוע הניידת נקבע ל28.3
</t>
  </si>
  <si>
    <t>בוצעה הפסקת ניידת רמת רחל, אנו מתכוננים עם כלל הפירוקים לשינוע הניידת במוצאי שבת הקרובה, לאחר הפסח יכנסו מ"ע לעבודה וכן הרכבה חשמלית
ממשיכים להיערך ע"פ הלו"ז המתוכנן</t>
  </si>
  <si>
    <t>WBE-276</t>
  </si>
  <si>
    <t>קרית שמונה- מתקן אגירת אנרגיה בסוללות</t>
  </si>
  <si>
    <t xml:space="preserve"> בחפירות גישוש שבוצעו בתחנה, נמצאה צנרת כבלים. בשלב בדיקה מול אנשי תחמ"ש ומחוז האם חיים או מנותקים .
בשטח המיועד למתקן האגירה נמצאים כיום סוללות קבלים שנרדש להעתיק - נבחר קבלן לטובת העבודה בקרוב יכנס לשטח לצורך העתקת הסוללות ופינוי השטח.</t>
  </si>
  <si>
    <t xml:space="preserve"> בחפירות גישוש שבוצעו בתחנה, נמצאה צנרת כבלים. בשלב בדיקה מול אנשי תחמ"ש ומחוז האם חיים או מנותקים .
בשטח המיועד למתקן האגירה נמצאים כיום סוללות קבלים שנרדש להעתיק - נבחר קבלן לטובת העבודה בקרוב יכנס לשטח לצורך העתקת הסוללות ופינוי השטח. (במו"מ עם הקבלן)</t>
  </si>
  <si>
    <t xml:space="preserve"> בחפירות גישוש שבוצעו בתחנה, נמצאה צנרת כבלים. הבינו אחרי בדיקה של פיקוח והתחמ"ש כי הכבלים ישנים ומנותקים.
בשטח המיועד למתקן האגירה נמצאים כיום סוללות קבלים שנרדש להעתיק - נבחר קבלן לטובת העבודה בקרוב יכנס לשטח לצורך העתקת הסוללות ופינוי השטח. 
אודי יהודה מסכים לאחר בדיקת הקבלים להכניס את הקבלן ולבקש ממנו לפתוח חלק מהכביש כדי להבין את התוואי </t>
  </si>
  <si>
    <t xml:space="preserve"> 1. בחפירות גישוש שבוצעו בתחנה, נמצאה צנרת כבלים. הבינו אחרי בדיקה של פיקוח והתחמ"ש כי הכבלים ישנים ומנותקים.
בשטח המיועד למתקן האגירה נמצאים כיום סוללות קבלים שנרדש להעתיק - מכיוון שכתב הכמיות גבוה מ500 אלף ש"ח זה הועבר למכרזים (אבי וקנין) ביקשתי מערן בוכנר שיכניסו את בחירת הקבלן לדחיפות גבוהה כי אחרת לא נספיק לפנות את השטח לפני כניסת היזם 
(אודי יהודה מסכים לאחר בדיקת הקבלים להכניס את הקבלן ולבקש ממנו לפתוח חלק מהכביש כדי להבין את התוואי )
</t>
  </si>
  <si>
    <t xml:space="preserve"> בחפירות גישוש שבוצעו בתחנה, נמצאה צנרת כבלים. הבינו אחרי בדיקה של פיקוח והתחמ"ש כי הכבלים ישנים ומנותקים.
בשטח המיועד למתקן האגירה נמצאים כיום סוללות קבלים שנרדש להעתיק - מכיוון שכתב הכמיות גבוה מ500 אלף ש"ח זה הועבר למכרזים (אבי וקנין) בהמשך לעדכון של אילנית לוי - הפרויקטון להעתקה לא נכנס לרשימת הקריטים למכרזים ולכן עדין לא יצא למכרז להתקשרות עם קבלן - הדבר בעייתי מאוד כי לא יהיה קבלן בקרוב לא נספיק להכשיר את השטח לפני כניסת היזם ביוני 26
(אודי יהודה מסכים לאחר בדיקת הקבלים להכניס את הקבלן ולבקש ממנו לפתוח חלק מהכביש כדי להבין את התוואי )
</t>
  </si>
  <si>
    <t xml:space="preserve"> בחפירות גישוש שבוצעו בתחנה, נמצאה צנרת כבלים. הבינו אחרי בדיקה של פיקוח והתחמ"ש כי הכבלים ישנים ומנותקים.
בשטח המיועד למתקן האגירה נמצאים כיום סוללות קבלים שנרדש להעתיק - מכיוון שכתב הכמיות גבוה מ500 אלף ש"ח זה הועבר למכרזים (אבי וקנין) בהמשך לעדכון של אילנית לוי - הפרויקטון להעתקה לא נכנס לרשימת הקריטים למכרזים ולכן עדין לא יצא למכרז להתקשרות עם קבלן - הדבר בעייתי מאוד כי לא יהיה קבלן בקרוב לא נספיק להכשיר את השטח לפני כניסת היזם ביוני 26. הנ"ל הועבר למנהלת המחלקה ונהל האגף
(אודי יהודה מסכים לאחר בדיקת הקבלים להכניס את הקבלן ולבקש ממנו לפתוח חלק מהכביש כדי להבין את התוואי )
</t>
  </si>
  <si>
    <t xml:space="preserve"> בחפירות גישוש שבוצעו בתחנה, נמצאה צנרת כבלים. הבינו אחרי בדיקה של פיקוח והתחמ"ש כי הכבלים ישנים ומנותקים.
בשטח המיועד למתקן האגירה נמצאים כיום סוללות קבלים שנרדש להעתיק - מכיוון שכתב הכמיות גבוה מ500 אלף ש"ח זה הועבר למכרזים (אבי וקנין) .
לפי עדכון מכרזים - יהיה קבלן זוכה רק לקראת תחילת מאי ואז נדרש עוד כ5 חודשי עבודה, ז"א סיום עבודות רק לקראת סוף השנה
(אודי יהודה מסכים לאחר בדיקת הכבלים להכניס את הקבלן ולבקש ממנו לפתוח חלק מהכביש כדי להבין את התוואי )
</t>
  </si>
  <si>
    <t xml:space="preserve"> ביום שני הקרוב יבוצע שיחה עם קבלנים לעבודה
נערכים לבחירת קבלן לקראת מאי.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</si>
  <si>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נדרש לבחור קבלן לעבודות  מוקדם ככל הניתן
בנוסף חשוב להבין כי במהלך עבודות הקבלן אנו נבדוק שוב את הצנרת שנמצאה בתוואי השטח. במידה ובצנרת יימצאו כבלים חיים הדבר יאריך את שלבי הביצוע באופן משמעותי</t>
  </si>
  <si>
    <t>WBD-088</t>
  </si>
  <si>
    <t>קרית ארבע ניידת -  התקנת תחמ"ש ניידת</t>
  </si>
  <si>
    <t xml:space="preserve">הקבלן עלה ב 04/01 - הסתיימו עבודות פינוי שטח וגידור זמני. הערכה לסיום כ - חודש. לאחר מכן שינוע הניידת - הערכה לקראת 15/02/26 . במקביל מבוצעות עבודות קידוח של כבלי מ"ג מחוץ לשטח הניידת. 
</t>
  </si>
  <si>
    <t xml:space="preserve">הקבלן עלה ב 04/01 - הסתיימו עבודות פינוי שטח וגידור זמני. הערכה לסיום כ - חודש. לאחר מכן שינוע הניידת - הערכה לקראת 15/02/26 . בוצעו עבודות קידוח מ"ג מחוץ לניידת.
ממתינה לקבלת הצעת מחיר מנת"י להנמכת עמוד תאורה מתחת לתיילי מ"ע - ממתינה למחיר ואז ביצוע
</t>
  </si>
  <si>
    <t xml:space="preserve">הקבלן עלה ב 04/01 - הסתיימו עבודות פינוי שטח וגידור זמני. הערכה לסיום כ - חודש. לאחר מכן שינוע הניידת - הערכה לקראת 15/02/26 . בוצעו עבודות קידוח מ"ג מחוץ לניידת.
קיבלתי הצעת מחיר מנת"י להעתקת עמוד תאורה שמפריע למתיחת תיילים - הם יכנסו לביצוע בשבועיים הקרובים
סיור בשטח עם כלל המבצעים נקבע ל01.2 כדי לתאם את העבודות
</t>
  </si>
  <si>
    <t>01/02/26 התקיים סיור בשטח על מנת לבדוק את מוכנות השטח לעליית לכלל המבצעים לקראת שינוי הניידת. בשבועיים הקרובים הקבלן יגיע לגובה 0:0 ונכניס ביסוסים של עמוד מ"ע ועמוד שנאי בית. ב 01/03/26 מתוכנן שינוי הניידת ולאחריו הרכבה וחישמול לקראת 31/03/26</t>
  </si>
  <si>
    <t>הקבלן עובד בשטח, נאנו נגיע לגובה 0 רק במהלך שבוע הבא .
קבלן של המחוז יערך ליציקת שני העמודים בשבוע הבא
תכנון שינוע של הניידת ב26.2 ואז כניסת כלל המבצעים לתחנה - משוריינת ניידת אלעד 1</t>
  </si>
  <si>
    <t>הקבלן עובד בשטח, נאנו נגיע לגובה 0 השבוע.
תכנון שינוע של הניידת ב26.2 ואז כניסת כלל המבצעים לתחנה - משוריינת ניידת אלעד 1</t>
  </si>
  <si>
    <t>ב26.2 הוכנה הניידת לשטח, לאור המצב הביטחוני הרככבה חשמלית עדין לא נכנסה לשטח 
בהמשך השבוע ובהתאם למצב הביטחוני נכנס להמשך העבודות</t>
  </si>
  <si>
    <t>הניידת הובלה לשטח בתאריך 26.2 ממש לפני תחילת המלחמה, 
בעקבות המלחמה מועצת ק. ארבע לא מאפשרת לעובדים פלסטיניים להיכנס לעבודה ולכן עבודת המחוז נעצרה עד לאישורם המחודש.
ברגע שיאושר נתחיל עבודות חפירה להקמת שני עמודים - מ"ע ומ"ג וכן במקביל יעבדו הרכבה חשמלית לחיבור.
כפי שזה נראה יש עיכוב בפרויקט בעקבות המלחמה ואנו נערך לחשמול לקראת סוף אפריל</t>
  </si>
  <si>
    <t>הניידת הובלה לשטח בתאריך 26.2 ממש לפני תחילת המלחמה, 
בעקבות המלחמה מועצת ק. ארבע איפשרה בשבוע הראשון להכניס עובדים פלסטניים לעבודה בשטח.
בשבוע שעבר אושרה הכניסה, נכנסנו מהמרחב להכנת שני העמודים מ"ע ומ"ג בשטח
החל מהשבוע הרכבה חשמלית תיכנס גם לעבודה</t>
  </si>
  <si>
    <t>הניידת הובלה לשטח בתאריך 26.2 ממש לפני תחילת המלחמה, 
הסתיימו עבודות המרחב והוקם עמוד מ"ג
השבוע מתוכננת עבודה של כלל החיבורים ע"י הרכבה חשמלית בשטח
עמוד מ"ע , חשמול הפילר ותחילת בדיקות יעשו לאחר הפסח.
כרגע עצרו את עבודות של תיקון הסיב האופטי בגלל שנגה לא מאפשרים הפסקה לצורך התיקון- נדרש להוריד חסם זה מול נגה כדי שנוכל לסיים את תיקון המקטע האחרון של הסיב</t>
  </si>
  <si>
    <t>כרגע עצרו את עבודות של תיקון הסיב האופטי בגלל שנגה לא מאפשרים הפסקה לצורך התיקון- נדרש להוריד חסם זה מול נגה כדי שנוכל לסיים את תיקון המקטע האחרון של הסיב</t>
  </si>
  <si>
    <t>WBE-265</t>
  </si>
  <si>
    <t>קציעות-  2 מתקנים לאגירת אנרגיה בסוללות</t>
  </si>
  <si>
    <t xml:space="preserve">האתר מוכן לכניסת היזם לעבודה. </t>
  </si>
  <si>
    <t>1. בוצע מיפוי תשתיות בשטח ע"י אקסודיגו ולא התגלו ממצאים הדורשים פינוי לכן השטח הוא שטח בתולי שמוכן לכניסת היזם.
2. השטח נמצא כרגע בתהליך להסכם חכירה של מנר"א מול המועצה / רמ"י
3. ישנה הערה שקיבלנו בתיק מידע כי אין אישור להקמת שני מתקנים כל אחד 10MV  סה"כ 20
כרגע זה בבדיקה טכנית
4. ישנה בעיה של עומס על הקו מ"ג לכיוון קציעות . הנפה העבירו מכתב בנושא לרשת וכן הועבר מצידי למנהלים. כרגע זה הועבר להנהלה, בוחנים להחליף את קציעות באתר אחר בבדיקה של גיל חזום מול נגה</t>
  </si>
  <si>
    <t>WBE-140</t>
  </si>
  <si>
    <t>ערד - 2 מתקנים לאגירת אנרגיה בסוללות</t>
  </si>
  <si>
    <t>נפת הנגב נכנסו להעתקת כבלי מ"ג באזור האגירה, נערכים לסיום העתקות- עד מרץ 26</t>
  </si>
  <si>
    <t>נפת הנגב יכנסו בקרוב להעתקת כבלי מ"ג באזור האגירה, נערכים לסיום העתקות- עד מרץ 26
העתקת תשתית המים הקיימת תבוצע ע"י היזם- לא נין לבצע העתקה מבחוץ כי חייב גידור הרמטי</t>
  </si>
  <si>
    <r>
      <rPr>
        <rFont val="Arial"/>
        <color rgb="FF000000"/>
        <sz val="12.0"/>
      </rPr>
      <t>נפת הנגב יכנסו השבוע להעתקת כבלי מ"ג באזור האגירה, נערכים לסיום העתקות- עד אפריל 26
העתקת תשתית המים הקיימת תבוצע ע"י היזם- לא נין לבצע העתקה מבחוץ כי חייב גידור הרמטי</t>
    </r>
  </si>
  <si>
    <t>נפת הנגב יכנסו השבוע להעתקת כבלי מ"ג באזור האגירה, נערכים לסיום העתקות- עד אפריל 26
העתקת תשתית המים הקיימת תבוצע ע"י היזם- לא ניתן לבצע העתקה מבחוץ כי חייב גידור הרמטי</t>
  </si>
  <si>
    <t xml:space="preserve">נפת הנגב טרם נכנסו לביצוע להעתקת כבלי מ"ג באזור האגירה, הם אומרים שהם לא יכנסו לפני מרץ לעבודות טרם סיום עבודות בתוואי צמוד לזה, כמפורט: לתוכנית 400085289 שלנו קיימים היתרים. עם זאת בשל חשש לגניבת כבל אלומיניום המונח מחוץ לתחמ"ש לא ניתן להתחיל בעבודות בשלב זה.
נדרש להמתין לקבלת אישורים לתוכנית 400079174 המהווה המשך ישיר לתוכנית הקיימת. בתוכנית זו נכון להיום חסר היתרים של מועצה, סלקום, פרטנר ותאגיד מים.
עם קבלת האישורים לתוכנית 400079174 נוכל למסור לו"ז מסודר לביצוע העבודה.
העבודות יתחילו בהנחת כבל מאזור תעשייה בעיר. אני בקשר איתם בשבועיים הקרובים
העתקת תשתית המים הקיימת תבוצע ע"י היזם- לא ניתן לבצע העתקה מבחוץ כי חייב גידור הרמטי
</t>
  </si>
  <si>
    <t xml:space="preserve">נפת הנגב טרם נכנסו לביצוע להעתקת כבלי מ"ג באזור האגירה, הם אומרים שהם לא יכנסו לפני מרץ לעבודות טרם סיום עבודות בתוואי צמוד לזה, כמפורט: לתוכנית 400085289 שלנו קיימים היתרים. עם זאת בשל חשש לגניבת כבל אלומיניום המונח מחוץ לתחמ"ש לא ניתן להתחיל בעבודות בשלב זה.
נדרש להמתין לקבלת אישורים לתוכנית 400079174 המהווה המשך ישיר לתוכנית הקיימת. בתוכנית זו נכון להיום חסר רק היתר של המועצה שכרגע בעקבות המלחמה לא עובדים על בקשות להיתרים
עם קבלת האישור האחרון לתוכנית 400079174 ימסר לו"ז מסודר לביצוע העבודה ע"י המחוז
העבודות יתחילו בהנחת כבל מאזור תעשייה בעיר. 
העתקת תשתית המים הקיימת תבוצע ע"י היזם- לא ניתן לבצע העתקה מבחוץ כי חייב גידור הרמטי
</t>
  </si>
  <si>
    <t xml:space="preserve">נפת הנגב טרם נכנסו לביצוע להעתקת כבלי מ"ג באזור האגירה
עדיו לא התקבלו כלל האישורים הנדרשים ע"י המשטרה לביצוע העבודות - בבדיקה מול נפת הנגב הם ינסו ללחוץ לסיים עם כלל האישורים עד אחרי פסח ואז יוכל להיכנס לעבודה לקראת מאי.
עבודות העתקה כ-3 חודשים . ז"א שרק לקראת החורף יסיימו את העבודות
העתקת תשתית המים הקיימת תבוצע ע"י היזם- לא ניתן לבצע העתקה מבחוץ כי חייב גידור הרמטי
</t>
  </si>
  <si>
    <t>ממתינים לאישור המשטרה על התוכניות לביצוע של נפת הנגב להעתקת קו כבלים מ"ג</t>
  </si>
  <si>
    <t>WBE-275</t>
  </si>
  <si>
    <t>עין חרוד - מתקן אגירת אנרגיה בסוללות</t>
  </si>
  <si>
    <t>WBE-268</t>
  </si>
  <si>
    <t>נחל שחורת- מתקן אגירת אנרגיה בסוללות</t>
  </si>
  <si>
    <t>השטח מוכן לכניסת היזם. 
בשלב ביצוע של הכשרת תאים 104 + 204 עבור מתקן האגירה הכשרתם תסתיים עד 31/01/26 בסיום ההכשרה נהיה מוכנים גם מבחינת חיבור מ"ג.</t>
  </si>
  <si>
    <t>השטח מוכן לכניסת היזם. 
בשלבי סיום עבודות הכשרת תאים 104 + 204 עבור מתקן האגירה.</t>
  </si>
  <si>
    <t>WBD-054</t>
  </si>
  <si>
    <t>חצבה (ספיר) ניידת-תחמ"ש ניידת 161/36 ק"ו</t>
  </si>
  <si>
    <t xml:space="preserve">הניידת חושמלה ב 31/12/25 בשלב טיפול בטופס 4 </t>
  </si>
  <si>
    <t xml:space="preserve">המשך טיפול בטופס 4 </t>
  </si>
  <si>
    <t xml:space="preserve">בבירור אם נדרש טופס 4 </t>
  </si>
  <si>
    <t>פיקוח אזרחי נדרשים להעביר שני מסמכים שחסרים לצורך הגשת טופס 4. לאחר השלמת שני המסמכים החסרים נוכל להגיש לוועדה לצורך אישור.</t>
  </si>
  <si>
    <t>WBD-100</t>
  </si>
  <si>
    <t>בית הגדי ניידת- הצבת תחמ"ש ניידת</t>
  </si>
  <si>
    <t>חושמל 30/08/2025</t>
  </si>
  <si>
    <t>הניידת חושמלה, בשלב קבלת טופס 4 - כעת ממתינים לאישור רמ"י על ההסכם  השטח מול המועצה</t>
  </si>
  <si>
    <t xml:space="preserve">המתנה למנר"א לסיום הטיפול בטופס 4 </t>
  </si>
  <si>
    <t xml:space="preserve">המתנה למנר"א לסיום הטיפול בהסכם מול רמ"י, רק לאחר שיהיה הסכם יהיה ניתן להגיש לטופס 4 </t>
  </si>
  <si>
    <t xml:space="preserve">הניידת חושמלה .
המתנה למנר"א לסיום הטיפול בהסכם מול רמ"י, רק לאחר שיהיה הסכם יהיה ניתן להגיש לטופס 4 </t>
  </si>
  <si>
    <t xml:space="preserve">אישור רמ"י - בטיפול מנר"א </t>
  </si>
  <si>
    <t>WBE-139</t>
  </si>
  <si>
    <t>ב"ש מערב -מתקן אגירת אנרגיה בסוללות</t>
  </si>
  <si>
    <t>שטח האגירה מפונה. אבל נדרש להוסיף שדה מ"ג לצורך חיבור המתקן. לעבודה זאת נבחר קבלן שאמור בקרוב לעלות לשטח לביצוע העבודות.</t>
  </si>
  <si>
    <t>שטח האגירה מפונה. אבל נדרש להוסיף שדה מ"ג לצורך חיבור המתקן. בשלב של מו"מ מול הקבלן לביצוע העבודות - הוא נתן מחיר יקר משמעותית</t>
  </si>
  <si>
    <t xml:space="preserve">שטח האגירה מפונה. אבל נדרש להוסיף שדה מ"ג לצורך חיבור המתקן. הזמנה לקבלן תצא השבוע ונוכל להכניס את הקבלן לביצוע העבודות למהלך פברואר - כארבע חודשי עבודה </t>
  </si>
  <si>
    <t xml:space="preserve">שטח האגירה מפונה. אבל נדרש להוסיף שדה מ"ג לצורך חיבור המתקן. הזמנה לקבלן תצא השבוע ונוכל להכניס את הקבלן לביצוע העבודות החל ממרץ- כארבע חודשי עבודה </t>
  </si>
  <si>
    <t xml:space="preserve">שטח האגירה מפונה. אבל נדרש להוסיף שדה מ"ג לצורך חיבור המתקן. הזמנה לקבלן יצאה ונוכל להכניס את הקבלן לביצוע העבודות החל ממרץ- כארבע חודשי עבודה </t>
  </si>
  <si>
    <t xml:space="preserve">שטח האגירה מפונה. אבל נדרש להוסיף שדה מ"ג לצורך חיבור המתקן. הזמנה לקבלן יצאה, נערכים לכניסה לעבודוה במרץ- כארבע חודשי עבודה </t>
  </si>
  <si>
    <t xml:space="preserve">שטח האגירה מפונה. אבל נדרש להוסיף שדה מ"ג לצורך חיבור המתקן. הזמנה לקבלן יצאה, ככל הנראה לא נוכל להיכנס לעבודה החודש בשל המלחמה, כניסת הקבלן לעבודות תדחה לאחרי המלחמה </t>
  </si>
  <si>
    <t>שטח האגירה מפונה. אבל נדרש להוסיף שדה מ"ג לצורך חיבור המתקן. הזמנה לקבלן יצאה, ככל הנראה לא נוכל להיכנס לעבודה החודש בשל המלחמה, כניסת הקבלן לעבודות תדחה לאחרי המלחמה - מיד לאחר פסח</t>
  </si>
  <si>
    <t>WBE-164</t>
  </si>
  <si>
    <t>קישון -שדרוג תחמ"ש והחלפת שנאים 521, 522</t>
  </si>
  <si>
    <t>גולן, לירון</t>
  </si>
  <si>
    <t>בשלב תכנון להיתר</t>
  </si>
  <si>
    <t>בשלב תכנון להיתר
הפרויקט בבחינת נחיצות ברמת מנהל אגף</t>
  </si>
  <si>
    <t>בחינת נחיצות</t>
  </si>
  <si>
    <t>WBE-145</t>
  </si>
  <si>
    <t>קישון - החלפת שנאים  524, 523</t>
  </si>
  <si>
    <t>קבלן אזרחי סיים את כל העבודות של שלב א.
הרכבה חשמלית בשלבי סיום של מסדר אפס של שנאי 523.  צפי מסירה לבדיקות 22.01.2026
הפסקת שנאי 523 נדחתה ל 20.01.2026 לאור מזג האויר..</t>
  </si>
  <si>
    <t>היום 20.01.2026 תחל הפסקת שנאי 523 לצורך החלפתו.</t>
  </si>
  <si>
    <t>ב 20.01.2026 החלה הפסקת שנאי 523 הישן.
אבל ב 21.01.2026 נתגלה קצר פנימי בשנאי 523 החדש.
לכן ב 24.01.2026 הועבר שנאי חדש משטח 6 קישון. והעבודה נמשכת.
צפי למוכנות למילוי שמן ב 29.01.2026 .</t>
  </si>
  <si>
    <t>01.02.2026 החל תהליך מילוי שמן לשנאי 523.</t>
  </si>
  <si>
    <t xml:space="preserve">מילוי שמן לשנאי 523 הסתיים
בדיקות מעבדת חשמל בוצעו.
צפי מסירה לבדיקות הכנסה לניצול ב 12.2.2026 </t>
  </si>
  <si>
    <t xml:space="preserve">שנאי 523 בבדיקות הכנסה לניצול.  </t>
  </si>
  <si>
    <t xml:space="preserve">שנאי 523 בבדיקות הכנסה לניצול.  
בדיקות אלה אמורות להסתיים עד 01/03/2026 - יח' התחמ"ש מתריעה כי לא תעמוד ביעד זה
</t>
  </si>
  <si>
    <t>שנאי 523 בבדיקות הכנסה לניצול.  
בדיקות אלה אמורות להסתיים עד 15/03/2026 לאור הקטנת צוותי העבודה בגלל מצב החירום.</t>
  </si>
  <si>
    <t>ועדת חישמול לשנאי 523 נקבעה ל 12.03.2026.
לאחר חישמול שנאי זה יחלו העבודות לטובת שדרוג שנאי 524.</t>
  </si>
  <si>
    <t>שנאי 523 עבר ועדת חישמול</t>
  </si>
  <si>
    <t>שנאי 523 חושמל ב 16.03.2026
ב 19.03.2026 נערכה מסירה אזרחית של שלב ב - כולל מכולת מ"ג 2ומסגר אפס 4 לשנאי 524.</t>
  </si>
  <si>
    <t xml:space="preserve">קיים חוסר במבודדי תמיכת מ"ג לשנאי 524 </t>
  </si>
  <si>
    <t>WBM-406333
WBM-40534
WBM-40200</t>
  </si>
  <si>
    <t>קישון שדות 11,17,20,25 ומ"ז</t>
  </si>
  <si>
    <t>30/06/2026
30/05/2027
31/12/2026</t>
  </si>
  <si>
    <t>שושים מערכתיים - DR ב 14.01.2026</t>
  </si>
  <si>
    <t>ישיבת DR - RFT נערכה ב 19.01.2026 צפי לקבלת RFT סופי 22.01.2026
ועדת שינויים תערך ב 20.01.2026 לצורך אישור העברת הפרויקטים לקבלן אזרחי הרחבה. לאחר אישור הועדה - הנושא יועבר לאישור ועדת מכרזים</t>
  </si>
  <si>
    <t>RFT סופי</t>
  </si>
  <si>
    <t>RFT סופי הופץ ב 22.01.2026</t>
  </si>
  <si>
    <t>בתהליך תיחור</t>
  </si>
  <si>
    <t>צפי לסיור קבלינים - 30.04.2026
צפי הגשת הצעות -15.05.2026
צפי לבחירת קבלן - 30.06.2026
בעקבות "שאגת הארי" הפסקת המחז"ם נדחתה לאביב 2027 במקום בסתו 2026 - על כן מאפשר לסיים שדות 20+25 בזמן לפני הפסקת המחזם</t>
  </si>
  <si>
    <t>WBE-186</t>
  </si>
  <si>
    <t>צפת -התקנת שנאי רביעי 161/24 ק"ו, 50 מגוו"א</t>
  </si>
  <si>
    <t>צפי כתב כמויות 03/2026</t>
  </si>
  <si>
    <t>צפי כתב כמויות 04/2026</t>
  </si>
  <si>
    <t>WBE-195</t>
  </si>
  <si>
    <t>עתלית- התקנת שנאי שלישי (524) 161/24 ק"ו, 50 מגוו"א</t>
  </si>
  <si>
    <t>ב 06.01.2026 הופצה הזמנה לתכנון אזרחי למכרז.</t>
  </si>
  <si>
    <t>בתכנון למכרז</t>
  </si>
  <si>
    <t>בתכנון למכרז
צפי כתב כמויות 4/2026</t>
  </si>
  <si>
    <t>WBE-141</t>
  </si>
  <si>
    <t>פארן - מתקן אגירת אנרגיה בסוללות</t>
  </si>
  <si>
    <t>מזרחי, סולי</t>
  </si>
  <si>
    <t>חושמל 30/10/2024</t>
  </si>
  <si>
    <t>בטיפול לקבלת טופס 4</t>
  </si>
  <si>
    <t>בטיפול לקבלת טופס 4
לפני הכנסה לניצול - מטופל מול אפקון החלפת ציוד תקול - סוללות</t>
  </si>
  <si>
    <t>בטיפול לקבלת טופס 4
לפני הכנסה לניצול - באחריות אפקון החלפת ציוד תקול - סוללות</t>
  </si>
  <si>
    <t>WBE-134</t>
  </si>
  <si>
    <t>נתיבות - התקנת מתקן אגירת אנרגיה</t>
  </si>
  <si>
    <t>חושמל 30/12/2024</t>
  </si>
  <si>
    <t>בטיפול לקבלת טופס 4 
לפני הכנסה לניצול - בטיפול מול אפקון לתיקון תקלות</t>
  </si>
  <si>
    <t>בטיפול לקבלת טופס 4 
לפני הכנסה לניצול - תקלות טופלו בהרצה לפני חשמול</t>
  </si>
  <si>
    <t>WBM-00289</t>
  </si>
  <si>
    <t>כפר סבא-התקנת 3 ס"ק 5*2 מגווא"ר כ"א</t>
  </si>
  <si>
    <t>אין עדיין תכנון (נדרש היתר)</t>
  </si>
  <si>
    <t>אין עדיין תכנון , נדרש לצאת לתהליך קבלת היתר</t>
  </si>
  <si>
    <t>הפרויקט לא הועבר בצורה רישמית למנהפ. אין עדיין תכנון , נדרש לצאת לתהליך קבלת היתר</t>
  </si>
  <si>
    <t>WBE-182</t>
  </si>
  <si>
    <t>כפר סבא-הרחבת מסדר 161 ק"ו והתקנת שנאי רביעי 161/24 ק"ו  50 מגוו"א</t>
  </si>
  <si>
    <t>בהמתנה לקבלת גלגלים לשנאי מחו"ל צפי להגעה 1/2026 , עם הגעתם ניתן להתחיל בעבודות הרכבה</t>
  </si>
  <si>
    <t>גלגלים לשנאי מתוכנן להתקבל מחו"ל השבוע יש להיערך בהתאם, עם הגעתם ניתן להתחיל בעבודות הרכבה</t>
  </si>
  <si>
    <t>התקבלו גלגלים ניתן לתזמן הובלה והצבת השנאי בתחמ"ש
כמו-כן ניתן להתחיל בעבודות הרכבה כולל מסדר מ"ג</t>
  </si>
  <si>
    <t>התקבלו גלגלים , יצאה פניה לצמ"ן להובלה והצבת השנאי בתחמ"ש
ניתן להתחיל בעבודות הרכבה כולל מסדר מ"ג
מסדר מ"ע יגיע בסוף חודש 4/2026</t>
  </si>
  <si>
    <t>תואם הובלת שנאי לתחמ"ש יום ד' 18/2 (צמ"ן עבודת לילה)
ניתן להתחיל בעבודות הרכבה כולל מסדר מ"ג
מסדר מ"ע יגיע בסוף חודש 4/2026</t>
  </si>
  <si>
    <t>תואם הובלת  שנאי הועבר לתחמ"ש יום ד' 18/2
הרכבה חשמלית החלו בהתקנה
תואם עבודות שמן החל מיום א' 1/3
מסדר מ"ע יגיע בסוף חודש 4/2026</t>
  </si>
  <si>
    <t xml:space="preserve">  שנאי הועבר לתחמ"ש ביום ד' 18/2
תואם עבודות שמן החל מיום א' 1/3 אך נדחה
בשל תיעדוף פרויקטים יח' תחמ"ש לא מקצה משגיח העבודות הופסקו (גם בגלל המצב הביטחוני)
מסדר מ"ע יגיע בסוף חודש 4/2026</t>
  </si>
  <si>
    <t xml:space="preserve">  שנאי הועבר לתחמ"ש ביום ד' 18/2
תאמנו תחילת עבודות שמן  1/3 אך נדחה
בשל תיעדוף פרויקטים יח' תחמ"ש לא מקצה משגיח העבודות הופסקו (גם בגלל המצב הביטחוני)
מסדר מ"ע יגיע בסוף חודש 5/2026</t>
  </si>
  <si>
    <t xml:space="preserve">  שנאי הועבר לתחמ"ש ב 18/2
תאמנו תחילת עבודות שמן  1/3 אך נדחה
בשל תיעדוף פרויקטים יח' תחמ"ש לא מקצה משגיח העבודות הופסקו (גם בגלל המצב הביטחוני)
מסדר מ"ע יגיע בסוף חודש 5/2026</t>
  </si>
  <si>
    <t xml:space="preserve">  שנאי הועבר לתחמ"ש ב 18/2
תאמנו תחילת עבודות שמן  1/3 אך נדחה
בשל תיעדוף פרויקטים יח' תחמ"ש לא מקצה משגיח. העבודות הופסקו (גם בגלל המצב הביטחוני)
מבקש לשקול הקצאת משגיח מהביצוע כדי לקדם את העבודות מיד לאחר חופשת החג
מסדר מ"ע יגיע בסוף חודש 5/2026</t>
  </si>
  <si>
    <t>WBE-306</t>
  </si>
  <si>
    <t>זמורות - הקמת בניין פיקוד ו- 4 מסדרי מ''ג</t>
  </si>
  <si>
    <t xml:space="preserve">בבירור לגבי דרישת רכש טרם הועבר לאגף רכש לבחירת קבלן </t>
  </si>
  <si>
    <t>בבירור לגבי דרישת רכש טרם הועבר לאגף רכש לבחירת קבלן 
התקיימה ישיבה מנהלי אגף ירון ורמי הוחלט להעביר להחלטת הסמנכ"ל</t>
  </si>
  <si>
    <t xml:space="preserve">דרישת רכש בבדיקה ואישור מנהלי אגפים ירון ורמי טרם הועבר לאגף רכש לבחירת קבלן 
</t>
  </si>
  <si>
    <t xml:space="preserve">נמצא פתרון לחלוקת התקציב , אמל אמור להוציא אומדן חדש , לידיעתכם --- טרם הועבר לאגף רכש לבחירת קבלן!
</t>
  </si>
  <si>
    <t xml:space="preserve">נמצא פתרון לחלוקת התקציב , אמל העביר אומדן חדש , 
בתאריך 15/2 הועבר לאגף רכש לבחירת קבלן!
</t>
  </si>
  <si>
    <t>נמצא פתרון לחלוקת התקציב , אמל העביר אומדן חדש , 
בתאריך 15/2 הועבר לאגף רכש לבחירת קבלן!
יש לקדם את שלב בחירת הקבלן</t>
  </si>
  <si>
    <t>הועבר אומדן חדש מחולק בהתאם, 
בתאריך 15/2 הועבר לאגף רכש לבחירת קבלן!
יש לקדם את שלב בחירת הקבלן</t>
  </si>
  <si>
    <t xml:space="preserve">
בתאריך 15/2 הועבר לאגף רכש לבחירת קבלן!
יש לקדם את שלב בחירת הקבלן</t>
  </si>
  <si>
    <t xml:space="preserve">בתאריך 15/2 הועבר לאגף רכש לבחירת קבלן!
עודכנו לו"ז בחירת קבלן 6/2026
מבקש לקדם את שלב בחירת הקבלן
</t>
  </si>
  <si>
    <t>WBE-115</t>
  </si>
  <si>
    <t>זמורות-הוספת שנאי רביעי 524 50 מגוו"א ומסדר מ"ג (מכולה)</t>
  </si>
  <si>
    <t>בבדיקות הכנסה לניצול - 3/2026 (עדכון יח' תחמ"ש)</t>
  </si>
  <si>
    <t>בבדיקות הכנסה לניצול (2-3 בודקים) - 3/2026 (עדכון יח' תחמ"ש)</t>
  </si>
  <si>
    <t>בבדיקות הכנסה לניצול (2-3 בודקים) - 3/2026 (עדכון יח' תחמ"ש) 
יש לזרז בדיקות הכנסה לניצול</t>
  </si>
  <si>
    <t xml:space="preserve">בבדיקות הכנסה לניצול (2-3 בודקים) - 3/2026 (עדכון יח' תחמ"ש) 
יש לזרז בדיקות הכנסה לניצול
נדרש לתאם חפירה והנחת כבלי מ"ג מהשנאי החדש (קבלן מחוז) </t>
  </si>
  <si>
    <t xml:space="preserve">בבדיקות הכנסה לניצול (2-3 בודקים) - 3/2026 (עדכון יח' תחמ"ש) 
יש לזרז בדיקות הכנסה לניצול
נדרש לתאם חפירה והנחת כבלי מ"ג מהשנאי החדש (יבוצע ע"י קבלן מחוז) </t>
  </si>
  <si>
    <t xml:space="preserve">בבדיקות הכנסה לניצול (2-3 בודקים) - 3/2026 (עדכון יח' תחמ"ש) 
וועדת חשמול תוכננה 4/3 ידחה בשל המצב הביטחוני
תואמה חפירה והנחת כבלי מ"ג מהשנאי החדש (יבוצע ע"י קבלן מחוז) </t>
  </si>
  <si>
    <t xml:space="preserve">בבדיקות הכנסה לניצול חשמול מתוכנן- 3/2026  
וועדת חשמול תוכננה 4/3 נידחה בשל המצב הביטחוני יתואם תאריך חדש
</t>
  </si>
  <si>
    <t xml:space="preserve">בבדיקות הכנסה לניצול חשמול מתוכנן סוף - 3/2026 צפי לעיכוב 
וועדת חשמול תוכננה 4/3 נידחה בשל המצב הביטחוני יתואם תאריך חדש
</t>
  </si>
  <si>
    <t xml:space="preserve">בבדיקות הכנסה לניצול חשמול מתוכנן סוף - 3/2026 צפי לעיכוב 
וועדת חשמול תוכננה 4/3 נידחה בשל המצב הביטחוני.
נותר לבצע חיבור כבלי מ"ג למקשר - תואם מול תחמ"ש
בשיחה עם יובל נויהוז מקדם תאריך חדש
</t>
  </si>
  <si>
    <t>WBE-172</t>
  </si>
  <si>
    <t>דימונה-התקנת מת.אגירת אנרגיה בליתיום יון</t>
  </si>
  <si>
    <t>בטיפול לקבלת טופס 4 
לפני הכנסה לניצול - באחריות אפקון לתיקון תקלות</t>
  </si>
  <si>
    <t>WBE-185</t>
  </si>
  <si>
    <t>גליל-התקנת 2 שנאים 50 מגוו"א 161/24 ק"ו</t>
  </si>
  <si>
    <t>לקראת סיום עבודות שלד, קבלן הגיש לו"ז מעודכן סיום עבודות 3/2026 , ניתן לספק שנאים אמצע חודש 2/2026</t>
  </si>
  <si>
    <t xml:space="preserve">לקראת סיום עבודות שלד, קבלן הגיש לו"ז מעודכן סיום עבודות 3/2026 , ניתן לספק שנאים אמצע חודש 2/2026 , בגלל מזג אוויר יתכן עיכוב בעבודות </t>
  </si>
  <si>
    <t xml:space="preserve"> סיום עבודות שלד, קבלן הגיש לו"ז מעודכן לסיום עבודות 3/2026 , ניתן לספק שנאים אמצע חודש 2/2026 , (עיכוב בעבודות האיטום בגלל הגשמים)</t>
  </si>
  <si>
    <t xml:space="preserve"> סיום עבודות שלד, קבלן הגיש לו"ז מעודכן לסיום עבודות 3/2026 , התקיימה ישיבה עם הקבלן 4/2 סוכם הצבת שנאים 1.3 (עיכוב בעבודות האיטום בגלל הגשמים) מסדר "0" יימסר בסוף חודש 2/26 כנ"ל מסדר מ"ג. מתואם מול הרכבה חשמלית לתחילת עבודות. </t>
  </si>
  <si>
    <t xml:space="preserve"> סיום עבודות שלד, הותקנו סבכות בתאי שנאים, מסדר אפס מוכן לאפוקסי , גג המבנה מסגרות מוכנה לסוללות הכבלים ,  
תואמה מסירה ראשונית למבנה 24 ק"ו יום ד' 25/2  
תחילת עבודות הרכבה חשמלית במבנה 1/3
 </t>
  </si>
  <si>
    <t xml:space="preserve"> סיום עבודות שלד, הותקנו סבכות בתאי שנאים, מסדר אפס מוכן , גג המבנה מסגרות מוכנה לסוללות הכבלים ,  
תואמה מסירה ראשונית למבנה 24 ק"ו יום ד' 25/2  
במטרה לתחילת עבודות הרכבה חשמלית במבנה 1/3
 </t>
  </si>
  <si>
    <t xml:space="preserve"> סיום עבודות שלד, הותקנו סבכות בתאי שנאים, מסדר אפס מוכן  
מסירה ראשונית למבנה 24 ק"ו יום ד' 25/2  לא הושלמה 
נדרש לתאם מסירה חוזרת
עיכוב בתחילת עבודות הרכבה חשמלית תוכנן לתאריך 8/3
 גם בשל המצב הביטחוני</t>
  </si>
  <si>
    <t>בעיצומן של עבודות גמר מבנה. טרם בוצעה מסירת סופית להרכבה חשמלית 
מסירה ראשונית למבנה 24 ק"ו יום ד' 25/2  לא הושלמה 
נדרש לתאם מסירה חוזרת
שנאים יסופקו לתאים ביום ג' 10/3
עיכוב בתחילת עבודות הרכבה חשמלית תוכנן לתאריך 8/3
 גם בשל המצב הביטחוני</t>
  </si>
  <si>
    <t xml:space="preserve">בעיצומן של עבודות גמר מבנה. טרם בוצעה מסירת סופית להרכבה חשמלית (עיכוב בגלל המצב הבטחוני) 
מסירה ראשונית למבנה 24 ק"ו יום ד' 25/2  לא הושלמה 
נדרש לתאם מסירה חוזרת
שנאים סופקו ביום ג' 10/3 מבצעים הרכבה
</t>
  </si>
  <si>
    <t xml:space="preserve">בעיצומן של עבודות גמר מבנה. טרם בוצעה מסירת סופית להרכבה חשמלית (עיכוב גם בגלל המצב הבטחוני) 
מסירה ראשונית למבנה 24 ק"ו יום ד' 25/2  לא הושלמה 
מסירה מתוכננת בסוף חודש 3/2026 
העיכוב - קבלן מבצע החלפת איטום בגג בשל נזילות
חסר לוח חשמל המזין את המבנה - בקרת איכות לא מגיעה לבצע בדיקות אצל היצרן (נצרת) בגלל המצב הבטחוני
שנאים סופקו ביום ג' 10/3 והורכבו , לאחר סיום תשתיות אזרחיות בחזית השנאים נבצע מילוי שמן מתוכנן 26/4
</t>
  </si>
  <si>
    <t>WBJ-002</t>
  </si>
  <si>
    <t>גליל-הקמת תחמ"ג 400/161, 650*2 מגוו"א-רב שלבי</t>
  </si>
  <si>
    <t>30/06/2026
30/3/2026 מסדר 161 ק"ו</t>
  </si>
  <si>
    <t xml:space="preserve">מומחה BEST הגיע 11/1 מטפל בתקלה לאוטושנאי 3 החלפת אטם ומבצע בדיקות לשני השנאים התקינים - אטם לא תקין הוזמן חדש צפי להגעה בעוד 3 שבועות יחד עם חזרת המומחה. 
השלמת בדיקות מתח יתר, עיכוב בגלל תקלה במפסק מטופל מול GE. 
נקבעה ישיבה 14/1 להכנת לו"ז בדיקות ומתח יתר מסדר 400 ק"ו. 
</t>
  </si>
  <si>
    <t xml:space="preserve">אוטו שנאי 453 - האטם שהוחלף אינו מתאים הוזמן אטם מחו"ל יגיע בימים הקרובים, המשך עבודות שמן ובדיקות ׁ(DEW POINT) על אוטו שנאי 453  
מסדר 161 ק"ו השלמת מגיני ברק והמשך בדיקות מתח יתר
מסדר 400 ק"ו התקיימה ישיבה עודכן לו"ז בדיקות מ"י החל מחודש 3/2026 בבמטרה להכנה לחשמול עד סוף 6/2026
המשך הנחת כבלים מ"ע CABLEBOXשני סיום תחילת 2/2026
</t>
  </si>
  <si>
    <t>אוטו שנאי 453 - המשך עבודות לתיקון התקלה , התקבל אישור הספק לתשלום עבור העבודות המתבצעות ע"י חח"י לתיקון  
מסדר 161 ק"ו השלמת מגיני ברק  וטיפול בתקלה במפסק שדה 1 לאחר מכן השלמת בדיקות מתח יתר
מסדר 400 ק"ו עודכן לו"ז-  בדיקות מ"י החל מחודש 3/2026 המטרה הכנה לחשמול עד סוף 6/2026
המשך הנחת כבלים מ"ע CABLEBOXשני סיום תחילת 2/2026
התקיימה ישיבה עם דורון שלגי לגבי העברת שטח התארגנות א. הולכה להמשך עבודות קבלן התחמ"ג לצורך קבלת טופס 4 דורון אמור לעדכן את לאוניד לגבי השלכות. במקביל מנה"פ יפעל מול הוועדה להחרגת שטח שלא יימסר.</t>
  </si>
  <si>
    <t xml:space="preserve">אוטו שנאי 453 - הוחלף אטם מחליף דרגות עבודות השמן על השנאי יסתיימו השבוע
מסדר 161 ק"ו השלמת מגיני ברק  וטיפול בתקלה במפסק שדה 1 מומחה GE יגיע בעוד שבוע לטיפול בתקלה! מבקש לזרז את הגעתו, לאחר מעכב השלמת בדיקות מתח יתר
מסדר 400 ק"ו עודכן לו"ז-  בדיקות מ"י החל מחודש 3/2026 המטרה הכנה לחשמול עד סוף 6/2026
המשך הנחת כבלים מ"ע CABLEBOX שני סיום תחילת 2/2026
העברת שטח התארגנות א. הולכה להמשך עבודות קבלן התחמ"ג לצורך קבלת טופס 4 תאמנו את העברת חלק מהשטח בעוד כחודש ובהמשך הסדרת שאר השטח </t>
  </si>
  <si>
    <t>אוטו שנאי 453 - הוחלף אטם מחליף דרגות עבודות השמן הסתיימו
מסדר 161 ק"ו השלמת מגיני ברק  וטיפול בתקלה במפסק שדה 1 מומחה GE  המשך בדיקות מתח יתר
מסדר 400 ק"ו עודכן לו"ז-  בדיקות מ"י החל מחודש 3/2026 המטרה הכנה לחשמול עד סוף 6/2026
הסתיים הנחת כבלים מ"ע CABLEBOX מבצעים סופיות כבלים
העברת שטח התארגנות א. הולכה להמשך עבודות קבלן התחמ"ג לצורך קבלת טופס 4 תאמנו את העברת חלק מהשטח בעוד כחודש ובהמשך הסדרת שאר השטח 
קבלת טופס4 - מקיימים ישיבות סדירות מול הקבלן 
עבור חשמול מסדר 161 ק"ו קיים טופס 2 (אישור הרצת מערכות)</t>
  </si>
  <si>
    <t>אוטו שנאי 453 - הוחלף אטם מחליף דרגות עבודות השמן הסתיימו
מסדר 161 ק"ו הורכבו מגיני ברק , טיפול בתקלה במפסק שדה 1 מומחה GE  סיום בדיקות מתח יתר 17/2 (מותנה בסיום תקלה "נזילה")
מסדר 400 ק"ו עודכן לו"ז-  בדיקות מ"י החל מחודש 3/2026 המטרה הכנה לחשמול עד סוף 6/2026
הסתיים הנחת כבלים מ"ע CABLEBOX מבצעים סופיות כבלים
העברת שטח התארגנות א. הולכה להמשך עבודות קבלן התחמ"ג לצורך קבלת טופס 4 תואם לחודש 3/26 בכדי להסדיר את שאר שטח התחמ"ג
קבלת טופס4 - מקיימים ישיבות סדירות מול הקבלן 
עבור חשמול מסדר 161 ק"ו קיים טופס 2 (אישור להרצת מערכות)
25/2 תואם סיור עם נציגי כבאות אזור הצפון לבחינת המערכות בתחמ"ג ולקדם אישורים מולם.</t>
  </si>
  <si>
    <t>שלושת אוטו-שנאים 451,452,453 נמצאים בסטטוס "שימור"
מסדר 161 ק"ו הורכבו מגיני ברק , טיפול בתקלה במפסק שדה 1 מומחה GE  סיום בדיקות מתח יתר 25/2 
מסדר 400 ק"ו עודכן לו"ז-  בדיקות מ"י החל מחודש 3/2026 המטרה מוכנות לחשמול עד סוף 6/2026
רת"ק סיימו את הנחת הכבלים מ"ע CABLEBOX כעת מבצעים סופיות לכבלים
העברת שטח התארגנות א. הולכה להמשך עבודות קבלן התחמ"ג לצורך קבלת טופס 4 תואם לחודש 3/26 בכדי להסדיר את שאר שטח התחמ"ג
קבלת טופס4 - מקיימים ישיבות סדירות מול הקבלן 
עבור חשמול מסדר 161 ק"ו קיים טופס 2 (אישור להרצת מערכות)
25/2 תואם סיור עם נציגי כבאות אזור הצפון לבחינת המערכות בתחמ"ג ולקדם אישורים מולם.</t>
  </si>
  <si>
    <r>
      <rPr>
        <rFont val="Arial"/>
        <color theme="1"/>
        <sz val="12.0"/>
      </rPr>
      <t>שלושת אוטו-שנאים 451,452,453 נמצאים בסטטוס "שימור"
מסדר 161 ק"ו הורכבו מגיני ברק , טיפול בתקלה במפסק שדה 1 מומחה GE  
הסתיימו בדיקות מתח יתר 25/2 
מסדר 400 ק"ו עודכן לו"ז-  בדיקות מ"י החל מחודש 3/2026 המטרה מוכנות לחשמול עד סוף 6/2026
רת"ק סיימו את הנחת הכבלים מ"ע CABLEBOX כעת מבצעים סופיות לכבלים - התגלתה אי התאמה של חלק מהכבלים לעמידות בטמפרטורה בטיפול הולכה נדרשת החלפתם.
 הבעיה לא בכבלים המיועדים לחשמול (שדות 18,19)
העברת שטח התארגנות א. הולכה להמשך עבודות קבלן התחמ"ג לצורך קבלת טופס 4 תואם לחודש 3/26 בכדי להסדיר את שאר שטח התחמ"ג
קבלת טופס4 - מקיימים ישיבות סדירות מול הקבלן 
עבור חשמול מסדר 161 ק"ו קיים טופס 2 (אישור להרצת מערכות)
25/2 התקיים סיור עם נציגי כבאות אזור הצפון לבחינת המערכות בתחמ"ג ולקדם אישורים מולם.</t>
    </r>
  </si>
  <si>
    <t>שלושת אוטו-שנאים 451,452,453 נמצאים בסטטוס "שימור"
מסדר 161 ק"ו הורכבו מגיני ברק , טיפול בתקלה במפסק שדה 1 מומחה GE  
הסתיימו בדיקות מתח יתר 25/2 
מסדר 400 ק"ו עודכן לו"ז-  בדיקות מ"י החל מסוף חודש 3/2026 המטרה מוכנות לחשמול עד סוף 6/2026
רת"ק סיימו את הנחת הכבלים מ"ע CABLEBOX ,מבצעים סופיות לכבלים - נמצא אי התאמה של חלק מהכבלים לעמידות בטמפרטורה בטיפול הולכה - תידרש החלפתם.
העברת שטח התארגנות א. הולכה להמשך עבודות קבלן התחמ"ג לצורך קבלת טופס 4 תואם לסוף חודש 3/26 
קבלת טופס4 - מקיימים ישיבות סדירות מול הקבלן 
עבור חשמול מסדר 161 ק"ו קיים טופס 2 (אישור להרצת מערכות)
25/2 התקיים סיור עם נציגי כבאות אזור הצפון לבחינת המערכות בתחמ"ג ולקדם את האישורים מולם.</t>
  </si>
  <si>
    <t xml:space="preserve">שלושת אוטו-שנאים 451,452,453 נמצאים בסטטוס "שימור"
מסדר 161 ק"ו הורכבו מגיני ברק , טיפול בתקלה במפסק שדה 1 בהמתנה לקבלת הציוד מחו"ל GE  
הסתיימו בדיקות מתח יתר 25/2 
מסדר 400 ק"ו עודכן לו"ז-  בדיקות מ"י החל מסוף חודש 3/2026 המטרה מוכנות לחשמול עד סוף 6/2026
רת"ק סיימו את הנחת הכבלים מ"ע CABLEBOX ,מבצעים סופיות לכבלים בדיקות מ"י לכבלים החל מתאריך 11/3 - נמצא אי התאמה של חלק מהכבלים לעמידות בטמפרטורה בטיפול הולכה - כפי הנראה תידרש החלפת הכבלים.
התקיים דיון 15/3 בראשותו של מנהל מגזר ביצוע לקביעת אחריות תפעולית מרגע חשמול מסדר 161 ק"ו בעת שקבלן אזרחי עדיין פועל בתחמ"ג - הוחלט לבדוק אפשרות להפרדת שטח עבודות קבלן ושטח התפעולי - נקבע סיור בתחמ"ג 18/3 לקבלת החלטה יחד עם הקבלן.
העברת שטח התארגנות א. הולכה להמשך עבודות קבלן התחמ"ג לצורך קבלת טופס 4 תואם לסוף חודש 3/26 
קבלת טופס4 - מקיימים ישיבות סדירות מול הקבלן 
עבור חשמול מסדר 161 ק"ו קיים טופס 2 (אישור להרצת מערכות)
</t>
  </si>
  <si>
    <t xml:space="preserve">שלושת אוטו-שנאים 451,452,453 נמצאים בסטטוס "שימור"
מסדר 161 ק"ו הורכבו מגיני ברק , טיפול בתקלה במפסק שדה 1 בהמתנה לקבלת הציוד מחו"ל GE  
הסתיימו בדיקות מתח יתר 25/2 
מסדר 400 ק"ו יעודכן לו"ז בהתאם לשינויי תכנון חווט (שניידר) -  בדיקות מ"י החל מחודש 4/2026 
רת"ק סיימו את הנחת הכבלים מ"ע CABLEBOX ,מבצעים סופיות לכבלים בדיקות מ"י לכבלים החל מתאריך 11/3 - נמצא אי התאמה עד כה של 21 מהכבלים לעמידות בטמפרטורה המשך בדיקות
ממתינים להחלטת הנהלת אגף/חטיבה. ניתן אישור מנגה לחשמול בהסתעפות T
קביעת אחריות תפעולית לאחר חשמול מסדר 161 ק"ו - לאחר סיור בתחמ"ג 18/3 יחד עם הקבלן הוחלט העברת אחריות ליח' תחמ"ש החל מסוף חודש 4/2026 (לפני חשמול המסדר)
עודכן יעד חשמול מסדר 161 ק"ו באישור הסמנכ"ל עד סוף חודש 5/2026 
העברת שטח התארגנות א. הולכה להמשך עבודות קבלן התחמ"ג לצורך קבלת טופס 4 תואם במהלך חודש 4/26 
קבלת טופס4 - מקיימים ישיבות סדירות מול הקבלן 
עבור חשמול מסדר 161 ק"ו קיים טופס 2 (אישור להרצת מערכות)
</t>
  </si>
  <si>
    <t>WBE-131</t>
  </si>
  <si>
    <t>בשור - התקנת מתקן אגירת אנרגיה</t>
  </si>
  <si>
    <t xml:space="preserve">בטיפול לקבלת טופס 4 
</t>
  </si>
  <si>
    <t>WBE-284</t>
  </si>
  <si>
    <t>בשור-הקמת שדה שנאי 161 ק"ו  מותאם ליכולת 2500 אמפר</t>
  </si>
  <si>
    <t xml:space="preserve">הפרויקט לא התקבל עדיין ע"י למנהל הפרויקט </t>
  </si>
  <si>
    <t xml:space="preserve">הפרויקט לא הועבר עדיין למנהל הפרויקט </t>
  </si>
  <si>
    <t>WBE-119</t>
  </si>
  <si>
    <t>בשור- התקנת שנאי  50 מגוו"א ומאצרת שמן לשנאי</t>
  </si>
  <si>
    <t>שנאי 30/05/26
סיום כולל 30/07/26</t>
  </si>
  <si>
    <t>הרכבה חשמלית מקדמת את העבודות להוספת שנאי 524 , בהמתנה לקבלת מבנה 24 ק"ו הקבלן טרם התקין גג (לוח"דים)</t>
  </si>
  <si>
    <t xml:space="preserve">עיכוב במסירת המבנה (WBM-40609) משליך על יעד חשמול מסתמן 3/2026  </t>
  </si>
  <si>
    <t xml:space="preserve">עיכוב במסירת המבנה 24 ק"ו  (WBM-40609) משליך על עמידה ביעד חשמול שנאי 524 שתוכנן לחודש  3/2026  </t>
  </si>
  <si>
    <t>עיכוב במסירת המבנה 24 ק"ו  להרכבה חשמלית (WBM-40609) משליך על עמידה ביעד חשמול שנאי 524 שתוכנן לחודש  3/2026  עודכן בישיבת סטטוס מנהל אגף צפי לחשמול 4/2026 מאוד מאתגר בהתחשב בחופשת חג הפסח</t>
  </si>
  <si>
    <t xml:space="preserve">עיכוב במסירת המבנה 24 ק"ו  להרכבה חשמלית (WBM-40609) משליך על עמידה ביעד חשמול שנאי 524 שתוכנן לחודש  3/2026  עודכן בישיבת סטטוס סמנכ"ל צפי לחשמול 4/2026 (מבדיקת הצורך לחיבור יצרן פרטי ניתן לגלוש לסוף חודש 4/2026) היעד מאוד מאתגר בהתחשב גם בחופשת חג הפסח
</t>
  </si>
  <si>
    <t xml:space="preserve">עיכוב במסירת המבנה 24 ק"ו  להרכבה חשמלית (WBM-40609) משליך על עמידה ביעד חשמול שנאי 524 שתוכנן לחודש  3/2026  עודכן בישיבת סטטוס סמנכ"ל צפי לחשמול 4/2026 (מבדיקת הצורך לחיבור יצרן פרטי ניתן לגלוש לסוף חודש 4/2026) היעד מאוד מאתגר בהתחשב גם בחופשת חג הפסח
עודכן יעד חשמול 5/2026 (בהתחשב גם במצב הבטחוני)
</t>
  </si>
  <si>
    <t xml:space="preserve">עיכוב במסירת המבנה 24 ק"ו  להרכבה חשמלית (WBM-40609) משליך על עמידה ביעד חשמול שנאי 524 שתוכנן לחודש  3/2026  עודכן בישיבת סטטוס סמנכ"ל צפי לחשמול 4/2026 
עודכן יעד חשמול 5/2026 (בהתחשב גם במצב הבטחוני)
</t>
  </si>
  <si>
    <t>עיכוב במסירת המבנה משליך על יעד חשמול 3/2026</t>
  </si>
  <si>
    <t>WBM-40609</t>
  </si>
  <si>
    <t>בשור- הקמת בניין פקוד, התקנת 3 מסדרי מ''ג והעתקת היציאות למסדרים החדשים ומאצרת שמן לשנאי</t>
  </si>
  <si>
    <t>עבודות אזרחיות טרם הסתיימו מסירהה להרכבה חשמלית מתוכננת לסוף פברואר עקב כך לא נעמוד ביעד חשמול 30/3/26</t>
  </si>
  <si>
    <t>עבודות אזרחיות טרם הסתיימו מסירה להרכבה חשמלית מתוכננת לסוף פברואר עקב כך לא נעמוד ביעד חשמול 30/3/26</t>
  </si>
  <si>
    <t>עבודות אזרחיות טרם הסתיימו מסירה להרכבה חשמלית מתוכננת לסוף חודש 2/2026 עקב כך לא נעמוד ביעד חשמול 30/3/2026 כאמור הצפי לחשמול שנאי 4/2026 ושאר המסדרים עד 6/2026</t>
  </si>
  <si>
    <t>עבודות אזרחיות טרם הסתיימו מסירה להרכבה חשמלית מתוכננת לסוף חודש 2/2026 עקב כך לא נעמוד ביעד חשמול 30/3/2026 כאמור הצפי לחשמול שנאי 4/2026 ושאר המסדרים עד 6/2026
עיכבו במסירת המבנה היה מתוכנן להמסר 2/2026 דחיה של שבועיים לפחות אי מוכנות הקבלן ובהתחשב גם במצב הביטחוני</t>
  </si>
  <si>
    <t>עבודות אזרחיות טרם הסתיימו מסירה להרכבה חשמלית מתוכננת לאמצע 3/2026 עקב כך לא נעמוד ביעד חשמול 30/3/2026 כאמור הצפי לחשמול שנאי 4/2026 
בהתחשב גם במצב הבטחוני עודכן יעד חשמול שנאי 524 5/2026 ושאר המסדרים עד סוף חודש 6/2026</t>
  </si>
  <si>
    <t>עבודות אזרחיות טרם הסתיימו , נדרש בדחיפות כדי לחבר שנאי 524
יש לתת תיעדוף למסירת עבודה להרכבה חשמלית
בהתחשב גם במצב הבטחוני עודכן יעד חשמול שנאי 524 5/2026 ושאר המסדרים עד סוף חודש 6/2026</t>
  </si>
  <si>
    <t>WBE-239</t>
  </si>
  <si>
    <t>בשור-הקמת 2 שדות קו 161חדשים והתא' שד' קו והקמת 2 שד' קו161ק"ו חדשים לניר יצחק</t>
  </si>
  <si>
    <t>שני שדות - 30/12/2026 , שני שדות 30/09/2027</t>
  </si>
  <si>
    <t>לצורך מסירת העבודה לקבלן הנוכחי הועבר מסמך הצדקה לטיפול מול אגף הרכש</t>
  </si>
  <si>
    <t>בטיפול אגף הרכש</t>
  </si>
  <si>
    <t xml:space="preserve">בטיפול אגף הרכש - יש לזרז כדי שימסר לביצוע ע"י קבלן נוכחי כבר במהלך חודש הבא 2/2026 </t>
  </si>
  <si>
    <t xml:space="preserve">בטיפול אגף הרכש - יש לזרז כדי שימסר לביצוע ע"י קבלן נוכחי כבר במהלך חודש הנוכחי 2/2026 </t>
  </si>
  <si>
    <t>עיכוב בקבלת התכנון  היה מתוכנן סוף פבואר על מנת למסור לקבלן הנוכחי  שמסיים את העבודות בתחמש בחודש זה . לפי התכנון צפי קבלת תכנון עוד כחודשיים.</t>
  </si>
  <si>
    <t>עיכוב בקבלת התכנון  היה מתוכנן סוף 2/26 על מנת למסור לקבלן הנוכחי  שמסיים את העבודות בתחמש בחודש זה . לפי התכנון צפי קבלת תכנון עוד כחודשיים.
נקבעה ישיבה 16/2 לבחינת אפשרות למסירת עבודה לקבלן</t>
  </si>
  <si>
    <t>קבלת התכנון מתוכנן 3/2026 , יש להקדים את מסירת התכנון על מנת למסור לקבלן הנוכחי  שמסיים את העבודות בתחמש בחודש זה . 
התקימה ישיבה 16/2 לבחינת אפשרות למסירת עבודה לקבלן , תכנון ראשוני ימסר למח' בנין מאחר וישנן עבודות מקדימות כהכנה ליציקת רגלי עמודי רשת ע"י א. הולכה</t>
  </si>
  <si>
    <t>קבלת התכנון מתוכנן 3/2026 , יש להקדים את מסירת התכנון על מנת למסור לקבלן הנוכחי  שמסיים את העבודות בתחמש בחודש 4/2026 . 
התקימה ישיבה 16/2 לבחינת אפשרות למסירת עבודה לקבלן , תכנון ראשוני ימסר למח' בנין מאחר וישנן עבודות מקדימות כהכנה ליציקת רגלי עמודי רשת ע"י א. הולכה</t>
  </si>
  <si>
    <t xml:space="preserve">הועברה למחלקת בין ד' חבילת מסירה לביצוע 8/3 
עדיין ממתינים לכתב כמויות למסירה למח' בנין מאחר לצורך עבודות מקדימות כהכנה ליציקת רגלי עמודי רשת ע"י א. הולכה
בהתאם לאישור וועדת מכרזים - יש להתקדם עם העבודות ע"י הקבלן </t>
  </si>
  <si>
    <t>הועברה למחלקת בין ד' חבילת מסירה לביצוע 8/3 
הועבר כתב כמויות ראשוני לצורך בחינה מול הקבלן והכנה לביצוע עבודות מקדימות ליציקת רגלי עמודי רשת ע"י א. הולכה
בהתאם לאישור וועדת מכרזים - נדרש להתקדם בביצוע העבודות ע"י הקבלן על מנת לעמוד ביעד חשמול 10/2026</t>
  </si>
  <si>
    <r>
      <rPr>
        <rFont val="Arial"/>
        <color rgb="FF000000"/>
        <sz val="12.0"/>
      </rPr>
      <t xml:space="preserve">הועברה למחלקת בין ד' חבילת מסירה לביצוע 8/3 
הועבר כתב כמויות ראשוני לצורך בחינה מול הקבלן והכנה לביצוע עבודות מקדימות ליציקת רגלי עמודי רשת ע"י א. הולכה
בהתאם לאישור וועדת מכרזים - </t>
    </r>
    <r>
      <rPr>
        <rFont val="Arial"/>
        <b/>
        <color rgb="FF000000"/>
        <sz val="12.0"/>
      </rPr>
      <t>נדרש להתקדם בביצוע העבודות ע"י הקבלן על מנת לעמוד ביעד חשמול 10/2026</t>
    </r>
  </si>
  <si>
    <t>WBE-129</t>
  </si>
  <si>
    <t>אילת- התקנת מתקן אגירת אנרגיה + פירוק</t>
  </si>
  <si>
    <t>WBE-244</t>
  </si>
  <si>
    <t>אופקים - עע"א - התקנת שנאי 45 מו"א לרכבת</t>
  </si>
  <si>
    <t>טרם סופק ארון תקשורת וציוד חסר להשלמת העבודות לחשמול שנאי</t>
  </si>
  <si>
    <t>סופק ארון תקשורת וציוד חסר להשלמת העבודות לחשמול שנאי</t>
  </si>
  <si>
    <t>הושלם חווט ארון תקשורת , חסר סיב אופטי שנדרש לאחרונה, מטופל מול נציג הרכבת לחיבור ממכולה מ"ג מחוץ לתחמ"ש עד למסדר 24 ק"ו.</t>
  </si>
  <si>
    <t>הושלם חווט ארון תקשורת , מטפלים בהנחת סיב אופטי שנדרש לאחרונה (תבוצע חפירה ע"י קבלן מחוז) מטופל מול נציג הרכבת לחיבור ממכולה מ"ג מחוץ לתחמ"ש עד למסדר 24 ק"ו.</t>
  </si>
  <si>
    <t>נותר להשלים הנחת סיב אופטי שנדרש לאחרונה (תבוצע חפירה ע"י קבלן מחוז) מטופל מול נציג הרכבת לחיבור ממכולה מ"ג מחוץ לתחמ"ש עד למסדר 24 ק"ו.</t>
  </si>
  <si>
    <t>הושלם סיב אופטי שנדרש לאחרונה (בוצע ע"י קבלן מחוז) מטופל מול נציג הרכבת לחיבור ממכולה מ"ג מחוץ לתחמ"ש עד למסדר 24 ק"ו.</t>
  </si>
  <si>
    <t>הושלם סיב אופטי שנדרש לאחרונה (בוצע ע"י קבלן מחוז) מטופל מול נציג הרכבת לחיבור ממכולה מ"ג מחוץ לתחמ"ש עד למסדר 24 ק"ו.
בבדיקות לפני חשמול</t>
  </si>
  <si>
    <t>הושלם סיב אופטי שנדרש לאחרונה (בוצע ע"י קבלן מחוז) מטופל מול נציג הרכבת לחיבור ממכולה מ"ג מחוץ לתחמ"ש עד למסדר 24 ק"ו.
התקיימה 25/2 וועדת חשמול</t>
  </si>
  <si>
    <t>התקיימה 25/2 וועדת חשמול
התקבלו מספר הערות לטיפול הרכבת 
נקבעה ישיבה 16/3 עם נציגי הרכבת לקביעת אחריות תפעולית על כבלי מ"ג היוצאים מהתחמ"ש לכוון מכולה מ"ג רכבת</t>
  </si>
  <si>
    <t>התקיימה 25/2 וועדת חשמול
התקבלו מספר הערות מטופל ע"י הרכבת 
נקבעה ישיבה 16/3 עם נציגי הרכבת לקביעת אחריות תפעולית על כבלי מ"ג היוצאים מהתחמ"ש לכוון מכולה מ"ג רכבת</t>
  </si>
  <si>
    <t>WBC-024</t>
  </si>
  <si>
    <t>אוניברסיטת תל אביב-הקמת תחמ"ש פנימית 161</t>
  </si>
  <si>
    <t>המשך בדיקות הכנסה לניצול. הכנסת שנאים (סגירת כביש ירוחם משל) טרם ניתן תאריך סופי, נמצא באישור משטרה (מתוכנן לשבוע הבא 21/1). 
הקבלן לקראת סיום עבודות במבנה ומלחיל בפיתוח שטח
מסדר 24 ק"ו + מרתף 19- ימסר השבוע להרכבה חשמלית
תחילת הנחת כבלי מ"ע לקראת סוף חודש 1/2026</t>
  </si>
  <si>
    <t>המשך בדיקות הכנסה לניצול. הכנסת שנאים (סגירת כביש ירוחם משל) טרם ניתן תאריך סופי, נמצא באישור משטרה (צפי לשבוע 25/1). 
הקבלן לקראת סיום עבודות במבנה והחל בפיתוח שטח
מסדר 24 ק"ו + מרתף 19- מסירה להרכבה חשמלית עד 25/1
תחילת הנחת כבלי מ"ע לקראת סוף חודש 1/2026
הנחת כבלי מ"ג החל מאמצע חודש 2/2026</t>
  </si>
  <si>
    <t xml:space="preserve">המשך בדיקות הכנסה לניצול. 
הקבלן לקראת סיום עבודות במבנה והחל בפיתוח שטח
מסדר 24 ק"ו + מרתף 19- נמסר להרכבה מסירה להרכבה חשמלית עד 25/1
תחילת הנחת כבלי מ"ע לקראת סוף חודש 1/2026
הנחת כבלי מ"ג החל מאמצע חודש 2/2026
הכנסת שנאים - התקבל אישור משטרה לחסימת נתיב ברחוב ירוחם משל לעבודת לילה יום ה' 29/1 </t>
  </si>
  <si>
    <t>המשך בדיקות הכנסה לניצול. 
הקבלן לקראת סיום עבודות במבנה והחל בפיתוח שטח
מסדר 24 ק"ו + מרתף 19- נמסר להרכבה מסירה להרכבה חשמלית עד 25/1
תחילת הנחת כבלי מ"ע לקראת אמצע חודש 2/2026
הנחת כבלי מ"ג החל מאמצע חודש 2/2026
תואמה פגישה בתחמ"ש 3/2 לשילוב לו"ז לעיל יחד עם עבודות השמן על השנאים תתכן תזוזה
בהצגת הפרויקט למנהל אגף רשת דן וחוף 2/2 יח' תחמ"ש ציינו שמבחינתם יהיו מוכנים לחשמול בסוף חודש 5/2026
הנ"ל לא תואם את לו"ז המתוכנן ואושר ע"י מנהל האגף 4/2026
הכנסת שנאים - הוצבו בתאים בעבודת לילה 29/1
מבצעים כעת את הרכבתם</t>
  </si>
  <si>
    <r>
      <rPr>
        <rFont val="Arial"/>
        <color rgb="FF000000"/>
        <sz val="12.0"/>
      </rPr>
      <t xml:space="preserve">המשך בדיקות הכנסה לניצול - </t>
    </r>
    <r>
      <rPr>
        <rFont val="Arial"/>
        <b/>
        <color rgb="FF000000"/>
        <sz val="12.0"/>
        <u/>
      </rPr>
      <t>מבקש לתגבר צוות.</t>
    </r>
    <r>
      <rPr>
        <rFont val="Arial"/>
        <color rgb="FF000000"/>
        <sz val="12.0"/>
      </rPr>
      <t xml:space="preserve"> 
מתאם תחילת בדיקות מ"י 22/2/2026 (מותנה בסיום בדיקות בתחמ"ג גליל)
הקבלן לקראת סיום עבודות במבנה והחל בפיתוח שטח
מסדר 24 ק"ו + מרתף 19- נמסר להרכבה מסירה להרכבה חשמלית עד 25/1
רת"ק החל בהנחת כבלי מ"ע  5/2
הנחת כבלי מ"ג מתוכנן החל מאמצע חודש 2/2026
</t>
    </r>
    <r>
      <rPr>
        <rFont val="Arial"/>
        <b/>
        <color rgb="FF000000"/>
        <sz val="12.0"/>
      </rPr>
      <t xml:space="preserve">בהצגת הפרויקט למנהל אגף רשת דן וחוף 2/2 יח' תחמ"ש ציינו שמבחינתם יהיו מוכנים לחשמול בסוף חודש 5/2026
הנ"ל לא תואם את לו"ז המתוכנן ואושר ע"י מנהל האגף 4/2026
</t>
    </r>
    <r>
      <rPr>
        <rFont val="Arial"/>
        <color rgb="FF000000"/>
        <sz val="12.0"/>
      </rPr>
      <t xml:space="preserve">
השנאים הוצבו בתאים 29/1 מבצעים הרכבה , בושינגים נמצאו לא תקינים עברו לייבוש ותבוצע בדיקה חוזרת </t>
    </r>
  </si>
  <si>
    <r>
      <rPr>
        <rFont val="Arial"/>
        <color rgb="FF000000"/>
        <sz val="12.0"/>
      </rPr>
      <t xml:space="preserve">המשך בדיקות הכנסה לניצול - </t>
    </r>
    <r>
      <rPr>
        <rFont val="Arial"/>
        <b/>
        <color rgb="FF000000"/>
        <sz val="12.0"/>
        <u/>
      </rPr>
      <t>מבקש לתגבר צוות.</t>
    </r>
    <r>
      <rPr>
        <rFont val="Arial"/>
        <color rgb="FF000000"/>
        <sz val="12.0"/>
      </rPr>
      <t xml:space="preserve"> 
מתואם תחילת בדיקות מ"י 22/2/2026 (מותנה בסיום בדיקות בתחמ"ג גליל - ציוד בדיקה נמצא בגליל)
השלמת עבודות אזרחיות במבנה וביצוע עבודות פיתוח שטח
מסדר 24 ק"ו + מרתף 19- נמסר להרכבה מסירה להרכבה חשמלית 
רת"ק מניחים את כבלי מ"ע  סיום צפוי 19/2
הנחת כבלי מ"ג טרם החלו מתוכנן לסוף חודש 2/2026
</t>
    </r>
    <r>
      <rPr>
        <rFont val="Arial"/>
        <b/>
        <color rgb="FF000000"/>
        <sz val="12.0"/>
      </rPr>
      <t xml:space="preserve">בהצגת הפרויקט למנהל אגף רשת דן וחוף 2/2 יח' תחמ"ש ציינו שמבחינתם יהיו מוכנים לחשמול בסוף חודש 5/2026
הנ"ל לא תואם את לו"ז המתוכנן ושאושר ע"י מנהל האגף 4/2026
הנ"ל יעלה גם בדיון אצל הסמנכ"ל 19/2
</t>
    </r>
    <r>
      <rPr>
        <rFont val="Arial"/>
        <color rgb="FF000000"/>
        <sz val="12.0"/>
      </rPr>
      <t xml:space="preserve">
השנאים הוצבו בתאים 29/1 הורכבו והשבוע החלו עבודות סחרור שמן צפי לסיום 1/3, 
</t>
    </r>
  </si>
  <si>
    <r>
      <rPr>
        <rFont val="Arial"/>
        <color rgb="FF000000"/>
        <sz val="12.0"/>
      </rPr>
      <t xml:space="preserve">המשך בדיקות הכנסה לניצול - </t>
    </r>
    <r>
      <rPr>
        <rFont val="Arial"/>
        <b/>
        <color rgb="FF000000"/>
        <sz val="12.0"/>
        <u/>
      </rPr>
      <t>מבקש לתגבר צוות.</t>
    </r>
    <r>
      <rPr>
        <rFont val="Arial"/>
        <color rgb="FF000000"/>
        <sz val="12.0"/>
      </rPr>
      <t xml:space="preserve"> 
עדכון----תואם תחילת בדיקות מ"י 1/3/2026 (עיכוב בשל סיום בדיקות בתחמ"ג גליל)
השלמת עבודות אזרחיות במבנה וביצוע עבודות פיתוח שטח
רת"ק מניחים את כבלי מ"ע  
הנחת כבלי מ"ג טרם החלו מתוכנן לסוף חודש 2/2026
</t>
    </r>
    <r>
      <rPr>
        <rFont val="Arial"/>
        <b/>
        <color rgb="FF000000"/>
        <sz val="12.0"/>
      </rPr>
      <t xml:space="preserve">בהצגת הפרויקט למנהל אגף רשת דן וחוף 2/2 יח' תחמ"ש ציינו שמבחינתם יהיו מוכנים לחשמול בסוף חודש 5/2026
הנ"ל לא תואם את לו"ז המתוכנן ושאושר ע"י מנהל האגף 4/2026
עלה גם בדיון אצל הסמנכ"ל 19/2
</t>
    </r>
    <r>
      <rPr>
        <rFont val="Arial"/>
        <color rgb="FF000000"/>
        <sz val="12.0"/>
      </rPr>
      <t xml:space="preserve">זומנה ישיבה בתחמ"ש 24/2 לתאום עבודות רת"ק, קבלן,הרכבה חשמלית
עבודות סחרור שמן צפי לסיום26/2 
</t>
    </r>
  </si>
  <si>
    <r>
      <rPr>
        <rFont val="Arial"/>
        <color rgb="FF000000"/>
        <sz val="12.0"/>
      </rPr>
      <t xml:space="preserve">המשך בדיקות הכנסה לניצול - </t>
    </r>
    <r>
      <rPr>
        <rFont val="Arial"/>
        <color rgb="FF000000"/>
        <sz val="12.0"/>
        <u/>
      </rPr>
      <t>מבקש לתגבר צוות.</t>
    </r>
    <r>
      <rPr>
        <rFont val="Arial"/>
        <color rgb="FF000000"/>
        <sz val="12.0"/>
      </rPr>
      <t xml:space="preserve"> 
עדכון----תואם תחילת בדיקות מ"י 4/3/2026 בהתאם למצב הביטחוני יהיו עיכובים (עיכוב בשל סיום בדיקות בתחמ"ג גליל)
השלמת עבודות אזרחיות במבנה וביצוע עבודות פיתוח שטח
רת"ק מניחים את כבלי מ"ע  
הנחת כבלי מ"ג טרם החלו מתוכנן לסוף חודש 8/3/2026
בהצגת הפרויקט למנהל אגף רשת דן וחוף 2/2 יח' תחמ"ש ציינו שמבחינתם יהיו מוכנים לחשמול בסוף חודש 5/2026
הנ"ל לא תואם את לו"ז המתוכנן ושאושר ע"י מנהל האגף 4/2026
עלה גם בדיון אצל הסמנכ"ל 19/2
זומנה ישיבה בתחמ"ש 24/2 לתאום עבודות רת"ק, קבלן,הרכבה חשמלית
עבודות סחרור שמן הסתיימו 23/2
</t>
    </r>
  </si>
  <si>
    <t xml:space="preserve">המשך בדיקות הכנסה לניצול (יש לתגבר צוות בודקים בגלל גיוס למילואים). 
עדכון----תואם תחילת בדיקות מ"י 9/3/2026 עיכוב בגלל המצב הביטחוני (עיכוב בשל סיום בדיקות בתחמ"ג גליל)
השלמת עבודות אזרחיות במבנה וביצוע עבודות פיתוח שטח
תקלות במסדר 24 ק"ו יטופל ע"י סימנס -זומנו לתחמ"ש
רת"ק סיימו את הנחת כבלי מ"ע  מבצעים סופיות
הנחת כבלי מ"ג מתוכנן להתחיל מתאריך 15/3/2026
בהצגת הפרויקט למנהל אגף רשת דן וחוף 2/2 יח' תחמ"ש ציינו שמבחינתם יהיו מוכנים לחשמול בסוף חודש 5/2026
עבודות סחרור שמן הסתיימו 23/2
</t>
  </si>
  <si>
    <t xml:space="preserve">המשך בדיקות הכנסה לניצול (יש לתגבר צוות בודקים בגלל גיוס בודקים למילואים). 
תחילת בדיקות מ"י 11/3/2026 (עיכוב בגלל המצב הביטחוני ועיכוב בשל סיום בדיקות בתחמ"ג גליל)
השלמת עבודות אזרחיות במבנה וביצוע עבודות פיתוח שטח
תקלות במסדר 24 ק"ו יטופל ע"י סימנס -זומנו לטיפול בליקויים  אך בשל המצב הביטחוני טרם נסגר תאריך הגעתם
רת"ק סיימו את הנחת כבלי מ"ע  מבצעים סופיות
הנחת כבלי מ"ג מתוכנן להתחיל מתאריך 22/3/2026
בהצגת הפרויקט לסמנכ"ל  12/3 הוצג לו"ז לחשמול 4/2026 מנהל אגף תפעול תחמ"ש יבדוק מול היחידה עם ניתן לעמוד ביעד זה!
</t>
  </si>
  <si>
    <t xml:space="preserve">המשך בדיקות הכנסה לניצול יחד עם מעבדת חשמל 
תחילת בדיקות מ"י 11/3/2026 - צפי לסיום עד סוף החודש 3/2026 (אם לא ימצאו תקלות)
השלמת עבודות אזרחיות במבנה וביצוע עבודות פיתוח שטח
תקלות במסדר 24 ק"ו - טופל ע"י סימנס נותרה תקלה מכאנית בטיפול 
רת"ק סיימו את הנחת כבלי מ"ע  מבצעים סופיות + הנחת כבלים בתאי שנאים - עדכון מוכנות לחשמול שבוע ראשון של חודש 5/2026 לאחר בדיקות מ"י. 
שחרור תאי שנאים להתקנת מערכות גילוי וכיבוי אש ע"י הקבלן לאחר בדיקות מ"י בתאריך 7/5/2026
הנחת כבלי מ"ג מתוכנן להתחיל לאחר חג הפסח (עיכוב בגלל אישורים מול העיריה)
בהצגת הפרויקט לסמנכ"ל  12/3 הוצג לו"ז מוכנות לחשמול 4/2026 , 
הצגת הפרויקט למנהל אגף דן וחוף 22/3 הוצג מוכנות לחשמול 4/2026 
יש להתייחס למוכנות חשמול עפ"י א. הולכה מעגלי מ"ע תחילת 5/2026
אגף רשת דן וחוף - מבחינת יציאות מ"ג יהיו מוכנים בחודש 5/2026
</t>
  </si>
  <si>
    <t xml:space="preserve"> בדיקות הכנסה לניצול - מבקש לתגבר צוות</t>
  </si>
  <si>
    <t>WBC-082</t>
  </si>
  <si>
    <t>תחמ"ש נווה ימין 
(כפר סבא)</t>
  </si>
  <si>
    <t>ישיבות מול היזם אדג' קונקס - הכנת הסכם
ישיבה 11/2</t>
  </si>
  <si>
    <t>נקבעה ישיבה 18/2 עם נציגי התכנון והיזם לקביעת תכולת הפרויקט , לאחר סדרת ישיבות עם התכנון , תוזמן ישיבת המשך למנהלת.</t>
  </si>
  <si>
    <t xml:space="preserve">התקימה ישיבה 18/2 עם נציגי התכנון והיזם לקביעת תכולת הפרויקט , לאחר סדרת ישיבות עם התכנון  תוזמן ישיבת המשך למנהלת במטרה להתקדם להסכם מול היזם.
</t>
  </si>
  <si>
    <t xml:space="preserve">התקימה ישיבה 18/2 עם נציגי התכנון והיזם לקביעת תכולת הפרויקט , 
זומנה ישיבה נוספת 2/3
לאחר סדרת ישיבות עם התכנון  תוזמן ישיבת המשך למנהלת במטרה להתקדם להסכם מול היזם.
</t>
  </si>
  <si>
    <t xml:space="preserve">התקימה ישיבה נוספת 9/3 עם נציגי התכנון והיזם לקביעת תכולת הפרויקט , 
נתאם ישיבת מנהל יחדג עם מנהל מגזר תכנון ומנהלי מחלקות תכנון לקידום התכנון
לדון בסעיפים שנדונו בישיבות ולצורך קבלת הצעת מחיר ראשונית מהיזם
</t>
  </si>
  <si>
    <t xml:space="preserve">התקימה ישיבה נוספת 9/3 עם נציגי התכנון והיזם לקביעת תכולת הפרויקט , 
תואמה ישיבה 18/3 עם מגזר תכנון ומנהלי המחלקות לקידום התכנון
ולדון בסעיפים שהועלו בישיבות ולצורך קבלת הצעת מחיר ראשונית מהיזם
</t>
  </si>
  <si>
    <t xml:space="preserve">התקימה ישיבה נוספת 9/3 עם נציגי התכנון והיזם לקביעת תכולת הפרויקט , 
קיימנו ישיבה 18/3 עם מגזר תכנון יועצת משפטית ונתי דביר - מקדמים אומדן ראשוני הכנת מסמך הצדקה ובהמשך לוועדת מכרזים
זומנה ישיבת מנהלת כולל אדג'קונקס 15/4 
לדון בסעיפים שהועלו בישיבות ולצורך קבלת הצעת מחיר ראשונית מהיזם
</t>
  </si>
  <si>
    <t>wbe-183</t>
  </si>
  <si>
    <t>ת"א מרכז-התקנת שנאי רביעי 161/13.8/13.8 ק"ו 56 מגוו"א</t>
  </si>
  <si>
    <t xml:space="preserve">פוטרמן, שרון </t>
  </si>
  <si>
    <t>עתידי</t>
  </si>
  <si>
    <t>WBE-281</t>
  </si>
  <si>
    <t>מודיעין – התקנת שנאי שישי (525) 50 מגוו"א.</t>
  </si>
  <si>
    <t>התכנון עדכן על 3 חודשים עיכוב בהגשת כתב כמויות,הועלה לנושאים קריטיים ב 2/12/25, ממתין להתייחסות התכנון, יעלה שוב לנושאים קריטיים. הועלתה בקשה של המחוז  לחשמול מסדר מ"ג  מוקדם מחשמול השנאי, בהמתנה לתשובת המחוז לגבי הלו"ז הנדרש.</t>
  </si>
  <si>
    <t>התכנון עדכן על 3 חודשים עיכוב בהגשת כתב כמויות.      סיום הפרויקט התעכב בהתאמה. הועלתה בקשה של המחוז  לחשמול מסדר מ"ג  מוקדם מחשמול השנאי, בהמתנה לתשובת המחוז לגבי הלו"ז הנדרש.</t>
  </si>
  <si>
    <t xml:space="preserve">התכנון עדכן על 3 חודשים עיכוב בהגשת כתב כמויות.      סיום הפרויקט התעכב בהתאמה. הועלתה בקשה של המחוז  לחשמול מסדר מ"ג  מוקדם מחשמול השנאי, בהמתנה לתשובת המחוז לגבי הלו"ז הנדרש. ממתינים לביצוע חפירות גישוש </t>
  </si>
  <si>
    <t>התכנון עדכן על 3 חודשים עיכוב בהגשת כתב כמויות.      סיום הפרויקט התעכב בהתאמה. הועלתה בקשה של המחוז  לחשמול מסדר מ"ג  מוקדם מחשמול השנאי, בהמתנה לתשובת המחוז לגבי הלו"ז הנדרש. ממתינים לביצוע חפירות גישוש  ותכנון אזרחי למסדר מ"ג.</t>
  </si>
  <si>
    <t>התכנון עדכן על 3 חודשים עיכוב בהגשת כתב כמויות. סיום הפרויקט התעכב בהתאמה. הועלתה בקשה של המחוז  לחשמול מסדר מ"ג  מוקדם מחשמול השנאי, בהמתנה לתשובת המחוז לגבי הלו"ז הנדרש. ממתינים לביצוע חפירות גישוש  ותכנון אזרחי למסדר מ"ג.</t>
  </si>
  <si>
    <t>בהמתנה לתכנון אזרחי עבור חשמול מסדר מ"ג מוקדם לבקשת המחוז. כ"כ לפרויקט אמור להגיע עד סוף חודש מרץ 2026. חפירות גישוש בהמתנה מעל שבועיים לביצוע ע"י מחלקת פיקוח צפון.</t>
  </si>
  <si>
    <t xml:space="preserve">התקבל תכנון עבור מסדר מ"ג מוקדם. חשמול המסדר מתוכנן ל 7/2026. כ"כ לפרויקט אמור להגיע עד סוף חודש מרץ 2026. </t>
  </si>
  <si>
    <t>WBE-198</t>
  </si>
  <si>
    <t>לוד-הוספת שנאי שישי  (525) 161/24 ק"ו 50 מגוו"א</t>
  </si>
  <si>
    <t>הוקמה מנהלת לפרויקט משיק מול רכבת ישראל,  בהמתנה להסכם משפטי ואישור רשות החשמל. הוספת השנאי תתבצע במקביל לפרויקט הרכבת, הפרויקט בתכנון אלק"מ</t>
  </si>
  <si>
    <t>הוקמה מנהלת לפרויקט משיק מול רכבת ישראל,  בהמתנה להסכם משפטי ואישור רשות החשמל. הוספת השנאי תתבצע במקביל לפרויקט הרכבת, לקראת הקפאת תצורה.</t>
  </si>
  <si>
    <t>פרויקת הרכבת-בהמתנה להסכם משפטי ואישור רשות החשמל.  פרויקט הוספת השנאי יתבצע במקביל לפרויקט הרכבת, בשלבי הקפאת תצורה.</t>
  </si>
  <si>
    <t>פרויקת הרכבת-להסכם משפטי ואישור רשות החשמל.  פרויקט הוספת השנאי יתבצע במקביל לפרויקט הרכבת, בשלבי הקפאת תצורה.</t>
  </si>
  <si>
    <t>פרויקת הרכבת-בהמתנה לתכנית יציאות מ"ג מהתחמ"ש, להסכם משפטי ואישור רשות החשמל.  פרויקט הוספת השנאי יתבצע במקביל לפרויקט הרכבת, בשלבי הקפאת תצורה.</t>
  </si>
  <si>
    <t>פרויקת הרכבת-בהמתנה לתכנית יציאות מ"ג מהתחמ"ש, להסכם משפטי.  פרויקט הוספת השנאי יתבצע במקביל לפרויקט הרכבת, בשלבי  סיום תכנון.</t>
  </si>
  <si>
    <t>פרויקת הרכבת-בהמתנה לתכנית יציאות מ"ג מהתחמ"ש, ולהסכם משפטי.  פרויקט הוספת השנאי יתבצע במקביל לפרויקט הרכבת, בשלבי  סיום תכנון.</t>
  </si>
  <si>
    <t>WBE-216</t>
  </si>
  <si>
    <t>כנות-התקנת שנאי שלישי 161/24 ק"ו 50 מו"א</t>
  </si>
  <si>
    <t>בשלבי תכנון</t>
  </si>
  <si>
    <t>בשלבי תכנון, באיחור תכנון הייצור של 4 חודשים.</t>
  </si>
  <si>
    <t>בשלבי תכנון, באיחור משמעותי של תכנון  ייצור.</t>
  </si>
  <si>
    <t>בשלבי תכנון, באיחור משמעותי של תכנון  ייצור. מתבצעת בדיקה למסירת מסדר מ"ג לקראת ינואר 2027.</t>
  </si>
  <si>
    <t>WBM-10482</t>
  </si>
  <si>
    <t>גזר-
ST-1 התקנת מסדר 24 ק"ו, פ"צ 4, השלמת מערכת SCS במסדרי 161 ו 400 ק"ו.
ST-2 החלפת 2 מסדרי מ"ג ומערכת SCS</t>
  </si>
  <si>
    <t>בהמתנה לתכנון אלק"מ, תכולה נשארת כמתוכנן</t>
  </si>
  <si>
    <t>בשלבי תכנון, תכולה נשארת כמתוכנן.</t>
  </si>
  <si>
    <t>בשלבי תכנון, תכולה נשארת כמתוכנן. בהמתנה לכ"כ.</t>
  </si>
  <si>
    <t>בשלבי תכנון. ממתינים להעברת תכניות  לבדיקה.</t>
  </si>
  <si>
    <t>WBE-179</t>
  </si>
  <si>
    <t>גבעת שאול-הרחבת מסדר 161 ק"ו והתקנת שנאי רביעי</t>
  </si>
  <si>
    <t>התקבל פטור מהיתר, נבחר קבלן, בהליך חתימה.</t>
  </si>
  <si>
    <t>התקבל פטור מהיתר, נבחר קבלן, עיכוב  בהליך חתימת הקבלן ועליה לקרקע.</t>
  </si>
  <si>
    <t>לקראת התחלת עבודות בשבועיים הקרובים</t>
  </si>
  <si>
    <t>לקראת התחלת עבודות בשבועיים הקרובים, בהמתנה לחתימת הקבלן</t>
  </si>
  <si>
    <t>עלייה לקרקע בשבוע הבא</t>
  </si>
  <si>
    <t>עיכוב בעליה לקרקע לאור המצב הבטחוני</t>
  </si>
  <si>
    <t>עליה לקרקע ב- 15/3/26</t>
  </si>
  <si>
    <t>בשלב עבודות אזרחיות.</t>
  </si>
  <si>
    <t>התחלת עבודות הרכבת מסדר מ"ג. לחשמול המסדר ביוני 2026.</t>
  </si>
  <si>
    <t>WBE-261</t>
  </si>
  <si>
    <t>ביתר – הוספת שנאי רביעי  36KV 50 MVA</t>
  </si>
  <si>
    <t>בבדיקות הכנסה לניצול - אפקון יגיעו ב 25/1/26 לתיקון רג'קטים.</t>
  </si>
  <si>
    <t xml:space="preserve">בבדיקות הכנסה לניצול </t>
  </si>
  <si>
    <t>בבדיקות הכנסה לניצול -ממתינים לאפקון לתיקון רג'קטים.</t>
  </si>
  <si>
    <t>בבדיקות הכנסה לניצול -ממתינים לאפקון לתיקון רג'קטים, מתואם ל 4.4.26.</t>
  </si>
  <si>
    <t>בבדיקות הכנסה לניצול.</t>
  </si>
  <si>
    <t>בבדיקות הכנסה לניצול. בדיקות מתח יתר בשבוע הבא.</t>
  </si>
  <si>
    <t>בבדיקות הכנסה לניצול. בדיקות מתח יתר 9/3/26.</t>
  </si>
  <si>
    <t>בבדיקות הכנסה לניצול. בדיקות מתח יתר נדחתה עקב המצב.</t>
  </si>
  <si>
    <t>WBC-031</t>
  </si>
  <si>
    <t>בית וגן - הקמת תחמ"ש פנימית 161/24 ק"ו</t>
  </si>
  <si>
    <t>היתר- הסתיים שלב ההגשה הראשוני בהמתנה לדיון בעירייה.תכניות לבדיקה הועברו לפיקוח.</t>
  </si>
  <si>
    <t>היתר- הסתיים שלב ההגשה הראשוני, נקבע דיון 15/2 בעירייה.תכניות לבדיקה הועברו לפיקוח. RFT בתאריך 16/2/26</t>
  </si>
  <si>
    <t>היתר- הסתיים שלב ההגשה הראשוני, נקבע דיון 15/2 בעירייה.תכניות לבדיקה הועברו לפיקוח. RFT בתאריך 16/2/26ץ ממתינים להתייחסות הפיקוח.</t>
  </si>
  <si>
    <t>היתר- הסתיים שלב ההגשה הראשוני, נקבע דיון ובוטל, נדרשת פגישה בעירייה.תכניות לבדיקה הועברו לפיקוח. RFT בתאריך 16/2/26 ממתינים להתייחסות הפיקוח.</t>
  </si>
  <si>
    <t>היתר- הסתיים שלב ההגשה הראשוני, נקבע דיון ובוטל, נקבעה פגישה עם סגן ראש העיר בעיריית ירושלים.תכניות בשלב הכנה למכרז.</t>
  </si>
  <si>
    <t>היתר- הסתיים שלב ההגשה הראשוני, נקבע דיון ובוטל, הייתה פגישה עם סגן ראש העיר בעיריית ירושלים ממתינים לשיבוץ חדש לדיון,תכניות בשלב הכנה למכרז.</t>
  </si>
  <si>
    <t>היתר- הסתיים שלב ההגשה הראשוני, נקבע דיון ובוטל, הייתה פגישה עם סגן ראש העיר בעיריית ירושלים ממתינים לשיבוץ חדש לדיון הקרוב. תכניות בשלב הכנה למכרז.</t>
  </si>
  <si>
    <t>WBM-40136</t>
  </si>
  <si>
    <t>רמת גן- משיק כבל-התאמת ציוד לז"ק 50 ק"א</t>
  </si>
  <si>
    <t>בהמתנה לתעדוף בתכנון</t>
  </si>
  <si>
    <t>ממתין לתכנון</t>
  </si>
  <si>
    <t>לקראת הקפאת תצורה</t>
  </si>
  <si>
    <t>WBD-125</t>
  </si>
  <si>
    <t>אלפי מנשה- החלפת ניידת 20 מגוו"א בניידת 30 מגוו"א</t>
  </si>
  <si>
    <t>הוקצתה ניידת 42, יצאו תכניות לביצוע</t>
  </si>
  <si>
    <t xml:space="preserve">הוזמנה הפסקה לטובת עלייה לקרקע ב- 8/3/26 </t>
  </si>
  <si>
    <t>הוזמנה הפסקה לטובת עלייה לקרקע ב- 15/3/26</t>
  </si>
  <si>
    <t>התחלת עבודות נקבעו בתאום הולכה לתאריך 12/04/2026</t>
  </si>
  <si>
    <t>התחלת עבודות נקבעו בתאום הולכה לתאריך 12/04/2027</t>
  </si>
  <si>
    <t>WBJ-003</t>
  </si>
  <si>
    <t>תחמ"ג ירושלים</t>
  </si>
  <si>
    <t>תכנון להיתר חפירה עבור מבנה 161 ק"ו הועבר למדור רישוי. תכנון בניית מבנה ומובל לקראת השלמות לצורך הגשתו בפברואר 2026. ישנם נושאים הדורשים עדכון: חנייה ושטח ירוק, תמיכת עמוד 11001, כיבוי אש, סניטריה וכו'. התקיימה פגישה עם הנהלת החווה ועורכי דינו. הוחלף שער חשמלי מכביש מנחם בגין לשער חשמלי כחלק משיפור נגישות.</t>
  </si>
  <si>
    <t>תכנון להיתר - הוגש למדור רישוי נושא החפירה ודיפון בנפרד וכן מבנה ומובל בנפרד. עודכן נושא תנועה : חניות וכבישים פנימיים. עודכן נושא נוף. נושא סניטריה - סוכם כי בשלב ראשון לא נדרש נספח כיוון שיוצג תוספת 2 מיכלי איסוף. במקביל נפעל לקדם חיבור תשתית ביוב עירונית. תמיכת עמוד 11001 - פועלים לקדם פגישה עם הות"ל על מנת לעדכן אותם בקיר דיפון חיצוני.</t>
  </si>
  <si>
    <t>תכנון להיתר - הוגש למדור רישוי נושא החפירה ודיפון בנפרד וכן מבנה ומובל בנפרד. עודכן נושא תנועה : חניות וכבישים פנימיים. עודכן נושא נוף. נושא סניטריה - סוכם כי בשלב ראשון לא נדרש נספח כיוון שיוצג תוספת 2 מיכלי איסוף. במקביל נפעל לקדם חיבור תשתית ביוב עירונית. תמיכת עמוד 11001 - בתאריך 11.2.2026 סיור בשטח עם הות"ל על מנת לעדכן אותם בקיר דיפון חיצוני ובכלל הצגת אתגרי הפרוייקט.</t>
  </si>
  <si>
    <t>תכנון להיתר - הוגש למדור רישוי נושא החפירה ודיפון בנפרד וכן מבנה ומובל בנפרד. עודכן נושא תנועה : חניות וכבישים פנימיים. עודכן נושא נוף. נושא סניטריה - סוכם כי בשלב ראשון לא נדרש נספח כיוון שיוצג תוספת 2 מיכלי איסוף. במקביל נפעל לקדם חיבור תשתית ביוב עירונית. תמיכת עמוד 11001 - בתאריך 11.2.2026 סיור בשטח עם הות"ל על מנת לעדכן אותם בקיר דיפון חיצוני ובכלל הצגת אתגרי הפרוייקט. עדיין לא התקבלה תגובת רשות העתיקות. גרמושקה תצא לחתימות בסופש הבא.</t>
  </si>
  <si>
    <t>תכנון להיתר - הוגש למדור רישוי נושא החפירה ודיפון בנפרד וכן מבנה ומובל בנפרד. עודכן נושא תנועה : חניות וכבישים פנימיים. עודכן נושא נוף. נושא סניטריה - הועבר חומר למתכננים על מנת לקיים פגישה עם הגיחון. תמיכת עמוד 11001 -סיור בשטח עם הות"ל נדחה ל 19.3.26 על מנת לעדכן אותם בקיר דיפון חיצוני ובכלל הצגת אתגרי הפרוייקט. התקבלה תגובת רשות העתיקות - נשלחו להם המסמכים שדרשו ע"י מנה"פ. גרמושקה תצא לחתימות בסופש . התקיימה פגישת תאום על שדרוג גדר טרם הצגתה לקב"ט ירושלים. התקבל חומר מחוות הסוסים - בהתאם לתגובת הייעוץ המשפטי ומנר"א נקדם בחינת עלויות.</t>
  </si>
  <si>
    <t>הגשת היתר צפויה עד סוף שבוע זה. שדרוג גדר בטחון היקפית סוכם בין מתכננים ומנה"פ וצפוי להיות מוצג ליח' תחמ"ש וקב"ט ירושלים בשבוע הבא. ביום 24.2 פגישה מקדימה לפגישה עם מנהל האגף בנושא הסכם עם חוות הסוסים.</t>
  </si>
  <si>
    <t>היתר חפירה הוגש לות"ל. היתר בנייה למבנה ומובל צפוי להיות מוגש במהלך מרץ. פגישה מקדימה לחוות סוסים נדחתה לשבוע זה. בהתאם להנחיית עו"ד מיכל שרעבי נקיים פגישה בראשות מנהל אגף השנאה.</t>
  </si>
  <si>
    <t>עדיין לא התקבל מסמך זכויות בקרקע מעו"ד שמלווה את בעלי חוות הסוסים. נעשתה פנייה לאיתור שמאי חקלאי המתמחה בסוסים על מנת לאשר מקצועית שנדרש לקיים הרחקת הסוסים ושינוי בחווה בעקבות סקר הרעש שערכנו. חומר טכני יצא לבדיקת מגזר פיקוח - העתקת תשתיות משטח 161 לתוך מבנה 36 ק"ו.</t>
  </si>
  <si>
    <t>בקשה להיתר בניית מבנה 161 ק"ו ומובל הוגשה ב- 5.3.26'.עדיין לא התקבל מסמך זכויות בקרקע מעו"ד שמלווה את בעלי חוות הסוסים. נעשתה פנייה לאיתור שמאי חקלאי המתמחה בסוסים על מנת לאשר מקצועית שנדרש לקיים הרחקת הסוסים ושינוי בחווה בעקבות סקר הרעש שערכנו. חומר טכני יצא לבדיקת מגזר פיקוח - העתקת תשתיות משטח 161 לתוך מבנה 36 ק"ו.</t>
  </si>
  <si>
    <t>בקשה להיתר בניית מבנה 161 ק"ו ומובל הוגשה ב- 5.3.26'.עדיין לא התקבל מסמך זכויות בקרקע מעו"ד שמלווה את בעלי חוות הסוסים. שמאי חקלאי הסבירו שנדרש לקבל חוו"ד וטרניר המתמחה בסוסים על מנת לאשר מקצועית שנדרש לקיים הרחקת הסוסים ושינוי בחווה בעקבות סקר הרעש שערכנו. חומר טכני יצא לבדיקת מגזר פיקוח. הועברו הערות לבוריס. התקיימה פגישה נוספת בנושא העתקת תשתיות משטח 161 לתוך מבנה 36 ק"ו - נתחיל אחרי חג הפסח עבודות אזרחיות והוצאות מרזרבה של השנאים</t>
  </si>
  <si>
    <t>השלמת העתקת תשתיות מ"ג ומ"נ.  קידום הסכם מול חוות סוסים. כביש זמני. תמיכת עמוד 11001. פועלים לקדם את הנושא בות"ל ובמקביל לתכנן 2 עמודים חדשים. יובא בהמשך לסטטוס אצל מנהל האגף.</t>
  </si>
  <si>
    <t>WBM-40475</t>
  </si>
  <si>
    <t>הכפר הירוק-הח' 2 מ"ז ,2 בושינג(7,9) מהדק</t>
  </si>
  <si>
    <t>הרכבה חשמלית ובדיקות</t>
  </si>
  <si>
    <t xml:space="preserve">העבודה בביצוע. החלה העבודה בשדה 7. עם פירוק הציוד התברר כי יש אי התאמה בין הציוד החדש לישן. GE איתרו חלק וינסו להביאו. נכון לתאריך 28.1 העבודה באתר הופסקה והצוותים יצאו. מחכים לעדכון מ GE לסטטוס משלוח והחזרת הפעילות. במקביל יצאה הזמנה לאגרומנטל לתמיכת ברזל שלא הוזמנה עבור החלפת המשנק. </t>
  </si>
  <si>
    <t xml:space="preserve">העבודה בביצוע.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שהמתאמים הנדרשים יהיו מוכנים רק בסוף מרץ!! במקביל יצאה הזמנה לאגרומנטל לתמיכת ברזל שלא הוזמנה עבור החלפת המשנק. </t>
  </si>
  <si>
    <t>העבודה בביצוע.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שהמתאמים הנדרשים יהיו מוכנים רק בסוף מרץ!! במקביל יצאה הזמנה לאגרומנטל לתמיכת ברזל שלא הוזמנה עבור החלפת המשנק. GE תיאמו ישיבה בנושא ליום רביעי 25.02</t>
  </si>
  <si>
    <t>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שהמתאמים הנדרשים יהיו מוכנים רק בסוף מרץ!! במקביל יצאה הזמנה לאגרומנטל לתמיכת ברזל שלא הוזמנה עבור החלפת המשנק. GE הודיעו שכרגע לא יכולים לתת תאריכים מעודכנים להגעת מומחה ותמיכה עד לסיום המלחמה.</t>
  </si>
  <si>
    <t>ציוד לא תואם , קבלת תמיכה מ GE בהתאם למתחייב</t>
  </si>
  <si>
    <t>WBC-084</t>
  </si>
  <si>
    <t>סירקין- הקמת תחמ"ש פנימית  161/24 ק"ו</t>
  </si>
  <si>
    <t xml:space="preserve">פרויקט עבר לחח"י ב 8.12.25. בוצעה ישיבה להתנעת הפרויקט עם כלל הגורמים ב 14.1.26. צפי הזמנת תכנון אזרחי להיתר 02/26. סיום תכנון להיתר 07/26. במקביל תואמה פגישה עם יו"ר ועד סירקין לטובת נושא כביש גישה. הוקמה הזמנה לקידוחי נסיון. </t>
  </si>
  <si>
    <t xml:space="preserve">התבצעה ישיבה ראשונה להתנעת הפרויקט. נדרש לבחון מול נגה צורך בסקר סביבתי חדש בהתאם לתכנון החדש. מבוצע תיאום תכנון מול מ"ג ומ"ע. תיק מידע התקבל ויצאה פניה לאתר תשתיות לאומיות. הזמנה לתכנון אזרחי 02/26. סיום תכנון להיתר 07/26. תואמה פגישה עם יו"ר ועד סירקין לטובת נושא כביש גישה. הוקמה הזמנה לקידוחי נסיון. </t>
  </si>
  <si>
    <t xml:space="preserve">התבצעה ישיבה ראשונה להתנעת הפרויקט. נדרש לבחון מול נגה צורך בסקר סביבתי חדש בהתאם לתכנון החדש. מבוצע תיאום תכנון מול מ"ג ומ"ע. תיק מידע התקבל ויצאה פניה לאתר תשתיות לאומיות. הזמנה לתכנון אזרחי 02/26. סיום תכנון להיתר 07/26. תואמה פגישה עם יו"ר ועד סירקין לטובת נושא כביש גישה. הוקמה הזמנה לקידוחי נסיון. כרגע בשלב קבלת אישורים לעלות לקרקע לביצוע הקידוחים. בוצעו פגישות גם מול הצבא על מנת להבין את מורכבות השטח מבחינתם. </t>
  </si>
  <si>
    <t>יצאה הזמנה לתכנון אזרחי להיתר ב 28.2.26. קידוחי נסיון - השטח עדיין לא שוחרר מרמ"י. נשלח לתכנון להתייחסות עד כמה עלייה לקרקע לטובת קידוחי נסיון רק בחודש יוני משפיעה עבורם על יעדי הפרויקט. (לאחר קציר החיטה בקרקע)</t>
  </si>
  <si>
    <t>יצאה הזמנה לתכנון אזרחי להיתר בתאריך 28.2.26.
קידוחי ניסיון: השטח עדיין לא שוחרר מרמ"י, ולכן לא ניתן לבצע בשלב זה.
נדרש לקבל מהפיקוח הבהרה לגבי משך הזמן הדרוש לקבלן לצורך תיאום אישור חפירה במערכת תשתיות לאומיות. אם בכל מקרה לוחות הזמנים מביאים אותנו להתכנסות בחודש יוני, אז אין צורך בהתקשרות עם החקלאי להסכם ופיצוי (מאחר שקציר החיטה צפוי להסתיים עד מועד זה).</t>
  </si>
  <si>
    <t xml:space="preserve">יצאה הזמנה לתכנון אזרחי להיתר בתאריך 28.2.26.
קידוחי ניסיון: השטח עדיין לא שוחרר מרמ"י, ולכן לא ניתן לבצע בשלב זה.משיח עם החקלאי ביקש לקיים ביוני את העבודה. לפי הקבלן המבצע יהיה מוכן בתחילת מאי מבחינת אישורים. נדרש לתאם פגישה עם החקלאי +פיקוח+קבלן בשטח על מנת לצמצם למינימום את הפגיעה ולקדם את העבודה. נכון להיום, החקלאי לא זמין כבר שבוע ואין מענה ממנו. </t>
  </si>
  <si>
    <t xml:space="preserve">יצאה הזמנה לתכנון אזרחי להיתר בתאריך 28.2.26.
קידוחי ניסיון: השטח עדיין לא שוחרר מרמ"י, ולכן לא ניתן לבצע בשלב זה.משיח עם החקלאי ביקש לקיים ביוני את העבודה. לפי הקבלן המבצע יהיה מוכן בתחילת מאי מבחינת אישורים. פגישה בשטח תואמה מול הקבלן והפיקוח לאחר החג. באחריות רישוי תיאום פגישה עם הות"ל. </t>
  </si>
  <si>
    <t>עמידה בלו"ז, גישה לעבודות דרך המושב או לחילופין הבסיס הצבאי</t>
  </si>
  <si>
    <t>WBE-314</t>
  </si>
  <si>
    <t>בית יהושוע הוספת מסדר מ"ג 4</t>
  </si>
  <si>
    <t>16/3/26פרויקט נפתח במערכת, ישיבת התנעה 17/3/26</t>
  </si>
  <si>
    <t>הרכבת מסדר מ"ג תתחיל בתאריך 12/4/26</t>
  </si>
  <si>
    <t>WBD-126</t>
  </si>
  <si>
    <t>בית יהושוע- הוספת ניידת 30</t>
  </si>
  <si>
    <t>הקצאת נייד 30 מגוו"א מחולון תעשייה- בשלבי תכנון מתקדמים</t>
  </si>
  <si>
    <t>בבדיקת חלופת הכנסת מסדר מ"ג במקום ניידת בשלב הראשון</t>
  </si>
  <si>
    <t>בהמתנה להכנסת הפרויקט לתכנית הפיתוח ובדיקת יתכנות הנדסית מ"ע</t>
  </si>
  <si>
    <t>ניידת 42 צומת תפוח</t>
  </si>
  <si>
    <t xml:space="preserve">קדם ניידות </t>
  </si>
  <si>
    <t>הסתיים</t>
  </si>
  <si>
    <t>נמצאת בגן שורק
מיועדת לאלפי מנשה</t>
  </si>
  <si>
    <t xml:space="preserve">נמצאת בגן שורק
</t>
  </si>
  <si>
    <t xml:space="preserve">נמצאת בגן שורק
מוכנה לשימוש
</t>
  </si>
  <si>
    <t>ניידת 43 שוהם</t>
  </si>
  <si>
    <t>נמצאת בגן שורק
בשלבי סיום אחרונים</t>
  </si>
  <si>
    <t>ניידת 44</t>
  </si>
  <si>
    <t>נמצאת בשפיים
בתחילת עבודות הכנסה לניצול</t>
  </si>
  <si>
    <t>נמצאת בשפיים
בעבודות הכנסה לניצול</t>
  </si>
  <si>
    <t>מוכנה לשימוש</t>
  </si>
  <si>
    <t>נמצאת בשפיים
מוכנה לשימוש</t>
  </si>
  <si>
    <t>ניידת 45</t>
  </si>
  <si>
    <t>ניידת 46</t>
  </si>
  <si>
    <t>הגעה לבאר שבע צפון ב 20.01.2026</t>
  </si>
  <si>
    <t>ב 20.01.2026 הגיעו לבאר שבע צפון.</t>
  </si>
  <si>
    <t>ב 20.01.2026 הגיעו לבאר שבע צפון. צפי לסחרור שמן 08.02.2026</t>
  </si>
  <si>
    <t>באר שבע צפון
החלה התהליך סחרור שמן והשלמת עבודות יצרן</t>
  </si>
  <si>
    <t>באר שבע צפון
החלה התהליך סחרור שמן והשלמת עבודות יצרן
צפי לסיום 19.02.26</t>
  </si>
  <si>
    <t>באר שבע צפון
הושלמו עבודות הרכבה חשמלית. מתחילים בדיקות הכנסה לניצול</t>
  </si>
  <si>
    <t>באר שבע צפון
הושלמו בדיקות החירום</t>
  </si>
  <si>
    <t>באר שבע צפון
הושלמו בדיקות החירום
החלו בדיקות הכנסה לניצול מלאות</t>
  </si>
  <si>
    <t>ניידת 47</t>
  </si>
  <si>
    <t>באר שבע צפון
צפי סיום עבודות הרכבה חשמלית 28.02.2026</t>
  </si>
  <si>
    <t>ניידת 48</t>
  </si>
  <si>
    <t>נמצאת בזבולון
בשלבי סיום אחרונים</t>
  </si>
  <si>
    <t>נמצאת בזבולון
בשלבי סיום אחרונים
מיועדת לכרמיאל</t>
  </si>
  <si>
    <t>נמצאת בזבולון בשלבי בדיקות</t>
  </si>
  <si>
    <t>נמצאת בזבולון בשלבי בדיקות
צפי סיום 19.03.2026</t>
  </si>
  <si>
    <t>נמצאת בזבולון 
בשלבי סיום בדיקות
- בעיה במחשב - בטיפול מול היצרן</t>
  </si>
  <si>
    <t>ניידת 49 חירום</t>
  </si>
  <si>
    <t>תקולה - מיועדת למשלוח ליצרן לתיקון</t>
  </si>
  <si>
    <t>תקולה - מיועדת למשלוח ליצרן לתיקון. הוקמה דרישת שירות ב 6.1.26</t>
  </si>
  <si>
    <t xml:space="preserve">מחכים להתייחסות ויעד משלוח לתיקון מהיצרן </t>
  </si>
  <si>
    <t>ב 04.02.2026 היצרן יגיע לצורך התחלת פירוק המסדר שנרש להעביר לתיקון בחו"ל.</t>
  </si>
  <si>
    <t>נמצאת בזבולון.
היצרן החל בפירוק מסדר מ"ע לקראת שליחה לתיקון. צפי שליחה לחו"ל 25.02.2026</t>
  </si>
  <si>
    <t>נמצאת בזבולון.
היצרן החל בפירוק מסדר מ"ע לקראת שליחה לתיקון. צפי שליחה לחו"ל 03.2026</t>
  </si>
  <si>
    <t>נמצאת בזבולון.
היצרן החל בפירוק מסדר מ"ע לקראת שליחה לתיקון. צפי שליחה לחו"ל 03.2026
ייתכן עיכוב לאור "שאגת הארי"</t>
  </si>
  <si>
    <t>ניידת 50</t>
  </si>
  <si>
    <t>נמצאת ברידינג - נתגלתה בעיה בגז. נקבעה ישיבה עם הספק לטיפול</t>
  </si>
  <si>
    <t>נמצאת ברידינג - נתגלתה בעיה בגז. נקבעה ישיבה עם הספק לטיפול ב 28.01.2026
תועבר לתחמ"ג איילון בעקבות עבודות פיתוח באיזור רידינג של העיריה</t>
  </si>
  <si>
    <t xml:space="preserve">מנמצאת הרידינג 
צפי העברה ב 1.03.2026 לתחמ"ג איילון
</t>
  </si>
  <si>
    <t xml:space="preserve">מנמצאת הרידינג 
צפי העברה ב 1.03.2026 לתחמ"ש בית יהושע
</t>
  </si>
  <si>
    <t xml:space="preserve">מנמצאת הרידינג 
צפי העברה ב 1.03.2026 לתחמ"ש רמת אביב או נס ציונה 
</t>
  </si>
  <si>
    <t xml:space="preserve">נמצאת ברידינג 
בבדיקות הכנסה לניצול 
</t>
  </si>
  <si>
    <t>נמצאת ברידינג 
מוכנה לשימוש</t>
  </si>
  <si>
    <t>ניידת 51</t>
  </si>
  <si>
    <t>נמצאת ברידינג</t>
  </si>
  <si>
    <t>נמצאת ברידינג
תועבר לתחמ"ג איילון בעקבות עבודות פיתוח באיזור רידינג של העיריה</t>
  </si>
  <si>
    <t xml:space="preserve">הועברה לתחמ"ש הדרי שאן (ניר יעקבי)
</t>
  </si>
  <si>
    <t>חושמלה</t>
  </si>
  <si>
    <t>ניידת 60</t>
  </si>
  <si>
    <t>נמצאת בשטח 6</t>
  </si>
  <si>
    <t>נמצאת בשטח 6 מוכנות לחירום</t>
  </si>
  <si>
    <t>נמצאת בשטח 6 
מוכנה לשימוש</t>
  </si>
  <si>
    <t>ניידת 61</t>
  </si>
  <si>
    <t>ניידת 62</t>
  </si>
  <si>
    <t>נמצאת בשטח 6
בשלבי סיום</t>
  </si>
  <si>
    <t>ניידת 63</t>
  </si>
  <si>
    <t>נמצאת בשטח 6
מתבצעות עבודות לטובת פ"א</t>
  </si>
  <si>
    <t>נמצאת בשטח 6
בבדיקות</t>
  </si>
  <si>
    <t>ניידת 64</t>
  </si>
  <si>
    <t>ניידת 65</t>
  </si>
  <si>
    <t>נמצאת בשטח 6 בבדיקות הכנסה לניצול</t>
  </si>
  <si>
    <t>ניידת 66</t>
  </si>
  <si>
    <t>נמצאת ברוטנברג
עבודות מקדימות ותחילת הרכבה</t>
  </si>
  <si>
    <t>נמצאת ברוטנברג
עעבודות הרכבה חשמלית</t>
  </si>
  <si>
    <t>נמצאת ברוטנברג
בעבודות הרכבה חשמלית</t>
  </si>
  <si>
    <t>נמצאת ברוטנברג
צפי סיום הרכבה חשמלית 28.02.2026
צפי תחילת סחרור שמן 01.03.2026</t>
  </si>
  <si>
    <t>נמצאת ברוטנברג
בתהליך הרכבה חשמלית 
תחילת סחרור שמן 01.03.2026</t>
  </si>
  <si>
    <t>נמצאת ברוטנברג
צפי סיום מילוי שמן: 26.03.2026
בעבודות השלמה של הרכבה חשמלית במקביל לבדיקות</t>
  </si>
  <si>
    <t>נמצאת ברוטנברג
 מילוי שמן הסתיים
בעבודות השלמה של הרכבה חשמלית במקביל לבדיקות</t>
  </si>
  <si>
    <t>ניידת 67</t>
  </si>
  <si>
    <t>ניידת 68</t>
  </si>
  <si>
    <t>נמצאת ברוטנברג
בעבודותהרכבה חשמלית
צפי תחילת סחרור שמן 01.03.2026</t>
  </si>
  <si>
    <t>ניידת 69</t>
  </si>
  <si>
    <t xml:space="preserve">צפי הגעה לנמל אשדוד: 13.02.2026 עיכוב לאור פגעי הסופה הארי </t>
  </si>
  <si>
    <t xml:space="preserve">צפי הגעה לנמל אשדוד: 09.02.2026 עיכוב לאור פגעי הסופה הארי </t>
  </si>
  <si>
    <t xml:space="preserve">צפי הגעה לנמל אשדוד: 25.02.2026 </t>
  </si>
  <si>
    <t>צפי הגעה לנמל אשדוד: 06.03.2026 
תאוחסן במחסן נגב והערבה</t>
  </si>
  <si>
    <t>צפי הגעה לנמל אשדוד: 14.03.2026 
תאוחסן במחסן נגב והערבה</t>
  </si>
  <si>
    <t>צפי הגעה לנמל אשדוד: 16.03.2026 
תאוחסן במחסן נגב והערבה</t>
  </si>
  <si>
    <t xml:space="preserve"> נמצאת במחסן נגב והערבה</t>
  </si>
  <si>
    <t>ניידת 70</t>
  </si>
  <si>
    <t>ניידת 71</t>
  </si>
  <si>
    <t>ניידת 56</t>
  </si>
  <si>
    <t>Kontrolmatik
צפי הגעה 02/2026</t>
  </si>
  <si>
    <t>Kontrolmatik
צפי הגעה 01-05/02/2026 לשטח 6</t>
  </si>
  <si>
    <t xml:space="preserve">Kontrolmatik
  הגיעו לשטח 6
ב 08.02.2026 נערך סיור בדיקת קבלה </t>
  </si>
  <si>
    <t xml:space="preserve">Kontrolmatik
הועברה לעין חרוד לתחילת עבודות </t>
  </si>
  <si>
    <t xml:space="preserve">Kontrolmatik
נמצאת בעין חרוד 
צפי לתחילת עבודות 05/2026 </t>
  </si>
  <si>
    <t>ניידת 57</t>
  </si>
  <si>
    <t>ניידת 58</t>
  </si>
  <si>
    <t>Kontrolmatik
  מועברת ב 24.02.2026 לתחמ"ג איילון לתחילת עבודוות</t>
  </si>
  <si>
    <t>Kontrolmatik
  הועברה ב 24.02.2026 לתחמ"ג איילון לתחילת עבודוות</t>
  </si>
  <si>
    <t>Kontrolmatik
  נמצאת בתחמ"ג איילון
צפי לתחילת עבודות 12/04/2026
בבדיקה האם היתן לעבוד בחופשה מרוכזת</t>
  </si>
  <si>
    <t>ניידת 59</t>
  </si>
  <si>
    <t>WBM-40636</t>
  </si>
  <si>
    <t>הרצליה – הוספת 10 שדות מ"ג בעלי יציאות תת קרקעיות בכבלים</t>
  </si>
  <si>
    <t>לבקשת תכנון אזרחי נדרשות חפירות גישוש. מתואם ל 14.01.26</t>
  </si>
  <si>
    <t>חפירות גישוש לא הסתיימו!!! בוצעו חלקית ב 19.01.26 ומתוכנן להמשיך ב 21.01.26</t>
  </si>
  <si>
    <t xml:space="preserve">הסתיימו חפירות גישוש. מחכים לדו"ח מעבדה. </t>
  </si>
  <si>
    <t>תוצאות חפירות גישוש התקבלו. הועבר להתייחסות ליועץ קרקע ממתינים לחוות דעת . מתבצע המשך תכנון אזרחי לכתב כמויות. יעד 03.26</t>
  </si>
  <si>
    <t xml:space="preserve">יעד כתב כמויות 03.26. ביצוע של יסודות רדודים. יסודות קטנים בעומק של 85 ס"מ. </t>
  </si>
  <si>
    <t>יעד כתב כמויות 03.26. התקבלה עדיפות מצד חטיבת הרשת עבור החיבורים הקריטיים</t>
  </si>
  <si>
    <t xml:space="preserve">יעד כתב כמויות 03.26. התקבלה עדיפות מצד חטיבת הרשת עבור החיבורים הקריטיים. התקבל מידע מתכנון אזרחי כי קיימת בעיה עם כבלי מ"ג העוברים באזור הקמת יסודות חדשים בשדה 409. 
הועבר לתפעול מ"ג להתייחסות. </t>
  </si>
  <si>
    <t xml:space="preserve">יעד כתב כמויות 03.26. התקבלה עדיפות מצד חטיבת הרשת עבור החיבורים הקריטיים. התקבל מידע מתכנון אזרחי כי קיימת בעיה עם כבלי מ"ג העוברים באזור הקמת יסודות חדשים בשדה 409. 
הנושא בבדיקה. </t>
  </si>
  <si>
    <t>תכנון אזרחי העביר תוכניות לאישור אלקטרומכני. ככל הנראה לא תהיה בעיה עם כבלי מ"ג בשדה 409. בשיח מול תכנון שרון - תתואם ישיבה בתחילת שבוע הבא לתיאום תוואי יציאות מול יחידת תחמ"ש ותכנון א"מ</t>
  </si>
  <si>
    <t>עמידה בלו"ז</t>
  </si>
  <si>
    <t>WBM-40287</t>
  </si>
  <si>
    <t>הרצליה -החלפת מ"ז,מנתק, משנק ב: 5,11,7-8</t>
  </si>
  <si>
    <t xml:space="preserve">בנושאים קריטיים נדרש לבחון מענה מצד התכנון ללא החלפת יסודות. בישיבה שנערכה ב 13.01 עם מגזר התכנון, נווה ביקש מתכנון אזרחי לבחון שוב אפשרות לחיזוק היסודות ואם לא תהיה ברירה נאלץ ללכת לפתרון של החלפת יסודות. יסודות טרומיים פתרון לא ישים במיקום זה. תתואם ישיבה נוספת עוד שבועיים להצגת החלופות. </t>
  </si>
  <si>
    <t xml:space="preserve">לבקשת נווה, הישיבה נדחתה לפברואר. הנושא עדיין בבדיקה.
בוצע דיון מול התכנון ויחידת התחמ"ש. 
נושא יסודות טרומיים נשלל ובודקים חלופות של חיזוק היסודות.
</t>
  </si>
  <si>
    <t xml:space="preserve">נושא יסודות טרומיים נשלל ובודקים חלופות של חיזוק היסודות.נמצא בתכנון 
</t>
  </si>
  <si>
    <t>התקבלה תשובה ב 8.2 כי לא תבוצע החלפת יסודות ויהיה צורך רק בביצוע התאמות בתמיכות מעבר. תשובה הוחזרה לתכנון אלקטרומכני ומחכים לקבלת לו"ז ליעד כתב כמויות. מבחינת ציוד: ציוד במלאי. יש לחשוב על ביצוע בשל קושי בקבלת הפסקות</t>
  </si>
  <si>
    <t>התקבלה תשובה ב 8.2 כי לא תבוצע החלפת יסודות ויהיה צורך רק בביצוע התאמות בתמיכות מעבר. תשובה הוחזרה לתכנון אלקטרומכני ומחכים לקבלת לו"ז ליעד כתב כמויות. מבחינת ציוד: ציוד במלאי. יש לחשוב על ביצוע בשל קושי בקבלת הפסקות. נשלח מייל לבחינת ביטול משנק בשדה 11 כדי לא לייצר עבודה אזרחית</t>
  </si>
  <si>
    <t xml:space="preserve">התקבל היום, 2.3.26 מייל כי אין מניעה לבטל משנק בשדה 11. מתקשורת תפעולית ומח' תמסורת.  כך שהעבודה לא תכלול עבודה אזרחית רק החלפת ציוד. נדרש לזמן ישיבה עם ה.חשמלית ויחידת התחמ"ש לאחר סיום תכנון לתיאום עבודות. </t>
  </si>
  <si>
    <t xml:space="preserve">אין עבודה אזרחית בפרויקט. מתואם מודד לשטח ב 15.03 עבור תכנון מבני ברזל וחיזוקים. . לאחר קבלת התוצאות נקבל התייחסות מהתכנון , נדרש לזמן ישיבה עם ה.חשמלית ויחידת התחמ"ש לאחר סיום תכנון לתיאום עבודות. </t>
  </si>
  <si>
    <t xml:space="preserve">אין עבודה אזרחית בפרויקט. תואם מודד לשטח ב 15.03 עבור תכנון מבני ברזל וחיזוקים. . לאחר קבלת התוצאות נקבל התייחסות מהתכנון , נדרש לזמן ישיבה עם ה.חשמלית ויחידת התחמ"ש לאחר סיום תכנון לתיאום עבודות. </t>
  </si>
  <si>
    <t>התקבלו תוצאות מדידה ב 23.3. הוזמנו מהדקי זרם לטובת הפרויקט ב 23.3</t>
  </si>
  <si>
    <t>קושי בקבלת הפסקות . יהיה צורך ככל הנראה במציאת גישורים ברשת</t>
  </si>
  <si>
    <t>WBM-40202</t>
  </si>
  <si>
    <t>ירושלים ג'- החל' ציוד בשד' 11</t>
  </si>
  <si>
    <t>לא ניתן להתייחס כעת</t>
  </si>
  <si>
    <t>נדרש מזכר עם סכמה חד קווית</t>
  </si>
  <si>
    <t>ממתין לתעדוף ב-15.3</t>
  </si>
  <si>
    <t>ממתין לתיעדוף</t>
  </si>
  <si>
    <t>WBM-40192</t>
  </si>
  <si>
    <t>ראשל"צ-החלפת ציוד בשדות  5,6,10,12</t>
  </si>
  <si>
    <t>WBM-10494</t>
  </si>
  <si>
    <t>מנחת-הוספת מכולה מס' 2 לניצול השנאי במלואו</t>
  </si>
  <si>
    <t>WBM-40193</t>
  </si>
  <si>
    <t>ראשל"צ-החלפת ציוד בשדות 2,4,8</t>
  </si>
  <si>
    <t>WBM-01226</t>
  </si>
  <si>
    <t>ראשון מזרח-התקנת 3 סוללות קבלים מודולריו</t>
  </si>
  <si>
    <t>WBM-70025</t>
  </si>
  <si>
    <t>הרטוב - החלפת משנה זרם בשדה 9 משיק wbo-614</t>
  </si>
  <si>
    <t>WBM-40067</t>
  </si>
  <si>
    <t>הרטוב -החלפת ציוד בשדות 6,10</t>
  </si>
  <si>
    <t>WBM-70002</t>
  </si>
  <si>
    <t>החלפת מ"ז, מנתק ומשנק סשדה 5</t>
  </si>
  <si>
    <t>WBM-01447</t>
  </si>
  <si>
    <t>ירושלים ה-פירוק והתקנת סוללות קבלים עבור שנאים 511, 512, 513</t>
  </si>
  <si>
    <t>סוללות הקבלים מותקנות בשטח, עקב תיעדוף פרויקטים של מבדקת תחמ"ש לא מבצעים עבודה זו</t>
  </si>
  <si>
    <t>WBM-70040</t>
  </si>
  <si>
    <t>תעשיה אדומים – התקנת  12 מודולים של סק</t>
  </si>
  <si>
    <t>תיעדוף תכנון של הייצור סיום תכנון צפוי רק ב- 01.09.2026</t>
  </si>
  <si>
    <t>WBC-131</t>
  </si>
  <si>
    <t>תחמ"ש רעננה מערב</t>
  </si>
  <si>
    <t>עירית רעננה מקדמים סלילת כביש עוקף תחמ"ש 
תיק מידע 10/2/2026 
בהכנת תכנון אזרחי</t>
  </si>
  <si>
    <t>עירית רעננה מקדמים סלילת כביש עוקף תחמ"ש 
נפתח תיק מידע 10/2/2026 
כעת בהכנת תכנון אזרחי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</si>
</sst>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010000]d/m/yyyy"/>
  </numFmts>
  <fonts count="14">
    <font>
      <sz val="11.0"/>
      <color theme="1"/>
      <name val="Arial"/>
      <scheme val="minor"/>
    </font>
    <font>
      <sz val="11.0"/>
      <color theme="1"/>
      <name val="Arial"/>
    </font>
    <font>
      <sz val="12.0"/>
      <color rgb="FFFFFFFF"/>
      <name val="Arial"/>
    </font>
    <font>
      <sz val="12.0"/>
      <color theme="1"/>
      <name val="Arial"/>
    </font>
    <font>
      <sz val="12.0"/>
      <color rgb="FF000000"/>
      <name val="Arial"/>
    </font>
    <font>
      <sz val="12.0"/>
      <color rgb="FF000000"/>
      <name val="Aptos Narrow"/>
    </font>
    <font>
      <b/>
      <sz val="12.0"/>
      <color rgb="FFFF0000"/>
      <name val="Arial"/>
    </font>
    <font>
      <sz val="12.0"/>
      <color theme="1"/>
      <name val="Aptos"/>
    </font>
    <font>
      <sz val="12.0"/>
      <color rgb="FF242424"/>
      <name val="Calibri"/>
    </font>
    <font>
      <sz val="12.0"/>
      <color theme="1"/>
      <name val="Quattrocento Sans"/>
    </font>
    <font>
      <sz val="12.0"/>
      <color theme="1"/>
      <name val="Aptos Narrow"/>
    </font>
    <font>
      <sz val="12.0"/>
      <color theme="1"/>
      <name val="Open Sans"/>
    </font>
    <font>
      <u/>
      <sz val="12.0"/>
      <color rgb="FF0000FF"/>
      <name val="Arial"/>
    </font>
    <font>
      <sz val="11.0"/>
      <color rgb="FF000000"/>
      <name val="Arial"/>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4">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top style="thin">
        <color rgb="FF000000"/>
      </top>
      <bottom style="thin">
        <color rgb="FF000000"/>
      </bottom>
    </border>
    <border>
      <right style="thin">
        <color rgb="FF000000"/>
      </right>
      <top style="thin">
        <color rgb="FF000000"/>
      </top>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shrinkToFit="0" vertical="center" wrapText="1"/>
    </xf>
    <xf borderId="1" fillId="0" fontId="2" numFmtId="0" xfId="0" applyAlignment="1" applyBorder="1" applyFont="1">
      <alignment horizontal="center" readingOrder="0" vertical="center"/>
    </xf>
    <xf borderId="2" fillId="0" fontId="2" numFmtId="0" xfId="0" applyAlignment="1" applyBorder="1" applyFont="1">
      <alignment horizontal="center" readingOrder="2" shrinkToFit="0" vertical="center" wrapText="1"/>
    </xf>
    <xf borderId="2" fillId="0" fontId="2" numFmtId="0" xfId="0" applyAlignment="1" applyBorder="1" applyFont="1">
      <alignment horizontal="center" readingOrder="0" vertical="center"/>
    </xf>
    <xf borderId="2" fillId="0" fontId="2" numFmtId="0" xfId="0" applyAlignment="1" applyBorder="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center" readingOrder="2" shrinkToFit="0" vertical="center" wrapText="1"/>
    </xf>
    <xf borderId="3" fillId="0" fontId="3" numFmtId="0" xfId="0" applyAlignment="1" applyBorder="1" applyFont="1">
      <alignment horizontal="center" readingOrder="0" vertical="center"/>
    </xf>
    <xf borderId="4" fillId="2" fontId="3" numFmtId="0" xfId="0" applyAlignment="1" applyBorder="1" applyFill="1" applyFont="1">
      <alignment horizontal="center" vertical="center"/>
    </xf>
    <xf borderId="3" fillId="2" fontId="3" numFmtId="0" xfId="0" applyAlignment="1" applyBorder="1" applyFont="1">
      <alignment horizontal="center" readingOrder="0" shrinkToFit="0" vertical="center" wrapText="1"/>
    </xf>
    <xf borderId="3" fillId="2" fontId="3" numFmtId="0" xfId="0" applyAlignment="1" applyBorder="1" applyFont="1">
      <alignment horizontal="center" readingOrder="0" vertical="center"/>
    </xf>
    <xf borderId="3" fillId="2" fontId="3" numFmtId="164" xfId="0" applyAlignment="1" applyBorder="1" applyFont="1" applyNumberFormat="1">
      <alignment horizontal="center" shrinkToFit="0" vertical="center" wrapText="1"/>
    </xf>
    <xf borderId="3" fillId="2" fontId="3" numFmtId="14" xfId="0" applyAlignment="1" applyBorder="1" applyFont="1" applyNumberFormat="1">
      <alignment horizontal="center" shrinkToFit="0" vertical="center" wrapText="1"/>
    </xf>
    <xf borderId="3" fillId="0" fontId="3" numFmtId="0" xfId="0" applyAlignment="1" applyBorder="1" applyFont="1">
      <alignment horizontal="center" vertical="center"/>
    </xf>
    <xf borderId="3" fillId="0" fontId="3" numFmtId="0" xfId="0" applyAlignment="1" applyBorder="1" applyFont="1">
      <alignment horizontal="center" readingOrder="1" shrinkToFit="0" vertical="center" wrapText="1"/>
    </xf>
    <xf borderId="3" fillId="0" fontId="3" numFmtId="0" xfId="0" applyAlignment="1" applyBorder="1" applyFont="1">
      <alignment horizontal="left" readingOrder="1" shrinkToFit="0" vertical="center" wrapText="1"/>
    </xf>
    <xf borderId="3" fillId="0" fontId="3" numFmtId="0" xfId="0" applyAlignment="1" applyBorder="1" applyFont="1">
      <alignment horizontal="center" readingOrder="0" shrinkToFit="0" vertical="center" wrapText="1"/>
    </xf>
    <xf borderId="3" fillId="0" fontId="3" numFmtId="0" xfId="0" applyAlignment="1" applyBorder="1" applyFont="1">
      <alignment horizontal="center" readingOrder="2" shrinkToFit="0" vertical="center" wrapText="1"/>
    </xf>
    <xf borderId="3" fillId="0" fontId="4" numFmtId="0" xfId="0" applyAlignment="1" applyBorder="1" applyFont="1">
      <alignment horizontal="center" readingOrder="2" vertical="center"/>
    </xf>
    <xf borderId="0" fillId="0" fontId="3"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left" readingOrder="1" shrinkToFit="0" vertical="center" wrapText="1"/>
    </xf>
    <xf borderId="3" fillId="0" fontId="3" numFmtId="0" xfId="0" applyAlignment="1" applyBorder="1" applyFont="1">
      <alignment horizontal="right" readingOrder="2" shrinkToFit="0" vertical="center" wrapText="1"/>
    </xf>
    <xf borderId="3" fillId="0" fontId="4" numFmtId="0" xfId="0" applyAlignment="1" applyBorder="1" applyFont="1">
      <alignment horizontal="center" readingOrder="1" vertical="center"/>
    </xf>
    <xf borderId="0" fillId="0" fontId="4" numFmtId="0" xfId="0" applyAlignment="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3" fillId="0" fontId="4" numFmtId="0" xfId="0" applyAlignment="1" applyBorder="1" applyFont="1">
      <alignment horizontal="center" readingOrder="1" vertical="center"/>
    </xf>
    <xf borderId="3" fillId="0" fontId="3" numFmtId="0" xfId="0" applyAlignment="1" applyBorder="1" applyFont="1">
      <alignment readingOrder="0" shrinkToFit="0" vertical="center" wrapText="1"/>
    </xf>
    <xf borderId="3" fillId="0" fontId="3" numFmtId="0" xfId="0" applyAlignment="1" applyBorder="1" applyFont="1">
      <alignment horizontal="right" readingOrder="0" shrinkToFit="0" vertical="center" wrapText="1"/>
    </xf>
    <xf borderId="0" fillId="0" fontId="3" numFmtId="0" xfId="0" applyAlignment="1" applyFont="1">
      <alignment horizontal="center" readingOrder="2" shrinkToFit="0" wrapText="1"/>
    </xf>
    <xf borderId="5" fillId="0" fontId="3" numFmtId="0" xfId="0" applyAlignment="1" applyBorder="1" applyFont="1">
      <alignment horizontal="center" shrinkToFit="0" vertical="center" wrapText="1"/>
    </xf>
    <xf borderId="5" fillId="0" fontId="3" numFmtId="0" xfId="0" applyAlignment="1" applyBorder="1" applyFont="1">
      <alignment horizontal="center" readingOrder="0" shrinkToFit="0" vertical="center" wrapText="1"/>
    </xf>
    <xf borderId="3" fillId="0" fontId="4" numFmtId="0" xfId="0" applyAlignment="1" applyBorder="1" applyFont="1">
      <alignment horizontal="center" readingOrder="0" vertical="center"/>
    </xf>
    <xf borderId="6" fillId="2" fontId="3" numFmtId="0" xfId="0" applyAlignment="1" applyBorder="1" applyFont="1">
      <alignment horizontal="center" vertical="center"/>
    </xf>
    <xf borderId="3" fillId="2" fontId="3" numFmtId="164" xfId="0" applyAlignment="1" applyBorder="1" applyFont="1" applyNumberFormat="1">
      <alignment horizontal="center" readingOrder="0" shrinkToFit="0" vertical="center" wrapText="1"/>
    </xf>
    <xf borderId="7" fillId="0" fontId="3" numFmtId="0" xfId="0" applyAlignment="1" applyBorder="1" applyFont="1">
      <alignment horizontal="left" readingOrder="1" shrinkToFit="0" vertical="center" wrapText="1"/>
    </xf>
    <xf borderId="5" fillId="0" fontId="3" numFmtId="0" xfId="0" applyAlignment="1" applyBorder="1" applyFont="1">
      <alignment horizontal="center" readingOrder="2" shrinkToFit="0" vertical="center" wrapText="1"/>
    </xf>
    <xf borderId="8" fillId="0" fontId="3" numFmtId="0" xfId="0" applyAlignment="1" applyBorder="1" applyFont="1">
      <alignment horizontal="center" readingOrder="2" shrinkToFit="0" vertical="center" wrapText="1"/>
    </xf>
    <xf borderId="9" fillId="0" fontId="3" numFmtId="0" xfId="0" applyAlignment="1" applyBorder="1" applyFont="1">
      <alignment horizontal="center" readingOrder="0" shrinkToFit="0" vertical="center" wrapText="1"/>
    </xf>
    <xf borderId="9" fillId="0" fontId="3" numFmtId="0" xfId="0" applyAlignment="1" applyBorder="1" applyFont="1">
      <alignment horizontal="center" shrinkToFit="0" vertical="center" wrapText="1"/>
    </xf>
    <xf borderId="7" fillId="0" fontId="3" numFmtId="0" xfId="0" applyAlignment="1" applyBorder="1" applyFont="1">
      <alignment horizontal="center" readingOrder="1" shrinkToFit="0" vertical="center" wrapText="1"/>
    </xf>
    <xf borderId="9" fillId="0" fontId="3" numFmtId="0" xfId="0" applyAlignment="1" applyBorder="1" applyFont="1">
      <alignment horizontal="center" readingOrder="2" shrinkToFit="0" vertical="center" wrapText="1"/>
    </xf>
    <xf borderId="8" fillId="0" fontId="3"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3" fillId="0" fontId="3" numFmtId="0" xfId="0" applyAlignment="1" applyBorder="1" applyFont="1">
      <alignment horizontal="center" readingOrder="1" vertical="center"/>
    </xf>
    <xf borderId="3" fillId="0" fontId="3" numFmtId="0" xfId="0" applyAlignment="1" applyBorder="1" applyFont="1">
      <alignment horizontal="center" readingOrder="2" vertical="center"/>
    </xf>
    <xf borderId="3" fillId="0" fontId="3" numFmtId="164" xfId="0" applyAlignment="1" applyBorder="1" applyFont="1" applyNumberFormat="1">
      <alignment horizontal="center" readingOrder="0" shrinkToFit="0" vertical="center" wrapText="1"/>
    </xf>
    <xf borderId="3" fillId="0" fontId="4" numFmtId="0" xfId="0" applyAlignment="1" applyBorder="1" applyFont="1">
      <alignment horizontal="left" readingOrder="1"/>
    </xf>
    <xf borderId="3" fillId="0" fontId="6"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3" numFmtId="0" xfId="0" applyAlignment="1" applyFont="1">
      <alignment horizontal="right" vertical="top"/>
    </xf>
    <xf borderId="3" fillId="0" fontId="4" numFmtId="0" xfId="0" applyAlignment="1" applyBorder="1" applyFont="1">
      <alignment horizontal="left" readingOrder="1" vertical="center"/>
    </xf>
    <xf borderId="0" fillId="0" fontId="7" numFmtId="0" xfId="0" applyAlignment="1" applyFont="1">
      <alignment horizontal="center" vertical="center"/>
    </xf>
    <xf borderId="5" fillId="0" fontId="6" numFmtId="0" xfId="0" applyAlignment="1" applyBorder="1" applyFont="1">
      <alignment horizontal="center" shrinkToFit="0" vertical="center" wrapText="1"/>
    </xf>
    <xf borderId="3" fillId="0" fontId="4" numFmtId="0" xfId="0" applyAlignment="1" applyBorder="1" applyFont="1">
      <alignment horizontal="center" vertical="center"/>
    </xf>
    <xf borderId="3" fillId="0" fontId="6" numFmtId="0" xfId="0" applyAlignment="1" applyBorder="1" applyFont="1">
      <alignment horizontal="center" shrinkToFit="0" vertical="center" wrapText="1"/>
    </xf>
    <xf borderId="3" fillId="0" fontId="4" numFmtId="0" xfId="0" applyAlignment="1" applyBorder="1" applyFont="1">
      <alignment horizontal="right" readingOrder="2" shrinkToFit="0" vertical="center" wrapText="1"/>
    </xf>
    <xf borderId="3" fillId="0" fontId="4" numFmtId="0" xfId="0" applyAlignment="1" applyBorder="1" applyFont="1">
      <alignment horizontal="center" readingOrder="2" shrinkToFit="0" vertical="center" wrapText="1"/>
    </xf>
    <xf borderId="3" fillId="0" fontId="4" numFmtId="0" xfId="0" applyAlignment="1" applyBorder="1" applyFont="1">
      <alignment readingOrder="0" shrinkToFit="0" vertical="center" wrapText="1"/>
    </xf>
    <xf borderId="0" fillId="0" fontId="3" numFmtId="0" xfId="0" applyFont="1"/>
    <xf borderId="9" fillId="0" fontId="3" numFmtId="0" xfId="0" applyAlignment="1" applyBorder="1" applyFont="1">
      <alignment horizontal="center" readingOrder="1" shrinkToFit="0" vertical="center" wrapText="1"/>
    </xf>
    <xf borderId="9" fillId="0" fontId="4" numFmtId="0" xfId="0" applyAlignment="1" applyBorder="1" applyFont="1">
      <alignment horizontal="center" readingOrder="1" vertical="center"/>
    </xf>
    <xf borderId="10" fillId="0" fontId="8" numFmtId="14" xfId="0" applyAlignment="1" applyBorder="1" applyFont="1" applyNumberFormat="1">
      <alignment horizontal="center" shrinkToFit="0" vertical="center" wrapText="1"/>
    </xf>
    <xf borderId="0" fillId="0" fontId="3" numFmtId="0" xfId="0" applyAlignment="1" applyFont="1">
      <alignment horizontal="right" readingOrder="1" shrinkToFit="0" vertical="center" wrapText="1"/>
    </xf>
    <xf borderId="3" fillId="0" fontId="4" numFmtId="0" xfId="0" applyAlignment="1" applyBorder="1" applyFont="1">
      <alignment horizontal="center" readingOrder="1" shrinkToFit="0" vertical="center" wrapText="1"/>
    </xf>
    <xf borderId="0" fillId="0" fontId="3" numFmtId="0" xfId="0" applyAlignment="1" applyFont="1">
      <alignment horizontal="right" readingOrder="2" shrinkToFit="0" vertical="center" wrapText="1"/>
    </xf>
    <xf borderId="0" fillId="0" fontId="3" numFmtId="0" xfId="0" applyAlignment="1" applyFont="1">
      <alignment horizontal="center" readingOrder="2" shrinkToFit="0" vertical="center" wrapText="1"/>
    </xf>
    <xf borderId="7" fillId="0" fontId="3" numFmtId="0" xfId="0" applyAlignment="1" applyBorder="1" applyFont="1">
      <alignment horizontal="center" readingOrder="0" shrinkToFit="0" vertical="center" wrapText="1"/>
    </xf>
    <xf borderId="3" fillId="0" fontId="9" numFmtId="0" xfId="0" applyAlignment="1" applyBorder="1" applyFont="1">
      <alignment horizontal="center" shrinkToFit="0" vertical="center" wrapText="1"/>
    </xf>
    <xf borderId="3" fillId="0" fontId="10" numFmtId="0" xfId="0" applyAlignment="1" applyBorder="1" applyFont="1">
      <alignment readingOrder="0" shrinkToFit="0" vertical="center" wrapText="1"/>
    </xf>
    <xf borderId="0" fillId="0" fontId="10" numFmtId="0" xfId="0" applyAlignment="1" applyFont="1">
      <alignment readingOrder="0" shrinkToFit="0" vertical="center" wrapText="1"/>
    </xf>
    <xf borderId="0" fillId="0" fontId="1" numFmtId="0" xfId="0" applyAlignment="1" applyFont="1">
      <alignment horizontal="right" readingOrder="1" shrinkToFit="0" vertical="center" wrapText="1"/>
    </xf>
    <xf borderId="3" fillId="0" fontId="4" numFmtId="0" xfId="0" applyAlignment="1" applyBorder="1" applyFont="1">
      <alignment horizontal="right" readingOrder="0" shrinkToFit="0" vertical="center" wrapText="1"/>
    </xf>
    <xf borderId="3" fillId="0" fontId="3" numFmtId="0" xfId="0" applyAlignment="1" applyBorder="1" applyFont="1">
      <alignment readingOrder="0" shrinkToFit="0" vertical="top" wrapText="1"/>
    </xf>
    <xf borderId="3" fillId="0" fontId="3" numFmtId="0" xfId="0" applyAlignment="1" applyBorder="1" applyFont="1">
      <alignment horizontal="right" readingOrder="2" shrinkToFit="0" vertical="top" wrapText="1"/>
    </xf>
    <xf borderId="3" fillId="0" fontId="3" numFmtId="0" xfId="0" applyAlignment="1" applyBorder="1" applyFont="1">
      <alignment horizontal="center" shrinkToFit="0" vertical="top" wrapText="1"/>
    </xf>
    <xf borderId="3" fillId="0" fontId="4" numFmtId="0" xfId="0" applyAlignment="1" applyBorder="1" applyFont="1">
      <alignment horizontal="center" readingOrder="1" vertical="top"/>
    </xf>
    <xf borderId="6" fillId="3" fontId="4" numFmtId="0" xfId="0" applyAlignment="1" applyBorder="1" applyFill="1" applyFont="1">
      <alignment readingOrder="0"/>
    </xf>
    <xf borderId="3" fillId="3" fontId="4" numFmtId="0" xfId="0" applyAlignment="1" applyBorder="1" applyFont="1">
      <alignment horizontal="center" readingOrder="0" vertical="center"/>
    </xf>
    <xf borderId="3" fillId="3" fontId="4" numFmtId="0" xfId="0" applyBorder="1" applyFont="1"/>
    <xf borderId="3" fillId="0" fontId="3" numFmtId="164" xfId="0" applyAlignment="1" applyBorder="1" applyFont="1" applyNumberFormat="1">
      <alignment horizontal="center" shrinkToFit="0" vertical="center" wrapText="1"/>
    </xf>
    <xf borderId="3" fillId="0" fontId="4" numFmtId="0" xfId="0" applyAlignment="1" applyBorder="1" applyFont="1">
      <alignment horizontal="right" readingOrder="2" shrinkToFit="0" wrapText="1"/>
    </xf>
    <xf borderId="3" fillId="0" fontId="4" numFmtId="0" xfId="0" applyAlignment="1" applyBorder="1" applyFont="1">
      <alignment horizontal="right" readingOrder="2" shrinkToFit="0" vertical="top" wrapText="1"/>
    </xf>
    <xf borderId="3" fillId="0" fontId="4" numFmtId="0" xfId="0" applyAlignment="1" applyBorder="1" applyFont="1">
      <alignment horizontal="right" readingOrder="2" shrinkToFit="0" vertical="center" wrapText="1"/>
    </xf>
    <xf borderId="4" fillId="2" fontId="3" numFmtId="0" xfId="0" applyAlignment="1" applyBorder="1" applyFont="1">
      <alignment horizontal="center" shrinkToFit="0" vertical="center" wrapText="1"/>
    </xf>
    <xf borderId="0" fillId="0" fontId="11" numFmtId="0" xfId="0" applyAlignment="1" applyFont="1">
      <alignment horizontal="center" shrinkToFit="0" vertical="center" wrapText="1"/>
    </xf>
    <xf borderId="3" fillId="0" fontId="4" numFmtId="0" xfId="0" applyAlignment="1" applyBorder="1" applyFont="1">
      <alignment horizontal="center" readingOrder="0" shrinkToFit="0" wrapText="1"/>
    </xf>
    <xf borderId="3" fillId="0" fontId="10"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9" fillId="0" fontId="4" numFmtId="0" xfId="0" applyAlignment="1" applyBorder="1" applyFont="1">
      <alignment horizontal="center" readingOrder="1" shrinkToFit="0" vertical="center" wrapText="1"/>
    </xf>
    <xf borderId="0" fillId="0" fontId="4" numFmtId="0" xfId="0" applyAlignment="1" applyFont="1">
      <alignment horizontal="center" vertical="center"/>
    </xf>
    <xf borderId="5" fillId="0" fontId="5" numFmtId="0" xfId="0" applyAlignment="1" applyBorder="1" applyFont="1">
      <alignment horizontal="center" readingOrder="0" shrinkToFit="0" vertical="center" wrapText="1"/>
    </xf>
    <xf borderId="0" fillId="0" fontId="4" numFmtId="0" xfId="0" applyAlignment="1" applyFont="1">
      <alignment horizontal="center" readingOrder="2" shrinkToFit="0" vertical="center" wrapText="1"/>
    </xf>
    <xf borderId="0" fillId="0" fontId="4" numFmtId="0" xfId="0" applyAlignment="1" applyFont="1">
      <alignment horizontal="center" readingOrder="1" vertical="center"/>
    </xf>
    <xf borderId="3" fillId="2" fontId="3" numFmtId="0" xfId="0" applyAlignment="1" applyBorder="1" applyFont="1">
      <alignment horizontal="right" readingOrder="0" shrinkToFit="0" vertical="center" wrapText="1"/>
    </xf>
    <xf borderId="3" fillId="0" fontId="3" numFmtId="0" xfId="0" applyAlignment="1" applyBorder="1" applyFont="1">
      <alignment horizontal="right" readingOrder="1" shrinkToFit="0" vertical="center" wrapText="1"/>
    </xf>
    <xf borderId="4" fillId="2" fontId="3" numFmtId="0" xfId="0" applyAlignment="1" applyBorder="1" applyFont="1">
      <alignment horizontal="center" readingOrder="0" shrinkToFit="0" vertical="center" wrapText="1"/>
    </xf>
    <xf borderId="11" fillId="2" fontId="3" numFmtId="0" xfId="0" applyAlignment="1" applyBorder="1" applyFont="1">
      <alignment horizontal="center" vertical="center"/>
    </xf>
    <xf borderId="12" fillId="2" fontId="3" numFmtId="0" xfId="0" applyAlignment="1" applyBorder="1" applyFont="1">
      <alignment horizontal="center" readingOrder="0" shrinkToFit="0" vertical="center" wrapText="1"/>
    </xf>
    <xf borderId="12" fillId="2" fontId="3" numFmtId="164" xfId="0" applyAlignment="1" applyBorder="1" applyFont="1" applyNumberFormat="1">
      <alignment horizontal="center" shrinkToFit="0" vertical="center" wrapText="1"/>
    </xf>
    <xf borderId="3" fillId="0" fontId="3" numFmtId="0" xfId="0" applyAlignment="1" applyBorder="1" applyFont="1">
      <alignment readingOrder="0" vertical="center"/>
    </xf>
    <xf borderId="5" fillId="0" fontId="3" numFmtId="0" xfId="0" applyAlignment="1" applyBorder="1" applyFont="1">
      <alignment readingOrder="0" vertical="center"/>
    </xf>
    <xf borderId="5" fillId="0" fontId="3" numFmtId="0" xfId="0" applyAlignment="1" applyBorder="1" applyFont="1">
      <alignment horizontal="center" vertical="center"/>
    </xf>
    <xf borderId="12" fillId="2" fontId="3" numFmtId="0" xfId="0" applyAlignment="1" applyBorder="1" applyFont="1">
      <alignment horizontal="center" readingOrder="0" vertical="center"/>
    </xf>
    <xf borderId="5" fillId="0" fontId="3" numFmtId="0" xfId="0" applyAlignment="1" applyBorder="1" applyFont="1">
      <alignment horizontal="center" readingOrder="0" vertical="center"/>
    </xf>
    <xf borderId="5" fillId="0" fontId="3" numFmtId="0" xfId="0" applyAlignment="1" applyBorder="1" applyFont="1">
      <alignment horizontal="center" readingOrder="1" shrinkToFit="0" vertical="center" wrapText="1"/>
    </xf>
    <xf borderId="13" fillId="2" fontId="3" numFmtId="0" xfId="0" applyAlignment="1" applyBorder="1" applyFont="1">
      <alignment horizontal="center" vertical="center"/>
    </xf>
    <xf borderId="7" fillId="0" fontId="3" numFmtId="0" xfId="0" applyAlignment="1" applyBorder="1" applyFont="1">
      <alignment horizontal="center" vertical="center"/>
    </xf>
    <xf borderId="5" fillId="0" fontId="12" numFmtId="0" xfId="0" applyAlignment="1" applyBorder="1" applyFont="1">
      <alignment horizontal="center" readingOrder="0" shrinkToFit="0" vertical="center" wrapText="1"/>
    </xf>
    <xf borderId="11" fillId="2" fontId="3" numFmtId="0" xfId="0" applyAlignment="1" applyBorder="1" applyFont="1">
      <alignment horizontal="center" readingOrder="0" vertical="center"/>
    </xf>
    <xf borderId="3" fillId="2" fontId="3" numFmtId="0" xfId="0" applyAlignment="1" applyBorder="1" applyFont="1">
      <alignment horizontal="center" vertical="center"/>
    </xf>
    <xf borderId="3" fillId="0" fontId="3" numFmtId="0" xfId="0" applyAlignment="1" applyBorder="1" applyFont="1">
      <alignment vertical="center"/>
    </xf>
    <xf borderId="4" fillId="2" fontId="3" numFmtId="0" xfId="0" applyAlignment="1" applyBorder="1" applyFont="1">
      <alignment horizontal="center" readingOrder="0" vertical="center"/>
    </xf>
    <xf borderId="5" fillId="0" fontId="4" numFmtId="0" xfId="0" applyAlignment="1" applyBorder="1" applyFont="1">
      <alignment horizontal="left" readingOrder="1"/>
    </xf>
    <xf borderId="5" fillId="0" fontId="4" numFmtId="0" xfId="0" applyAlignment="1" applyBorder="1" applyFont="1">
      <alignment horizontal="center" readingOrder="2" vertical="center"/>
    </xf>
    <xf borderId="5" fillId="0" fontId="4" numFmtId="0" xfId="0" applyAlignment="1" applyBorder="1" applyFont="1">
      <alignment horizontal="center" readingOrder="1" vertical="center"/>
    </xf>
    <xf borderId="3" fillId="0" fontId="13" numFmtId="0" xfId="0" applyAlignment="1" applyBorder="1" applyFont="1">
      <alignment horizontal="center" readingOrder="2" shrinkToFit="0" vertical="center" wrapText="1"/>
    </xf>
    <xf borderId="12" fillId="2" fontId="3" numFmtId="164" xfId="0" applyAlignment="1" applyBorder="1" applyFont="1" applyNumberFormat="1">
      <alignment horizontal="center" readingOrder="0" shrinkToFit="0" vertical="center" wrapText="1"/>
    </xf>
    <xf borderId="3" fillId="0" fontId="13" numFmtId="0" xfId="0" applyAlignment="1" applyBorder="1" applyFont="1">
      <alignment horizontal="center" readingOrder="1" vertical="center"/>
    </xf>
    <xf borderId="5" fillId="0" fontId="13" numFmtId="0" xfId="0" applyAlignment="1" applyBorder="1" applyFont="1">
      <alignment horizontal="center" readingOrder="2" shrinkToFit="0" vertical="center" wrapText="1"/>
    </xf>
  </cellXfs>
  <cellStyles count="1">
    <cellStyle xfId="0" name="Normal" builtinId="0"/>
  </cellStyles>
  <dxfs count="6">
    <dxf>
      <font/>
      <fill>
        <patternFill patternType="none"/>
      </fill>
      <border/>
    </dxf>
    <dxf>
      <font/>
      <fill>
        <patternFill patternType="solid">
          <fgColor theme="7"/>
          <bgColor theme="7"/>
        </patternFill>
      </fill>
      <border/>
    </dxf>
    <dxf>
      <font/>
      <fill>
        <patternFill patternType="solid">
          <fgColor theme="0"/>
          <bgColor theme="0"/>
        </patternFill>
      </fill>
      <border/>
    </dxf>
    <dxf>
      <font/>
      <fill>
        <patternFill patternType="solid">
          <fgColor rgb="FFFF0000"/>
          <bgColor rgb="FFFF0000"/>
        </patternFill>
      </fill>
      <border/>
    </dxf>
    <dxf>
      <font/>
      <fill>
        <patternFill patternType="solid">
          <fgColor rgb="FFC1F0C8"/>
          <bgColor rgb="FFC1F0C8"/>
        </patternFill>
      </fill>
      <border/>
    </dxf>
    <dxf>
      <font/>
      <fill>
        <patternFill patternType="solid">
          <fgColor rgb="FFF6C6AC"/>
          <bgColor rgb="FFF6C6AC"/>
        </patternFill>
      </fill>
      <border/>
    </dxf>
  </dxfs>
  <tableStyles count="1">
    <tableStyle count="3" pivot="0" name="דוח שבועי עדכני-style">
      <tableStyleElement dxfId="1" type="headerRow"/>
      <tableStyleElement dxfId="2"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microsoft.com/office/2007/relationships/slicerCache" Target="slicerCaches/slicerCache5.xml"/><Relationship Id="rId10" Type="http://schemas.microsoft.com/office/2007/relationships/slicerCache" Target="slicerCaches/slicerCache4.xml"/><Relationship Id="rId13" Type="http://customschemas.google.com/relationships/workbookmetadata" Target="metadata"/><Relationship Id="rId12" Type="http://schemas.microsoft.com/office/2007/relationships/slicerCache" Target="slicerCaches/slicerCache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microsoft.com/office/2007/relationships/slicerCache" Target="slicerCaches/slicerCache3.xml"/><Relationship Id="rId5" Type="http://schemas.openxmlformats.org/officeDocument/2006/relationships/externalLink" Target="externalLinks/externalLink1.xml"/><Relationship Id="rId6" Type="http://schemas.openxmlformats.org/officeDocument/2006/relationships/externalLink" Target="externalLinks/externalLink2.xml"/><Relationship Id="rId7" Type="http://schemas.microsoft.com/office/2007/relationships/slicerCache" Target="slicerCaches/slicerCache1.xml"/><Relationship Id="rId8"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2133600</xdr:colOff>
      <xdr:row>0</xdr:row>
      <xdr:rowOff>47625</xdr:rowOff>
    </xdr:from>
    <xdr:ext cx="6610350" cy="2857500"/>
    <mc:AlternateContent>
      <mc:Choice Requires="sle15">
        <xdr:graphicFrame>
          <xdr:nvGraphicFramePr>
            <xdr:cNvPr id="1" name="לטיפול נוסף (במידה ונדרש)_1"/>
            <xdr:cNvGraphicFramePr/>
          </xdr:nvGraphicFramePr>
          <xdr:xfrm>
            <a:off x="0" y="0"/>
            <a:ext cx="0" cy="0"/>
          </xdr:xfrm>
          <a:graphic>
            <a:graphicData uri="http://schemas.microsoft.com/office/drawing/2010/slicer">
              <x3Unk:slicer name="לטיפול נוסף (במידה ונדרש)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1181100</xdr:colOff>
      <xdr:row>0</xdr:row>
      <xdr:rowOff>85725</xdr:rowOff>
    </xdr:from>
    <xdr:ext cx="1876425" cy="2857500"/>
    <mc:AlternateContent>
      <mc:Choice Requires="sle15">
        <xdr:graphicFrame>
          <xdr:nvGraphicFramePr>
            <xdr:cNvPr id="2" name="סוג תחנה_2"/>
            <xdr:cNvGraphicFramePr/>
          </xdr:nvGraphicFramePr>
          <xdr:xfrm>
            <a:off x="0" y="0"/>
            <a:ext cx="0" cy="0"/>
          </xdr:xfrm>
          <a:graphic>
            <a:graphicData uri="http://schemas.microsoft.com/office/drawing/2010/slicer">
              <x3Unk:slicer name="סוג תחנה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1228725</xdr:colOff>
      <xdr:row>0</xdr:row>
      <xdr:rowOff>133350</xdr:rowOff>
    </xdr:from>
    <xdr:ext cx="5095875" cy="2857500"/>
    <mc:AlternateContent>
      <mc:Choice Requires="sle15">
        <xdr:graphicFrame>
          <xdr:nvGraphicFramePr>
            <xdr:cNvPr id="3" name="מנה&quot;פ_3"/>
            <xdr:cNvGraphicFramePr/>
          </xdr:nvGraphicFramePr>
          <xdr:xfrm>
            <a:off x="0" y="0"/>
            <a:ext cx="0" cy="0"/>
          </xdr:xfrm>
          <a:graphic>
            <a:graphicData uri="http://schemas.microsoft.com/office/drawing/2010/slicer">
              <x3Unk:slicer name="מנה&quot;פ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1466850</xdr:colOff>
      <xdr:row>0</xdr:row>
      <xdr:rowOff>114300</xdr:rowOff>
    </xdr:from>
    <xdr:ext cx="37557075" cy="2857500"/>
    <mc:AlternateContent>
      <mc:Choice Requires="sle15">
        <xdr:graphicFrame>
          <xdr:nvGraphicFramePr>
            <xdr:cNvPr id="4" name="תו&quot;ב_4"/>
            <xdr:cNvGraphicFramePr/>
          </xdr:nvGraphicFramePr>
          <xdr:xfrm>
            <a:off x="0" y="0"/>
            <a:ext cx="0" cy="0"/>
          </xdr:xfrm>
          <a:graphic>
            <a:graphicData uri="http://schemas.microsoft.com/office/drawing/2010/slicer">
              <x3Unk:slicer name="תו&quot;ב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22</xdr:col>
      <xdr:colOff>1123950</xdr:colOff>
      <xdr:row>0</xdr:row>
      <xdr:rowOff>47625</xdr:rowOff>
    </xdr:from>
    <xdr:ext cx="3924300" cy="2857500"/>
    <mc:AlternateContent>
      <mc:Choice Requires="sle15">
        <xdr:graphicFrame>
          <xdr:nvGraphicFramePr>
            <xdr:cNvPr id="5" name="סטטוס הפרויקט על ציר הזמן_5"/>
            <xdr:cNvGraphicFramePr/>
          </xdr:nvGraphicFramePr>
          <xdr:xfrm>
            <a:off x="0" y="0"/>
            <a:ext cx="0" cy="0"/>
          </xdr:xfrm>
          <a:graphic>
            <a:graphicData uri="http://schemas.microsoft.com/office/drawing/2010/slicer">
              <x3Unk:slicer name="סטטוס הפרויקט על ציר הזמן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23</xdr:col>
      <xdr:colOff>1533525</xdr:colOff>
      <xdr:row>0</xdr:row>
      <xdr:rowOff>76200</xdr:rowOff>
    </xdr:from>
    <xdr:ext cx="3952875" cy="2857500"/>
    <mc:AlternateContent>
      <mc:Choice Requires="sle15">
        <xdr:graphicFrame>
          <xdr:nvGraphicFramePr>
            <xdr:cNvPr id="6" name="לטיפול_6"/>
            <xdr:cNvGraphicFramePr/>
          </xdr:nvGraphicFramePr>
          <xdr:xfrm>
            <a:off x="0" y="0"/>
            <a:ext cx="0" cy="0"/>
          </xdr:xfrm>
          <a:graphic>
            <a:graphicData uri="http://schemas.microsoft.com/office/drawing/2010/slicer">
              <x3Unk:slicer name="לטיפול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ec/a04.substations/H/668/&#1514;&#1493;&#1489;%20&#1512;&#1489;%20&#1508;&#1512;&#1493;&#1497;&#1511;&#1496;&#1500;&#1497;/&#1491;&#1493;&#1495;&#1493;&#1514;/&#1491;&#1493;&#1495;%20&#1513;&#1489;&#1493;&#1506;&#1497;%20_&#1505;&#1502;&#1504;&#1499;&#1500;/2026/01.26/&#1491;&#1493;&#1495;%20&#1513;&#1489;&#1493;&#1506;&#1497;%20&#1500;&#1505;&#1502;&#1504;&#1499;&#1500;%20&#1495;&#1496;&#1497;&#1489;&#1514;%20&#1492;&#1493;&#1500;&#1499;&#1492;%20&#1493;&#1492;&#1513;&#1504;&#1488;&#1492;%2021.01.2026%20&#1502;&#1506;&#1493;&#1491;&#1499;&#15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econline.sharepoint.com/iec/a04.substations/H/668/&#1514;&#1493;&#1489;%20&#1512;&#1489;%20&#1508;&#1512;&#1493;&#1497;&#1511;&#1496;&#1500;&#1497;/&#1513;&#1497;&#1512;&#1503;%20&#1513;&#1500;&#1492;&#1489;&#1514;/&#1504;&#1497;&#1514;&#1493;&#1495;%20&#1512;&#1489;%20&#1508;&#1512;&#1493;&#1497;&#1511;&#1496;&#1500;&#1497;/22.12.2025%20&#1504;&#1497;&#1514;&#1493;&#1495;%20&#1512;&#1489;%20&#1508;&#1512;&#1493;&#1497;&#1511;&#1496;&#1500;&#1497;%20&#1491;&#1510;&#1502;&#1489;&#1512;.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מאקרו1"/>
      <sheetName val="דוח שבועי עדכני"/>
      <sheetName val="גיליון2"/>
      <sheetName val="דוח שבועי טיוטה"/>
      <sheetName val="גיליון1"/>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ניתוח כולל הכל"/>
    </sheetNames>
    <sheetDataSet>
      <sheetData sheetId="0"/>
    </sheetDataSet>
  </externalBook>
</externalLink>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סוג תחנה">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מנה&quot;פ">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תו&quot;ב">
  <x14:extLst>
    <ext uri="{2F2917AC-EB37-4324-AD4E-5DD8C200BD13}">
      <x15:tableSlicerCache tableId="1" column="6"/>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סטטוס הפרויקט על ציר הזמן">
  <x14:extLst>
    <ext uri="{2F2917AC-EB37-4324-AD4E-5DD8C200BD13}">
      <x15:tableSlicerCache tableId="1" column="10"/>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5" sourceName="לטיפול">
  <x14:extLst>
    <ext uri="{2F2917AC-EB37-4324-AD4E-5DD8C200BD13}">
      <x15:tableSlicerCache tableId="1" column="25"/>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6" sourceName="לטיפול נוסף (במידה ונדרש)">
  <x14:extLst>
    <ext uri="{2F2917AC-EB37-4324-AD4E-5DD8C200BD13}">
      <x15:tableSlicerCache tableId="1" column="2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לטיפול נוסף (במידה ונדרש)_1" cache="SlicerCache_Table_1_Col_26" caption="לטיפול נוסף (במידה ונדרש)" rowHeight="247650"/>
  <x14:slicer name="סוג תחנה_2" cache="SlicerCache_Table_1_Col_4" caption="סוג תחנה" rowHeight="247650"/>
  <x14:slicer name="מנה&quot;פ_3" cache="SlicerCache_Table_1_Col_5" caption="מנה&quot;פ" rowHeight="247650"/>
  <x14:slicer name="תו&quot;ב_4" cache="SlicerCache_Table_1_Col_6" caption="תו&quot;ב" rowHeight="247650"/>
  <x14:slicer name="סטטוס הפרויקט על ציר הזמן_5" cache="SlicerCache_Table_1_Col_10" caption="סטטוס הפרויקט על ציר הזמן" rowHeight="247650"/>
  <x14:slicer name="לטיפול_6" cache="SlicerCache_Table_1_Col_25" caption="לטיפול" rowHeight="247650"/>
</x14:slicers>
</file>

<file path=xl/tables/table1.xml><?xml version="1.0" encoding="utf-8"?>
<table xmlns="http://schemas.openxmlformats.org/spreadsheetml/2006/main" ref="A2:AA235" displayName="Table_1" name="Table_1" id="1">
  <autoFilter ref="$A$2:$AA$235"/>
  <tableColumns count="27">
    <tableColumn name="לדיווח" id="1"/>
    <tableColumn name="זיהוי" id="2"/>
    <tableColumn name="שם הפרויקט" id="3"/>
    <tableColumn name="סוג תחנה" id="4"/>
    <tableColumn name="מנה&quot;פ" id="5"/>
    <tableColumn name="תו&quot;ב" id="6"/>
    <tableColumn name="יעד תכנית פיתוח " id="7"/>
    <tableColumn name="יעד חשמול מסתמן" id="8"/>
    <tableColumn name="סיכון" id="9"/>
    <tableColumn name="סטטוס הפרויקט על ציר הזמן" id="10"/>
    <tableColumn name="זיהוי2" id="11"/>
    <tableColumn name="פירוט שבועי דוח קודם 7.1" id="12"/>
    <tableColumn name="פירוט שבועי 14.1" id="13"/>
    <tableColumn name="פירוט שבועי 21.1" id="14"/>
    <tableColumn name="פירוט שבועי 28.1" id="15"/>
    <tableColumn name="פירוט שבועי 04.02.26" id="16"/>
    <tableColumn name="פירוט שבועי 11.02.26" id="17"/>
    <tableColumn name="פירוט שבועי 18.02.26" id="18"/>
    <tableColumn name="פירוט שבועי 25.02.2026" id="19"/>
    <tableColumn name="פירוט שבועי 04/03/2026" id="20"/>
    <tableColumn name="פירוט שבועי 11/03/2026" id="21"/>
    <tableColumn name="פירוט שבועי 18/03/2026" id="22"/>
    <tableColumn name="פירוט שבועי 25/03/2026" id="23"/>
    <tableColumn name="פירוט סיכונים וחסמים עיקריים " id="24"/>
    <tableColumn name="לטיפול" id="25"/>
    <tableColumn name="לטיפול נוסף (במידה ונדרש)" id="26"/>
    <tableColumn name="עמודה1" id="27"/>
  </tableColumns>
  <tableStyleInfo name="דוח שבועי עדכני-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insrvp0229/pm/"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 Id="rId7"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xSplit="3.0" topLeftCell="D1" activePane="topRight" state="frozen"/>
      <selection activeCell="E2" sqref="E2" pane="topRight"/>
    </sheetView>
  </sheetViews>
  <sheetFormatPr customHeight="1" defaultColWidth="12.63" defaultRowHeight="15.0"/>
  <cols>
    <col customWidth="1" hidden="1" min="1" max="1" width="7.13"/>
    <col customWidth="1" min="2" max="2" width="24.63"/>
    <col customWidth="1" min="3" max="3" width="16.63"/>
    <col customWidth="1" min="4" max="4" width="19.0"/>
    <col customWidth="1" min="5" max="5" width="16.0"/>
    <col customWidth="1" min="6" max="6" width="13.13"/>
    <col customWidth="1" min="7" max="7" width="20.63"/>
    <col customWidth="1" min="8" max="8" width="17.13"/>
    <col customWidth="1" hidden="1" min="9" max="9" width="9.0"/>
    <col customWidth="1" hidden="1" min="10" max="10" width="46.5"/>
    <col customWidth="1" hidden="1" min="11" max="11" width="22.63"/>
    <col customWidth="1" hidden="1" min="12" max="12" width="27.5"/>
    <col customWidth="1" hidden="1" min="13" max="13" width="1.5"/>
    <col customWidth="1" hidden="1" min="14" max="14" width="23.5"/>
    <col customWidth="1" hidden="1" min="15" max="15" width="45.13"/>
    <col customWidth="1" hidden="1" min="16" max="16" width="39.63"/>
    <col customWidth="1" hidden="1" min="17" max="17" width="20.13"/>
    <col customWidth="1" hidden="1" min="18" max="18" width="37.13"/>
    <col customWidth="1" hidden="1" min="19" max="19" width="48.13"/>
    <col customWidth="1" hidden="1" min="20" max="21" width="45.13"/>
    <col customWidth="1" hidden="1" min="22" max="22" width="49.13"/>
    <col customWidth="1" min="23" max="23" width="49.13"/>
    <col customWidth="1" min="24" max="25" width="45.13"/>
    <col customWidth="1" min="26" max="26" width="26.63"/>
    <col customWidth="1" hidden="1" min="27" max="29" width="9.0"/>
    <col customWidth="1" hidden="1" min="30" max="30" width="7.63"/>
    <col customWidth="1" min="31" max="34" width="9.0"/>
  </cols>
  <sheetData>
    <row r="1" ht="137.25" customHeight="1">
      <c r="A1" s="1"/>
      <c r="B1" s="1"/>
      <c r="C1" s="2"/>
      <c r="D1" s="1"/>
      <c r="E1" s="1"/>
      <c r="F1" s="1"/>
      <c r="G1" s="1"/>
      <c r="H1" s="1"/>
      <c r="I1" s="1"/>
      <c r="J1" s="1"/>
      <c r="K1" s="1"/>
      <c r="L1" s="1"/>
      <c r="M1" s="3"/>
      <c r="N1" s="3"/>
      <c r="O1" s="4"/>
      <c r="P1" s="4"/>
      <c r="Q1" s="4"/>
      <c r="R1" s="4"/>
      <c r="S1" s="4"/>
      <c r="T1" s="4"/>
      <c r="U1" s="4"/>
      <c r="V1" s="4"/>
      <c r="W1" s="4"/>
      <c r="X1" s="3"/>
      <c r="Y1" s="2"/>
      <c r="Z1" s="2"/>
      <c r="AA1" s="1"/>
      <c r="AB1" s="1"/>
      <c r="AC1" s="1"/>
      <c r="AD1" s="1"/>
      <c r="AE1" s="1"/>
      <c r="AF1" s="1"/>
      <c r="AG1" s="1"/>
      <c r="AH1" s="1"/>
    </row>
    <row r="2" ht="39.0" customHeight="1">
      <c r="A2" s="5" t="s">
        <v>0</v>
      </c>
      <c r="B2" s="6" t="s">
        <v>1</v>
      </c>
      <c r="C2" s="6" t="s">
        <v>2</v>
      </c>
      <c r="D2" s="6" t="s">
        <v>3</v>
      </c>
      <c r="E2" s="6" t="s">
        <v>4</v>
      </c>
      <c r="F2" s="6" t="s">
        <v>5</v>
      </c>
      <c r="G2" s="6" t="s">
        <v>6</v>
      </c>
      <c r="H2" s="6" t="s">
        <v>7</v>
      </c>
      <c r="I2" s="7" t="s">
        <v>8</v>
      </c>
      <c r="J2" s="6" t="s">
        <v>9</v>
      </c>
      <c r="K2" s="7" t="s">
        <v>10</v>
      </c>
      <c r="L2" s="7" t="s">
        <v>11</v>
      </c>
      <c r="M2" s="8" t="s">
        <v>12</v>
      </c>
      <c r="N2" s="7" t="s">
        <v>13</v>
      </c>
      <c r="O2" s="7" t="s">
        <v>14</v>
      </c>
      <c r="P2" s="6" t="s">
        <v>15</v>
      </c>
      <c r="Q2" s="6" t="s">
        <v>16</v>
      </c>
      <c r="R2" s="6" t="s">
        <v>17</v>
      </c>
      <c r="S2" s="6" t="s">
        <v>18</v>
      </c>
      <c r="T2" s="6" t="s">
        <v>19</v>
      </c>
      <c r="U2" s="6" t="s">
        <v>20</v>
      </c>
      <c r="V2" s="6" t="s">
        <v>21</v>
      </c>
      <c r="W2" s="6" t="s">
        <v>22</v>
      </c>
      <c r="X2" s="6" t="s">
        <v>23</v>
      </c>
      <c r="Y2" s="6" t="s">
        <v>24</v>
      </c>
      <c r="Z2" s="6" t="s">
        <v>25</v>
      </c>
      <c r="AA2" s="7" t="s">
        <v>26</v>
      </c>
      <c r="AB2" s="9"/>
      <c r="AC2" s="9"/>
      <c r="AD2" s="9"/>
      <c r="AE2" s="10"/>
      <c r="AF2" s="10"/>
      <c r="AG2" s="10"/>
      <c r="AH2" s="10"/>
    </row>
    <row r="3" ht="13.5" customHeight="1">
      <c r="A3" s="11" t="s">
        <v>27</v>
      </c>
      <c r="B3" s="12" t="s">
        <v>28</v>
      </c>
      <c r="C3" s="13" t="s">
        <v>29</v>
      </c>
      <c r="D3" s="14" t="s">
        <v>30</v>
      </c>
      <c r="E3" s="11" t="s">
        <v>31</v>
      </c>
      <c r="F3" s="11" t="s">
        <v>32</v>
      </c>
      <c r="G3" s="15">
        <v>46934.0</v>
      </c>
      <c r="H3" s="16">
        <v>46934.0</v>
      </c>
      <c r="I3" s="17"/>
      <c r="J3" s="11" t="s">
        <v>33</v>
      </c>
      <c r="K3" s="18" t="str">
        <f t="shared" ref="K3:K189" si="1">"WBS: " &amp; B3 &amp; CHAR(10) &amp;
"שם פרויקט: " &amp; C3 &amp; CHAR(10) &amp;
"מנה״פ: " &amp; E3 &amp; CHAR(10) &amp;
"יעד תכנית פיתוח: " &amp; TEXT(G3,"dd/mm/yyyy") &amp; CHAR(10) &amp;
"יעד מסתמן: " &amp; TEXT(H3,"dd/mm/yyyy")</f>
        <v>WBS: WBC-064
שם פרויקט: רעות - הקמת תחמ"ש פנימית 161/24 ק"ו
מנה״פ: אוברקוביץ, ענת
יעד תכנית פיתוח: 30/06/2028
יעד מסתמן: 30/06/2028</v>
      </c>
      <c r="L3" s="19"/>
      <c r="M3" s="20" t="s">
        <v>34</v>
      </c>
      <c r="N3" s="20" t="s">
        <v>35</v>
      </c>
      <c r="O3" s="20" t="s">
        <v>36</v>
      </c>
      <c r="P3" s="20" t="s">
        <v>37</v>
      </c>
      <c r="Q3" s="20" t="s">
        <v>38</v>
      </c>
      <c r="R3" s="20" t="s">
        <v>39</v>
      </c>
      <c r="S3" s="20" t="s">
        <v>40</v>
      </c>
      <c r="T3" s="20" t="s">
        <v>41</v>
      </c>
      <c r="U3" s="20" t="s">
        <v>42</v>
      </c>
      <c r="V3" s="20" t="s">
        <v>43</v>
      </c>
      <c r="W3" s="20" t="s">
        <v>44</v>
      </c>
      <c r="X3" s="21" t="s">
        <v>45</v>
      </c>
      <c r="Y3" s="22" t="s">
        <v>46</v>
      </c>
      <c r="Z3" s="22"/>
      <c r="AA3" s="23"/>
      <c r="AB3" s="24"/>
      <c r="AC3" s="24"/>
      <c r="AD3" s="24"/>
      <c r="AE3" s="25"/>
      <c r="AF3" s="24"/>
      <c r="AG3" s="24"/>
      <c r="AH3" s="24"/>
    </row>
    <row r="4" ht="279.0" customHeight="1">
      <c r="A4" s="11" t="s">
        <v>27</v>
      </c>
      <c r="B4" s="12" t="s">
        <v>47</v>
      </c>
      <c r="C4" s="13" t="s">
        <v>48</v>
      </c>
      <c r="D4" s="14" t="s">
        <v>49</v>
      </c>
      <c r="E4" s="11" t="s">
        <v>31</v>
      </c>
      <c r="F4" s="11" t="s">
        <v>32</v>
      </c>
      <c r="G4" s="15">
        <v>46111.0</v>
      </c>
      <c r="H4" s="15">
        <v>46264.0</v>
      </c>
      <c r="I4" s="17"/>
      <c r="J4" s="11" t="s">
        <v>50</v>
      </c>
      <c r="K4" s="18" t="str">
        <f t="shared" si="1"/>
        <v>WBS: WBE-158
שם פרויקט: ראש העין-הוספת שנאי 521 והרחבת פ"צ 161
מנה״פ: אוברקוביץ, ענת
יעד תכנית פיתוח: 30/03/2026
יעד מסתמן: 30/08/2026</v>
      </c>
      <c r="L4" s="19"/>
      <c r="M4" s="20" t="s">
        <v>51</v>
      </c>
      <c r="N4" s="20" t="s">
        <v>52</v>
      </c>
      <c r="O4" s="20" t="s">
        <v>53</v>
      </c>
      <c r="P4" s="20" t="s">
        <v>53</v>
      </c>
      <c r="Q4" s="20" t="s">
        <v>54</v>
      </c>
      <c r="R4" s="20" t="s">
        <v>55</v>
      </c>
      <c r="S4" s="20" t="s">
        <v>56</v>
      </c>
      <c r="T4" s="20" t="s">
        <v>57</v>
      </c>
      <c r="U4" s="20" t="s">
        <v>58</v>
      </c>
      <c r="V4" s="21" t="s">
        <v>59</v>
      </c>
      <c r="W4" s="21" t="s">
        <v>60</v>
      </c>
      <c r="X4" s="26" t="s">
        <v>61</v>
      </c>
      <c r="Y4" s="22" t="s">
        <v>62</v>
      </c>
      <c r="Z4" s="27"/>
      <c r="AA4" s="23"/>
      <c r="AB4" s="24"/>
      <c r="AC4" s="24"/>
      <c r="AD4" s="25" t="str">
        <f t="shared" ref="AD4:AD6" si="2">"WBS: " &amp; B4 &amp; CHAR(10) &amp;
"שם פרויקט: " &amp; D4 &amp; CHAR(10) &amp;
"מנה״פ: " &amp; E4 &amp; CHAR(10) &amp;
"יעד תכנית פיתוח: " &amp; TEXT(G4,"dd/mm/yyyy") &amp; CHAR(10) &amp;
"יעד מסתמן: " &amp; TEXT(H4,"dd/mm/yyyy")</f>
        <v>WBS: WBE-158
שם פרויקט: הרחבה
מנה״פ: אוברקוביץ, ענת
יעד תכנית פיתוח: 30/03/2026
יעד מסתמן: 30/08/2026</v>
      </c>
      <c r="AE4" s="24"/>
      <c r="AF4" s="24"/>
      <c r="AG4" s="24"/>
      <c r="AH4" s="24"/>
    </row>
    <row r="5" ht="13.5" customHeight="1">
      <c r="A5" s="17"/>
      <c r="B5" s="12" t="s">
        <v>63</v>
      </c>
      <c r="C5" s="13" t="s">
        <v>64</v>
      </c>
      <c r="D5" s="14" t="s">
        <v>49</v>
      </c>
      <c r="E5" s="11" t="s">
        <v>31</v>
      </c>
      <c r="F5" s="11" t="s">
        <v>32</v>
      </c>
      <c r="G5" s="15">
        <v>46752.0</v>
      </c>
      <c r="H5" s="15">
        <v>46751.0</v>
      </c>
      <c r="I5" s="17"/>
      <c r="J5" s="11" t="s">
        <v>65</v>
      </c>
      <c r="K5" s="18" t="str">
        <f t="shared" si="1"/>
        <v>WBS: WBE-188
שם פרויקט: אור יהודה -התקנת שנאי רביעי 161/24 ק"ו, 50 מגוו"א וסוללת קבלים
מנה״פ: אוברקוביץ, ענת
יעד תכנית פיתוח: 31/12/2027
יעד מסתמן: 30/12/2027</v>
      </c>
      <c r="L5" s="19"/>
      <c r="M5" s="20" t="s">
        <v>66</v>
      </c>
      <c r="N5" s="20" t="s">
        <v>67</v>
      </c>
      <c r="O5" s="28" t="s">
        <v>68</v>
      </c>
      <c r="P5" s="29" t="s">
        <v>69</v>
      </c>
      <c r="Q5" s="29" t="s">
        <v>70</v>
      </c>
      <c r="R5" s="29" t="s">
        <v>71</v>
      </c>
      <c r="S5" s="29" t="s">
        <v>72</v>
      </c>
      <c r="T5" s="29" t="s">
        <v>72</v>
      </c>
      <c r="U5" s="29" t="s">
        <v>73</v>
      </c>
      <c r="V5" s="29" t="s">
        <v>74</v>
      </c>
      <c r="W5" s="29" t="s">
        <v>75</v>
      </c>
      <c r="X5" s="20" t="s">
        <v>76</v>
      </c>
      <c r="Y5" s="22" t="s">
        <v>77</v>
      </c>
      <c r="Z5" s="27"/>
      <c r="AA5" s="23"/>
      <c r="AB5" s="24"/>
      <c r="AC5" s="24"/>
      <c r="AD5" s="25" t="str">
        <f t="shared" si="2"/>
        <v>WBS: WBE-188
שם פרויקט: הרחבה
מנה״פ: אוברקוביץ, ענת
יעד תכנית פיתוח: 31/12/2027
יעד מסתמן: 30/12/2027</v>
      </c>
      <c r="AE5" s="24"/>
      <c r="AF5" s="24"/>
      <c r="AG5" s="24"/>
      <c r="AH5" s="24"/>
    </row>
    <row r="6" ht="13.5" customHeight="1">
      <c r="A6" s="17"/>
      <c r="B6" s="12" t="s">
        <v>78</v>
      </c>
      <c r="C6" s="13" t="s">
        <v>79</v>
      </c>
      <c r="D6" s="14" t="s">
        <v>49</v>
      </c>
      <c r="E6" s="11" t="s">
        <v>31</v>
      </c>
      <c r="F6" s="11" t="s">
        <v>32</v>
      </c>
      <c r="G6" s="15">
        <v>46203.0</v>
      </c>
      <c r="H6" s="15">
        <v>46537.0</v>
      </c>
      <c r="I6" s="17"/>
      <c r="J6" s="11" t="s">
        <v>80</v>
      </c>
      <c r="K6" s="18" t="str">
        <f t="shared" si="1"/>
        <v>WBS: WBE-196
שם פרויקט: "בארות יצחק – הרחבת פ""צ והוספת שנאי חמישי 161/24 ק""ו, 50 מגוו""א וסוללות קבלים."
מנה״פ: אוברקוביץ, ענת
יעד תכנית פיתוח: 30/06/2026
יעד מסתמן: 30/05/2027</v>
      </c>
      <c r="L6" s="19"/>
      <c r="M6" s="20" t="s">
        <v>81</v>
      </c>
      <c r="N6" s="20" t="s">
        <v>82</v>
      </c>
      <c r="O6" s="20" t="s">
        <v>83</v>
      </c>
      <c r="P6" s="20" t="s">
        <v>84</v>
      </c>
      <c r="Q6" s="20" t="s">
        <v>84</v>
      </c>
      <c r="R6" s="20" t="s">
        <v>85</v>
      </c>
      <c r="S6" s="20" t="s">
        <v>86</v>
      </c>
      <c r="T6" s="20" t="s">
        <v>87</v>
      </c>
      <c r="U6" s="20" t="s">
        <v>88</v>
      </c>
      <c r="V6" s="20" t="s">
        <v>89</v>
      </c>
      <c r="W6" s="20" t="s">
        <v>89</v>
      </c>
      <c r="X6" s="21" t="s">
        <v>90</v>
      </c>
      <c r="Y6" s="22" t="s">
        <v>77</v>
      </c>
      <c r="Z6" s="27"/>
      <c r="AA6" s="23"/>
      <c r="AB6" s="24"/>
      <c r="AC6" s="24"/>
      <c r="AD6" s="25" t="str">
        <f t="shared" si="2"/>
        <v>WBS: WBE-196
שם פרויקט: הרחבה
מנה״פ: אוברקוביץ, ענת
יעד תכנית פיתוח: 30/06/2026
יעד מסתמן: 30/05/2027</v>
      </c>
      <c r="AE6" s="24"/>
      <c r="AF6" s="24"/>
      <c r="AG6" s="24"/>
      <c r="AH6" s="24"/>
    </row>
    <row r="7" ht="13.5" customHeight="1">
      <c r="A7" s="17"/>
      <c r="B7" s="12" t="s">
        <v>91</v>
      </c>
      <c r="C7" s="13" t="s">
        <v>92</v>
      </c>
      <c r="D7" s="14" t="s">
        <v>49</v>
      </c>
      <c r="E7" s="11" t="s">
        <v>93</v>
      </c>
      <c r="F7" s="11" t="s">
        <v>94</v>
      </c>
      <c r="G7" s="15">
        <v>46630.0</v>
      </c>
      <c r="H7" s="15">
        <v>46660.0</v>
      </c>
      <c r="I7" s="17"/>
      <c r="J7" s="11" t="s">
        <v>95</v>
      </c>
      <c r="K7" s="18" t="str">
        <f t="shared" si="1"/>
        <v>WBS: WBE-125
שם פרויקט: תמנע-רב-שלבי,שדרוג מסדר 161 ק"ו מע' עזר
מנה״פ: אוחייון, איתן
יעד תכנית פיתוח: 31/08/2027
יעד מסתמן: 30/09/2027</v>
      </c>
      <c r="L7" s="19"/>
      <c r="M7" s="20" t="s">
        <v>96</v>
      </c>
      <c r="N7" s="20" t="s">
        <v>97</v>
      </c>
      <c r="O7" s="20" t="s">
        <v>97</v>
      </c>
      <c r="P7" s="20" t="s">
        <v>97</v>
      </c>
      <c r="Q7" s="20" t="s">
        <v>97</v>
      </c>
      <c r="R7" s="20" t="s">
        <v>97</v>
      </c>
      <c r="S7" s="20" t="s">
        <v>98</v>
      </c>
      <c r="T7" s="20" t="s">
        <v>99</v>
      </c>
      <c r="U7" s="20" t="s">
        <v>99</v>
      </c>
      <c r="V7" s="20" t="s">
        <v>99</v>
      </c>
      <c r="W7" s="20" t="s">
        <v>99</v>
      </c>
      <c r="X7" s="20" t="s">
        <v>100</v>
      </c>
      <c r="Y7" s="22" t="s">
        <v>77</v>
      </c>
      <c r="Z7" s="22"/>
      <c r="AA7" s="23"/>
      <c r="AB7" s="24"/>
      <c r="AC7" s="24"/>
      <c r="AD7" s="25"/>
      <c r="AE7" s="24"/>
      <c r="AF7" s="24"/>
      <c r="AG7" s="24"/>
      <c r="AH7" s="24"/>
    </row>
    <row r="8" ht="13.5" customHeight="1">
      <c r="A8" s="17"/>
      <c r="B8" s="12" t="s">
        <v>101</v>
      </c>
      <c r="C8" s="13" t="s">
        <v>102</v>
      </c>
      <c r="D8" s="14" t="s">
        <v>49</v>
      </c>
      <c r="E8" s="11" t="s">
        <v>93</v>
      </c>
      <c r="F8" s="11" t="s">
        <v>94</v>
      </c>
      <c r="G8" s="15">
        <v>46691.0</v>
      </c>
      <c r="H8" s="15">
        <v>46721.0</v>
      </c>
      <c r="I8" s="17"/>
      <c r="J8" s="11" t="s">
        <v>103</v>
      </c>
      <c r="K8" s="18" t="str">
        <f t="shared" si="1"/>
        <v>WBS: WBE-200
שם פרויקט: תמנע-הוספת שנאי שני 50 מגוו"א
מנה״פ: אוחייון, איתן
יעד תכנית פיתוח: 31/10/2027
יעד מסתמן: 30/11/2027</v>
      </c>
      <c r="L8" s="19"/>
      <c r="M8" s="20" t="s">
        <v>104</v>
      </c>
      <c r="N8" s="20" t="s">
        <v>105</v>
      </c>
      <c r="O8" s="20" t="s">
        <v>105</v>
      </c>
      <c r="P8" s="20" t="s">
        <v>105</v>
      </c>
      <c r="Q8" s="20" t="s">
        <v>105</v>
      </c>
      <c r="R8" s="20" t="s">
        <v>105</v>
      </c>
      <c r="S8" s="20" t="s">
        <v>105</v>
      </c>
      <c r="T8" s="20" t="s">
        <v>105</v>
      </c>
      <c r="U8" s="20" t="s">
        <v>105</v>
      </c>
      <c r="V8" s="20" t="s">
        <v>105</v>
      </c>
      <c r="W8" s="20" t="s">
        <v>105</v>
      </c>
      <c r="X8" s="30"/>
      <c r="Y8" s="27"/>
      <c r="Z8" s="27"/>
      <c r="AA8" s="23"/>
      <c r="AB8" s="24"/>
      <c r="AC8" s="24"/>
      <c r="AD8" s="25" t="str">
        <f>"WBS: " &amp; B8 &amp; CHAR(10) &amp;
"שם פרויקט: " &amp; D8 &amp; CHAR(10) &amp;
"מנה״פ: " &amp; E8 &amp; CHAR(10) &amp;
"יעד תכנית פיתוח: " &amp; TEXT(G8,"dd/mm/yyyy") &amp; CHAR(10) &amp;
"יעד מסתמן: " &amp; TEXT(H8,"dd/mm/yyyy")</f>
        <v>WBS: WBE-200
שם פרויקט: הרחבה
מנה״פ: אוחייון, איתן
יעד תכנית פיתוח: 31/10/2027
יעד מסתמן: 30/11/2027</v>
      </c>
      <c r="AE8" s="24"/>
      <c r="AF8" s="24"/>
      <c r="AG8" s="24"/>
      <c r="AH8" s="24"/>
    </row>
    <row r="9" ht="13.5" customHeight="1">
      <c r="A9" s="17"/>
      <c r="B9" s="12" t="s">
        <v>106</v>
      </c>
      <c r="C9" s="13" t="s">
        <v>107</v>
      </c>
      <c r="D9" s="14" t="s">
        <v>49</v>
      </c>
      <c r="E9" s="11" t="s">
        <v>93</v>
      </c>
      <c r="F9" s="11" t="s">
        <v>94</v>
      </c>
      <c r="G9" s="15">
        <v>46568.0</v>
      </c>
      <c r="H9" s="15">
        <v>46751.0</v>
      </c>
      <c r="I9" s="17"/>
      <c r="J9" s="11" t="s">
        <v>108</v>
      </c>
      <c r="K9" s="18" t="str">
        <f t="shared" si="1"/>
        <v>WBS: WBE-235
שם פרויקט: צומת כרמיה – הקמת 2 שדות מ"ע חדשים והתאמת שדה 1 לזרם 2000 א'. משיק ל-WBO-824, WBO-823 .
מנה״פ: אוחייון, איתן
יעד תכנית פיתוח: 30/06/2027
יעד מסתמן: 30/12/2027</v>
      </c>
      <c r="L9" s="19"/>
      <c r="M9" s="20" t="s">
        <v>109</v>
      </c>
      <c r="N9" s="20" t="s">
        <v>110</v>
      </c>
      <c r="O9" s="20" t="s">
        <v>111</v>
      </c>
      <c r="P9" s="20" t="s">
        <v>112</v>
      </c>
      <c r="Q9" s="31" t="s">
        <v>113</v>
      </c>
      <c r="R9" s="31" t="s">
        <v>114</v>
      </c>
      <c r="S9" s="31" t="s">
        <v>115</v>
      </c>
      <c r="T9" s="31" t="s">
        <v>116</v>
      </c>
      <c r="U9" s="31" t="s">
        <v>116</v>
      </c>
      <c r="V9" s="31" t="s">
        <v>117</v>
      </c>
      <c r="W9" s="31" t="s">
        <v>118</v>
      </c>
      <c r="X9" s="30"/>
      <c r="Y9" s="22"/>
      <c r="Z9" s="27"/>
      <c r="AA9" s="23"/>
      <c r="AB9" s="24"/>
      <c r="AC9" s="24"/>
      <c r="AD9" s="24"/>
      <c r="AE9" s="24"/>
      <c r="AF9" s="24"/>
      <c r="AG9" s="24"/>
      <c r="AH9" s="24"/>
    </row>
    <row r="10" ht="13.5" customHeight="1">
      <c r="A10" s="11" t="s">
        <v>27</v>
      </c>
      <c r="B10" s="12" t="s">
        <v>119</v>
      </c>
      <c r="C10" s="13" t="s">
        <v>120</v>
      </c>
      <c r="D10" s="14" t="s">
        <v>49</v>
      </c>
      <c r="E10" s="11" t="s">
        <v>93</v>
      </c>
      <c r="F10" s="11" t="s">
        <v>94</v>
      </c>
      <c r="G10" s="15">
        <v>46265.0</v>
      </c>
      <c r="H10" s="15">
        <v>46446.0</v>
      </c>
      <c r="I10" s="17"/>
      <c r="J10" s="11" t="s">
        <v>108</v>
      </c>
      <c r="K10" s="18" t="str">
        <f t="shared" si="1"/>
        <v>WBS: WBE-260
שם פרויקט: מצפה רמון - התקנת שנאי מס' 531- מערכתי
מנה״פ: אוחייון, איתן
יעד תכנית פיתוח: 31/08/2026
יעד מסתמן: 28/02/2027</v>
      </c>
      <c r="L10" s="19"/>
      <c r="M10" s="20" t="s">
        <v>121</v>
      </c>
      <c r="N10" s="20" t="s">
        <v>122</v>
      </c>
      <c r="O10" s="20" t="s">
        <v>122</v>
      </c>
      <c r="P10" s="20" t="s">
        <v>123</v>
      </c>
      <c r="Q10" s="20" t="s">
        <v>124</v>
      </c>
      <c r="R10" s="20" t="s">
        <v>124</v>
      </c>
      <c r="S10" s="20" t="s">
        <v>125</v>
      </c>
      <c r="T10" s="20" t="s">
        <v>126</v>
      </c>
      <c r="U10" s="20" t="s">
        <v>126</v>
      </c>
      <c r="V10" s="20" t="s">
        <v>127</v>
      </c>
      <c r="W10" s="20" t="s">
        <v>127</v>
      </c>
      <c r="X10" s="20" t="s">
        <v>128</v>
      </c>
      <c r="Y10" s="22" t="s">
        <v>129</v>
      </c>
      <c r="Z10" s="27"/>
      <c r="AA10" s="23"/>
      <c r="AB10" s="24"/>
      <c r="AC10" s="24"/>
      <c r="AD10" s="24"/>
      <c r="AE10" s="24"/>
      <c r="AF10" s="24"/>
      <c r="AG10" s="24"/>
      <c r="AH10" s="24"/>
    </row>
    <row r="11" ht="13.5" customHeight="1">
      <c r="A11" s="11" t="s">
        <v>27</v>
      </c>
      <c r="B11" s="12" t="s">
        <v>130</v>
      </c>
      <c r="C11" s="13" t="s">
        <v>131</v>
      </c>
      <c r="D11" s="14" t="s">
        <v>49</v>
      </c>
      <c r="E11" s="11" t="s">
        <v>93</v>
      </c>
      <c r="F11" s="11" t="s">
        <v>94</v>
      </c>
      <c r="G11" s="15">
        <v>46507.0</v>
      </c>
      <c r="H11" s="15">
        <v>46690.0</v>
      </c>
      <c r="I11" s="17"/>
      <c r="J11" s="11" t="s">
        <v>65</v>
      </c>
      <c r="K11" s="18" t="str">
        <f t="shared" si="1"/>
        <v>WBS: WBE-259
שם פרויקט: מצפה רמון - החלפת שנאי מס' 532- מערכתי
מנה״פ: אוחייון, איתן
יעד תכנית פיתוח: 30/04/2027
יעד מסתמן: 30/10/2027</v>
      </c>
      <c r="L11" s="19"/>
      <c r="M11" s="20" t="s">
        <v>132</v>
      </c>
      <c r="N11" s="20" t="s">
        <v>132</v>
      </c>
      <c r="O11" s="20" t="s">
        <v>132</v>
      </c>
      <c r="P11" s="20" t="s">
        <v>132</v>
      </c>
      <c r="Q11" s="20" t="s">
        <v>132</v>
      </c>
      <c r="R11" s="20" t="s">
        <v>132</v>
      </c>
      <c r="S11" s="20" t="s">
        <v>132</v>
      </c>
      <c r="T11" s="20" t="s">
        <v>133</v>
      </c>
      <c r="U11" s="20" t="s">
        <v>133</v>
      </c>
      <c r="V11" s="20" t="s">
        <v>134</v>
      </c>
      <c r="W11" s="20" t="s">
        <v>134</v>
      </c>
      <c r="X11" s="20" t="s">
        <v>128</v>
      </c>
      <c r="Y11" s="22" t="s">
        <v>129</v>
      </c>
      <c r="Z11" s="27"/>
      <c r="AA11" s="23"/>
      <c r="AB11" s="24"/>
      <c r="AC11" s="24"/>
      <c r="AD11" s="24"/>
      <c r="AE11" s="24"/>
      <c r="AF11" s="24"/>
      <c r="AG11" s="24"/>
      <c r="AH11" s="24"/>
    </row>
    <row r="12" ht="13.5" customHeight="1">
      <c r="A12" s="17"/>
      <c r="B12" s="12" t="s">
        <v>135</v>
      </c>
      <c r="C12" s="13" t="s">
        <v>136</v>
      </c>
      <c r="D12" s="14" t="s">
        <v>49</v>
      </c>
      <c r="E12" s="11" t="s">
        <v>93</v>
      </c>
      <c r="F12" s="11" t="s">
        <v>94</v>
      </c>
      <c r="G12" s="15">
        <v>46752.0</v>
      </c>
      <c r="H12" s="15">
        <v>46568.0</v>
      </c>
      <c r="I12" s="17"/>
      <c r="J12" s="11" t="s">
        <v>65</v>
      </c>
      <c r="K12" s="18" t="str">
        <f t="shared" si="1"/>
        <v>WBS: WBE-118
שם פרויקט: יוטבתה - החלפת שנאי 531 ועיגון השנאי
מנה״פ: אוחייון, איתן
יעד תכנית פיתוח: 31/12/2027
יעד מסתמן: 30/06/2027</v>
      </c>
      <c r="L12" s="19"/>
      <c r="M12" s="20" t="s">
        <v>137</v>
      </c>
      <c r="N12" s="20" t="s">
        <v>137</v>
      </c>
      <c r="O12" s="20" t="s">
        <v>138</v>
      </c>
      <c r="P12" s="20" t="s">
        <v>138</v>
      </c>
      <c r="Q12" s="20" t="s">
        <v>138</v>
      </c>
      <c r="R12" s="20" t="s">
        <v>138</v>
      </c>
      <c r="S12" s="20" t="s">
        <v>138</v>
      </c>
      <c r="T12" s="20" t="s">
        <v>138</v>
      </c>
      <c r="U12" s="20" t="s">
        <v>138</v>
      </c>
      <c r="V12" s="20" t="s">
        <v>138</v>
      </c>
      <c r="W12" s="20" t="s">
        <v>138</v>
      </c>
      <c r="X12" s="30"/>
      <c r="Y12" s="27"/>
      <c r="Z12" s="27"/>
      <c r="AA12" s="23"/>
      <c r="AB12" s="24"/>
      <c r="AC12" s="24"/>
      <c r="AD12" s="24"/>
      <c r="AE12" s="24"/>
      <c r="AF12" s="24"/>
      <c r="AG12" s="24"/>
      <c r="AH12" s="24"/>
    </row>
    <row r="13" ht="13.5" customHeight="1">
      <c r="A13" s="17"/>
      <c r="B13" s="12" t="s">
        <v>139</v>
      </c>
      <c r="C13" s="13" t="s">
        <v>140</v>
      </c>
      <c r="D13" s="14" t="s">
        <v>49</v>
      </c>
      <c r="E13" s="11" t="s">
        <v>93</v>
      </c>
      <c r="F13" s="11" t="s">
        <v>94</v>
      </c>
      <c r="G13" s="15">
        <v>46325.0</v>
      </c>
      <c r="H13" s="15">
        <v>46446.0</v>
      </c>
      <c r="I13" s="17"/>
      <c r="J13" s="11" t="s">
        <v>50</v>
      </c>
      <c r="K13" s="18" t="str">
        <f t="shared" si="1"/>
        <v>WBS: WBE-120
שם פרויקט: יוטבתה-שדרוג התחמ"ש-רב שלבי
מנה״פ: אוחייון, איתן
יעד תכנית פיתוח: 30/10/2026
יעד מסתמן: 28/02/2027</v>
      </c>
      <c r="L13" s="19"/>
      <c r="M13" s="20" t="s">
        <v>141</v>
      </c>
      <c r="N13" s="20" t="s">
        <v>141</v>
      </c>
      <c r="O13" s="20" t="s">
        <v>142</v>
      </c>
      <c r="P13" s="20" t="s">
        <v>143</v>
      </c>
      <c r="Q13" s="20" t="s">
        <v>143</v>
      </c>
      <c r="R13" s="20" t="s">
        <v>143</v>
      </c>
      <c r="S13" s="20" t="s">
        <v>143</v>
      </c>
      <c r="T13" s="20" t="s">
        <v>144</v>
      </c>
      <c r="U13" s="20" t="s">
        <v>145</v>
      </c>
      <c r="V13" s="20" t="s">
        <v>146</v>
      </c>
      <c r="W13" s="20" t="s">
        <v>147</v>
      </c>
      <c r="X13" s="30"/>
      <c r="Y13" s="27"/>
      <c r="Z13" s="27"/>
      <c r="AA13" s="23"/>
      <c r="AB13" s="24"/>
      <c r="AC13" s="24"/>
      <c r="AD13" s="24"/>
      <c r="AE13" s="24"/>
      <c r="AF13" s="24"/>
      <c r="AG13" s="24"/>
      <c r="AH13" s="24"/>
    </row>
    <row r="14" ht="13.5" customHeight="1">
      <c r="A14" s="17"/>
      <c r="B14" s="12" t="s">
        <v>148</v>
      </c>
      <c r="C14" s="13" t="s">
        <v>149</v>
      </c>
      <c r="D14" s="14" t="s">
        <v>49</v>
      </c>
      <c r="E14" s="11" t="s">
        <v>93</v>
      </c>
      <c r="F14" s="11" t="s">
        <v>94</v>
      </c>
      <c r="G14" s="15">
        <v>46325.0</v>
      </c>
      <c r="H14" s="15">
        <v>46446.0</v>
      </c>
      <c r="I14" s="17"/>
      <c r="J14" s="11" t="s">
        <v>95</v>
      </c>
      <c r="K14" s="18" t="str">
        <f t="shared" si="1"/>
        <v>WBS: WBE-202
שם פרויקט: יוטבתה-הוספת שנאי 532 161/36 ק"ו 50 מגוו"א
מנה״פ: אוחייון, איתן
יעד תכנית פיתוח: 30/10/2026
יעד מסתמן: 28/02/2027</v>
      </c>
      <c r="L14" s="19"/>
      <c r="M14" s="20" t="s">
        <v>150</v>
      </c>
      <c r="N14" s="20" t="s">
        <v>150</v>
      </c>
      <c r="O14" s="20" t="s">
        <v>150</v>
      </c>
      <c r="P14" s="20" t="s">
        <v>150</v>
      </c>
      <c r="Q14" s="20" t="s">
        <v>150</v>
      </c>
      <c r="R14" s="20" t="s">
        <v>150</v>
      </c>
      <c r="S14" s="20" t="s">
        <v>150</v>
      </c>
      <c r="T14" s="20" t="s">
        <v>150</v>
      </c>
      <c r="U14" s="20" t="s">
        <v>150</v>
      </c>
      <c r="V14" s="20" t="s">
        <v>150</v>
      </c>
      <c r="W14" s="20" t="s">
        <v>150</v>
      </c>
      <c r="X14" s="30"/>
      <c r="Y14" s="27"/>
      <c r="Z14" s="27"/>
      <c r="AA14" s="23"/>
      <c r="AB14" s="24"/>
      <c r="AC14" s="24"/>
      <c r="AD14" s="24"/>
      <c r="AE14" s="24"/>
      <c r="AF14" s="24"/>
      <c r="AG14" s="24"/>
      <c r="AH14" s="24"/>
    </row>
    <row r="15" ht="13.5" customHeight="1">
      <c r="A15" s="17"/>
      <c r="B15" s="12" t="s">
        <v>151</v>
      </c>
      <c r="C15" s="13" t="s">
        <v>152</v>
      </c>
      <c r="D15" s="14" t="s">
        <v>30</v>
      </c>
      <c r="E15" s="11" t="s">
        <v>93</v>
      </c>
      <c r="F15" s="11" t="s">
        <v>94</v>
      </c>
      <c r="G15" s="15">
        <v>46476.0</v>
      </c>
      <c r="H15" s="15">
        <v>46660.0</v>
      </c>
      <c r="I15" s="17"/>
      <c r="J15" s="11" t="s">
        <v>33</v>
      </c>
      <c r="K15" s="18" t="str">
        <f t="shared" si="1"/>
        <v>WBS: WBC-099
שם פרויקט: אשקלון צפון-הקמת תחמ"ש חיצונית 161/24 ק"
מנה״פ: אוחייון, איתן
יעד תכנית פיתוח: 30/03/2027
יעד מסתמן: 30/09/2027</v>
      </c>
      <c r="L15" s="19"/>
      <c r="M15" s="20" t="s">
        <v>153</v>
      </c>
      <c r="N15" s="20" t="s">
        <v>154</v>
      </c>
      <c r="O15" s="20" t="s">
        <v>155</v>
      </c>
      <c r="P15" s="20" t="s">
        <v>156</v>
      </c>
      <c r="Q15" s="20" t="s">
        <v>156</v>
      </c>
      <c r="R15" s="20" t="s">
        <v>156</v>
      </c>
      <c r="S15" s="20" t="s">
        <v>157</v>
      </c>
      <c r="T15" s="20" t="s">
        <v>157</v>
      </c>
      <c r="U15" s="20" t="s">
        <v>157</v>
      </c>
      <c r="V15" s="20" t="s">
        <v>158</v>
      </c>
      <c r="W15" s="20" t="s">
        <v>158</v>
      </c>
      <c r="X15" s="30"/>
      <c r="Y15" s="27"/>
      <c r="Z15" s="27"/>
      <c r="AA15" s="23"/>
      <c r="AB15" s="24"/>
      <c r="AC15" s="24"/>
      <c r="AD15" s="24"/>
      <c r="AE15" s="24"/>
      <c r="AF15" s="24"/>
      <c r="AG15" s="24"/>
      <c r="AH15" s="24"/>
    </row>
    <row r="16" ht="13.5" customHeight="1">
      <c r="A16" s="17"/>
      <c r="B16" s="12" t="s">
        <v>159</v>
      </c>
      <c r="C16" s="13" t="s">
        <v>160</v>
      </c>
      <c r="D16" s="14" t="s">
        <v>161</v>
      </c>
      <c r="E16" s="11" t="s">
        <v>162</v>
      </c>
      <c r="F16" s="11" t="s">
        <v>163</v>
      </c>
      <c r="G16" s="15">
        <v>46506.0</v>
      </c>
      <c r="H16" s="15">
        <v>46476.0</v>
      </c>
      <c r="I16" s="17"/>
      <c r="J16" s="17"/>
      <c r="K16" s="18" t="str">
        <f t="shared" si="1"/>
        <v>WBS: WBD-001
שם פרויקט: שפרעם ניידת-פירוק התחמ"ש הניידת
מנה״פ: אוחנה, אלי
יעד תכנית פיתוח: 29/04/2027
יעד מסתמן: 30/03/2027</v>
      </c>
      <c r="L16" s="19"/>
      <c r="M16" s="20" t="s">
        <v>164</v>
      </c>
      <c r="N16" s="20" t="s">
        <v>164</v>
      </c>
      <c r="O16" s="20" t="s">
        <v>164</v>
      </c>
      <c r="P16" s="20" t="s">
        <v>164</v>
      </c>
      <c r="Q16" s="20" t="s">
        <v>164</v>
      </c>
      <c r="R16" s="20" t="s">
        <v>164</v>
      </c>
      <c r="S16" s="20" t="s">
        <v>164</v>
      </c>
      <c r="T16" s="20" t="s">
        <v>164</v>
      </c>
      <c r="U16" s="20" t="s">
        <v>164</v>
      </c>
      <c r="V16" s="20" t="s">
        <v>164</v>
      </c>
      <c r="W16" s="20" t="s">
        <v>164</v>
      </c>
      <c r="X16" s="30"/>
      <c r="Y16" s="27"/>
      <c r="Z16" s="27"/>
      <c r="AA16" s="23"/>
      <c r="AB16" s="24"/>
      <c r="AC16" s="24"/>
      <c r="AD16" s="24"/>
      <c r="AE16" s="24"/>
      <c r="AF16" s="24"/>
      <c r="AG16" s="24"/>
      <c r="AH16" s="24"/>
    </row>
    <row r="17" ht="13.5" customHeight="1">
      <c r="A17" s="11" t="s">
        <v>27</v>
      </c>
      <c r="B17" s="12" t="s">
        <v>165</v>
      </c>
      <c r="C17" s="13" t="s">
        <v>166</v>
      </c>
      <c r="D17" s="14" t="s">
        <v>30</v>
      </c>
      <c r="E17" s="11" t="s">
        <v>162</v>
      </c>
      <c r="F17" s="11" t="s">
        <v>163</v>
      </c>
      <c r="G17" s="15">
        <v>46721.0</v>
      </c>
      <c r="H17" s="15">
        <v>47117.0</v>
      </c>
      <c r="I17" s="17"/>
      <c r="J17" s="11" t="s">
        <v>33</v>
      </c>
      <c r="K17" s="18" t="str">
        <f t="shared" si="1"/>
        <v>WBS: WBC-121
שם פרויקט: רוקח(רמת אביב חדשה)-הקמת תחמ"ש פנימית
מנה״פ: אוחנה, אלי
יעד תכנית פיתוח: 30/11/2027
יעד מסתמן: 30/12/2028</v>
      </c>
      <c r="L17" s="19"/>
      <c r="M17" s="20" t="s">
        <v>167</v>
      </c>
      <c r="N17" s="20" t="s">
        <v>168</v>
      </c>
      <c r="O17" s="20" t="s">
        <v>168</v>
      </c>
      <c r="P17" s="20" t="s">
        <v>168</v>
      </c>
      <c r="Q17" s="20" t="s">
        <v>169</v>
      </c>
      <c r="R17" s="20" t="s">
        <v>170</v>
      </c>
      <c r="S17" s="20" t="s">
        <v>171</v>
      </c>
      <c r="T17" s="20" t="s">
        <v>172</v>
      </c>
      <c r="U17" s="20" t="s">
        <v>173</v>
      </c>
      <c r="V17" s="20" t="s">
        <v>174</v>
      </c>
      <c r="W17" s="20" t="s">
        <v>175</v>
      </c>
      <c r="X17" s="20" t="s">
        <v>176</v>
      </c>
      <c r="Y17" s="22" t="s">
        <v>177</v>
      </c>
      <c r="Z17" s="27"/>
      <c r="AA17" s="23"/>
      <c r="AB17" s="24"/>
      <c r="AC17" s="24"/>
      <c r="AD17" s="24"/>
      <c r="AE17" s="24"/>
      <c r="AF17" s="24"/>
      <c r="AG17" s="24"/>
      <c r="AH17" s="24"/>
    </row>
    <row r="18" ht="13.5" customHeight="1">
      <c r="A18" s="11" t="s">
        <v>27</v>
      </c>
      <c r="B18" s="12" t="s">
        <v>178</v>
      </c>
      <c r="C18" s="13" t="s">
        <v>179</v>
      </c>
      <c r="D18" s="14" t="s">
        <v>161</v>
      </c>
      <c r="E18" s="11" t="s">
        <v>162</v>
      </c>
      <c r="F18" s="11" t="s">
        <v>163</v>
      </c>
      <c r="G18" s="15">
        <v>46203.0</v>
      </c>
      <c r="H18" s="15">
        <v>46203.0</v>
      </c>
      <c r="I18" s="17"/>
      <c r="J18" s="11" t="s">
        <v>95</v>
      </c>
      <c r="K18" s="18" t="str">
        <f t="shared" si="1"/>
        <v>WBS: WBD-124
שם פרויקט: חפר ארעית- הקמת תחמ"ש ארעית
מנה״פ: אוחנה, אלי
יעד תכנית פיתוח: 30/06/2026
יעד מסתמן: 30/06/2026</v>
      </c>
      <c r="L18" s="19"/>
      <c r="M18" s="20" t="s">
        <v>180</v>
      </c>
      <c r="N18" s="20" t="s">
        <v>181</v>
      </c>
      <c r="O18" s="20" t="s">
        <v>182</v>
      </c>
      <c r="P18" s="20" t="s">
        <v>182</v>
      </c>
      <c r="Q18" s="20" t="s">
        <v>183</v>
      </c>
      <c r="R18" s="20" t="s">
        <v>183</v>
      </c>
      <c r="S18" s="20" t="s">
        <v>184</v>
      </c>
      <c r="T18" s="20" t="s">
        <v>185</v>
      </c>
      <c r="U18" s="20" t="s">
        <v>186</v>
      </c>
      <c r="V18" s="20" t="s">
        <v>187</v>
      </c>
      <c r="W18" s="20" t="s">
        <v>188</v>
      </c>
      <c r="X18" s="20" t="s">
        <v>189</v>
      </c>
      <c r="Y18" s="27" t="s">
        <v>177</v>
      </c>
      <c r="Z18" s="27" t="s">
        <v>190</v>
      </c>
      <c r="AA18" s="23"/>
      <c r="AB18" s="24"/>
      <c r="AC18" s="24"/>
      <c r="AD18" s="24"/>
      <c r="AE18" s="32" t="s">
        <v>191</v>
      </c>
      <c r="AF18" s="24"/>
      <c r="AG18" s="24"/>
      <c r="AH18" s="24"/>
    </row>
    <row r="19" ht="13.5" customHeight="1">
      <c r="A19" s="17"/>
      <c r="B19" s="12" t="s">
        <v>192</v>
      </c>
      <c r="C19" s="13" t="s">
        <v>193</v>
      </c>
      <c r="D19" s="14" t="s">
        <v>161</v>
      </c>
      <c r="E19" s="11" t="s">
        <v>162</v>
      </c>
      <c r="F19" s="11" t="s">
        <v>163</v>
      </c>
      <c r="G19" s="15">
        <v>46873.0</v>
      </c>
      <c r="H19" s="16">
        <v>46964.0</v>
      </c>
      <c r="I19" s="17"/>
      <c r="J19" s="11" t="s">
        <v>95</v>
      </c>
      <c r="K19" s="18" t="str">
        <f t="shared" si="1"/>
        <v>WBS: WBJ-004
שם פרויקט: חפר-הקמת תחמ"ג 400/161 ק"ו,650*3 מגוו"א- שנאי קישור שלישי 454 יותקן ולא יחושמל-רב שלבי
מנה״פ: אוחנה, אלי
יעד תכנית פיתוח: 30/04/2028
יעד מסתמן: 30/07/2028</v>
      </c>
      <c r="L19" s="19"/>
      <c r="M19" s="28" t="s">
        <v>194</v>
      </c>
      <c r="N19" s="29" t="s">
        <v>195</v>
      </c>
      <c r="O19" s="29" t="s">
        <v>196</v>
      </c>
      <c r="P19" s="29" t="s">
        <v>197</v>
      </c>
      <c r="Q19" s="29" t="s">
        <v>197</v>
      </c>
      <c r="R19" s="29" t="s">
        <v>198</v>
      </c>
      <c r="S19" s="20" t="s">
        <v>199</v>
      </c>
      <c r="T19" s="20" t="s">
        <v>200</v>
      </c>
      <c r="U19" s="20" t="s">
        <v>201</v>
      </c>
      <c r="V19" s="20" t="s">
        <v>201</v>
      </c>
      <c r="W19" s="20" t="s">
        <v>201</v>
      </c>
      <c r="X19" s="20" t="s">
        <v>202</v>
      </c>
      <c r="Y19" s="22" t="s">
        <v>77</v>
      </c>
      <c r="Z19" s="27"/>
      <c r="AA19" s="23"/>
      <c r="AB19" s="24"/>
      <c r="AC19" s="24"/>
      <c r="AD19" s="24"/>
      <c r="AE19" s="24"/>
      <c r="AF19" s="24"/>
      <c r="AG19" s="24"/>
      <c r="AH19" s="24"/>
    </row>
    <row r="20" ht="13.5" customHeight="1">
      <c r="A20" s="17"/>
      <c r="B20" s="12" t="s">
        <v>203</v>
      </c>
      <c r="C20" s="13" t="s">
        <v>204</v>
      </c>
      <c r="D20" s="14" t="s">
        <v>161</v>
      </c>
      <c r="E20" s="11" t="s">
        <v>205</v>
      </c>
      <c r="F20" s="17"/>
      <c r="G20" s="15">
        <v>46112.0</v>
      </c>
      <c r="H20" s="15">
        <v>46052.0</v>
      </c>
      <c r="I20" s="17"/>
      <c r="J20" s="11" t="s">
        <v>33</v>
      </c>
      <c r="K20" s="18" t="str">
        <f t="shared" si="1"/>
        <v>WBS: WBD-120
שם פרויקט: תפוח- הצבת תחמ"ש ניידת
מנה״פ: אוקון שמעון
יעד תכנית פיתוח: 31/03/2026
יעד מסתמן: 30/01/2026</v>
      </c>
      <c r="L20" s="19"/>
      <c r="M20" s="20" t="s">
        <v>206</v>
      </c>
      <c r="N20" s="33" t="s">
        <v>207</v>
      </c>
      <c r="O20" s="20" t="s">
        <v>206</v>
      </c>
      <c r="P20" s="20" t="s">
        <v>208</v>
      </c>
      <c r="Q20" s="20" t="s">
        <v>208</v>
      </c>
      <c r="R20" s="20" t="s">
        <v>208</v>
      </c>
      <c r="S20" s="34" t="s">
        <v>209</v>
      </c>
      <c r="T20" s="34" t="s">
        <v>209</v>
      </c>
      <c r="U20" s="34" t="s">
        <v>209</v>
      </c>
      <c r="V20" s="34" t="s">
        <v>209</v>
      </c>
      <c r="W20" s="34" t="s">
        <v>210</v>
      </c>
      <c r="X20" s="30"/>
      <c r="Y20" s="27" t="s">
        <v>177</v>
      </c>
      <c r="Z20" s="27"/>
      <c r="AA20" s="23"/>
      <c r="AB20" s="24"/>
      <c r="AC20" s="24"/>
      <c r="AD20" s="24"/>
      <c r="AE20" s="24"/>
      <c r="AF20" s="24"/>
      <c r="AG20" s="24"/>
      <c r="AH20" s="24"/>
    </row>
    <row r="21" ht="13.5" customHeight="1">
      <c r="A21" s="11" t="s">
        <v>27</v>
      </c>
      <c r="B21" s="12" t="s">
        <v>211</v>
      </c>
      <c r="C21" s="13" t="s">
        <v>212</v>
      </c>
      <c r="D21" s="14" t="s">
        <v>161</v>
      </c>
      <c r="E21" s="11" t="s">
        <v>205</v>
      </c>
      <c r="F21" s="17"/>
      <c r="G21" s="15">
        <v>46172.0</v>
      </c>
      <c r="H21" s="15">
        <v>46203.0</v>
      </c>
      <c r="I21" s="17"/>
      <c r="J21" s="11" t="s">
        <v>33</v>
      </c>
      <c r="K21" s="18" t="str">
        <f t="shared" si="1"/>
        <v>WBS: WBD-090
שם פרויקט: ענתות-הצבת תחמ"ש ניידת 30 מגוו"א
מנה״פ: אוקון שמעון
יעד תכנית פיתוח: 30/05/2026
יעד מסתמן: 30/06/2026</v>
      </c>
      <c r="L21" s="19"/>
      <c r="M21" s="20" t="s">
        <v>213</v>
      </c>
      <c r="N21" s="33" t="s">
        <v>214</v>
      </c>
      <c r="O21" s="34" t="s">
        <v>215</v>
      </c>
      <c r="P21" s="34" t="s">
        <v>215</v>
      </c>
      <c r="Q21" s="34" t="s">
        <v>216</v>
      </c>
      <c r="R21" s="34" t="s">
        <v>216</v>
      </c>
      <c r="S21" s="34" t="s">
        <v>216</v>
      </c>
      <c r="T21" s="34" t="s">
        <v>216</v>
      </c>
      <c r="U21" s="34" t="s">
        <v>216</v>
      </c>
      <c r="V21" s="34" t="s">
        <v>216</v>
      </c>
      <c r="W21" s="34" t="s">
        <v>216</v>
      </c>
      <c r="X21" s="30"/>
      <c r="Y21" s="27" t="s">
        <v>177</v>
      </c>
      <c r="Z21" s="27"/>
      <c r="AA21" s="23"/>
      <c r="AB21" s="24"/>
      <c r="AC21" s="24"/>
      <c r="AD21" s="24"/>
      <c r="AE21" s="24"/>
      <c r="AF21" s="24"/>
      <c r="AG21" s="24"/>
      <c r="AH21" s="24"/>
    </row>
    <row r="22" ht="13.5" customHeight="1">
      <c r="A22" s="11" t="s">
        <v>217</v>
      </c>
      <c r="B22" s="12" t="s">
        <v>218</v>
      </c>
      <c r="C22" s="13" t="s">
        <v>219</v>
      </c>
      <c r="D22" s="14" t="s">
        <v>161</v>
      </c>
      <c r="E22" s="11" t="s">
        <v>205</v>
      </c>
      <c r="F22" s="17"/>
      <c r="G22" s="15">
        <v>46203.0</v>
      </c>
      <c r="H22" s="15">
        <v>46052.0</v>
      </c>
      <c r="I22" s="17"/>
      <c r="J22" s="35"/>
      <c r="K22" s="18" t="str">
        <f t="shared" si="1"/>
        <v>WBS: WBD-121
שם פרויקט: עמנואל 2 ניידת- הצבת תחמ"ש ניידת
מנה״פ: אוקון שמעון
יעד תכנית פיתוח: 30/06/2026
יעד מסתמן: 30/01/2026</v>
      </c>
      <c r="L22" s="19"/>
      <c r="M22" s="20" t="s">
        <v>220</v>
      </c>
      <c r="N22" s="33" t="s">
        <v>220</v>
      </c>
      <c r="O22" s="33" t="s">
        <v>221</v>
      </c>
      <c r="P22" s="33" t="s">
        <v>222</v>
      </c>
      <c r="Q22" s="33" t="s">
        <v>222</v>
      </c>
      <c r="R22" s="33" t="s">
        <v>222</v>
      </c>
      <c r="S22" s="33" t="s">
        <v>223</v>
      </c>
      <c r="T22" s="33" t="s">
        <v>223</v>
      </c>
      <c r="U22" s="33" t="s">
        <v>223</v>
      </c>
      <c r="V22" s="33" t="s">
        <v>223</v>
      </c>
      <c r="W22" s="33" t="s">
        <v>223</v>
      </c>
      <c r="X22" s="30"/>
      <c r="Y22" s="27" t="s">
        <v>177</v>
      </c>
      <c r="Z22" s="27"/>
      <c r="AA22" s="23"/>
      <c r="AB22" s="24"/>
      <c r="AC22" s="24"/>
      <c r="AD22" s="24"/>
      <c r="AE22" s="24"/>
      <c r="AF22" s="24"/>
      <c r="AG22" s="24"/>
      <c r="AH22" s="24"/>
    </row>
    <row r="23" ht="13.5" customHeight="1">
      <c r="A23" s="17"/>
      <c r="B23" s="12" t="s">
        <v>224</v>
      </c>
      <c r="C23" s="13" t="s">
        <v>225</v>
      </c>
      <c r="D23" s="14" t="s">
        <v>161</v>
      </c>
      <c r="E23" s="11" t="s">
        <v>205</v>
      </c>
      <c r="F23" s="17"/>
      <c r="G23" s="15">
        <v>46599.0</v>
      </c>
      <c r="H23" s="15">
        <v>46259.0</v>
      </c>
      <c r="I23" s="17"/>
      <c r="J23" s="11" t="s">
        <v>33</v>
      </c>
      <c r="K23" s="18" t="str">
        <f t="shared" si="1"/>
        <v>WBS: WBD-096
שם פרויקט: א.ת. מכבים- הצבת תחמ"ש ניידת 161/33 ק"ו, 20 מגוו"א
מנה״פ: אוקון שמעון
יעד תכנית פיתוח: 31/07/2027
יעד מסתמן: 25/08/2026</v>
      </c>
      <c r="L23" s="19"/>
      <c r="M23" s="20" t="s">
        <v>226</v>
      </c>
      <c r="N23" s="33" t="s">
        <v>227</v>
      </c>
      <c r="O23" s="34" t="s">
        <v>228</v>
      </c>
      <c r="P23" s="33" t="s">
        <v>229</v>
      </c>
      <c r="Q23" s="33" t="s">
        <v>230</v>
      </c>
      <c r="R23" s="33" t="s">
        <v>230</v>
      </c>
      <c r="S23" s="33" t="s">
        <v>231</v>
      </c>
      <c r="T23" s="33" t="s">
        <v>231</v>
      </c>
      <c r="U23" s="33" t="s">
        <v>231</v>
      </c>
      <c r="V23" s="33" t="s">
        <v>231</v>
      </c>
      <c r="W23" s="33" t="s">
        <v>232</v>
      </c>
      <c r="X23" s="30"/>
      <c r="Y23" s="27"/>
      <c r="Z23" s="27"/>
      <c r="AA23" s="23"/>
      <c r="AB23" s="24"/>
      <c r="AC23" s="24"/>
      <c r="AD23" s="24"/>
      <c r="AE23" s="24"/>
      <c r="AF23" s="24"/>
      <c r="AG23" s="24"/>
      <c r="AH23" s="24"/>
    </row>
    <row r="24" ht="13.5" customHeight="1">
      <c r="A24" s="17"/>
      <c r="B24" s="12" t="s">
        <v>233</v>
      </c>
      <c r="C24" s="13" t="s">
        <v>234</v>
      </c>
      <c r="D24" s="14" t="s">
        <v>161</v>
      </c>
      <c r="E24" s="11" t="s">
        <v>205</v>
      </c>
      <c r="F24" s="17"/>
      <c r="G24" s="15">
        <v>46142.0</v>
      </c>
      <c r="H24" s="15">
        <v>46244.0</v>
      </c>
      <c r="I24" s="17"/>
      <c r="J24" s="11" t="s">
        <v>33</v>
      </c>
      <c r="K24" s="18" t="str">
        <f t="shared" si="1"/>
        <v>WBS: WBD-123
שם פרויקט: א.ת. מכבים- הצבת תחמ"ש ניידת 161/24 ק"ו, 20 מגוו"א
מנה״פ: אוקון שמעון
יעד תכנית פיתוח: 30/04/2026
יעד מסתמן: 10/08/2026</v>
      </c>
      <c r="L24" s="19"/>
      <c r="M24" s="20" t="s">
        <v>226</v>
      </c>
      <c r="N24" s="33" t="s">
        <v>227</v>
      </c>
      <c r="O24" s="33" t="s">
        <v>227</v>
      </c>
      <c r="P24" s="33" t="s">
        <v>229</v>
      </c>
      <c r="Q24" s="33" t="s">
        <v>229</v>
      </c>
      <c r="R24" s="33" t="s">
        <v>235</v>
      </c>
      <c r="S24" s="33" t="s">
        <v>231</v>
      </c>
      <c r="T24" s="33" t="s">
        <v>231</v>
      </c>
      <c r="U24" s="33" t="s">
        <v>231</v>
      </c>
      <c r="V24" s="33" t="s">
        <v>231</v>
      </c>
      <c r="W24" s="33" t="s">
        <v>232</v>
      </c>
      <c r="X24" s="30"/>
      <c r="Y24" s="27"/>
      <c r="Z24" s="27"/>
      <c r="AA24" s="23"/>
      <c r="AB24" s="24"/>
      <c r="AC24" s="24"/>
      <c r="AD24" s="24"/>
      <c r="AE24" s="24"/>
      <c r="AF24" s="24"/>
      <c r="AG24" s="24"/>
      <c r="AH24" s="24"/>
    </row>
    <row r="25" ht="13.5" customHeight="1">
      <c r="A25" s="17"/>
      <c r="B25" s="12" t="s">
        <v>236</v>
      </c>
      <c r="C25" s="13" t="s">
        <v>237</v>
      </c>
      <c r="D25" s="14" t="s">
        <v>49</v>
      </c>
      <c r="E25" s="11" t="s">
        <v>238</v>
      </c>
      <c r="F25" s="11" t="s">
        <v>239</v>
      </c>
      <c r="G25" s="15">
        <v>47118.0</v>
      </c>
      <c r="H25" s="33" t="s">
        <v>240</v>
      </c>
      <c r="I25" s="17"/>
      <c r="J25" s="11" t="s">
        <v>103</v>
      </c>
      <c r="K25" s="18" t="str">
        <f t="shared" si="1"/>
        <v>WBS: WBE-288
שם פרויקט: שפרינצק-התקנת שנאי רביעי מס' 524, 50 מגוו"א וסוללות קבלים
מנה״פ: ארליך-בקיש, רחלי
יעד תכנית פיתוח: 31/12/2028
יעד מסתמן: טרם נקבע</v>
      </c>
      <c r="L25" s="19"/>
      <c r="M25" s="30"/>
      <c r="N25" s="30"/>
      <c r="O25" s="30"/>
      <c r="P25" s="30"/>
      <c r="Q25" s="30"/>
      <c r="R25" s="30"/>
      <c r="S25" s="20" t="s">
        <v>241</v>
      </c>
      <c r="T25" s="20" t="s">
        <v>242</v>
      </c>
      <c r="U25" s="20" t="s">
        <v>243</v>
      </c>
      <c r="V25" s="20" t="s">
        <v>243</v>
      </c>
      <c r="W25" s="20" t="s">
        <v>244</v>
      </c>
      <c r="X25" s="30"/>
      <c r="Y25" s="27" t="s">
        <v>77</v>
      </c>
      <c r="Z25" s="27"/>
      <c r="AA25" s="23"/>
      <c r="AB25" s="24"/>
      <c r="AC25" s="24"/>
      <c r="AD25" s="24"/>
      <c r="AE25" s="24"/>
      <c r="AF25" s="24"/>
      <c r="AG25" s="24"/>
      <c r="AH25" s="24"/>
    </row>
    <row r="26" ht="13.5" customHeight="1">
      <c r="A26" s="17"/>
      <c r="B26" s="12" t="s">
        <v>245</v>
      </c>
      <c r="C26" s="13" t="s">
        <v>246</v>
      </c>
      <c r="D26" s="14" t="s">
        <v>49</v>
      </c>
      <c r="E26" s="11" t="s">
        <v>31</v>
      </c>
      <c r="F26" s="11" t="s">
        <v>32</v>
      </c>
      <c r="G26" s="15">
        <v>46387.0</v>
      </c>
      <c r="H26" s="15">
        <v>46386.0</v>
      </c>
      <c r="I26" s="17"/>
      <c r="J26" s="11" t="s">
        <v>80</v>
      </c>
      <c r="K26" s="18" t="str">
        <f t="shared" si="1"/>
        <v>WBS: WBE-290
שם פרויקט: איילון- התקנת שנאי רביעי 75 מגוו"א 161/24 ק"ו
מנה״פ: אוברקוביץ, ענת
יעד תכנית פיתוח: 31/12/2026
יעד מסתמן: 30/12/2026</v>
      </c>
      <c r="L26" s="19"/>
      <c r="M26" s="30"/>
      <c r="N26" s="30"/>
      <c r="O26" s="30"/>
      <c r="P26" s="30"/>
      <c r="Q26" s="30"/>
      <c r="R26" s="30"/>
      <c r="S26" s="20" t="s">
        <v>247</v>
      </c>
      <c r="T26" s="20" t="s">
        <v>248</v>
      </c>
      <c r="U26" s="20" t="s">
        <v>248</v>
      </c>
      <c r="V26" s="20" t="s">
        <v>249</v>
      </c>
      <c r="W26" s="20" t="s">
        <v>250</v>
      </c>
      <c r="X26" s="20" t="s">
        <v>251</v>
      </c>
      <c r="Y26" s="27" t="s">
        <v>77</v>
      </c>
      <c r="Z26" s="27"/>
      <c r="AA26" s="23"/>
      <c r="AB26" s="24"/>
      <c r="AC26" s="24"/>
      <c r="AD26" s="24"/>
      <c r="AE26" s="24"/>
      <c r="AF26" s="24"/>
      <c r="AG26" s="24"/>
      <c r="AH26" s="24"/>
    </row>
    <row r="27" ht="13.5" customHeight="1">
      <c r="A27" s="17"/>
      <c r="B27" s="12" t="s">
        <v>252</v>
      </c>
      <c r="C27" s="13" t="s">
        <v>253</v>
      </c>
      <c r="D27" s="14" t="s">
        <v>161</v>
      </c>
      <c r="E27" s="11" t="s">
        <v>254</v>
      </c>
      <c r="F27" s="11" t="s">
        <v>255</v>
      </c>
      <c r="G27" s="15">
        <v>46203.0</v>
      </c>
      <c r="H27" s="15">
        <v>46356.0</v>
      </c>
      <c r="I27" s="17"/>
      <c r="J27" s="11" t="s">
        <v>65</v>
      </c>
      <c r="K27" s="18" t="str">
        <f t="shared" si="1"/>
        <v>WBS: WBD-128
שם פרויקט: תימורים- תכנון הצבת 2 תחמ"ש ניידות,30 מגוו"א כ"א
מנה״פ: אלטחן, קובי
יעד תכנית פיתוח: 30/06/2026
יעד מסתמן: 30/11/2026</v>
      </c>
      <c r="L27" s="18"/>
      <c r="M27" s="30"/>
      <c r="N27" s="36"/>
      <c r="O27" s="36"/>
      <c r="P27" s="36"/>
      <c r="Q27" s="36"/>
      <c r="R27" s="36"/>
      <c r="S27" s="36"/>
      <c r="T27" s="36"/>
      <c r="U27" s="36"/>
      <c r="V27" s="37" t="s">
        <v>256</v>
      </c>
      <c r="W27" s="37" t="s">
        <v>256</v>
      </c>
      <c r="X27" s="20" t="s">
        <v>257</v>
      </c>
      <c r="Y27" s="38" t="s">
        <v>177</v>
      </c>
      <c r="Z27" s="27"/>
      <c r="AA27" s="23"/>
      <c r="AB27" s="24"/>
      <c r="AC27" s="24"/>
      <c r="AD27" s="24"/>
      <c r="AE27" s="24"/>
      <c r="AF27" s="24"/>
      <c r="AG27" s="24"/>
      <c r="AH27" s="24"/>
    </row>
    <row r="28" ht="13.5" customHeight="1">
      <c r="A28" s="17"/>
      <c r="B28" s="12" t="s">
        <v>258</v>
      </c>
      <c r="C28" s="13" t="s">
        <v>259</v>
      </c>
      <c r="D28" s="14" t="s">
        <v>30</v>
      </c>
      <c r="E28" s="11" t="s">
        <v>254</v>
      </c>
      <c r="F28" s="11" t="s">
        <v>255</v>
      </c>
      <c r="G28" s="15">
        <v>46356.0</v>
      </c>
      <c r="H28" s="15">
        <v>46598.0</v>
      </c>
      <c r="I28" s="17"/>
      <c r="J28" s="11" t="s">
        <v>33</v>
      </c>
      <c r="K28" s="18" t="str">
        <f t="shared" si="1"/>
        <v>WBS: WBC-075
שם פרויקט: תימורים-הקמת תחמ"ש חיצונית 161/24 ק"ו
מנה״פ: אלטחן, קובי
יעד תכנית פיתוח: 30/11/2026
יעד מסתמן: 30/07/2027</v>
      </c>
      <c r="L28" s="19"/>
      <c r="M28" s="20" t="s">
        <v>260</v>
      </c>
      <c r="N28" s="20" t="s">
        <v>261</v>
      </c>
      <c r="O28" s="20" t="s">
        <v>262</v>
      </c>
      <c r="P28" s="20" t="s">
        <v>262</v>
      </c>
      <c r="Q28" s="20" t="s">
        <v>263</v>
      </c>
      <c r="R28" s="20" t="s">
        <v>264</v>
      </c>
      <c r="S28" s="20" t="s">
        <v>265</v>
      </c>
      <c r="T28" s="20" t="s">
        <v>266</v>
      </c>
      <c r="U28" s="20" t="s">
        <v>267</v>
      </c>
      <c r="V28" s="20" t="s">
        <v>268</v>
      </c>
      <c r="W28" s="20" t="s">
        <v>268</v>
      </c>
      <c r="X28" s="20" t="s">
        <v>269</v>
      </c>
      <c r="Y28" s="22"/>
      <c r="Z28" s="27"/>
      <c r="AA28" s="23"/>
      <c r="AB28" s="24"/>
      <c r="AC28" s="24"/>
      <c r="AD28" s="24"/>
      <c r="AE28" s="24"/>
      <c r="AF28" s="24"/>
      <c r="AG28" s="24"/>
      <c r="AH28" s="24"/>
    </row>
    <row r="29" ht="13.5" customHeight="1">
      <c r="A29" s="17"/>
      <c r="B29" s="12" t="s">
        <v>270</v>
      </c>
      <c r="C29" s="13" t="s">
        <v>271</v>
      </c>
      <c r="D29" s="14" t="s">
        <v>30</v>
      </c>
      <c r="E29" s="11" t="s">
        <v>254</v>
      </c>
      <c r="F29" s="11" t="s">
        <v>255</v>
      </c>
      <c r="G29" s="15">
        <v>46752.0</v>
      </c>
      <c r="H29" s="15">
        <v>46598.0</v>
      </c>
      <c r="I29" s="17"/>
      <c r="J29" s="11" t="s">
        <v>33</v>
      </c>
      <c r="K29" s="18" t="str">
        <f t="shared" si="1"/>
        <v>WBS: WBC-123
שם פרויקט: שחר(כוכב מיכאל)-הקמת תחמ"ש חיצונית
מנה״פ: אלטחן, קובי
יעד תכנית פיתוח: 31/12/2027
יעד מסתמן: 30/07/2027</v>
      </c>
      <c r="L29" s="19"/>
      <c r="M29" s="20" t="s">
        <v>272</v>
      </c>
      <c r="N29" s="20" t="s">
        <v>273</v>
      </c>
      <c r="O29" s="20" t="s">
        <v>274</v>
      </c>
      <c r="P29" s="20" t="s">
        <v>274</v>
      </c>
      <c r="Q29" s="20" t="s">
        <v>274</v>
      </c>
      <c r="R29" s="20" t="s">
        <v>275</v>
      </c>
      <c r="S29" s="20" t="s">
        <v>276</v>
      </c>
      <c r="T29" s="20" t="s">
        <v>277</v>
      </c>
      <c r="U29" s="20" t="s">
        <v>278</v>
      </c>
      <c r="V29" s="20" t="s">
        <v>279</v>
      </c>
      <c r="W29" s="20" t="s">
        <v>280</v>
      </c>
      <c r="X29" s="20" t="s">
        <v>281</v>
      </c>
      <c r="Y29" s="27"/>
      <c r="Z29" s="27"/>
      <c r="AA29" s="23"/>
      <c r="AB29" s="24"/>
      <c r="AC29" s="24"/>
      <c r="AD29" s="24"/>
      <c r="AE29" s="24"/>
      <c r="AF29" s="24"/>
      <c r="AG29" s="24"/>
      <c r="AH29" s="24"/>
    </row>
    <row r="30" ht="13.5" customHeight="1">
      <c r="A30" s="11" t="s">
        <v>27</v>
      </c>
      <c r="B30" s="12" t="s">
        <v>282</v>
      </c>
      <c r="C30" s="13" t="s">
        <v>283</v>
      </c>
      <c r="D30" s="14" t="s">
        <v>30</v>
      </c>
      <c r="E30" s="11" t="s">
        <v>254</v>
      </c>
      <c r="F30" s="11" t="s">
        <v>255</v>
      </c>
      <c r="G30" s="15">
        <v>46356.0</v>
      </c>
      <c r="H30" s="15">
        <v>46751.0</v>
      </c>
      <c r="I30" s="17"/>
      <c r="J30" s="11" t="s">
        <v>33</v>
      </c>
      <c r="K30" s="18" t="str">
        <f t="shared" si="1"/>
        <v>WBS: WBC-072
שם פרויקט: ראשון תעשיה- הקמת תחמ"ש פנימית 161/24 ק"
מנה״פ: אלטחן, קובי
יעד תכנית פיתוח: 30/11/2026
יעד מסתמן: 30/12/2027</v>
      </c>
      <c r="L30" s="19"/>
      <c r="M30" s="20" t="s">
        <v>284</v>
      </c>
      <c r="N30" s="20" t="s">
        <v>285</v>
      </c>
      <c r="O30" s="20" t="s">
        <v>286</v>
      </c>
      <c r="P30" s="20" t="s">
        <v>287</v>
      </c>
      <c r="Q30" s="20" t="s">
        <v>288</v>
      </c>
      <c r="R30" s="20" t="s">
        <v>288</v>
      </c>
      <c r="S30" s="20" t="s">
        <v>288</v>
      </c>
      <c r="T30" s="20" t="s">
        <v>289</v>
      </c>
      <c r="U30" s="20" t="s">
        <v>289</v>
      </c>
      <c r="V30" s="20" t="s">
        <v>290</v>
      </c>
      <c r="W30" s="20" t="s">
        <v>291</v>
      </c>
      <c r="X30" s="20" t="s">
        <v>292</v>
      </c>
      <c r="Y30" s="22" t="s">
        <v>177</v>
      </c>
      <c r="Z30" s="27"/>
      <c r="AA30" s="23"/>
      <c r="AB30" s="24"/>
      <c r="AC30" s="24"/>
      <c r="AD30" s="24"/>
      <c r="AE30" s="24"/>
      <c r="AF30" s="24"/>
      <c r="AG30" s="24"/>
      <c r="AH30" s="24"/>
    </row>
    <row r="31" ht="13.5" customHeight="1">
      <c r="A31" s="17"/>
      <c r="B31" s="39" t="s">
        <v>293</v>
      </c>
      <c r="C31" s="13" t="s">
        <v>294</v>
      </c>
      <c r="D31" s="14" t="s">
        <v>30</v>
      </c>
      <c r="E31" s="11" t="s">
        <v>254</v>
      </c>
      <c r="F31" s="11" t="s">
        <v>255</v>
      </c>
      <c r="G31" s="15">
        <v>46568.0</v>
      </c>
      <c r="H31" s="15">
        <v>46811.0</v>
      </c>
      <c r="I31" s="17"/>
      <c r="J31" s="11" t="s">
        <v>33</v>
      </c>
      <c r="K31" s="18" t="str">
        <f t="shared" si="1"/>
        <v>WBS: WBC-057
שם פרויקט: ליילנד-הקמת תחמ"ש פנימית 161/24ק"ו 50*2
מנה״פ: אלטחן, קובי
יעד תכנית פיתוח: 30/06/2027
יעד מסתמן: 28/02/2028</v>
      </c>
      <c r="L31" s="19"/>
      <c r="M31" s="20" t="s">
        <v>295</v>
      </c>
      <c r="N31" s="20" t="s">
        <v>296</v>
      </c>
      <c r="O31" s="20" t="s">
        <v>297</v>
      </c>
      <c r="P31" s="20" t="s">
        <v>297</v>
      </c>
      <c r="Q31" s="20" t="s">
        <v>263</v>
      </c>
      <c r="R31" s="20" t="s">
        <v>298</v>
      </c>
      <c r="S31" s="20" t="s">
        <v>299</v>
      </c>
      <c r="T31" s="20" t="s">
        <v>300</v>
      </c>
      <c r="U31" s="20" t="s">
        <v>301</v>
      </c>
      <c r="V31" s="20" t="s">
        <v>301</v>
      </c>
      <c r="W31" s="20" t="s">
        <v>301</v>
      </c>
      <c r="X31" s="30"/>
      <c r="Y31" s="27"/>
      <c r="Z31" s="27"/>
      <c r="AA31" s="23"/>
      <c r="AB31" s="24"/>
      <c r="AC31" s="24"/>
      <c r="AD31" s="24"/>
      <c r="AE31" s="24"/>
      <c r="AF31" s="24"/>
      <c r="AG31" s="24"/>
      <c r="AH31" s="24"/>
    </row>
    <row r="32" ht="13.5" customHeight="1">
      <c r="A32" s="17"/>
      <c r="B32" s="12" t="s">
        <v>302</v>
      </c>
      <c r="C32" s="13" t="s">
        <v>303</v>
      </c>
      <c r="D32" s="14" t="s">
        <v>30</v>
      </c>
      <c r="E32" s="11" t="s">
        <v>254</v>
      </c>
      <c r="F32" s="11" t="s">
        <v>255</v>
      </c>
      <c r="G32" s="15">
        <v>45838.0</v>
      </c>
      <c r="H32" s="40" t="s">
        <v>304</v>
      </c>
      <c r="I32" s="17"/>
      <c r="J32" s="11" t="s">
        <v>305</v>
      </c>
      <c r="K32" s="18" t="str">
        <f t="shared" si="1"/>
        <v>WBS: WBC-061
שם פרויקט: גן רווה-הקמת תחמ"ש חיצונית קבועה 161/24 ק"ו
מנה״פ: אלטחן, קובי
יעד תכנית פיתוח: 30/06/2025
יעד מסתמן: חושמל ב30/06/2025</v>
      </c>
      <c r="L32" s="19"/>
      <c r="M32" s="20" t="s">
        <v>306</v>
      </c>
      <c r="N32" s="20" t="s">
        <v>307</v>
      </c>
      <c r="O32" s="20" t="s">
        <v>308</v>
      </c>
      <c r="P32" s="20" t="s">
        <v>309</v>
      </c>
      <c r="Q32" s="20" t="s">
        <v>310</v>
      </c>
      <c r="R32" s="20" t="s">
        <v>311</v>
      </c>
      <c r="S32" s="20" t="s">
        <v>312</v>
      </c>
      <c r="T32" s="20" t="s">
        <v>313</v>
      </c>
      <c r="U32" s="20" t="s">
        <v>314</v>
      </c>
      <c r="V32" s="20" t="s">
        <v>315</v>
      </c>
      <c r="W32" s="20" t="s">
        <v>316</v>
      </c>
      <c r="X32" s="30"/>
      <c r="Y32" s="22"/>
      <c r="Z32" s="27"/>
      <c r="AA32" s="23"/>
      <c r="AB32" s="24"/>
      <c r="AC32" s="24"/>
      <c r="AD32" s="24"/>
      <c r="AE32" s="24"/>
      <c r="AF32" s="24"/>
      <c r="AG32" s="24"/>
      <c r="AH32" s="24"/>
    </row>
    <row r="33" ht="13.5" customHeight="1">
      <c r="A33" s="17"/>
      <c r="B33" s="12" t="s">
        <v>317</v>
      </c>
      <c r="C33" s="13" t="s">
        <v>318</v>
      </c>
      <c r="D33" s="14" t="s">
        <v>30</v>
      </c>
      <c r="E33" s="11" t="s">
        <v>254</v>
      </c>
      <c r="F33" s="11" t="s">
        <v>255</v>
      </c>
      <c r="G33" s="15">
        <v>45826.0</v>
      </c>
      <c r="H33" s="40" t="s">
        <v>319</v>
      </c>
      <c r="I33" s="17"/>
      <c r="J33" s="11" t="s">
        <v>305</v>
      </c>
      <c r="K33" s="18" t="str">
        <f t="shared" si="1"/>
        <v>WBS: WBC-066
שם פרויקט: בית הלוחם- הקמת תחמ"ש פנימית
מנה״פ: אלטחן, קובי
יעד תכנית פיתוח: 18/06/2025
יעד מסתמן: חושמל 18/06/2025</v>
      </c>
      <c r="L33" s="19"/>
      <c r="M33" s="20" t="s">
        <v>320</v>
      </c>
      <c r="N33" s="20" t="s">
        <v>321</v>
      </c>
      <c r="O33" s="20" t="s">
        <v>321</v>
      </c>
      <c r="P33" s="20" t="s">
        <v>321</v>
      </c>
      <c r="Q33" s="20" t="s">
        <v>322</v>
      </c>
      <c r="R33" s="20" t="s">
        <v>322</v>
      </c>
      <c r="S33" s="20" t="s">
        <v>322</v>
      </c>
      <c r="T33" s="20" t="s">
        <v>323</v>
      </c>
      <c r="U33" s="20" t="s">
        <v>324</v>
      </c>
      <c r="V33" s="20" t="s">
        <v>324</v>
      </c>
      <c r="W33" s="20" t="s">
        <v>325</v>
      </c>
      <c r="X33" s="20" t="s">
        <v>326</v>
      </c>
      <c r="Y33" s="27" t="s">
        <v>46</v>
      </c>
      <c r="Z33" s="27"/>
      <c r="AA33" s="23"/>
      <c r="AB33" s="24"/>
      <c r="AC33" s="24"/>
      <c r="AD33" s="24"/>
      <c r="AE33" s="24"/>
      <c r="AF33" s="24"/>
      <c r="AG33" s="24"/>
      <c r="AH33" s="24"/>
    </row>
    <row r="34" ht="13.5" customHeight="1">
      <c r="A34" s="17"/>
      <c r="B34" s="12" t="s">
        <v>327</v>
      </c>
      <c r="C34" s="13" t="s">
        <v>328</v>
      </c>
      <c r="D34" s="14" t="s">
        <v>49</v>
      </c>
      <c r="E34" s="11" t="s">
        <v>254</v>
      </c>
      <c r="F34" s="11" t="s">
        <v>255</v>
      </c>
      <c r="G34" s="15">
        <v>46111.0</v>
      </c>
      <c r="H34" s="16">
        <v>46264.0</v>
      </c>
      <c r="I34" s="17"/>
      <c r="J34" s="11" t="s">
        <v>80</v>
      </c>
      <c r="K34" s="18" t="str">
        <f t="shared" si="1"/>
        <v>WBS: WBE-285
שם פרויקט: איתן - הקמת שדה מס' 1 במסדר 161 ק"ו. יכולת זרם 2000 א'. משיק ל- WBM-40241.
מנה״פ: אלטחן, קובי
יעד תכנית פיתוח: 30/03/2026
יעד מסתמן: 30/08/2026</v>
      </c>
      <c r="L34" s="19"/>
      <c r="M34" s="20" t="s">
        <v>329</v>
      </c>
      <c r="N34" s="20" t="s">
        <v>330</v>
      </c>
      <c r="O34" s="20" t="s">
        <v>330</v>
      </c>
      <c r="P34" s="20" t="s">
        <v>331</v>
      </c>
      <c r="Q34" s="20" t="s">
        <v>331</v>
      </c>
      <c r="R34" s="20" t="s">
        <v>332</v>
      </c>
      <c r="S34" s="20" t="s">
        <v>333</v>
      </c>
      <c r="T34" s="20" t="s">
        <v>334</v>
      </c>
      <c r="U34" s="20" t="s">
        <v>335</v>
      </c>
      <c r="V34" s="20" t="s">
        <v>335</v>
      </c>
      <c r="W34" s="20" t="s">
        <v>335</v>
      </c>
      <c r="X34" s="30"/>
      <c r="Y34" s="27" t="s">
        <v>46</v>
      </c>
      <c r="Z34" s="27"/>
      <c r="AA34" s="23"/>
      <c r="AB34" s="24"/>
      <c r="AC34" s="24"/>
      <c r="AD34" s="24"/>
      <c r="AE34" s="24"/>
      <c r="AF34" s="24"/>
      <c r="AG34" s="24"/>
      <c r="AH34" s="24"/>
    </row>
    <row r="35" ht="13.5" customHeight="1">
      <c r="A35" s="11" t="s">
        <v>27</v>
      </c>
      <c r="B35" s="12" t="s">
        <v>336</v>
      </c>
      <c r="C35" s="13" t="s">
        <v>337</v>
      </c>
      <c r="D35" s="14" t="s">
        <v>49</v>
      </c>
      <c r="E35" s="11" t="s">
        <v>254</v>
      </c>
      <c r="F35" s="11" t="s">
        <v>255</v>
      </c>
      <c r="G35" s="15">
        <v>46264.0</v>
      </c>
      <c r="H35" s="15">
        <v>46142.0</v>
      </c>
      <c r="I35" s="17"/>
      <c r="J35" s="11" t="s">
        <v>50</v>
      </c>
      <c r="K35" s="18" t="str">
        <f t="shared" si="1"/>
        <v>WBS: WBE-087
שם פרויקט: איתן-החל' שנאים ומסדרים-4 שלבים
מנה״פ: אלטחן, קובי
יעד תכנית פיתוח: 30/08/2026
יעד מסתמן: 30/04/2026</v>
      </c>
      <c r="L35" s="19"/>
      <c r="M35" s="37" t="s">
        <v>338</v>
      </c>
      <c r="N35" s="20" t="s">
        <v>339</v>
      </c>
      <c r="O35" s="20" t="s">
        <v>340</v>
      </c>
      <c r="P35" s="20" t="s">
        <v>341</v>
      </c>
      <c r="Q35" s="20" t="s">
        <v>342</v>
      </c>
      <c r="R35" s="20" t="s">
        <v>342</v>
      </c>
      <c r="S35" s="20" t="s">
        <v>343</v>
      </c>
      <c r="T35" s="20" t="s">
        <v>344</v>
      </c>
      <c r="U35" s="20" t="s">
        <v>344</v>
      </c>
      <c r="V35" s="20" t="s">
        <v>345</v>
      </c>
      <c r="W35" s="20" t="s">
        <v>345</v>
      </c>
      <c r="X35" s="20" t="s">
        <v>346</v>
      </c>
      <c r="Y35" s="22" t="s">
        <v>177</v>
      </c>
      <c r="Z35" s="27" t="s">
        <v>347</v>
      </c>
      <c r="AA35" s="23"/>
      <c r="AB35" s="24"/>
      <c r="AC35" s="24"/>
      <c r="AD35" s="24"/>
      <c r="AE35" s="32" t="s">
        <v>191</v>
      </c>
      <c r="AF35" s="24"/>
      <c r="AG35" s="24"/>
      <c r="AH35" s="24"/>
    </row>
    <row r="36" ht="13.5" customHeight="1">
      <c r="A36" s="17"/>
      <c r="B36" s="12" t="s">
        <v>348</v>
      </c>
      <c r="C36" s="13" t="s">
        <v>349</v>
      </c>
      <c r="D36" s="14" t="s">
        <v>49</v>
      </c>
      <c r="E36" s="11" t="s">
        <v>350</v>
      </c>
      <c r="F36" s="11" t="s">
        <v>255</v>
      </c>
      <c r="G36" s="15">
        <v>46387.0</v>
      </c>
      <c r="H36" s="15">
        <v>46325.0</v>
      </c>
      <c r="I36" s="17"/>
      <c r="J36" s="11" t="s">
        <v>95</v>
      </c>
      <c r="K36" s="18" t="str">
        <f t="shared" si="1"/>
        <v>WBS: WBE-232
שם פרויקט: קרית המודיעין-הת' 2 שנאים 161/24ק'50 מגוו"א כ"א וסוללות קבלים
מנה״פ: אלמארו זיאמר
יעד תכנית פיתוח: 31/12/2026
יעד מסתמן: 30/10/2026</v>
      </c>
      <c r="L36" s="41"/>
      <c r="M36" s="42" t="s">
        <v>351</v>
      </c>
      <c r="N36" s="43" t="s">
        <v>352</v>
      </c>
      <c r="O36" s="43" t="s">
        <v>353</v>
      </c>
      <c r="P36" s="43" t="s">
        <v>354</v>
      </c>
      <c r="Q36" s="43" t="s">
        <v>355</v>
      </c>
      <c r="R36" s="43" t="s">
        <v>356</v>
      </c>
      <c r="S36" s="43" t="s">
        <v>357</v>
      </c>
      <c r="T36" s="43" t="s">
        <v>358</v>
      </c>
      <c r="U36" s="43" t="s">
        <v>358</v>
      </c>
      <c r="V36" s="43" t="s">
        <v>359</v>
      </c>
      <c r="W36" s="43" t="s">
        <v>360</v>
      </c>
      <c r="X36" s="44" t="s">
        <v>361</v>
      </c>
      <c r="Y36" s="27" t="s">
        <v>62</v>
      </c>
      <c r="Z36" s="27"/>
      <c r="AA36" s="23"/>
      <c r="AB36" s="24"/>
      <c r="AC36" s="24"/>
      <c r="AD36" s="24"/>
      <c r="AE36" s="24"/>
      <c r="AF36" s="24"/>
      <c r="AG36" s="24"/>
      <c r="AH36" s="24"/>
    </row>
    <row r="37" ht="13.5" customHeight="1">
      <c r="A37" s="17"/>
      <c r="B37" s="12" t="s">
        <v>362</v>
      </c>
      <c r="C37" s="13" t="s">
        <v>363</v>
      </c>
      <c r="D37" s="14" t="s">
        <v>49</v>
      </c>
      <c r="E37" s="11" t="s">
        <v>350</v>
      </c>
      <c r="F37" s="11" t="s">
        <v>255</v>
      </c>
      <c r="G37" s="15">
        <v>47848.0</v>
      </c>
      <c r="H37" s="15">
        <v>47572.0</v>
      </c>
      <c r="I37" s="17"/>
      <c r="J37" s="11" t="s">
        <v>80</v>
      </c>
      <c r="K37" s="18" t="str">
        <f t="shared" si="1"/>
        <v>WBS: WBE-236
שם פרויקט: נתיבות-הקמת שדה קו 161 ק"ו חדש מס' 9 יכולת 3000 א'
מנה״פ: אלמארו זיאמר
יעד תכנית פיתוח: 31/12/2030
יעד מסתמן: 30/03/2030</v>
      </c>
      <c r="L37" s="41"/>
      <c r="M37" s="42" t="s">
        <v>364</v>
      </c>
      <c r="N37" s="43" t="s">
        <v>365</v>
      </c>
      <c r="O37" s="43" t="s">
        <v>366</v>
      </c>
      <c r="P37" s="43" t="s">
        <v>367</v>
      </c>
      <c r="Q37" s="43" t="s">
        <v>368</v>
      </c>
      <c r="R37" s="43" t="s">
        <v>369</v>
      </c>
      <c r="S37" s="43" t="s">
        <v>370</v>
      </c>
      <c r="T37" s="43" t="s">
        <v>370</v>
      </c>
      <c r="U37" s="43" t="s">
        <v>370</v>
      </c>
      <c r="V37" s="43" t="s">
        <v>371</v>
      </c>
      <c r="W37" s="43" t="s">
        <v>371</v>
      </c>
      <c r="X37" s="45"/>
      <c r="Y37" s="22"/>
      <c r="Z37" s="27"/>
      <c r="AA37" s="23"/>
      <c r="AB37" s="24"/>
      <c r="AC37" s="24"/>
      <c r="AD37" s="24"/>
      <c r="AE37" s="24"/>
      <c r="AF37" s="24"/>
      <c r="AG37" s="24"/>
      <c r="AH37" s="24"/>
    </row>
    <row r="38" ht="99.75" customHeight="1">
      <c r="A38" s="17"/>
      <c r="B38" s="12" t="s">
        <v>372</v>
      </c>
      <c r="C38" s="13" t="s">
        <v>373</v>
      </c>
      <c r="D38" s="14" t="s">
        <v>374</v>
      </c>
      <c r="E38" s="11" t="s">
        <v>350</v>
      </c>
      <c r="F38" s="11" t="s">
        <v>255</v>
      </c>
      <c r="G38" s="15">
        <v>46387.0</v>
      </c>
      <c r="H38" s="15">
        <v>46387.0</v>
      </c>
      <c r="I38" s="17"/>
      <c r="J38" s="11" t="s">
        <v>80</v>
      </c>
      <c r="K38" s="18" t="str">
        <f t="shared" si="1"/>
        <v>WBS: WBM-40525
שם פרויקט: נתיבות - שדרוג שדה 3 ליכולת 2000A
מנה״פ: אלמארו זיאמר
יעד תכנית פיתוח: 31/12/2026
יעד מסתמן: 31/12/2026</v>
      </c>
      <c r="L38" s="46"/>
      <c r="M38" s="21" t="s">
        <v>375</v>
      </c>
      <c r="N38" s="47" t="s">
        <v>376</v>
      </c>
      <c r="O38" s="47" t="s">
        <v>377</v>
      </c>
      <c r="P38" s="47" t="s">
        <v>378</v>
      </c>
      <c r="Q38" s="47" t="s">
        <v>379</v>
      </c>
      <c r="R38" s="43" t="s">
        <v>380</v>
      </c>
      <c r="S38" s="43" t="s">
        <v>381</v>
      </c>
      <c r="T38" s="43" t="s">
        <v>382</v>
      </c>
      <c r="U38" s="43" t="s">
        <v>383</v>
      </c>
      <c r="V38" s="43" t="s">
        <v>383</v>
      </c>
      <c r="W38" s="43" t="s">
        <v>383</v>
      </c>
      <c r="X38" s="45"/>
      <c r="Y38" s="22"/>
      <c r="Z38" s="27"/>
      <c r="AA38" s="23"/>
      <c r="AB38" s="24"/>
      <c r="AC38" s="24"/>
      <c r="AD38" s="24"/>
      <c r="AE38" s="24"/>
      <c r="AF38" s="24"/>
      <c r="AG38" s="24"/>
      <c r="AH38" s="24"/>
    </row>
    <row r="39" ht="99.75" customHeight="1">
      <c r="A39" s="17"/>
      <c r="B39" s="12" t="s">
        <v>384</v>
      </c>
      <c r="C39" s="13" t="s">
        <v>385</v>
      </c>
      <c r="D39" s="14" t="s">
        <v>374</v>
      </c>
      <c r="E39" s="11" t="s">
        <v>350</v>
      </c>
      <c r="F39" s="11" t="s">
        <v>255</v>
      </c>
      <c r="G39" s="15">
        <v>46751.0</v>
      </c>
      <c r="H39" s="15">
        <v>46751.0</v>
      </c>
      <c r="I39" s="17"/>
      <c r="J39" s="11" t="s">
        <v>80</v>
      </c>
      <c r="K39" s="18" t="str">
        <f t="shared" si="1"/>
        <v>WBS: WBM-70032
שם פרויקט: נתיבות - פירוק סוללת קבלים והתקנת 4 סוללות מודולריות  חדשות 
מנה״פ: אלמארו זיאמר
יעד תכנית פיתוח: 30/12/2027
יעד מסתמן: 30/12/2027</v>
      </c>
      <c r="L39" s="46"/>
      <c r="M39" s="42" t="s">
        <v>386</v>
      </c>
      <c r="N39" s="43" t="s">
        <v>387</v>
      </c>
      <c r="O39" s="47" t="s">
        <v>377</v>
      </c>
      <c r="P39" s="47" t="s">
        <v>388</v>
      </c>
      <c r="Q39" s="47" t="s">
        <v>379</v>
      </c>
      <c r="R39" s="43" t="s">
        <v>380</v>
      </c>
      <c r="S39" s="43" t="s">
        <v>381</v>
      </c>
      <c r="T39" s="43" t="s">
        <v>382</v>
      </c>
      <c r="U39" s="43" t="s">
        <v>383</v>
      </c>
      <c r="V39" s="43" t="s">
        <v>383</v>
      </c>
      <c r="W39" s="43" t="s">
        <v>383</v>
      </c>
      <c r="X39" s="45"/>
      <c r="Y39" s="22"/>
      <c r="Z39" s="27"/>
      <c r="AA39" s="23"/>
      <c r="AB39" s="24"/>
      <c r="AC39" s="24"/>
      <c r="AD39" s="24"/>
      <c r="AE39" s="24"/>
      <c r="AF39" s="24"/>
      <c r="AG39" s="24"/>
      <c r="AH39" s="24"/>
    </row>
    <row r="40" ht="13.5" customHeight="1">
      <c r="A40" s="17"/>
      <c r="B40" s="12" t="s">
        <v>389</v>
      </c>
      <c r="C40" s="13" t="s">
        <v>390</v>
      </c>
      <c r="D40" s="14" t="s">
        <v>161</v>
      </c>
      <c r="E40" s="11" t="s">
        <v>350</v>
      </c>
      <c r="F40" s="11" t="s">
        <v>255</v>
      </c>
      <c r="G40" s="15">
        <v>46203.0</v>
      </c>
      <c r="H40" s="15">
        <v>46356.0</v>
      </c>
      <c r="I40" s="17"/>
      <c r="J40" s="11" t="s">
        <v>80</v>
      </c>
      <c r="K40" s="18" t="str">
        <f t="shared" si="1"/>
        <v>WBS: WBD-093
שם פרויקט: ניר יצחק ניידת-הצבת 2 תחמ"ש ניידות
מנה״פ: אלמארו זיאמר
יעד תכנית פיתוח: 30/06/2026
יעד מסתמן: 30/11/2026</v>
      </c>
      <c r="L40" s="41"/>
      <c r="M40" s="21" t="s">
        <v>391</v>
      </c>
      <c r="N40" s="47" t="s">
        <v>392</v>
      </c>
      <c r="O40" s="47" t="s">
        <v>392</v>
      </c>
      <c r="P40" s="47" t="s">
        <v>393</v>
      </c>
      <c r="Q40" s="47" t="s">
        <v>394</v>
      </c>
      <c r="R40" s="47" t="s">
        <v>395</v>
      </c>
      <c r="S40" s="47" t="s">
        <v>396</v>
      </c>
      <c r="T40" s="47" t="s">
        <v>397</v>
      </c>
      <c r="U40" s="47" t="s">
        <v>398</v>
      </c>
      <c r="V40" s="47" t="s">
        <v>399</v>
      </c>
      <c r="W40" s="47" t="s">
        <v>400</v>
      </c>
      <c r="X40" s="44" t="s">
        <v>401</v>
      </c>
      <c r="Y40" s="22" t="s">
        <v>190</v>
      </c>
      <c r="Z40" s="27"/>
      <c r="AA40" s="23"/>
      <c r="AB40" s="24"/>
      <c r="AC40" s="24"/>
      <c r="AD40" s="24"/>
      <c r="AE40" s="24"/>
      <c r="AF40" s="24"/>
      <c r="AG40" s="24"/>
      <c r="AH40" s="24"/>
    </row>
    <row r="41" ht="13.5" customHeight="1">
      <c r="A41" s="17"/>
      <c r="B41" s="12" t="s">
        <v>402</v>
      </c>
      <c r="C41" s="13" t="s">
        <v>403</v>
      </c>
      <c r="D41" s="14" t="s">
        <v>30</v>
      </c>
      <c r="E41" s="11" t="s">
        <v>350</v>
      </c>
      <c r="F41" s="11" t="s">
        <v>255</v>
      </c>
      <c r="G41" s="15">
        <v>46691.0</v>
      </c>
      <c r="H41" s="15">
        <v>46507.0</v>
      </c>
      <c r="I41" s="17"/>
      <c r="J41" s="11" t="s">
        <v>80</v>
      </c>
      <c r="K41" s="18" t="str">
        <f t="shared" si="1"/>
        <v>WBS: WBC-122
שם פרויקט: ניר יצחק-הקמת תחמ"ש חיצונית ו- 2 שלבים
מנה״פ: אלמארו זיאמר
יעד תכנית פיתוח: 31/10/2027
יעד מסתמן: 30/04/2027</v>
      </c>
      <c r="L41" s="41"/>
      <c r="M41" s="21" t="s">
        <v>404</v>
      </c>
      <c r="N41" s="47" t="s">
        <v>405</v>
      </c>
      <c r="O41" s="47" t="s">
        <v>405</v>
      </c>
      <c r="P41" s="47" t="s">
        <v>406</v>
      </c>
      <c r="Q41" s="47" t="s">
        <v>407</v>
      </c>
      <c r="R41" s="47" t="s">
        <v>408</v>
      </c>
      <c r="S41" s="47" t="s">
        <v>409</v>
      </c>
      <c r="T41" s="47" t="s">
        <v>410</v>
      </c>
      <c r="U41" s="47" t="s">
        <v>411</v>
      </c>
      <c r="V41" s="47" t="s">
        <v>412</v>
      </c>
      <c r="W41" s="47" t="s">
        <v>412</v>
      </c>
      <c r="X41" s="45"/>
      <c r="Y41" s="27"/>
      <c r="Z41" s="27"/>
      <c r="AA41" s="23"/>
      <c r="AB41" s="24"/>
      <c r="AC41" s="24"/>
      <c r="AD41" s="24"/>
      <c r="AE41" s="24"/>
      <c r="AF41" s="24"/>
      <c r="AG41" s="24"/>
      <c r="AH41" s="24"/>
    </row>
    <row r="42" ht="13.5" customHeight="1">
      <c r="A42" s="17"/>
      <c r="B42" s="12" t="s">
        <v>413</v>
      </c>
      <c r="C42" s="13" t="s">
        <v>414</v>
      </c>
      <c r="D42" s="14" t="s">
        <v>30</v>
      </c>
      <c r="E42" s="11" t="s">
        <v>350</v>
      </c>
      <c r="F42" s="11" t="s">
        <v>255</v>
      </c>
      <c r="G42" s="15">
        <v>46690.0</v>
      </c>
      <c r="H42" s="15">
        <v>46629.0</v>
      </c>
      <c r="I42" s="17"/>
      <c r="J42" s="11" t="s">
        <v>80</v>
      </c>
      <c r="K42" s="18" t="str">
        <f t="shared" si="1"/>
        <v>WBS: WBC-083
שם פרויקט: בית הגדי- הקמת תחמ"ש חיצונית 161/24 ק"ו
מנה״פ: אלמארו זיאמר
יעד תכנית פיתוח: 30/10/2027
יעד מסתמן: 30/08/2027</v>
      </c>
      <c r="L42" s="41"/>
      <c r="M42" s="37" t="s">
        <v>415</v>
      </c>
      <c r="N42" s="48" t="s">
        <v>416</v>
      </c>
      <c r="O42" s="48" t="s">
        <v>416</v>
      </c>
      <c r="P42" s="48" t="s">
        <v>416</v>
      </c>
      <c r="Q42" s="48" t="s">
        <v>417</v>
      </c>
      <c r="R42" s="48" t="s">
        <v>417</v>
      </c>
      <c r="S42" s="48" t="s">
        <v>417</v>
      </c>
      <c r="T42" s="48" t="s">
        <v>417</v>
      </c>
      <c r="U42" s="48" t="s">
        <v>417</v>
      </c>
      <c r="V42" s="48" t="s">
        <v>418</v>
      </c>
      <c r="W42" s="48" t="s">
        <v>418</v>
      </c>
      <c r="X42" s="45"/>
      <c r="Y42" s="27"/>
      <c r="Z42" s="27"/>
      <c r="AA42" s="23"/>
      <c r="AB42" s="24"/>
      <c r="AC42" s="24"/>
      <c r="AD42" s="24"/>
      <c r="AE42" s="24"/>
      <c r="AF42" s="24"/>
      <c r="AG42" s="24"/>
      <c r="AH42" s="24"/>
    </row>
    <row r="43" ht="13.5" customHeight="1">
      <c r="A43" s="17"/>
      <c r="B43" s="12" t="s">
        <v>419</v>
      </c>
      <c r="C43" s="13" t="s">
        <v>420</v>
      </c>
      <c r="D43" s="14" t="s">
        <v>49</v>
      </c>
      <c r="E43" s="11" t="s">
        <v>350</v>
      </c>
      <c r="F43" s="11" t="s">
        <v>255</v>
      </c>
      <c r="G43" s="15">
        <v>46934.0</v>
      </c>
      <c r="H43" s="16">
        <v>46751.0</v>
      </c>
      <c r="I43" s="17"/>
      <c r="J43" s="11" t="s">
        <v>95</v>
      </c>
      <c r="K43" s="18" t="str">
        <f t="shared" si="1"/>
        <v>WBS: WBE-177
שם פרויקט: אורים -חח"י-הוספת 2 שנאים 50 מגוו"א
מנה״פ: אלמארו זיאמר
יעד תכנית פיתוח: 30/06/2028
יעד מסתמן: 30/12/2027</v>
      </c>
      <c r="L43" s="41"/>
      <c r="M43" s="20" t="s">
        <v>421</v>
      </c>
      <c r="N43" s="20" t="s">
        <v>421</v>
      </c>
      <c r="O43" s="20" t="s">
        <v>421</v>
      </c>
      <c r="P43" s="20" t="s">
        <v>421</v>
      </c>
      <c r="Q43" s="20" t="s">
        <v>421</v>
      </c>
      <c r="R43" s="20" t="s">
        <v>421</v>
      </c>
      <c r="S43" s="20" t="s">
        <v>421</v>
      </c>
      <c r="T43" s="20" t="s">
        <v>421</v>
      </c>
      <c r="U43" s="20" t="s">
        <v>421</v>
      </c>
      <c r="V43" s="20" t="s">
        <v>421</v>
      </c>
      <c r="W43" s="20" t="s">
        <v>421</v>
      </c>
      <c r="X43" s="44" t="s">
        <v>422</v>
      </c>
      <c r="Y43" s="27"/>
      <c r="Z43" s="27"/>
      <c r="AA43" s="23"/>
      <c r="AB43" s="24"/>
      <c r="AC43" s="24"/>
      <c r="AD43" s="24"/>
      <c r="AE43" s="24"/>
      <c r="AF43" s="24"/>
      <c r="AG43" s="24"/>
      <c r="AH43" s="24"/>
    </row>
    <row r="44" ht="13.5" customHeight="1">
      <c r="A44" s="17"/>
      <c r="B44" s="12" t="s">
        <v>423</v>
      </c>
      <c r="C44" s="13" t="s">
        <v>424</v>
      </c>
      <c r="D44" s="14" t="s">
        <v>49</v>
      </c>
      <c r="E44" s="11" t="s">
        <v>350</v>
      </c>
      <c r="F44" s="11" t="s">
        <v>255</v>
      </c>
      <c r="G44" s="15">
        <v>47664.0</v>
      </c>
      <c r="H44" s="15">
        <v>46660.0</v>
      </c>
      <c r="I44" s="17"/>
      <c r="J44" s="17"/>
      <c r="K44" s="18" t="str">
        <f t="shared" si="1"/>
        <v>WBS: WBE-237
שם פרויקט: אופקים-הקמת שדה קו 161 ק"ו (מס' 1)
מנה״פ: אלמארו זיאמר
יעד תכנית פיתוח: 30/06/2030
יעד מסתמן: 30/09/2027</v>
      </c>
      <c r="L44" s="41"/>
      <c r="M44" s="21" t="s">
        <v>425</v>
      </c>
      <c r="N44" s="21" t="s">
        <v>426</v>
      </c>
      <c r="O44" s="21" t="s">
        <v>426</v>
      </c>
      <c r="P44" s="21" t="s">
        <v>426</v>
      </c>
      <c r="Q44" s="21" t="s">
        <v>426</v>
      </c>
      <c r="R44" s="21" t="s">
        <v>426</v>
      </c>
      <c r="S44" s="21" t="s">
        <v>426</v>
      </c>
      <c r="T44" s="47" t="s">
        <v>427</v>
      </c>
      <c r="U44" s="47" t="s">
        <v>428</v>
      </c>
      <c r="V44" s="47" t="s">
        <v>428</v>
      </c>
      <c r="W44" s="47" t="s">
        <v>428</v>
      </c>
      <c r="X44" s="45"/>
      <c r="Y44" s="22" t="s">
        <v>129</v>
      </c>
      <c r="Z44" s="27"/>
      <c r="AA44" s="23"/>
      <c r="AB44" s="24"/>
      <c r="AC44" s="24"/>
      <c r="AD44" s="24"/>
      <c r="AE44" s="24"/>
      <c r="AF44" s="24"/>
      <c r="AG44" s="24"/>
      <c r="AH44" s="24"/>
    </row>
    <row r="45" ht="13.5" customHeight="1">
      <c r="A45" s="17"/>
      <c r="B45" s="12" t="s">
        <v>429</v>
      </c>
      <c r="C45" s="13" t="s">
        <v>430</v>
      </c>
      <c r="D45" s="14" t="s">
        <v>49</v>
      </c>
      <c r="E45" s="11" t="s">
        <v>350</v>
      </c>
      <c r="F45" s="11" t="s">
        <v>255</v>
      </c>
      <c r="G45" s="15">
        <v>47118.0</v>
      </c>
      <c r="H45" s="15">
        <v>47026.0</v>
      </c>
      <c r="I45" s="17"/>
      <c r="J45" s="17"/>
      <c r="K45" s="18" t="str">
        <f t="shared" si="1"/>
        <v>WBS: WBE-210
שם פרויקט: אופקים-הוספת שנאי רביעי ( 524) 50 מגוו"א
מנה״פ: אלמארו זיאמר
יעד תכנית פיתוח: 31/12/2028
יעד מסתמן: 30/09/2028</v>
      </c>
      <c r="L45" s="41"/>
      <c r="M45" s="21" t="s">
        <v>425</v>
      </c>
      <c r="N45" s="21" t="s">
        <v>425</v>
      </c>
      <c r="O45" s="21" t="s">
        <v>425</v>
      </c>
      <c r="P45" s="21" t="s">
        <v>425</v>
      </c>
      <c r="Q45" s="21" t="s">
        <v>425</v>
      </c>
      <c r="R45" s="21" t="s">
        <v>425</v>
      </c>
      <c r="S45" s="21" t="s">
        <v>426</v>
      </c>
      <c r="T45" s="47" t="s">
        <v>427</v>
      </c>
      <c r="U45" s="47" t="s">
        <v>428</v>
      </c>
      <c r="V45" s="47" t="s">
        <v>428</v>
      </c>
      <c r="W45" s="47" t="s">
        <v>428</v>
      </c>
      <c r="X45" s="44" t="s">
        <v>431</v>
      </c>
      <c r="Y45" s="27" t="s">
        <v>129</v>
      </c>
      <c r="Z45" s="27"/>
      <c r="AA45" s="23"/>
      <c r="AB45" s="24"/>
      <c r="AC45" s="24"/>
      <c r="AD45" s="24"/>
      <c r="AE45" s="24"/>
      <c r="AF45" s="24"/>
      <c r="AG45" s="24"/>
      <c r="AH45" s="24"/>
    </row>
    <row r="46" ht="13.5" customHeight="1">
      <c r="A46" s="17"/>
      <c r="B46" s="12" t="s">
        <v>432</v>
      </c>
      <c r="C46" s="13" t="s">
        <v>433</v>
      </c>
      <c r="D46" s="14" t="s">
        <v>49</v>
      </c>
      <c r="E46" s="11" t="s">
        <v>238</v>
      </c>
      <c r="F46" s="11" t="s">
        <v>239</v>
      </c>
      <c r="G46" s="15">
        <v>46688.0</v>
      </c>
      <c r="H46" s="40" t="s">
        <v>434</v>
      </c>
      <c r="I46" s="17"/>
      <c r="J46" s="11" t="s">
        <v>50</v>
      </c>
      <c r="K46" s="18" t="str">
        <f t="shared" si="1"/>
        <v>WBS: WBE-018
שם פרויקט: ת"א צפון-החלפת 2 שנאים 50  ל- 75 מגוו"א
מנה״פ: ארליך-בקיש, רחלי
יעד תכנית פיתוח: 28/10/2027
יעד מסתמן: שנאי 1 - 31/06/27
שנאי 2 - 31/08/27</v>
      </c>
      <c r="L46" s="19"/>
      <c r="M46" s="49" t="s">
        <v>435</v>
      </c>
      <c r="N46" s="49" t="s">
        <v>435</v>
      </c>
      <c r="O46" s="49" t="s">
        <v>436</v>
      </c>
      <c r="P46" s="49" t="s">
        <v>436</v>
      </c>
      <c r="Q46" s="49" t="s">
        <v>436</v>
      </c>
      <c r="R46" s="49" t="s">
        <v>437</v>
      </c>
      <c r="S46" s="49" t="s">
        <v>437</v>
      </c>
      <c r="T46" s="49" t="s">
        <v>437</v>
      </c>
      <c r="U46" s="49" t="s">
        <v>437</v>
      </c>
      <c r="V46" s="49" t="s">
        <v>437</v>
      </c>
      <c r="W46" s="49" t="s">
        <v>437</v>
      </c>
      <c r="X46" s="30"/>
      <c r="Y46" s="22"/>
      <c r="Z46" s="27"/>
      <c r="AA46" s="23"/>
      <c r="AB46" s="24"/>
      <c r="AC46" s="24"/>
      <c r="AD46" s="24"/>
      <c r="AE46" s="24"/>
      <c r="AF46" s="24"/>
      <c r="AG46" s="24"/>
      <c r="AH46" s="24"/>
    </row>
    <row r="47" ht="13.5" customHeight="1">
      <c r="A47" s="17"/>
      <c r="B47" s="12" t="s">
        <v>438</v>
      </c>
      <c r="C47" s="13" t="s">
        <v>439</v>
      </c>
      <c r="D47" s="14" t="s">
        <v>161</v>
      </c>
      <c r="E47" s="11" t="s">
        <v>238</v>
      </c>
      <c r="F47" s="11" t="s">
        <v>239</v>
      </c>
      <c r="G47" s="15">
        <v>46203.0</v>
      </c>
      <c r="H47" s="15">
        <v>46507.0</v>
      </c>
      <c r="I47" s="17"/>
      <c r="J47" s="11" t="s">
        <v>80</v>
      </c>
      <c r="K47" s="18" t="str">
        <f t="shared" si="1"/>
        <v>WBS: WBD-119
שם פרויקט: שערי עכו- הצבת 2 תחמ"ש ניידות, 30 מגוו"ט כ"א
מנה״פ: ארליך-בקיש, רחלי
יעד תכנית פיתוח: 30/06/2026
יעד מסתמן: 30/04/2027</v>
      </c>
      <c r="L47" s="19"/>
      <c r="M47" s="20" t="s">
        <v>440</v>
      </c>
      <c r="N47" s="20" t="s">
        <v>440</v>
      </c>
      <c r="O47" s="20" t="s">
        <v>441</v>
      </c>
      <c r="P47" s="20" t="s">
        <v>442</v>
      </c>
      <c r="Q47" s="20" t="s">
        <v>443</v>
      </c>
      <c r="R47" s="20" t="s">
        <v>443</v>
      </c>
      <c r="S47" s="20" t="s">
        <v>443</v>
      </c>
      <c r="T47" s="20" t="s">
        <v>443</v>
      </c>
      <c r="U47" s="20" t="s">
        <v>444</v>
      </c>
      <c r="V47" s="20" t="s">
        <v>444</v>
      </c>
      <c r="W47" s="20" t="s">
        <v>444</v>
      </c>
      <c r="X47" s="20" t="s">
        <v>445</v>
      </c>
      <c r="Y47" s="22"/>
      <c r="Z47" s="27"/>
      <c r="AA47" s="23"/>
      <c r="AB47" s="24"/>
      <c r="AC47" s="24"/>
      <c r="AD47" s="24"/>
      <c r="AE47" s="24"/>
      <c r="AF47" s="24"/>
      <c r="AG47" s="24"/>
      <c r="AH47" s="24"/>
    </row>
    <row r="48" ht="13.5" customHeight="1">
      <c r="A48" s="17"/>
      <c r="B48" s="12" t="s">
        <v>446</v>
      </c>
      <c r="C48" s="13" t="s">
        <v>447</v>
      </c>
      <c r="D48" s="14" t="s">
        <v>49</v>
      </c>
      <c r="E48" s="11" t="s">
        <v>238</v>
      </c>
      <c r="F48" s="11" t="s">
        <v>239</v>
      </c>
      <c r="G48" s="15">
        <v>46387.0</v>
      </c>
      <c r="H48" s="15">
        <v>46203.0</v>
      </c>
      <c r="I48" s="17"/>
      <c r="J48" s="11" t="s">
        <v>50</v>
      </c>
      <c r="K48" s="18" t="str">
        <f t="shared" si="1"/>
        <v>WBS: WBE-282
שם פרויקט: שירת הדבורה-חח"י – התקנת שנאי שלישי 161/24 ק"ו, 50 מגוו"א מס' 523
מנה״פ: ארליך-בקיש, רחלי
יעד תכנית פיתוח: 31/12/2026
יעד מסתמן: 30/06/2026</v>
      </c>
      <c r="L48" s="19"/>
      <c r="M48" s="20" t="s">
        <v>448</v>
      </c>
      <c r="N48" s="20" t="s">
        <v>448</v>
      </c>
      <c r="O48" s="20" t="s">
        <v>448</v>
      </c>
      <c r="P48" s="20" t="s">
        <v>449</v>
      </c>
      <c r="Q48" s="20" t="s">
        <v>450</v>
      </c>
      <c r="R48" s="20" t="s">
        <v>451</v>
      </c>
      <c r="S48" s="20" t="s">
        <v>452</v>
      </c>
      <c r="T48" s="20" t="s">
        <v>453</v>
      </c>
      <c r="U48" s="20" t="s">
        <v>454</v>
      </c>
      <c r="V48" s="20" t="s">
        <v>455</v>
      </c>
      <c r="W48" s="20" t="s">
        <v>456</v>
      </c>
      <c r="X48" s="20" t="s">
        <v>457</v>
      </c>
      <c r="Y48" s="22" t="s">
        <v>62</v>
      </c>
      <c r="Z48" s="27" t="s">
        <v>191</v>
      </c>
      <c r="AA48" s="23"/>
      <c r="AB48" s="24"/>
      <c r="AC48" s="24"/>
      <c r="AD48" s="24"/>
      <c r="AE48" s="24"/>
      <c r="AF48" s="24"/>
      <c r="AG48" s="24"/>
      <c r="AH48" s="24"/>
    </row>
    <row r="49" ht="13.5" customHeight="1">
      <c r="A49" s="17"/>
      <c r="B49" s="12" t="s">
        <v>458</v>
      </c>
      <c r="C49" s="13" t="s">
        <v>459</v>
      </c>
      <c r="D49" s="14" t="s">
        <v>49</v>
      </c>
      <c r="E49" s="11" t="s">
        <v>238</v>
      </c>
      <c r="F49" s="11" t="s">
        <v>239</v>
      </c>
      <c r="G49" s="15">
        <v>45995.0</v>
      </c>
      <c r="H49" s="40" t="s">
        <v>460</v>
      </c>
      <c r="I49" s="17"/>
      <c r="J49" s="11" t="s">
        <v>305</v>
      </c>
      <c r="K49" s="18" t="str">
        <f t="shared" si="1"/>
        <v>WBS: WBE-167
שם פרויקט: שירת דבורה - תחמ"ש -הוספת 2 שנאי חח"י 50 מו"א
מנה״פ: ארליך-בקיש, רחלי
יעד תכנית פיתוח: 04/12/2025
יעד מסתמן: חושמל 04/12/2025 </v>
      </c>
      <c r="L49" s="19"/>
      <c r="M49" s="20" t="s">
        <v>461</v>
      </c>
      <c r="N49" s="20" t="s">
        <v>461</v>
      </c>
      <c r="O49" s="20" t="s">
        <v>461</v>
      </c>
      <c r="P49" s="20" t="s">
        <v>461</v>
      </c>
      <c r="Q49" s="20" t="s">
        <v>461</v>
      </c>
      <c r="R49" s="20" t="s">
        <v>461</v>
      </c>
      <c r="S49" s="20" t="s">
        <v>461</v>
      </c>
      <c r="T49" s="20" t="s">
        <v>461</v>
      </c>
      <c r="U49" s="20" t="s">
        <v>462</v>
      </c>
      <c r="V49" s="20" t="s">
        <v>463</v>
      </c>
      <c r="W49" s="20" t="s">
        <v>464</v>
      </c>
      <c r="X49" s="30"/>
      <c r="Y49" s="22"/>
      <c r="Z49" s="27"/>
      <c r="AA49" s="23"/>
      <c r="AB49" s="24"/>
      <c r="AC49" s="24"/>
      <c r="AD49" s="24"/>
      <c r="AE49" s="24"/>
      <c r="AF49" s="24"/>
      <c r="AG49" s="24"/>
      <c r="AH49" s="24"/>
    </row>
    <row r="50" ht="13.5" customHeight="1">
      <c r="A50" s="17"/>
      <c r="B50" s="12" t="s">
        <v>465</v>
      </c>
      <c r="C50" s="13" t="s">
        <v>466</v>
      </c>
      <c r="D50" s="14" t="s">
        <v>49</v>
      </c>
      <c r="E50" s="11" t="s">
        <v>238</v>
      </c>
      <c r="F50" s="11" t="s">
        <v>239</v>
      </c>
      <c r="G50" s="15">
        <v>46051.0</v>
      </c>
      <c r="H50" s="40" t="s">
        <v>467</v>
      </c>
      <c r="I50" s="17"/>
      <c r="J50" s="11" t="s">
        <v>468</v>
      </c>
      <c r="K50" s="18" t="str">
        <f t="shared" si="1"/>
        <v>WBS: WBE-229
שם פרויקט: קצרין- רב שלבי-החלפת 3 ניידות 20 מגוו"א ל2 שנאים 50 מגוו"א
מנה״פ: ארליך-בקיש, רחלי
יעד תכנית פיתוח: 29/01/2026
יעד מסתמן: בוצע  ב 11/3 חושמלו הקווים ונותקו מהניידת</v>
      </c>
      <c r="L50" s="19"/>
      <c r="M50" s="20" t="s">
        <v>469</v>
      </c>
      <c r="N50" s="20" t="s">
        <v>470</v>
      </c>
      <c r="O50" s="20" t="s">
        <v>471</v>
      </c>
      <c r="P50" s="20" t="s">
        <v>472</v>
      </c>
      <c r="Q50" s="20" t="s">
        <v>473</v>
      </c>
      <c r="R50" s="20" t="s">
        <v>474</v>
      </c>
      <c r="S50" s="20" t="s">
        <v>474</v>
      </c>
      <c r="T50" s="20" t="s">
        <v>475</v>
      </c>
      <c r="U50" s="20" t="s">
        <v>476</v>
      </c>
      <c r="V50" s="20" t="s">
        <v>477</v>
      </c>
      <c r="W50" s="20" t="s">
        <v>478</v>
      </c>
      <c r="X50" s="30"/>
      <c r="Y50" s="22"/>
      <c r="Z50" s="27"/>
      <c r="AA50" s="23"/>
      <c r="AB50" s="24"/>
      <c r="AC50" s="24"/>
      <c r="AD50" s="24"/>
      <c r="AE50" s="24"/>
      <c r="AF50" s="24"/>
      <c r="AG50" s="24"/>
      <c r="AH50" s="24"/>
    </row>
    <row r="51" ht="13.5" customHeight="1">
      <c r="A51" s="11" t="s">
        <v>27</v>
      </c>
      <c r="B51" s="12" t="s">
        <v>479</v>
      </c>
      <c r="C51" s="13" t="s">
        <v>480</v>
      </c>
      <c r="D51" s="14" t="s">
        <v>49</v>
      </c>
      <c r="E51" s="11" t="s">
        <v>238</v>
      </c>
      <c r="F51" s="11" t="s">
        <v>239</v>
      </c>
      <c r="G51" s="15">
        <v>46752.0</v>
      </c>
      <c r="H51" s="40" t="s">
        <v>240</v>
      </c>
      <c r="I51" s="17"/>
      <c r="J51" s="11" t="s">
        <v>80</v>
      </c>
      <c r="K51" s="18" t="str">
        <f t="shared" si="1"/>
        <v>WBS: WBE-100
שם פרויקט: נייר חדרה - שידרוג התחמ"ש
מנה״פ: ארליך-בקיש, רחלי
יעד תכנית פיתוח: 31/12/2027
יעד מסתמן: טרם נקבע</v>
      </c>
      <c r="L51" s="19"/>
      <c r="M51" s="20" t="s">
        <v>481</v>
      </c>
      <c r="N51" s="20" t="s">
        <v>481</v>
      </c>
      <c r="O51" s="20" t="s">
        <v>482</v>
      </c>
      <c r="P51" s="20" t="s">
        <v>482</v>
      </c>
      <c r="Q51" s="20" t="s">
        <v>482</v>
      </c>
      <c r="R51" s="20" t="s">
        <v>483</v>
      </c>
      <c r="S51" s="20" t="s">
        <v>483</v>
      </c>
      <c r="T51" s="20" t="s">
        <v>483</v>
      </c>
      <c r="U51" s="20" t="s">
        <v>483</v>
      </c>
      <c r="V51" s="20" t="s">
        <v>483</v>
      </c>
      <c r="W51" s="20" t="s">
        <v>483</v>
      </c>
      <c r="X51" s="30"/>
      <c r="Y51" s="22" t="s">
        <v>190</v>
      </c>
      <c r="Z51" s="27"/>
      <c r="AA51" s="23"/>
      <c r="AB51" s="24"/>
      <c r="AC51" s="24"/>
      <c r="AD51" s="24"/>
      <c r="AE51" s="24"/>
      <c r="AF51" s="24"/>
      <c r="AG51" s="24"/>
      <c r="AH51" s="24"/>
    </row>
    <row r="52" ht="13.5" customHeight="1">
      <c r="A52" s="17"/>
      <c r="B52" s="12" t="s">
        <v>484</v>
      </c>
      <c r="C52" s="13" t="s">
        <v>485</v>
      </c>
      <c r="D52" s="14" t="s">
        <v>49</v>
      </c>
      <c r="E52" s="11" t="s">
        <v>238</v>
      </c>
      <c r="F52" s="11" t="s">
        <v>239</v>
      </c>
      <c r="G52" s="15">
        <v>46752.0</v>
      </c>
      <c r="H52" s="15">
        <v>46264.0</v>
      </c>
      <c r="I52" s="17"/>
      <c r="J52" s="11" t="s">
        <v>50</v>
      </c>
      <c r="K52" s="18" t="str">
        <f t="shared" si="1"/>
        <v>WBS: WBE-249
שם פרויקט: יאסיף-התקנת שני שנאים בהספק 50 מגו"א כ"א
מנה״פ: ארליך-בקיש, רחלי
יעד תכנית פיתוח: 31/12/2027
יעד מסתמן: 30/08/2026</v>
      </c>
      <c r="L52" s="19"/>
      <c r="M52" s="20" t="s">
        <v>486</v>
      </c>
      <c r="N52" s="20" t="s">
        <v>486</v>
      </c>
      <c r="O52" s="20" t="s">
        <v>487</v>
      </c>
      <c r="P52" s="20" t="s">
        <v>487</v>
      </c>
      <c r="Q52" s="20" t="s">
        <v>488</v>
      </c>
      <c r="R52" s="20" t="s">
        <v>489</v>
      </c>
      <c r="S52" s="20" t="s">
        <v>490</v>
      </c>
      <c r="T52" s="20" t="s">
        <v>491</v>
      </c>
      <c r="U52" s="20" t="s">
        <v>492</v>
      </c>
      <c r="V52" s="20" t="s">
        <v>493</v>
      </c>
      <c r="W52" s="20" t="s">
        <v>494</v>
      </c>
      <c r="X52" s="20" t="s">
        <v>495</v>
      </c>
      <c r="Y52" s="22" t="s">
        <v>62</v>
      </c>
      <c r="Z52" s="22" t="s">
        <v>191</v>
      </c>
      <c r="AA52" s="23"/>
      <c r="AB52" s="24"/>
      <c r="AC52" s="24"/>
      <c r="AD52" s="24"/>
      <c r="AE52" s="24"/>
      <c r="AF52" s="24"/>
      <c r="AG52" s="24"/>
      <c r="AH52" s="24"/>
    </row>
    <row r="53" ht="13.5" customHeight="1">
      <c r="A53" s="17"/>
      <c r="B53" s="12" t="s">
        <v>496</v>
      </c>
      <c r="C53" s="13" t="s">
        <v>497</v>
      </c>
      <c r="D53" s="14" t="s">
        <v>30</v>
      </c>
      <c r="E53" s="11" t="s">
        <v>238</v>
      </c>
      <c r="F53" s="11" t="s">
        <v>239</v>
      </c>
      <c r="G53" s="15">
        <v>46112.0</v>
      </c>
      <c r="H53" s="40" t="s">
        <v>498</v>
      </c>
      <c r="I53" s="17"/>
      <c r="J53" s="11" t="s">
        <v>499</v>
      </c>
      <c r="K53" s="18" t="str">
        <f t="shared" si="1"/>
        <v>WBS: WBC-119
שם פרויקט: בראון (עמק הבכא)-הרחבת תחמ"ש פרטי(לחח"י)
מנה״פ: ארליך-בקיש, רחלי
יעד תכנית פיתוח: 31/03/2026
יעד מסתמן: שנאי 1 חושמל 13/05 , שנאי 2+3 עתיד להתחשמל -06/2026</v>
      </c>
      <c r="L53" s="19"/>
      <c r="M53" s="20" t="s">
        <v>500</v>
      </c>
      <c r="N53" s="20" t="s">
        <v>500</v>
      </c>
      <c r="O53" s="20" t="s">
        <v>501</v>
      </c>
      <c r="P53" s="20" t="s">
        <v>501</v>
      </c>
      <c r="Q53" s="20" t="s">
        <v>502</v>
      </c>
      <c r="R53" s="20" t="s">
        <v>503</v>
      </c>
      <c r="S53" s="20" t="s">
        <v>503</v>
      </c>
      <c r="T53" s="20" t="s">
        <v>503</v>
      </c>
      <c r="U53" s="20" t="s">
        <v>504</v>
      </c>
      <c r="V53" s="20" t="s">
        <v>504</v>
      </c>
      <c r="W53" s="20" t="s">
        <v>504</v>
      </c>
      <c r="X53" s="20" t="s">
        <v>505</v>
      </c>
      <c r="Y53" s="27" t="s">
        <v>191</v>
      </c>
      <c r="Z53" s="27"/>
      <c r="AA53" s="23"/>
      <c r="AB53" s="24"/>
      <c r="AC53" s="24"/>
      <c r="AD53" s="24"/>
      <c r="AE53" s="24"/>
      <c r="AF53" s="24"/>
      <c r="AG53" s="24"/>
      <c r="AH53" s="24"/>
    </row>
    <row r="54" ht="13.5" customHeight="1">
      <c r="A54" s="17"/>
      <c r="B54" s="12" t="s">
        <v>506</v>
      </c>
      <c r="C54" s="13" t="s">
        <v>507</v>
      </c>
      <c r="D54" s="14" t="s">
        <v>49</v>
      </c>
      <c r="E54" s="11" t="s">
        <v>238</v>
      </c>
      <c r="F54" s="11" t="s">
        <v>239</v>
      </c>
      <c r="G54" s="15">
        <v>46326.0</v>
      </c>
      <c r="H54" s="15">
        <v>46386.0</v>
      </c>
      <c r="I54" s="17"/>
      <c r="J54" s="11" t="s">
        <v>103</v>
      </c>
      <c r="K54" s="18" t="str">
        <f t="shared" si="1"/>
        <v>WBS: WBE-192
שם פרויקט: בראון- התקנת שנאי רביעי 161/36 ק"ו, 50 מגוו"א
מנה״פ: ארליך-בקיש, רחלי
יעד תכנית פיתוח: 31/10/2026
יעד מסתמן: 30/12/2026</v>
      </c>
      <c r="L54" s="19"/>
      <c r="M54" s="20" t="s">
        <v>508</v>
      </c>
      <c r="N54" s="20" t="s">
        <v>508</v>
      </c>
      <c r="O54" s="20" t="s">
        <v>509</v>
      </c>
      <c r="P54" s="20" t="s">
        <v>510</v>
      </c>
      <c r="Q54" s="20" t="s">
        <v>510</v>
      </c>
      <c r="R54" s="20" t="s">
        <v>510</v>
      </c>
      <c r="S54" s="20" t="s">
        <v>510</v>
      </c>
      <c r="T54" s="20" t="s">
        <v>510</v>
      </c>
      <c r="U54" s="20" t="s">
        <v>510</v>
      </c>
      <c r="V54" s="20" t="s">
        <v>510</v>
      </c>
      <c r="W54" s="20" t="s">
        <v>510</v>
      </c>
      <c r="X54" s="30"/>
      <c r="Y54" s="22" t="s">
        <v>190</v>
      </c>
      <c r="Z54" s="27"/>
      <c r="AA54" s="23"/>
      <c r="AB54" s="24"/>
      <c r="AC54" s="24"/>
      <c r="AD54" s="24"/>
      <c r="AE54" s="24"/>
      <c r="AF54" s="24"/>
      <c r="AG54" s="24"/>
      <c r="AH54" s="24"/>
    </row>
    <row r="55" ht="13.5" customHeight="1">
      <c r="A55" s="17"/>
      <c r="B55" s="12" t="s">
        <v>511</v>
      </c>
      <c r="C55" s="13" t="s">
        <v>512</v>
      </c>
      <c r="D55" s="14" t="s">
        <v>49</v>
      </c>
      <c r="E55" s="11" t="s">
        <v>238</v>
      </c>
      <c r="F55" s="11" t="s">
        <v>239</v>
      </c>
      <c r="G55" s="15">
        <v>46387.0</v>
      </c>
      <c r="H55" s="15">
        <v>46507.0</v>
      </c>
      <c r="I55" s="17"/>
      <c r="J55" s="11" t="s">
        <v>80</v>
      </c>
      <c r="K55" s="18" t="str">
        <f t="shared" si="1"/>
        <v>WBS: WBE-191
שם פרויקט: בר לב - התקנת שנאי שלישי 161/24 ק"ו , 50 מגוו"א
מנה״פ: ארליך-בקיש, רחלי
יעד תכנית פיתוח: 31/12/2026
יעד מסתמן: 30/04/2027</v>
      </c>
      <c r="L55" s="19"/>
      <c r="M55" s="20" t="s">
        <v>513</v>
      </c>
      <c r="N55" s="20" t="s">
        <v>513</v>
      </c>
      <c r="O55" s="20" t="s">
        <v>514</v>
      </c>
      <c r="P55" s="20" t="s">
        <v>515</v>
      </c>
      <c r="Q55" s="20" t="s">
        <v>516</v>
      </c>
      <c r="R55" s="20" t="s">
        <v>517</v>
      </c>
      <c r="S55" s="20" t="s">
        <v>518</v>
      </c>
      <c r="T55" s="20" t="s">
        <v>519</v>
      </c>
      <c r="U55" s="20" t="s">
        <v>520</v>
      </c>
      <c r="V55" s="20" t="s">
        <v>521</v>
      </c>
      <c r="W55" s="20" t="s">
        <v>522</v>
      </c>
      <c r="X55" s="30"/>
      <c r="Y55" s="22"/>
      <c r="Z55" s="27"/>
      <c r="AA55" s="23"/>
      <c r="AB55" s="24"/>
      <c r="AC55" s="24"/>
      <c r="AD55" s="24"/>
      <c r="AE55" s="24"/>
      <c r="AF55" s="24"/>
      <c r="AG55" s="24"/>
      <c r="AH55" s="24"/>
    </row>
    <row r="56" ht="13.5" customHeight="1">
      <c r="A56" s="17"/>
      <c r="B56" s="12" t="s">
        <v>523</v>
      </c>
      <c r="C56" s="13" t="s">
        <v>524</v>
      </c>
      <c r="D56" s="14" t="s">
        <v>49</v>
      </c>
      <c r="E56" s="11" t="s">
        <v>238</v>
      </c>
      <c r="F56" s="11" t="s">
        <v>239</v>
      </c>
      <c r="G56" s="15">
        <v>46356.0</v>
      </c>
      <c r="H56" s="15">
        <v>46446.0</v>
      </c>
      <c r="I56" s="17"/>
      <c r="J56" s="11" t="s">
        <v>95</v>
      </c>
      <c r="K56" s="18" t="str">
        <f t="shared" si="1"/>
        <v>WBS: WBE-223
שם פרויקט: בית שאן-התקנת שנאי חמישי 161/24 ק"ו 50 מ
מנה״פ: ארליך-בקיש, רחלי
יעד תכנית פיתוח: 30/11/2026
יעד מסתמן: 28/02/2027</v>
      </c>
      <c r="L56" s="19"/>
      <c r="M56" s="20" t="s">
        <v>525</v>
      </c>
      <c r="N56" s="20" t="s">
        <v>526</v>
      </c>
      <c r="O56" s="20" t="s">
        <v>527</v>
      </c>
      <c r="P56" s="20" t="s">
        <v>528</v>
      </c>
      <c r="Q56" s="26" t="s">
        <v>529</v>
      </c>
      <c r="R56" s="26" t="s">
        <v>530</v>
      </c>
      <c r="S56" s="26" t="s">
        <v>531</v>
      </c>
      <c r="T56" s="26" t="s">
        <v>531</v>
      </c>
      <c r="U56" s="26" t="s">
        <v>532</v>
      </c>
      <c r="V56" s="26" t="s">
        <v>532</v>
      </c>
      <c r="W56" s="26" t="s">
        <v>533</v>
      </c>
      <c r="X56" s="30"/>
      <c r="Y56" s="27"/>
      <c r="Z56" s="27"/>
      <c r="AA56" s="23"/>
      <c r="AB56" s="24"/>
      <c r="AC56" s="24"/>
      <c r="AD56" s="24"/>
      <c r="AE56" s="24"/>
      <c r="AF56" s="24"/>
      <c r="AG56" s="24"/>
      <c r="AH56" s="24"/>
    </row>
    <row r="57" ht="13.5" customHeight="1">
      <c r="A57" s="17"/>
      <c r="B57" s="12" t="s">
        <v>534</v>
      </c>
      <c r="C57" s="13" t="s">
        <v>535</v>
      </c>
      <c r="D57" s="14" t="s">
        <v>49</v>
      </c>
      <c r="E57" s="20" t="s">
        <v>238</v>
      </c>
      <c r="F57" s="20" t="s">
        <v>239</v>
      </c>
      <c r="G57" s="15">
        <v>46386.0</v>
      </c>
      <c r="H57" s="15">
        <v>46446.0</v>
      </c>
      <c r="I57" s="17"/>
      <c r="J57" s="11" t="s">
        <v>95</v>
      </c>
      <c r="K57" s="18" t="str">
        <f t="shared" si="1"/>
        <v>WBS: WBE-162
שם פרויקט: בית שאן- הקמת מסדר 161, בניין מסדרים מ"ג והחלפת שנאים 521,522,531
מנה״פ: ארליך-בקיש, רחלי
יעד תכנית פיתוח: 30/12/2026
יעד מסתמן: 28/02/2027</v>
      </c>
      <c r="L57" s="19"/>
      <c r="M57" s="20" t="s">
        <v>525</v>
      </c>
      <c r="N57" s="20" t="s">
        <v>526</v>
      </c>
      <c r="O57" s="20" t="s">
        <v>527</v>
      </c>
      <c r="P57" s="20" t="s">
        <v>528</v>
      </c>
      <c r="Q57" s="20" t="s">
        <v>529</v>
      </c>
      <c r="R57" s="26" t="s">
        <v>530</v>
      </c>
      <c r="S57" s="26" t="s">
        <v>531</v>
      </c>
      <c r="T57" s="26" t="s">
        <v>531</v>
      </c>
      <c r="U57" s="26" t="s">
        <v>532</v>
      </c>
      <c r="V57" s="26" t="s">
        <v>532</v>
      </c>
      <c r="W57" s="26" t="s">
        <v>533</v>
      </c>
      <c r="X57" s="30"/>
      <c r="Y57" s="27"/>
      <c r="Z57" s="27"/>
      <c r="AA57" s="23"/>
      <c r="AB57" s="24"/>
      <c r="AC57" s="24"/>
      <c r="AD57" s="24"/>
      <c r="AE57" s="24"/>
      <c r="AF57" s="24"/>
      <c r="AG57" s="24"/>
      <c r="AH57" s="24"/>
    </row>
    <row r="58" ht="13.5" customHeight="1">
      <c r="A58" s="17"/>
      <c r="B58" s="12" t="s">
        <v>536</v>
      </c>
      <c r="C58" s="13" t="s">
        <v>537</v>
      </c>
      <c r="D58" s="14" t="s">
        <v>49</v>
      </c>
      <c r="E58" s="11" t="s">
        <v>238</v>
      </c>
      <c r="F58" s="11" t="s">
        <v>239</v>
      </c>
      <c r="G58" s="15">
        <v>46752.0</v>
      </c>
      <c r="H58" s="15">
        <v>46660.0</v>
      </c>
      <c r="I58" s="17"/>
      <c r="J58" s="11" t="s">
        <v>65</v>
      </c>
      <c r="K58" s="18" t="str">
        <f t="shared" si="1"/>
        <v>WBS: WBE-286
שם פרויקט: אלעד-התקנת שנאי שלישי 50 מגוו"א 161/24 ק"ו מס' 523
מנה״פ: ארליך-בקיש, רחלי
יעד תכנית פיתוח: 31/12/2027
יעד מסתמן: 30/09/2027</v>
      </c>
      <c r="L58" s="19"/>
      <c r="M58" s="20" t="s">
        <v>538</v>
      </c>
      <c r="N58" s="20" t="s">
        <v>538</v>
      </c>
      <c r="O58" s="20" t="s">
        <v>539</v>
      </c>
      <c r="P58" s="20" t="s">
        <v>539</v>
      </c>
      <c r="Q58" s="20" t="s">
        <v>539</v>
      </c>
      <c r="R58" s="20" t="s">
        <v>539</v>
      </c>
      <c r="S58" s="26" t="s">
        <v>540</v>
      </c>
      <c r="T58" s="26" t="s">
        <v>540</v>
      </c>
      <c r="U58" s="26" t="s">
        <v>540</v>
      </c>
      <c r="V58" s="26" t="s">
        <v>532</v>
      </c>
      <c r="W58" s="26" t="s">
        <v>533</v>
      </c>
      <c r="X58" s="30"/>
      <c r="Y58" s="27"/>
      <c r="Z58" s="27"/>
      <c r="AA58" s="23"/>
      <c r="AB58" s="24"/>
      <c r="AC58" s="24"/>
      <c r="AD58" s="24"/>
      <c r="AE58" s="24"/>
      <c r="AF58" s="24"/>
      <c r="AG58" s="24"/>
      <c r="AH58" s="24"/>
    </row>
    <row r="59" ht="13.5" customHeight="1">
      <c r="A59" s="17"/>
      <c r="B59" s="12" t="s">
        <v>541</v>
      </c>
      <c r="C59" s="13" t="s">
        <v>542</v>
      </c>
      <c r="D59" s="14" t="s">
        <v>30</v>
      </c>
      <c r="E59" s="11" t="s">
        <v>238</v>
      </c>
      <c r="F59" s="11" t="s">
        <v>239</v>
      </c>
      <c r="G59" s="15">
        <v>45929.0</v>
      </c>
      <c r="H59" s="40" t="s">
        <v>543</v>
      </c>
      <c r="I59" s="17"/>
      <c r="J59" s="11" t="s">
        <v>305</v>
      </c>
      <c r="K59" s="18" t="str">
        <f t="shared" si="1"/>
        <v>WBS: WBC-068
שם פרויקט: אלעד- הקמת תחמ"ש חיצונית, 161/24 ק"ו
מנה״פ: ארליך-בקיש, רחלי
יעד תכנית פיתוח: 29/09/2025
יעד מסתמן: חושמל 30/09/2025</v>
      </c>
      <c r="L59" s="19"/>
      <c r="M59" s="20" t="s">
        <v>544</v>
      </c>
      <c r="N59" s="20" t="s">
        <v>545</v>
      </c>
      <c r="O59" s="20" t="s">
        <v>546</v>
      </c>
      <c r="P59" s="20" t="s">
        <v>547</v>
      </c>
      <c r="Q59" s="20" t="s">
        <v>547</v>
      </c>
      <c r="R59" s="20" t="s">
        <v>548</v>
      </c>
      <c r="S59" s="20" t="s">
        <v>549</v>
      </c>
      <c r="T59" s="20" t="s">
        <v>550</v>
      </c>
      <c r="U59" s="20" t="s">
        <v>551</v>
      </c>
      <c r="V59" s="20" t="s">
        <v>552</v>
      </c>
      <c r="W59" s="20" t="s">
        <v>553</v>
      </c>
      <c r="X59" s="30"/>
      <c r="Y59" s="27"/>
      <c r="Z59" s="27"/>
      <c r="AA59" s="23"/>
      <c r="AB59" s="24"/>
      <c r="AC59" s="24"/>
      <c r="AD59" s="24"/>
      <c r="AE59" s="24"/>
      <c r="AF59" s="24"/>
      <c r="AG59" s="24"/>
      <c r="AH59" s="24"/>
    </row>
    <row r="60" ht="13.5" customHeight="1">
      <c r="A60" s="11" t="s">
        <v>27</v>
      </c>
      <c r="B60" s="12" t="s">
        <v>554</v>
      </c>
      <c r="C60" s="13" t="s">
        <v>555</v>
      </c>
      <c r="D60" s="14" t="s">
        <v>374</v>
      </c>
      <c r="E60" s="11" t="s">
        <v>556</v>
      </c>
      <c r="F60" s="11" t="s">
        <v>557</v>
      </c>
      <c r="G60" s="15">
        <v>46477.0</v>
      </c>
      <c r="H60" s="15">
        <v>46477.0</v>
      </c>
      <c r="I60" s="17"/>
      <c r="J60" s="11" t="s">
        <v>103</v>
      </c>
      <c r="K60" s="18" t="str">
        <f t="shared" si="1"/>
        <v>WBS: WBM-40194
שם פרויקט: תל אביב דרום - החלפת שנאי 512 ל-56 מגו"א
מנה״פ: אשקבנד, נסים
יעד תכנית פיתוח: 31/03/2027
יעד מסתמן: 31/03/2027</v>
      </c>
      <c r="L60" s="18"/>
      <c r="M60" s="20" t="s">
        <v>558</v>
      </c>
      <c r="N60" s="30" t="str">
        <f>VLOOKUP('דוח שבועי עדכני'!$B60,'[1]דוח שבועי עדכני'!$B:$N,13,)</f>
        <v>#REF!</v>
      </c>
      <c r="O60" s="20" t="s">
        <v>559</v>
      </c>
      <c r="P60" s="20" t="s">
        <v>559</v>
      </c>
      <c r="Q60" s="20" t="s">
        <v>559</v>
      </c>
      <c r="R60" s="20" t="s">
        <v>560</v>
      </c>
      <c r="S60" s="20" t="s">
        <v>561</v>
      </c>
      <c r="T60" s="20" t="s">
        <v>561</v>
      </c>
      <c r="U60" s="20" t="s">
        <v>562</v>
      </c>
      <c r="V60" s="20" t="s">
        <v>562</v>
      </c>
      <c r="W60" s="20" t="s">
        <v>562</v>
      </c>
      <c r="X60" s="20" t="s">
        <v>563</v>
      </c>
      <c r="Y60" s="27" t="s">
        <v>177</v>
      </c>
      <c r="Z60" s="27" t="s">
        <v>129</v>
      </c>
      <c r="AA60" s="23"/>
      <c r="AB60" s="24"/>
      <c r="AC60" s="24"/>
      <c r="AD60" s="24"/>
      <c r="AE60" s="24"/>
      <c r="AF60" s="24"/>
      <c r="AG60" s="24"/>
      <c r="AH60" s="24"/>
    </row>
    <row r="61" ht="13.5" customHeight="1">
      <c r="A61" s="17"/>
      <c r="B61" s="12" t="s">
        <v>564</v>
      </c>
      <c r="C61" s="13" t="s">
        <v>565</v>
      </c>
      <c r="D61" s="14" t="s">
        <v>374</v>
      </c>
      <c r="E61" s="11" t="s">
        <v>556</v>
      </c>
      <c r="F61" s="11" t="s">
        <v>557</v>
      </c>
      <c r="G61" s="15">
        <v>46326.0</v>
      </c>
      <c r="H61" s="15">
        <v>46752.0</v>
      </c>
      <c r="I61" s="17"/>
      <c r="J61" s="11" t="s">
        <v>50</v>
      </c>
      <c r="K61" s="18" t="str">
        <f t="shared" si="1"/>
        <v>WBS: WBM-40276
שם פרויקט: באר שבע - שדרוג שדות 5, 13, שדרוג מקשר 7-8 והחלפת פ"צ
מנה״פ: אשקבנד, נסים
יעד תכנית פיתוח: 31/10/2026
יעד מסתמן: 31/12/2027</v>
      </c>
      <c r="L61" s="18"/>
      <c r="M61" s="20" t="s">
        <v>566</v>
      </c>
      <c r="N61" s="30" t="str">
        <f>VLOOKUP('דוח שבועי עדכני'!$B61,'[1]דוח שבועי עדכני'!$B:$N,13,)</f>
        <v>#REF!</v>
      </c>
      <c r="O61" s="20" t="s">
        <v>567</v>
      </c>
      <c r="P61" s="20" t="s">
        <v>568</v>
      </c>
      <c r="Q61" s="20" t="s">
        <v>568</v>
      </c>
      <c r="R61" s="20" t="s">
        <v>568</v>
      </c>
      <c r="S61" s="20" t="s">
        <v>568</v>
      </c>
      <c r="T61" s="20" t="s">
        <v>569</v>
      </c>
      <c r="U61" s="20" t="s">
        <v>570</v>
      </c>
      <c r="V61" s="20" t="s">
        <v>570</v>
      </c>
      <c r="W61" s="20" t="s">
        <v>570</v>
      </c>
      <c r="X61" s="30"/>
      <c r="Y61" s="27" t="s">
        <v>46</v>
      </c>
      <c r="Z61" s="27"/>
      <c r="AA61" s="23"/>
      <c r="AB61" s="24"/>
      <c r="AC61" s="24"/>
      <c r="AD61" s="24"/>
      <c r="AE61" s="24"/>
      <c r="AF61" s="24"/>
      <c r="AG61" s="24"/>
      <c r="AH61" s="24"/>
    </row>
    <row r="62" ht="13.5" customHeight="1">
      <c r="A62" s="17"/>
      <c r="B62" s="12" t="s">
        <v>571</v>
      </c>
      <c r="C62" s="13" t="s">
        <v>572</v>
      </c>
      <c r="D62" s="14" t="s">
        <v>374</v>
      </c>
      <c r="E62" s="11" t="s">
        <v>556</v>
      </c>
      <c r="F62" s="11" t="s">
        <v>557</v>
      </c>
      <c r="G62" s="15" t="s">
        <v>573</v>
      </c>
      <c r="H62" s="15">
        <v>47117.0</v>
      </c>
      <c r="I62" s="17"/>
      <c r="J62" s="11" t="s">
        <v>103</v>
      </c>
      <c r="K62" s="18" t="str">
        <f t="shared" si="1"/>
        <v>WBS: WBM-40221
שם פרויקט: כורנוב- תוספת שדה מספר 1 ושדרוג שדה 7.
מנה״פ: אשקבנד, נסים
יעד תכנית פיתוח: 12.2027      12.2028
יעד מסתמן: 30/12/2028</v>
      </c>
      <c r="L62" s="18"/>
      <c r="M62" s="20" t="s">
        <v>574</v>
      </c>
      <c r="N62" s="30" t="str">
        <f>VLOOKUP('דוח שבועי עדכני'!$B62,'[1]דוח שבועי עדכני'!$B:$N,13,)</f>
        <v>#REF!</v>
      </c>
      <c r="O62" s="20" t="s">
        <v>575</v>
      </c>
      <c r="P62" s="20" t="s">
        <v>575</v>
      </c>
      <c r="Q62" s="20" t="s">
        <v>576</v>
      </c>
      <c r="R62" s="20" t="s">
        <v>577</v>
      </c>
      <c r="S62" s="20" t="s">
        <v>578</v>
      </c>
      <c r="T62" s="20" t="s">
        <v>579</v>
      </c>
      <c r="U62" s="20" t="s">
        <v>580</v>
      </c>
      <c r="V62" s="20" t="s">
        <v>581</v>
      </c>
      <c r="W62" s="20" t="s">
        <v>582</v>
      </c>
      <c r="X62" s="20" t="s">
        <v>583</v>
      </c>
      <c r="Y62" s="50" t="s">
        <v>46</v>
      </c>
      <c r="Z62" s="22" t="s">
        <v>77</v>
      </c>
      <c r="AA62" s="23"/>
      <c r="AB62" s="24"/>
      <c r="AC62" s="24"/>
      <c r="AD62" s="24"/>
      <c r="AE62" s="24"/>
      <c r="AF62" s="24"/>
      <c r="AG62" s="24"/>
      <c r="AH62" s="24"/>
    </row>
    <row r="63" ht="13.5" customHeight="1">
      <c r="A63" s="17"/>
      <c r="B63" s="12" t="s">
        <v>584</v>
      </c>
      <c r="C63" s="13" t="s">
        <v>585</v>
      </c>
      <c r="D63" s="14" t="s">
        <v>374</v>
      </c>
      <c r="E63" s="11" t="s">
        <v>556</v>
      </c>
      <c r="F63" s="11" t="s">
        <v>557</v>
      </c>
      <c r="G63" s="15">
        <v>46476.0</v>
      </c>
      <c r="H63" s="15">
        <v>46722.0</v>
      </c>
      <c r="I63" s="17"/>
      <c r="J63" s="11" t="s">
        <v>80</v>
      </c>
      <c r="K63" s="18" t="str">
        <f t="shared" si="1"/>
        <v>WBS: WBM-40611
שם פרויקט: שער הגיא- פירוק מסדר מ"ג מסוג BEU3  והתקנת מסדר מ"ג חדש
מנה״פ: אשקבנד, נסים
יעד תכנית פיתוח: 30/03/2027
יעד מסתמן: 01/12/2027</v>
      </c>
      <c r="L63" s="18"/>
      <c r="M63" s="30"/>
      <c r="N63" s="36"/>
      <c r="O63" s="36"/>
      <c r="P63" s="36"/>
      <c r="Q63" s="36"/>
      <c r="R63" s="36"/>
      <c r="S63" s="36"/>
      <c r="T63" s="36"/>
      <c r="U63" s="36"/>
      <c r="V63" s="37" t="s">
        <v>586</v>
      </c>
      <c r="W63" s="37" t="s">
        <v>587</v>
      </c>
      <c r="X63" s="30"/>
      <c r="Y63" s="17"/>
      <c r="Z63" s="22"/>
      <c r="AA63" s="23"/>
      <c r="AB63" s="24"/>
      <c r="AC63" s="24"/>
      <c r="AD63" s="24"/>
      <c r="AE63" s="24"/>
      <c r="AF63" s="24"/>
      <c r="AG63" s="24"/>
      <c r="AH63" s="24"/>
    </row>
    <row r="64" ht="13.5" customHeight="1">
      <c r="A64" s="17"/>
      <c r="B64" s="12" t="s">
        <v>588</v>
      </c>
      <c r="C64" s="13" t="s">
        <v>589</v>
      </c>
      <c r="D64" s="14" t="s">
        <v>49</v>
      </c>
      <c r="E64" s="11" t="s">
        <v>556</v>
      </c>
      <c r="F64" s="11" t="s">
        <v>557</v>
      </c>
      <c r="G64" s="15">
        <v>46568.0</v>
      </c>
      <c r="H64" s="15">
        <v>46568.0</v>
      </c>
      <c r="I64" s="17"/>
      <c r="J64" s="11" t="s">
        <v>80</v>
      </c>
      <c r="K64" s="18" t="str">
        <f t="shared" si="1"/>
        <v>WBS: WBE-189
שם פרויקט: שער הגיא- הוספת שנאי שלישי 161/24 ק"ו, 50 מגוו"א מס' 524
מנה״פ: אשקבנד, נסים
יעד תכנית פיתוח: 30/06/2027
יעד מסתמן: 30/06/2027</v>
      </c>
      <c r="L64" s="19"/>
      <c r="M64" s="20" t="s">
        <v>590</v>
      </c>
      <c r="N64" s="30" t="str">
        <f>VLOOKUP('דוח שבועי עדכני'!$B64,'[1]דוח שבועי עדכני'!$B:$N,13,)</f>
        <v>#REF!</v>
      </c>
      <c r="O64" s="20" t="s">
        <v>591</v>
      </c>
      <c r="P64" s="20" t="s">
        <v>591</v>
      </c>
      <c r="Q64" s="20" t="s">
        <v>592</v>
      </c>
      <c r="R64" s="20" t="s">
        <v>593</v>
      </c>
      <c r="S64" s="20" t="s">
        <v>593</v>
      </c>
      <c r="T64" s="20" t="s">
        <v>594</v>
      </c>
      <c r="U64" s="20" t="s">
        <v>595</v>
      </c>
      <c r="V64" s="20" t="s">
        <v>596</v>
      </c>
      <c r="W64" s="20" t="s">
        <v>597</v>
      </c>
      <c r="X64" s="30"/>
      <c r="Y64" s="22"/>
      <c r="Z64" s="27"/>
      <c r="AA64" s="23"/>
      <c r="AB64" s="24"/>
      <c r="AC64" s="24"/>
      <c r="AD64" s="24"/>
      <c r="AE64" s="24"/>
      <c r="AF64" s="24"/>
      <c r="AG64" s="24"/>
      <c r="AH64" s="24"/>
    </row>
    <row r="65" ht="13.5" customHeight="1">
      <c r="A65" s="11" t="s">
        <v>27</v>
      </c>
      <c r="B65" s="12" t="s">
        <v>598</v>
      </c>
      <c r="C65" s="13" t="s">
        <v>599</v>
      </c>
      <c r="D65" s="14" t="s">
        <v>374</v>
      </c>
      <c r="E65" s="11" t="s">
        <v>556</v>
      </c>
      <c r="F65" s="11" t="s">
        <v>557</v>
      </c>
      <c r="G65" s="15">
        <v>46326.0</v>
      </c>
      <c r="H65" s="15">
        <v>46386.0</v>
      </c>
      <c r="I65" s="17"/>
      <c r="J65" s="11" t="s">
        <v>600</v>
      </c>
      <c r="K65" s="18" t="str">
        <f t="shared" si="1"/>
        <v>WBS: WBM-40275
שם פרויקט: רמת חובב - שדרוג שדות 20 , 21
החלפת כל ציוד השדות
מנה״פ: אשקבנד, נסים
יעד תכנית פיתוח: 31/10/2026
יעד מסתמן: 30/12/2026</v>
      </c>
      <c r="L65" s="18"/>
      <c r="M65" s="20" t="s">
        <v>601</v>
      </c>
      <c r="N65" s="30" t="str">
        <f>VLOOKUP('דוח שבועי עדכני'!$B65,'[1]דוח שבועי עדכני'!$B:$N,13,)</f>
        <v>#REF!</v>
      </c>
      <c r="O65" s="20" t="s">
        <v>602</v>
      </c>
      <c r="P65" s="33" t="s">
        <v>603</v>
      </c>
      <c r="Q65" s="33" t="s">
        <v>604</v>
      </c>
      <c r="R65" s="33" t="s">
        <v>605</v>
      </c>
      <c r="S65" s="33" t="s">
        <v>606</v>
      </c>
      <c r="T65" s="33" t="s">
        <v>607</v>
      </c>
      <c r="U65" s="33" t="s">
        <v>608</v>
      </c>
      <c r="V65" s="33" t="s">
        <v>609</v>
      </c>
      <c r="W65" s="33" t="s">
        <v>610</v>
      </c>
      <c r="X65" s="20" t="s">
        <v>611</v>
      </c>
      <c r="Y65" s="51" t="s">
        <v>62</v>
      </c>
      <c r="Z65" s="50" t="s">
        <v>177</v>
      </c>
      <c r="AA65" s="23"/>
      <c r="AB65" s="24"/>
      <c r="AC65" s="24"/>
      <c r="AD65" s="24"/>
      <c r="AE65" s="24"/>
      <c r="AF65" s="24"/>
      <c r="AG65" s="24"/>
      <c r="AH65" s="24"/>
    </row>
    <row r="66" ht="13.5" customHeight="1">
      <c r="A66" s="11" t="s">
        <v>27</v>
      </c>
      <c r="B66" s="12" t="s">
        <v>612</v>
      </c>
      <c r="C66" s="13" t="s">
        <v>613</v>
      </c>
      <c r="D66" s="14" t="s">
        <v>49</v>
      </c>
      <c r="E66" s="11" t="s">
        <v>556</v>
      </c>
      <c r="F66" s="11" t="s">
        <v>557</v>
      </c>
      <c r="G66" s="15">
        <v>45917.0</v>
      </c>
      <c r="H66" s="40" t="s">
        <v>543</v>
      </c>
      <c r="I66" s="17"/>
      <c r="J66" s="11" t="s">
        <v>468</v>
      </c>
      <c r="K66" s="18" t="str">
        <f t="shared" si="1"/>
        <v>WBS: WBE-184
שם פרויקט: רמת חובב-החלפת שנאי 33 מגוו"א 522 מגוו"א ל-50 מגוו"א
מנה״פ: אשקבנד, נסים
יעד תכנית פיתוח: 17/09/2025
יעד מסתמן: חושמל 30/09/2025</v>
      </c>
      <c r="L66" s="19"/>
      <c r="M66" s="20" t="s">
        <v>614</v>
      </c>
      <c r="N66" s="30" t="str">
        <f>VLOOKUP('דוח שבועי עדכני'!$B66,'[1]דוח שבועי עדכני'!$B:$N,13,)</f>
        <v>#REF!</v>
      </c>
      <c r="O66" s="20" t="s">
        <v>614</v>
      </c>
      <c r="P66" s="20" t="s">
        <v>614</v>
      </c>
      <c r="Q66" s="20" t="s">
        <v>615</v>
      </c>
      <c r="R66" s="20" t="s">
        <v>615</v>
      </c>
      <c r="S66" s="20" t="s">
        <v>616</v>
      </c>
      <c r="T66" s="20" t="s">
        <v>617</v>
      </c>
      <c r="U66" s="20" t="s">
        <v>618</v>
      </c>
      <c r="V66" s="20" t="s">
        <v>619</v>
      </c>
      <c r="W66" s="20" t="s">
        <v>619</v>
      </c>
      <c r="X66" s="20" t="s">
        <v>620</v>
      </c>
      <c r="Y66" s="22" t="s">
        <v>191</v>
      </c>
      <c r="Z66" s="27"/>
      <c r="AA66" s="23"/>
      <c r="AB66" s="24"/>
      <c r="AC66" s="24"/>
      <c r="AD66" s="24"/>
      <c r="AE66" s="24"/>
      <c r="AF66" s="24"/>
      <c r="AG66" s="24"/>
      <c r="AH66" s="24"/>
    </row>
    <row r="67" ht="13.5" customHeight="1">
      <c r="A67" s="11" t="s">
        <v>27</v>
      </c>
      <c r="B67" s="12" t="s">
        <v>621</v>
      </c>
      <c r="C67" s="13" t="s">
        <v>622</v>
      </c>
      <c r="D67" s="14" t="s">
        <v>49</v>
      </c>
      <c r="E67" s="11" t="s">
        <v>556</v>
      </c>
      <c r="F67" s="11" t="s">
        <v>557</v>
      </c>
      <c r="G67" s="15">
        <v>46064.0</v>
      </c>
      <c r="H67" s="52" t="s">
        <v>623</v>
      </c>
      <c r="I67" s="17"/>
      <c r="J67" s="11" t="s">
        <v>468</v>
      </c>
      <c r="K67" s="18" t="str">
        <f t="shared" si="1"/>
        <v>WBS: WBE-178
שם פרויקט: רמת חובב-החלפת שנאי 33 מגוו"א 521 מגוו"א ל-50 מגוו"א
מנה״פ: אשקבנד, נסים
יעד תכנית פיתוח: 11/02/2026
יעד מסתמן: שנאי חושמל , נשאר מ"ג</v>
      </c>
      <c r="L67" s="19"/>
      <c r="M67" s="20" t="s">
        <v>624</v>
      </c>
      <c r="N67" s="30" t="str">
        <f>VLOOKUP('דוח שבועי עדכני'!$B67,'[1]דוח שבועי עדכני'!$B:$N,13,)</f>
        <v>#REF!</v>
      </c>
      <c r="O67" s="20" t="s">
        <v>625</v>
      </c>
      <c r="P67" s="20" t="s">
        <v>626</v>
      </c>
      <c r="Q67" s="20" t="s">
        <v>627</v>
      </c>
      <c r="R67" s="20" t="s">
        <v>628</v>
      </c>
      <c r="S67" s="20" t="s">
        <v>616</v>
      </c>
      <c r="T67" s="20" t="s">
        <v>617</v>
      </c>
      <c r="U67" s="20" t="s">
        <v>618</v>
      </c>
      <c r="V67" s="20" t="s">
        <v>618</v>
      </c>
      <c r="W67" s="20" t="s">
        <v>618</v>
      </c>
      <c r="X67" s="20" t="s">
        <v>620</v>
      </c>
      <c r="Y67" s="27" t="s">
        <v>191</v>
      </c>
      <c r="Z67" s="27"/>
      <c r="AA67" s="23"/>
      <c r="AB67" s="24"/>
      <c r="AC67" s="24"/>
      <c r="AD67" s="24"/>
      <c r="AE67" s="24"/>
      <c r="AF67" s="24"/>
      <c r="AG67" s="24"/>
      <c r="AH67" s="24"/>
    </row>
    <row r="68" ht="13.5" customHeight="1">
      <c r="A68" s="17"/>
      <c r="B68" s="12" t="s">
        <v>629</v>
      </c>
      <c r="C68" s="13" t="s">
        <v>630</v>
      </c>
      <c r="D68" s="14" t="s">
        <v>49</v>
      </c>
      <c r="E68" s="11" t="s">
        <v>556</v>
      </c>
      <c r="F68" s="11" t="s">
        <v>557</v>
      </c>
      <c r="G68" s="15">
        <v>45783.0</v>
      </c>
      <c r="H68" s="13" t="s">
        <v>631</v>
      </c>
      <c r="I68" s="17"/>
      <c r="J68" s="11" t="s">
        <v>50</v>
      </c>
      <c r="K68" s="18" t="str">
        <f t="shared" si="1"/>
        <v>WBS: WBE-138
שם פרויקט: רותם-הקמת שני שדות והתקנת שני שנאים 161 כולל תוספת מפסק ומ"ז בשדה מקשר
מנה״פ: אשקבנד, נסים
יעד תכנית פיתוח: 06/05/2025
יעד מסתמן: חושמל</v>
      </c>
      <c r="L68" s="19"/>
      <c r="M68" s="20" t="s">
        <v>632</v>
      </c>
      <c r="N68" s="30" t="str">
        <f>VLOOKUP('דוח שבועי עדכני'!$B68,'[1]דוח שבועי עדכני'!$B:$N,13,)</f>
        <v>#REF!</v>
      </c>
      <c r="O68" s="20" t="s">
        <v>633</v>
      </c>
      <c r="P68" s="20" t="s">
        <v>634</v>
      </c>
      <c r="Q68" s="20" t="s">
        <v>635</v>
      </c>
      <c r="R68" s="20" t="s">
        <v>636</v>
      </c>
      <c r="S68" s="20" t="s">
        <v>636</v>
      </c>
      <c r="T68" s="20" t="s">
        <v>637</v>
      </c>
      <c r="U68" s="20" t="s">
        <v>638</v>
      </c>
      <c r="V68" s="20" t="s">
        <v>639</v>
      </c>
      <c r="W68" s="20" t="s">
        <v>639</v>
      </c>
      <c r="X68" s="20" t="s">
        <v>640</v>
      </c>
      <c r="Y68" s="27" t="s">
        <v>62</v>
      </c>
      <c r="Z68" s="50" t="s">
        <v>190</v>
      </c>
      <c r="AA68" s="23"/>
      <c r="AB68" s="24"/>
      <c r="AC68" s="24"/>
      <c r="AD68" s="24"/>
      <c r="AE68" s="24"/>
      <c r="AF68" s="24"/>
      <c r="AG68" s="24"/>
      <c r="AH68" s="24"/>
    </row>
    <row r="69" ht="13.5" customHeight="1">
      <c r="A69" s="17"/>
      <c r="B69" s="12" t="s">
        <v>641</v>
      </c>
      <c r="C69" s="13" t="s">
        <v>642</v>
      </c>
      <c r="D69" s="14" t="s">
        <v>49</v>
      </c>
      <c r="E69" s="11" t="s">
        <v>556</v>
      </c>
      <c r="F69" s="11" t="s">
        <v>557</v>
      </c>
      <c r="G69" s="15">
        <v>47483.0</v>
      </c>
      <c r="H69" s="15">
        <v>47422.0</v>
      </c>
      <c r="I69" s="17"/>
      <c r="J69" s="11" t="s">
        <v>103</v>
      </c>
      <c r="K69" s="18" t="str">
        <f t="shared" si="1"/>
        <v>WBS: WBE-181
שם פרויקט: רותם- התקנת 2 שדות קווים לקליטת קו מערד
מנה״פ: אשקבנד, נסים
יעד תכנית פיתוח: 31/12/2029
יעד מסתמן: 31/10/2029</v>
      </c>
      <c r="L69" s="19"/>
      <c r="M69" s="20" t="s">
        <v>643</v>
      </c>
      <c r="N69" s="30" t="str">
        <f>VLOOKUP('דוח שבועי עדכני'!$B69,'[1]דוח שבועי עדכני'!$B:$N,13,)</f>
        <v>#REF!</v>
      </c>
      <c r="O69" s="20" t="s">
        <v>643</v>
      </c>
      <c r="P69" s="20" t="s">
        <v>644</v>
      </c>
      <c r="Q69" s="20" t="s">
        <v>644</v>
      </c>
      <c r="R69" s="20" t="s">
        <v>644</v>
      </c>
      <c r="S69" s="20" t="s">
        <v>645</v>
      </c>
      <c r="T69" s="20" t="s">
        <v>645</v>
      </c>
      <c r="U69" s="20" t="s">
        <v>645</v>
      </c>
      <c r="V69" s="20" t="s">
        <v>646</v>
      </c>
      <c r="W69" s="20" t="s">
        <v>647</v>
      </c>
      <c r="X69" s="30"/>
      <c r="Y69" s="22"/>
      <c r="Z69" s="27"/>
      <c r="AA69" s="23"/>
      <c r="AB69" s="24"/>
      <c r="AC69" s="24"/>
      <c r="AD69" s="24"/>
      <c r="AE69" s="24"/>
      <c r="AF69" s="24"/>
      <c r="AG69" s="24"/>
      <c r="AH69" s="24"/>
    </row>
    <row r="70" ht="13.5" customHeight="1">
      <c r="A70" s="53"/>
      <c r="B70" s="12" t="s">
        <v>648</v>
      </c>
      <c r="C70" s="13" t="s">
        <v>649</v>
      </c>
      <c r="D70" s="14" t="s">
        <v>374</v>
      </c>
      <c r="E70" s="11" t="s">
        <v>556</v>
      </c>
      <c r="F70" s="11" t="s">
        <v>557</v>
      </c>
      <c r="G70" s="15">
        <v>46295.0</v>
      </c>
      <c r="H70" s="15"/>
      <c r="I70" s="17"/>
      <c r="J70" s="11" t="s">
        <v>103</v>
      </c>
      <c r="K70" s="18" t="str">
        <f t="shared" si="1"/>
        <v>WBS: WBM-40195
שם פרויקט: רמת אביב – החלפת שנאים 511 ו-512
מנה״פ: אשקבנד, נסים
יעד תכנית פיתוח: 30/09/2026
יעד מסתמן: 30/12/1899</v>
      </c>
      <c r="L70" s="18"/>
      <c r="M70" s="54" t="s">
        <v>650</v>
      </c>
      <c r="N70" s="30" t="str">
        <f>VLOOKUP('דוח שבועי עדכני'!$B70,'[1]דוח שבועי עדכני'!$B:$N,13,)</f>
        <v>#REF!</v>
      </c>
      <c r="O70" s="20" t="s">
        <v>651</v>
      </c>
      <c r="P70" s="20" t="s">
        <v>651</v>
      </c>
      <c r="Q70" s="20" t="s">
        <v>651</v>
      </c>
      <c r="R70" s="20" t="s">
        <v>652</v>
      </c>
      <c r="S70" s="20" t="s">
        <v>653</v>
      </c>
      <c r="T70" s="20" t="s">
        <v>653</v>
      </c>
      <c r="U70" s="20" t="s">
        <v>654</v>
      </c>
      <c r="V70" s="20" t="s">
        <v>654</v>
      </c>
      <c r="W70" s="20" t="s">
        <v>654</v>
      </c>
      <c r="X70" s="30"/>
      <c r="Y70" s="27" t="s">
        <v>177</v>
      </c>
      <c r="Z70" s="27"/>
      <c r="AA70" s="23"/>
      <c r="AB70" s="24"/>
      <c r="AC70" s="24"/>
      <c r="AD70" s="24"/>
      <c r="AE70" s="24"/>
      <c r="AF70" s="24"/>
      <c r="AG70" s="24"/>
      <c r="AH70" s="24"/>
    </row>
    <row r="71" ht="13.5" customHeight="1">
      <c r="A71" s="27"/>
      <c r="B71" s="12" t="s">
        <v>655</v>
      </c>
      <c r="C71" s="13" t="s">
        <v>656</v>
      </c>
      <c r="D71" s="14" t="s">
        <v>49</v>
      </c>
      <c r="E71" s="11" t="s">
        <v>556</v>
      </c>
      <c r="F71" s="11" t="s">
        <v>557</v>
      </c>
      <c r="G71" s="15">
        <v>46112.0</v>
      </c>
      <c r="H71" s="15">
        <v>46203.0</v>
      </c>
      <c r="I71" s="17"/>
      <c r="J71" s="11" t="s">
        <v>95</v>
      </c>
      <c r="K71" s="18" t="str">
        <f t="shared" si="1"/>
        <v>WBS: WBE-193
שם פרויקט: עטרות– התקנת שנאי חמישי 161/36 ק"ו
מנה״פ: אשקבנד, נסים
יעד תכנית פיתוח: 31/03/2026
יעד מסתמן: 30/06/2026</v>
      </c>
      <c r="L71" s="19"/>
      <c r="M71" s="20" t="s">
        <v>657</v>
      </c>
      <c r="N71" s="30" t="str">
        <f>VLOOKUP('דוח שבועי עדכני'!$B71,'[1]דוח שבועי עדכני'!$B:$N,13,)</f>
        <v>#REF!</v>
      </c>
      <c r="O71" s="20" t="s">
        <v>658</v>
      </c>
      <c r="P71" s="20" t="s">
        <v>659</v>
      </c>
      <c r="Q71" s="20" t="s">
        <v>660</v>
      </c>
      <c r="R71" s="20" t="s">
        <v>661</v>
      </c>
      <c r="S71" s="20" t="s">
        <v>662</v>
      </c>
      <c r="T71" s="20" t="s">
        <v>663</v>
      </c>
      <c r="U71" s="20" t="s">
        <v>664</v>
      </c>
      <c r="V71" s="20" t="s">
        <v>665</v>
      </c>
      <c r="W71" s="20" t="s">
        <v>666</v>
      </c>
      <c r="X71" s="20" t="s">
        <v>667</v>
      </c>
      <c r="Y71" s="22"/>
      <c r="Z71" s="27"/>
      <c r="AA71" s="23"/>
      <c r="AB71" s="24"/>
      <c r="AC71" s="24"/>
      <c r="AD71" s="24"/>
      <c r="AE71" s="24"/>
      <c r="AF71" s="24"/>
      <c r="AG71" s="24"/>
      <c r="AH71" s="24"/>
    </row>
    <row r="72" ht="13.5" customHeight="1">
      <c r="A72" s="53" t="s">
        <v>27</v>
      </c>
      <c r="B72" s="12" t="s">
        <v>668</v>
      </c>
      <c r="C72" s="13" t="s">
        <v>669</v>
      </c>
      <c r="D72" s="14" t="s">
        <v>49</v>
      </c>
      <c r="E72" s="11" t="s">
        <v>556</v>
      </c>
      <c r="F72" s="11" t="s">
        <v>557</v>
      </c>
      <c r="G72" s="15">
        <v>46081.0</v>
      </c>
      <c r="H72" s="15" t="s">
        <v>670</v>
      </c>
      <c r="I72" s="17"/>
      <c r="J72" s="11" t="s">
        <v>499</v>
      </c>
      <c r="K72" s="18" t="str">
        <f t="shared" si="1"/>
        <v>WBS: WBE-206
שם פרויקט: להבים-התקנת שנאי שלישי 50 מגוו"א
מנה״פ: אשקבנד, נסים
יעד תכנית פיתוח: 28/02/2026
יעד מסתמן: 31.05.26</v>
      </c>
      <c r="L72" s="19"/>
      <c r="M72" s="20" t="s">
        <v>671</v>
      </c>
      <c r="N72" s="30" t="str">
        <f>VLOOKUP('דוח שבועי עדכני'!$B72,'[1]דוח שבועי עדכני'!$B:$N,13,)</f>
        <v>#REF!</v>
      </c>
      <c r="O72" s="20" t="s">
        <v>672</v>
      </c>
      <c r="P72" s="20" t="s">
        <v>673</v>
      </c>
      <c r="Q72" s="20" t="s">
        <v>674</v>
      </c>
      <c r="R72" s="20" t="s">
        <v>675</v>
      </c>
      <c r="S72" s="20" t="s">
        <v>676</v>
      </c>
      <c r="T72" s="20" t="s">
        <v>677</v>
      </c>
      <c r="U72" s="20" t="s">
        <v>678</v>
      </c>
      <c r="V72" s="20" t="s">
        <v>678</v>
      </c>
      <c r="W72" s="20" t="s">
        <v>679</v>
      </c>
      <c r="X72" s="20" t="s">
        <v>680</v>
      </c>
      <c r="Y72" s="51" t="s">
        <v>191</v>
      </c>
      <c r="Z72" s="21" t="s">
        <v>177</v>
      </c>
      <c r="AA72" s="23"/>
      <c r="AB72" s="24"/>
      <c r="AC72" s="24"/>
      <c r="AD72" s="24"/>
      <c r="AE72" s="24"/>
      <c r="AF72" s="24"/>
      <c r="AG72" s="24"/>
      <c r="AH72" s="24"/>
    </row>
    <row r="73" ht="13.5" customHeight="1">
      <c r="A73" s="53" t="s">
        <v>27</v>
      </c>
      <c r="B73" s="12" t="s">
        <v>681</v>
      </c>
      <c r="C73" s="13" t="s">
        <v>682</v>
      </c>
      <c r="D73" s="14" t="s">
        <v>30</v>
      </c>
      <c r="E73" s="11" t="s">
        <v>556</v>
      </c>
      <c r="F73" s="11" t="s">
        <v>557</v>
      </c>
      <c r="G73" s="15">
        <v>46568.0</v>
      </c>
      <c r="H73" s="15" t="s">
        <v>683</v>
      </c>
      <c r="I73" s="17"/>
      <c r="J73" s="11" t="s">
        <v>95</v>
      </c>
      <c r="K73" s="18" t="str">
        <f t="shared" si="1"/>
        <v>WBS: WBC-050
שם פרויקט: טרומן - הקמת תחמ"ש פנימית 161/24 ק"ו
מנה״פ: אשקבנד, נסים
יעד תכנית פיתוח: 30/06/2027
יעד מסתמן: 31.10.27</v>
      </c>
      <c r="L73" s="19"/>
      <c r="M73" s="20" t="s">
        <v>684</v>
      </c>
      <c r="N73" s="30" t="str">
        <f>VLOOKUP('דוח שבועי עדכני'!$B73,'[1]דוח שבועי עדכני'!$B:$N,13,)</f>
        <v>#REF!</v>
      </c>
      <c r="O73" s="20" t="s">
        <v>685</v>
      </c>
      <c r="P73" s="33" t="s">
        <v>686</v>
      </c>
      <c r="Q73" s="33" t="s">
        <v>687</v>
      </c>
      <c r="R73" s="33" t="s">
        <v>688</v>
      </c>
      <c r="S73" s="33" t="s">
        <v>689</v>
      </c>
      <c r="T73" s="33" t="s">
        <v>690</v>
      </c>
      <c r="U73" s="33" t="s">
        <v>691</v>
      </c>
      <c r="V73" s="33" t="s">
        <v>692</v>
      </c>
      <c r="W73" s="33" t="s">
        <v>693</v>
      </c>
      <c r="X73" s="30"/>
      <c r="Y73" s="27"/>
      <c r="Z73" s="27"/>
      <c r="AA73" s="23"/>
      <c r="AB73" s="24"/>
      <c r="AC73" s="24"/>
      <c r="AD73" s="24"/>
      <c r="AE73" s="24"/>
      <c r="AF73" s="24"/>
      <c r="AG73" s="24"/>
      <c r="AH73" s="24"/>
    </row>
    <row r="74" ht="13.5" customHeight="1">
      <c r="A74" s="53"/>
      <c r="B74" s="12" t="s">
        <v>694</v>
      </c>
      <c r="C74" s="13" t="s">
        <v>695</v>
      </c>
      <c r="D74" s="14" t="s">
        <v>49</v>
      </c>
      <c r="E74" s="11" t="s">
        <v>556</v>
      </c>
      <c r="F74" s="11" t="s">
        <v>557</v>
      </c>
      <c r="G74" s="15">
        <v>46387.0</v>
      </c>
      <c r="H74" s="15">
        <v>46295.0</v>
      </c>
      <c r="I74" s="17"/>
      <c r="J74" s="11" t="s">
        <v>95</v>
      </c>
      <c r="K74" s="18" t="str">
        <f t="shared" si="1"/>
        <v>WBS: WBE-280
שם פרויקט: דימונה סולארי- הקמת שדות 19 ו-21 במסדר 161 ק"ו
מנה״פ: אשקבנד, נסים
יעד תכנית פיתוח: 31/12/2026
יעד מסתמן: 30/09/2026</v>
      </c>
      <c r="L74" s="19"/>
      <c r="M74" s="20" t="s">
        <v>696</v>
      </c>
      <c r="N74" s="30" t="str">
        <f>VLOOKUP('דוח שבועי עדכני'!$B74,'[1]דוח שבועי עדכני'!$B:$N,13,)</f>
        <v>#REF!</v>
      </c>
      <c r="O74" s="20" t="s">
        <v>697</v>
      </c>
      <c r="P74" s="20" t="s">
        <v>698</v>
      </c>
      <c r="Q74" s="20" t="s">
        <v>699</v>
      </c>
      <c r="R74" s="20" t="s">
        <v>699</v>
      </c>
      <c r="S74" s="20" t="s">
        <v>699</v>
      </c>
      <c r="T74" s="20" t="s">
        <v>700</v>
      </c>
      <c r="U74" s="20" t="s">
        <v>700</v>
      </c>
      <c r="V74" s="20" t="s">
        <v>700</v>
      </c>
      <c r="W74" s="20" t="s">
        <v>700</v>
      </c>
      <c r="X74" s="20" t="s">
        <v>701</v>
      </c>
      <c r="Y74" s="27" t="s">
        <v>46</v>
      </c>
      <c r="Z74" s="27"/>
      <c r="AA74" s="23"/>
      <c r="AB74" s="24"/>
      <c r="AC74" s="24"/>
      <c r="AD74" s="24"/>
      <c r="AE74" s="24"/>
      <c r="AF74" s="24"/>
      <c r="AG74" s="24"/>
      <c r="AH74" s="24"/>
    </row>
    <row r="75" ht="13.5" customHeight="1">
      <c r="A75" s="53" t="s">
        <v>27</v>
      </c>
      <c r="B75" s="12" t="s">
        <v>702</v>
      </c>
      <c r="C75" s="13" t="s">
        <v>703</v>
      </c>
      <c r="D75" s="14" t="s">
        <v>374</v>
      </c>
      <c r="E75" s="11" t="s">
        <v>556</v>
      </c>
      <c r="F75" s="11" t="s">
        <v>557</v>
      </c>
      <c r="G75" s="15">
        <v>46386.0</v>
      </c>
      <c r="H75" s="15" t="s">
        <v>704</v>
      </c>
      <c r="I75" s="17"/>
      <c r="J75" s="11" t="s">
        <v>600</v>
      </c>
      <c r="K75" s="18" t="str">
        <f t="shared" si="1"/>
        <v>WBS: WBM-40507
שם פרויקט: דימונה - שדה 6 
מנה״פ: אשקבנד, נסים
יעד תכנית פיתוח: 30/12/2026
יעד מסתמן: 30.09.26</v>
      </c>
      <c r="L75" s="18"/>
      <c r="M75" s="20" t="s">
        <v>705</v>
      </c>
      <c r="N75" s="30" t="str">
        <f>VLOOKUP('דוח שבועי עדכני'!$B75,'[1]דוח שבועי עדכני'!$B:$N,13,)</f>
        <v>#REF!</v>
      </c>
      <c r="O75" s="20" t="s">
        <v>706</v>
      </c>
      <c r="P75" s="20" t="s">
        <v>706</v>
      </c>
      <c r="Q75" s="20" t="s">
        <v>707</v>
      </c>
      <c r="R75" s="20" t="s">
        <v>708</v>
      </c>
      <c r="S75" s="20" t="s">
        <v>709</v>
      </c>
      <c r="T75" s="20" t="s">
        <v>710</v>
      </c>
      <c r="U75" s="20" t="s">
        <v>711</v>
      </c>
      <c r="V75" s="55" t="s">
        <v>712</v>
      </c>
      <c r="W75" s="55" t="s">
        <v>713</v>
      </c>
      <c r="X75" s="20" t="s">
        <v>714</v>
      </c>
      <c r="Y75" s="50" t="s">
        <v>77</v>
      </c>
      <c r="Z75" s="27" t="s">
        <v>62</v>
      </c>
      <c r="AA75" s="23"/>
      <c r="AB75" s="24"/>
      <c r="AC75" s="24"/>
      <c r="AD75" s="24"/>
      <c r="AE75" s="24"/>
      <c r="AF75" s="24"/>
      <c r="AG75" s="24"/>
      <c r="AH75" s="56"/>
    </row>
    <row r="76" ht="13.5" customHeight="1">
      <c r="A76" s="57" t="s">
        <v>27</v>
      </c>
      <c r="B76" s="12" t="s">
        <v>715</v>
      </c>
      <c r="C76" s="13" t="s">
        <v>716</v>
      </c>
      <c r="D76" s="14" t="s">
        <v>374</v>
      </c>
      <c r="E76" s="11" t="s">
        <v>556</v>
      </c>
      <c r="F76" s="11" t="s">
        <v>557</v>
      </c>
      <c r="G76" s="15">
        <v>46203.0</v>
      </c>
      <c r="H76" s="15" t="s">
        <v>717</v>
      </c>
      <c r="I76" s="17"/>
      <c r="J76" s="11" t="s">
        <v>50</v>
      </c>
      <c r="K76" s="18" t="str">
        <f t="shared" si="1"/>
        <v>WBS: WBM-40523
שם פרויקט: דימונה - שדרוג שדה 13
מנה״פ: אשקבנד, נסים
יעד תכנית פיתוח: 30/06/2026
יעד מסתמן: 26.02.26</v>
      </c>
      <c r="L76" s="18"/>
      <c r="M76" s="20" t="s">
        <v>718</v>
      </c>
      <c r="N76" s="30" t="str">
        <f>VLOOKUP('דוח שבועי עדכני'!$B76,'[1]דוח שבועי עדכני'!$B:$N,13,)</f>
        <v>#REF!</v>
      </c>
      <c r="O76" s="20" t="s">
        <v>718</v>
      </c>
      <c r="P76" s="20" t="s">
        <v>718</v>
      </c>
      <c r="Q76" s="20" t="s">
        <v>718</v>
      </c>
      <c r="R76" s="20" t="s">
        <v>718</v>
      </c>
      <c r="S76" s="20" t="s">
        <v>718</v>
      </c>
      <c r="T76" s="20" t="s">
        <v>719</v>
      </c>
      <c r="U76" s="20" t="s">
        <v>719</v>
      </c>
      <c r="V76" s="20" t="s">
        <v>719</v>
      </c>
      <c r="W76" s="20" t="s">
        <v>719</v>
      </c>
      <c r="X76" s="20" t="s">
        <v>720</v>
      </c>
      <c r="Y76" s="27" t="s">
        <v>191</v>
      </c>
      <c r="Z76" s="27"/>
      <c r="AA76" s="23"/>
      <c r="AB76" s="24"/>
      <c r="AC76" s="24"/>
      <c r="AD76" s="24"/>
      <c r="AE76" s="24"/>
      <c r="AF76" s="24"/>
      <c r="AG76" s="24"/>
      <c r="AH76" s="24"/>
    </row>
    <row r="77" ht="13.5" customHeight="1">
      <c r="A77" s="53"/>
      <c r="B77" s="12" t="s">
        <v>721</v>
      </c>
      <c r="C77" s="13" t="s">
        <v>722</v>
      </c>
      <c r="D77" s="14" t="s">
        <v>374</v>
      </c>
      <c r="E77" s="11" t="s">
        <v>556</v>
      </c>
      <c r="F77" s="11" t="s">
        <v>557</v>
      </c>
      <c r="G77" s="15">
        <v>47056.0</v>
      </c>
      <c r="H77" s="15">
        <v>47056.0</v>
      </c>
      <c r="I77" s="17"/>
      <c r="J77" s="11" t="s">
        <v>80</v>
      </c>
      <c r="K77" s="18" t="str">
        <f t="shared" si="1"/>
        <v>WBS: WBM-10432
שם פרויקט: דימונה התאמת תיילים ומהדקים בפורטלים לשדות 20 ו-6
מנה״פ: אשקבנד, נסים
יעד תכנית פיתוח: 30/10/2028
יעד מסתמן: 30/10/2028</v>
      </c>
      <c r="L77" s="18"/>
      <c r="M77" s="20" t="s">
        <v>723</v>
      </c>
      <c r="N77" s="30" t="str">
        <f>VLOOKUP('דוח שבועי עדכני'!$B77,'[1]דוח שבועי עדכני'!$B:$N,13,)</f>
        <v>#REF!</v>
      </c>
      <c r="O77" s="20" t="s">
        <v>723</v>
      </c>
      <c r="P77" s="20" t="s">
        <v>723</v>
      </c>
      <c r="Q77" s="20" t="s">
        <v>723</v>
      </c>
      <c r="R77" s="20" t="s">
        <v>724</v>
      </c>
      <c r="S77" s="20" t="s">
        <v>725</v>
      </c>
      <c r="T77" s="20" t="s">
        <v>726</v>
      </c>
      <c r="U77" s="20" t="s">
        <v>727</v>
      </c>
      <c r="V77" s="20" t="s">
        <v>728</v>
      </c>
      <c r="W77" s="20" t="s">
        <v>729</v>
      </c>
      <c r="X77" s="20" t="s">
        <v>730</v>
      </c>
      <c r="Y77" s="27" t="s">
        <v>77</v>
      </c>
      <c r="Z77" s="27"/>
      <c r="AA77" s="23"/>
      <c r="AB77" s="24"/>
      <c r="AC77" s="24"/>
      <c r="AD77" s="24"/>
      <c r="AE77" s="24"/>
      <c r="AF77" s="24"/>
      <c r="AG77" s="24"/>
      <c r="AH77" s="24"/>
    </row>
    <row r="78" ht="13.5" customHeight="1">
      <c r="A78" s="53"/>
      <c r="B78" s="12" t="s">
        <v>731</v>
      </c>
      <c r="C78" s="13" t="s">
        <v>732</v>
      </c>
      <c r="D78" s="14" t="s">
        <v>374</v>
      </c>
      <c r="E78" s="11" t="s">
        <v>556</v>
      </c>
      <c r="F78" s="11" t="s">
        <v>557</v>
      </c>
      <c r="G78" s="15">
        <v>46203.0</v>
      </c>
      <c r="H78" s="15">
        <v>46568.0</v>
      </c>
      <c r="I78" s="17"/>
      <c r="J78" s="11" t="s">
        <v>80</v>
      </c>
      <c r="K78" s="18" t="str">
        <f t="shared" si="1"/>
        <v>WBS: WBM-40062
שם פרויקט: דימונה - שדרוג שדה 14 - התאמת יכולת ל-1600 א'
מנה״פ: אשקבנד, נסים
יעד תכנית פיתוח: 30/06/2026
יעד מסתמן: 30/06/2027</v>
      </c>
      <c r="L78" s="18"/>
      <c r="M78" s="20" t="s">
        <v>733</v>
      </c>
      <c r="N78" s="30" t="str">
        <f>VLOOKUP('דוח שבועי עדכני'!$B78,'[1]דוח שבועי עדכני'!$B:$N,13,)</f>
        <v>#REF!</v>
      </c>
      <c r="O78" s="20" t="s">
        <v>733</v>
      </c>
      <c r="P78" s="20" t="s">
        <v>733</v>
      </c>
      <c r="Q78" s="20" t="s">
        <v>733</v>
      </c>
      <c r="R78" s="20" t="s">
        <v>733</v>
      </c>
      <c r="S78" s="20" t="s">
        <v>733</v>
      </c>
      <c r="T78" s="20" t="s">
        <v>734</v>
      </c>
      <c r="U78" s="20" t="s">
        <v>734</v>
      </c>
      <c r="V78" s="20" t="s">
        <v>734</v>
      </c>
      <c r="W78" s="20" t="s">
        <v>735</v>
      </c>
      <c r="X78" s="30"/>
      <c r="Y78" s="27"/>
      <c r="Z78" s="27"/>
      <c r="AA78" s="23"/>
      <c r="AB78" s="24"/>
      <c r="AC78" s="24"/>
      <c r="AD78" s="24"/>
      <c r="AE78" s="24"/>
      <c r="AF78" s="24"/>
      <c r="AG78" s="24"/>
      <c r="AH78" s="24"/>
    </row>
    <row r="79" ht="13.5" customHeight="1">
      <c r="A79" s="27"/>
      <c r="B79" s="58" t="s">
        <v>736</v>
      </c>
      <c r="C79" s="13" t="s">
        <v>737</v>
      </c>
      <c r="D79" s="14" t="s">
        <v>49</v>
      </c>
      <c r="E79" s="11" t="s">
        <v>556</v>
      </c>
      <c r="F79" s="11" t="s">
        <v>557</v>
      </c>
      <c r="G79" s="15">
        <v>47118.0</v>
      </c>
      <c r="H79" s="15">
        <v>46568.0</v>
      </c>
      <c r="I79" s="17"/>
      <c r="J79" s="11" t="s">
        <v>80</v>
      </c>
      <c r="K79" s="18" t="str">
        <f t="shared" si="1"/>
        <v>WBS: WBE-289
שם פרויקט: דימונה-התאמת שדה 7 לדימונה סולארי ל-2500 א'
מנה״פ: אשקבנד, נסים
יעד תכנית פיתוח: 31/12/2028
יעד מסתמן: 30/06/2027</v>
      </c>
      <c r="L79" s="18"/>
      <c r="M79" s="30"/>
      <c r="N79" s="37" t="s">
        <v>738</v>
      </c>
      <c r="O79" s="37" t="s">
        <v>738</v>
      </c>
      <c r="P79" s="37" t="s">
        <v>738</v>
      </c>
      <c r="Q79" s="37" t="s">
        <v>738</v>
      </c>
      <c r="R79" s="37" t="s">
        <v>738</v>
      </c>
      <c r="S79" s="59"/>
      <c r="T79" s="37" t="s">
        <v>739</v>
      </c>
      <c r="U79" s="37" t="s">
        <v>740</v>
      </c>
      <c r="V79" s="37" t="s">
        <v>740</v>
      </c>
      <c r="W79" s="37" t="s">
        <v>741</v>
      </c>
      <c r="X79" s="30"/>
      <c r="Y79" s="60"/>
      <c r="Z79" s="27"/>
      <c r="AA79" s="23"/>
      <c r="AB79" s="24"/>
      <c r="AC79" s="24"/>
      <c r="AD79" s="24"/>
      <c r="AE79" s="24"/>
      <c r="AF79" s="24"/>
      <c r="AG79" s="24"/>
      <c r="AH79" s="24"/>
    </row>
    <row r="80" ht="13.5" customHeight="1">
      <c r="A80" s="53" t="s">
        <v>27</v>
      </c>
      <c r="B80" s="12" t="s">
        <v>742</v>
      </c>
      <c r="C80" s="13" t="s">
        <v>743</v>
      </c>
      <c r="D80" s="14" t="s">
        <v>49</v>
      </c>
      <c r="E80" s="11" t="s">
        <v>556</v>
      </c>
      <c r="F80" s="11" t="s">
        <v>557</v>
      </c>
      <c r="G80" s="15">
        <v>46081.0</v>
      </c>
      <c r="H80" s="15">
        <v>46142.0</v>
      </c>
      <c r="I80" s="17"/>
      <c r="J80" s="11" t="s">
        <v>499</v>
      </c>
      <c r="K80" s="18" t="str">
        <f t="shared" si="1"/>
        <v>WBS: WBE-088
שם פרויקט: דימונה- התקנת שנאי שלישי 33 ק"ו 50 מגו"א
מנה״פ: אשקבנד, נסים
יעד תכנית פיתוח: 28/02/2026
יעד מסתמן: 30/04/2026</v>
      </c>
      <c r="L80" s="19"/>
      <c r="M80" s="20" t="s">
        <v>744</v>
      </c>
      <c r="N80" s="30" t="str">
        <f>VLOOKUP('דוח שבועי עדכני'!$B80,'[1]דוח שבועי עדכני'!$B:$N,13,)</f>
        <v>#REF!</v>
      </c>
      <c r="O80" s="20" t="s">
        <v>745</v>
      </c>
      <c r="P80" s="20" t="s">
        <v>746</v>
      </c>
      <c r="Q80" s="20" t="s">
        <v>747</v>
      </c>
      <c r="R80" s="20" t="s">
        <v>748</v>
      </c>
      <c r="S80" s="20" t="s">
        <v>749</v>
      </c>
      <c r="T80" s="20" t="s">
        <v>750</v>
      </c>
      <c r="U80" s="20" t="s">
        <v>678</v>
      </c>
      <c r="V80" s="20" t="s">
        <v>678</v>
      </c>
      <c r="W80" s="20" t="s">
        <v>679</v>
      </c>
      <c r="X80" s="20" t="s">
        <v>751</v>
      </c>
      <c r="Y80" s="51" t="s">
        <v>191</v>
      </c>
      <c r="Z80" s="50" t="s">
        <v>62</v>
      </c>
      <c r="AA80" s="23"/>
      <c r="AB80" s="24"/>
      <c r="AC80" s="24"/>
      <c r="AD80" s="24"/>
      <c r="AE80" s="24"/>
      <c r="AF80" s="24"/>
      <c r="AG80" s="24"/>
      <c r="AH80" s="24"/>
    </row>
    <row r="81" ht="13.5" customHeight="1">
      <c r="A81" s="53"/>
      <c r="B81" s="12" t="s">
        <v>752</v>
      </c>
      <c r="C81" s="13" t="s">
        <v>753</v>
      </c>
      <c r="D81" s="14" t="s">
        <v>374</v>
      </c>
      <c r="E81" s="11" t="s">
        <v>556</v>
      </c>
      <c r="F81" s="11" t="s">
        <v>557</v>
      </c>
      <c r="G81" s="15">
        <v>46203.0</v>
      </c>
      <c r="H81" s="15">
        <v>46264.0</v>
      </c>
      <c r="I81" s="17"/>
      <c r="J81" s="11" t="s">
        <v>499</v>
      </c>
      <c r="K81" s="18" t="str">
        <f t="shared" si="1"/>
        <v>WBS: WBM-01448
שם פרויקט: אריאל - פירוק סוללות קבלים מ"ג קיימות והתקנת 5 סוללות קבלים מודולריות 
מנה״פ: אשקבנד, נסים
יעד תכנית פיתוח: 30/06/2026
יעד מסתמן: 30/08/2026</v>
      </c>
      <c r="L81" s="18"/>
      <c r="M81" s="20" t="s">
        <v>754</v>
      </c>
      <c r="N81" s="30" t="str">
        <f>VLOOKUP('דוח שבועי עדכני'!$B81,'[1]דוח שבועי עדכני'!$B:$N,13,)</f>
        <v>#REF!</v>
      </c>
      <c r="O81" s="20" t="s">
        <v>755</v>
      </c>
      <c r="P81" s="20" t="s">
        <v>755</v>
      </c>
      <c r="Q81" s="20" t="s">
        <v>755</v>
      </c>
      <c r="R81" s="20" t="s">
        <v>755</v>
      </c>
      <c r="S81" s="20" t="s">
        <v>756</v>
      </c>
      <c r="T81" s="20" t="s">
        <v>757</v>
      </c>
      <c r="U81" s="20" t="s">
        <v>758</v>
      </c>
      <c r="V81" s="20" t="s">
        <v>759</v>
      </c>
      <c r="W81" s="20" t="s">
        <v>760</v>
      </c>
      <c r="X81" s="30"/>
      <c r="Y81" s="50"/>
      <c r="Z81" s="50"/>
      <c r="AA81" s="23"/>
      <c r="AB81" s="24"/>
      <c r="AC81" s="24"/>
      <c r="AD81" s="24"/>
      <c r="AE81" s="24"/>
      <c r="AF81" s="24"/>
      <c r="AG81" s="24"/>
      <c r="AH81" s="24"/>
    </row>
    <row r="82" ht="13.5" customHeight="1">
      <c r="A82" s="53" t="s">
        <v>27</v>
      </c>
      <c r="B82" s="12" t="s">
        <v>761</v>
      </c>
      <c r="C82" s="13" t="s">
        <v>762</v>
      </c>
      <c r="D82" s="14" t="s">
        <v>49</v>
      </c>
      <c r="E82" s="11" t="s">
        <v>556</v>
      </c>
      <c r="F82" s="11" t="s">
        <v>557</v>
      </c>
      <c r="G82" s="15">
        <v>46387.0</v>
      </c>
      <c r="H82" s="15">
        <v>46417.0</v>
      </c>
      <c r="I82" s="17"/>
      <c r="J82" s="11" t="s">
        <v>108</v>
      </c>
      <c r="K82" s="18" t="str">
        <f t="shared" si="1"/>
        <v>WBS: WBE-190
שם פרויקט: אריאל – התקנת שנאי חמישי 161/36 ק"ו
מנה״פ: אשקבנד, נסים
יעד תכנית פיתוח: 31/12/2026
יעד מסתמן: 30/01/2027</v>
      </c>
      <c r="L82" s="19"/>
      <c r="M82" s="54" t="s">
        <v>763</v>
      </c>
      <c r="N82" s="30" t="str">
        <f>VLOOKUP('דוח שבועי עדכני'!$B82,'[1]דוח שבועי עדכני'!$B:$N,13,)</f>
        <v>#REF!</v>
      </c>
      <c r="O82" s="20" t="s">
        <v>764</v>
      </c>
      <c r="P82" s="20" t="s">
        <v>765</v>
      </c>
      <c r="Q82" s="20" t="s">
        <v>766</v>
      </c>
      <c r="R82" s="20" t="s">
        <v>767</v>
      </c>
      <c r="S82" s="20" t="s">
        <v>768</v>
      </c>
      <c r="T82" s="20" t="s">
        <v>769</v>
      </c>
      <c r="U82" s="20" t="s">
        <v>770</v>
      </c>
      <c r="V82" s="20" t="s">
        <v>771</v>
      </c>
      <c r="W82" s="20" t="s">
        <v>771</v>
      </c>
      <c r="X82" s="20" t="s">
        <v>772</v>
      </c>
      <c r="Y82" s="22" t="s">
        <v>191</v>
      </c>
      <c r="Z82" s="27" t="s">
        <v>46</v>
      </c>
      <c r="AA82" s="23"/>
      <c r="AB82" s="24"/>
      <c r="AC82" s="24"/>
      <c r="AD82" s="24"/>
      <c r="AE82" s="24"/>
      <c r="AF82" s="24"/>
      <c r="AG82" s="24"/>
      <c r="AH82" s="24"/>
    </row>
    <row r="83" ht="13.5" customHeight="1">
      <c r="A83" s="27"/>
      <c r="B83" s="12" t="s">
        <v>773</v>
      </c>
      <c r="C83" s="13" t="s">
        <v>774</v>
      </c>
      <c r="D83" s="14" t="s">
        <v>30</v>
      </c>
      <c r="E83" s="11" t="s">
        <v>775</v>
      </c>
      <c r="F83" s="11" t="s">
        <v>94</v>
      </c>
      <c r="G83" s="15">
        <v>47482.0</v>
      </c>
      <c r="H83" s="15"/>
      <c r="I83" s="17"/>
      <c r="J83" s="17"/>
      <c r="K83" s="18" t="str">
        <f t="shared" si="1"/>
        <v>WBS: WBC-041
שם פרויקט: עזריאלי -הקמת תחמ"ש פנימית 161/24 ק"ו
מנה״פ: בר אור, מעיין
יעד תכנית פיתוח: 30/12/2029
יעד מסתמן: 30/12/1899</v>
      </c>
      <c r="L83" s="18"/>
      <c r="M83" s="61"/>
      <c r="N83" s="36"/>
      <c r="O83" s="36"/>
      <c r="P83" s="36"/>
      <c r="Q83" s="37" t="s">
        <v>776</v>
      </c>
      <c r="R83" s="37" t="s">
        <v>776</v>
      </c>
      <c r="S83" s="37" t="s">
        <v>776</v>
      </c>
      <c r="T83" s="37" t="s">
        <v>776</v>
      </c>
      <c r="U83" s="37" t="s">
        <v>777</v>
      </c>
      <c r="V83" s="37" t="s">
        <v>778</v>
      </c>
      <c r="W83" s="37" t="s">
        <v>778</v>
      </c>
      <c r="X83" s="30"/>
      <c r="Y83" s="60"/>
      <c r="Z83" s="27"/>
      <c r="AA83" s="23"/>
      <c r="AB83" s="24"/>
      <c r="AC83" s="24"/>
      <c r="AD83" s="24"/>
      <c r="AE83" s="24"/>
      <c r="AF83" s="24"/>
      <c r="AG83" s="24"/>
      <c r="AH83" s="24"/>
    </row>
    <row r="84" ht="13.5" customHeight="1">
      <c r="A84" s="53"/>
      <c r="B84" s="12" t="s">
        <v>779</v>
      </c>
      <c r="C84" s="13" t="s">
        <v>780</v>
      </c>
      <c r="D84" s="14" t="s">
        <v>49</v>
      </c>
      <c r="E84" s="11" t="s">
        <v>775</v>
      </c>
      <c r="F84" s="11" t="s">
        <v>94</v>
      </c>
      <c r="G84" s="15">
        <v>46112.0</v>
      </c>
      <c r="H84" s="15">
        <v>46203.0</v>
      </c>
      <c r="I84" s="17"/>
      <c r="J84" s="11" t="s">
        <v>50</v>
      </c>
      <c r="K84" s="18" t="str">
        <f t="shared" si="1"/>
        <v>WBS: WBE-175
שם פרויקט: פתח תקווה-הוספת שנאי 525 161/24 ק"ו 50 מ
מנה״פ: בר אור, מעיין
יעד תכנית פיתוח: 31/03/2026
יעד מסתמן: 30/06/2026</v>
      </c>
      <c r="L84" s="19"/>
      <c r="M84" s="62" t="s">
        <v>781</v>
      </c>
      <c r="N84" s="63" t="s">
        <v>782</v>
      </c>
      <c r="O84" s="63" t="s">
        <v>783</v>
      </c>
      <c r="P84" s="37" t="s">
        <v>784</v>
      </c>
      <c r="Q84" s="37" t="s">
        <v>784</v>
      </c>
      <c r="R84" s="37" t="s">
        <v>784</v>
      </c>
      <c r="S84" s="37" t="s">
        <v>785</v>
      </c>
      <c r="T84" s="37" t="s">
        <v>786</v>
      </c>
      <c r="U84" s="37" t="s">
        <v>787</v>
      </c>
      <c r="V84" s="37" t="s">
        <v>787</v>
      </c>
      <c r="W84" s="37" t="s">
        <v>788</v>
      </c>
      <c r="X84" s="30"/>
      <c r="Y84" s="27"/>
      <c r="Z84" s="27"/>
      <c r="AA84" s="23"/>
      <c r="AB84" s="24"/>
      <c r="AC84" s="24"/>
      <c r="AD84" s="24"/>
      <c r="AE84" s="24"/>
      <c r="AF84" s="24"/>
      <c r="AG84" s="24"/>
      <c r="AH84" s="24"/>
    </row>
    <row r="85" ht="13.5" customHeight="1">
      <c r="A85" s="53"/>
      <c r="B85" s="12" t="s">
        <v>789</v>
      </c>
      <c r="C85" s="13" t="s">
        <v>790</v>
      </c>
      <c r="D85" s="14" t="s">
        <v>49</v>
      </c>
      <c r="E85" s="11" t="s">
        <v>775</v>
      </c>
      <c r="F85" s="11" t="s">
        <v>94</v>
      </c>
      <c r="G85" s="15">
        <v>46203.0</v>
      </c>
      <c r="H85" s="15">
        <v>46356.0</v>
      </c>
      <c r="I85" s="17"/>
      <c r="J85" s="11" t="s">
        <v>108</v>
      </c>
      <c r="K85" s="18" t="str">
        <f t="shared" si="1"/>
        <v>WBS: WBE-205
שם פרויקט: ערד-החלפת 2 שנאים 33 ל-2 שנאים 50, הוספת שנאי רביעי  50 מגוו"א רב שלבי
מנה״פ: בר אור, מעיין
יעד תכנית פיתוח: 30/06/2026
יעד מסתמן: 30/11/2026</v>
      </c>
      <c r="L85" s="19"/>
      <c r="M85" s="20" t="s">
        <v>791</v>
      </c>
      <c r="N85" s="20" t="s">
        <v>791</v>
      </c>
      <c r="O85" s="20" t="s">
        <v>791</v>
      </c>
      <c r="P85" s="20" t="s">
        <v>792</v>
      </c>
      <c r="Q85" s="20" t="s">
        <v>792</v>
      </c>
      <c r="R85" s="20" t="s">
        <v>792</v>
      </c>
      <c r="S85" s="20" t="s">
        <v>793</v>
      </c>
      <c r="T85" s="20" t="s">
        <v>794</v>
      </c>
      <c r="U85" s="20" t="s">
        <v>795</v>
      </c>
      <c r="V85" s="20" t="s">
        <v>796</v>
      </c>
      <c r="W85" s="20" t="s">
        <v>797</v>
      </c>
      <c r="X85" s="20" t="s">
        <v>798</v>
      </c>
      <c r="Y85" s="27" t="s">
        <v>46</v>
      </c>
      <c r="Z85" s="27"/>
      <c r="AA85" s="23"/>
      <c r="AB85" s="24"/>
      <c r="AC85" s="24"/>
      <c r="AD85" s="24"/>
      <c r="AE85" s="24"/>
      <c r="AF85" s="24"/>
      <c r="AG85" s="24"/>
      <c r="AH85" s="24"/>
    </row>
    <row r="86" ht="13.5" customHeight="1">
      <c r="A86" s="53"/>
      <c r="B86" s="12" t="s">
        <v>799</v>
      </c>
      <c r="C86" s="13" t="s">
        <v>800</v>
      </c>
      <c r="D86" s="14" t="s">
        <v>49</v>
      </c>
      <c r="E86" s="11" t="s">
        <v>775</v>
      </c>
      <c r="F86" s="11" t="s">
        <v>94</v>
      </c>
      <c r="G86" s="15">
        <v>46081.0</v>
      </c>
      <c r="H86" s="15">
        <v>46106.0</v>
      </c>
      <c r="I86" s="17"/>
      <c r="J86" s="11" t="s">
        <v>50</v>
      </c>
      <c r="K86" s="18" t="str">
        <f t="shared" si="1"/>
        <v>WBS: WBE-153
שם פרויקט: ערד-הוספת שנאי שלישי 161/36 ק"ו 50 מגו"א
מנה״פ: בר אור, מעיין
יעד תכנית פיתוח: 28/02/2026
יעד מסתמן: 25/03/2026</v>
      </c>
      <c r="L86" s="19"/>
      <c r="M86" s="20" t="s">
        <v>801</v>
      </c>
      <c r="N86" s="20" t="s">
        <v>801</v>
      </c>
      <c r="O86" s="20" t="s">
        <v>802</v>
      </c>
      <c r="P86" s="20" t="s">
        <v>803</v>
      </c>
      <c r="Q86" s="20" t="s">
        <v>804</v>
      </c>
      <c r="R86" s="20" t="s">
        <v>804</v>
      </c>
      <c r="S86" s="20" t="s">
        <v>805</v>
      </c>
      <c r="T86" s="20" t="s">
        <v>805</v>
      </c>
      <c r="U86" s="20" t="s">
        <v>805</v>
      </c>
      <c r="V86" s="20" t="s">
        <v>806</v>
      </c>
      <c r="W86" s="20" t="s">
        <v>807</v>
      </c>
      <c r="X86" s="64" t="s">
        <v>808</v>
      </c>
      <c r="Y86" s="27"/>
      <c r="Z86" s="27"/>
      <c r="AA86" s="23"/>
      <c r="AB86" s="24"/>
      <c r="AC86" s="24"/>
      <c r="AD86" s="24"/>
      <c r="AE86" s="24"/>
      <c r="AF86" s="24"/>
      <c r="AG86" s="24"/>
      <c r="AH86" s="24"/>
    </row>
    <row r="87" ht="13.5" customHeight="1">
      <c r="A87" s="53"/>
      <c r="B87" s="12" t="s">
        <v>809</v>
      </c>
      <c r="C87" s="13" t="s">
        <v>810</v>
      </c>
      <c r="D87" s="14" t="s">
        <v>49</v>
      </c>
      <c r="E87" s="11" t="s">
        <v>775</v>
      </c>
      <c r="F87" s="11" t="s">
        <v>94</v>
      </c>
      <c r="G87" s="15">
        <v>46081.0</v>
      </c>
      <c r="H87" s="15">
        <v>46106.0</v>
      </c>
      <c r="I87" s="17"/>
      <c r="J87" s="11" t="s">
        <v>50</v>
      </c>
      <c r="K87" s="18" t="str">
        <f t="shared" si="1"/>
        <v>WBS: WBE-152
שם פרויקט: ערד-הוספת 2 מסדרי מ"ג 36 ק"ו (פ''צ 3, 4).
מנה״פ: בר אור, מעיין
יעד תכנית פיתוח: 28/02/2026
יעד מסתמן: 25/03/2026</v>
      </c>
      <c r="L87" s="19"/>
      <c r="M87" s="20" t="s">
        <v>801</v>
      </c>
      <c r="N87" s="20" t="s">
        <v>811</v>
      </c>
      <c r="O87" s="20" t="s">
        <v>802</v>
      </c>
      <c r="P87" s="20" t="s">
        <v>803</v>
      </c>
      <c r="Q87" s="20" t="s">
        <v>804</v>
      </c>
      <c r="R87" s="20" t="s">
        <v>804</v>
      </c>
      <c r="S87" s="20" t="s">
        <v>805</v>
      </c>
      <c r="T87" s="20" t="s">
        <v>805</v>
      </c>
      <c r="U87" s="20" t="s">
        <v>805</v>
      </c>
      <c r="V87" s="20" t="s">
        <v>812</v>
      </c>
      <c r="W87" s="20" t="s">
        <v>807</v>
      </c>
      <c r="X87" s="64" t="s">
        <v>808</v>
      </c>
      <c r="Y87" s="27"/>
      <c r="Z87" s="27"/>
      <c r="AA87" s="23"/>
      <c r="AB87" s="24"/>
      <c r="AC87" s="24"/>
      <c r="AD87" s="24"/>
      <c r="AE87" s="24"/>
      <c r="AF87" s="24"/>
      <c r="AG87" s="24"/>
      <c r="AH87" s="24"/>
    </row>
    <row r="88" ht="13.5" customHeight="1">
      <c r="A88" s="53"/>
      <c r="B88" s="12" t="s">
        <v>813</v>
      </c>
      <c r="C88" s="13" t="s">
        <v>814</v>
      </c>
      <c r="D88" s="14" t="s">
        <v>49</v>
      </c>
      <c r="E88" s="11" t="s">
        <v>775</v>
      </c>
      <c r="F88" s="11" t="s">
        <v>94</v>
      </c>
      <c r="G88" s="15">
        <v>46387.0</v>
      </c>
      <c r="H88" s="15">
        <v>46386.0</v>
      </c>
      <c r="I88" s="17"/>
      <c r="J88" s="11" t="s">
        <v>108</v>
      </c>
      <c r="K88" s="18" t="str">
        <f t="shared" si="1"/>
        <v>WBS: WBE-273
שם פרויקט: ערד- השלמת שדה מקשר פ"צ, הוספת מ"מ לפ"צ מס' 2, התקנת הגנת פ"צ
מנה״פ: בר אור, מעיין
יעד תכנית פיתוח: 31/12/2026
יעד מסתמן: 30/12/2026</v>
      </c>
      <c r="L88" s="19"/>
      <c r="M88" s="20" t="s">
        <v>791</v>
      </c>
      <c r="N88" s="20" t="s">
        <v>791</v>
      </c>
      <c r="O88" s="20" t="s">
        <v>791</v>
      </c>
      <c r="P88" s="20" t="s">
        <v>792</v>
      </c>
      <c r="Q88" s="20" t="s">
        <v>792</v>
      </c>
      <c r="R88" s="20" t="s">
        <v>792</v>
      </c>
      <c r="S88" s="20" t="s">
        <v>793</v>
      </c>
      <c r="T88" s="20" t="s">
        <v>794</v>
      </c>
      <c r="U88" s="20" t="s">
        <v>815</v>
      </c>
      <c r="V88" s="20" t="s">
        <v>816</v>
      </c>
      <c r="W88" s="20" t="s">
        <v>797</v>
      </c>
      <c r="X88" s="20" t="s">
        <v>798</v>
      </c>
      <c r="Y88" s="27" t="s">
        <v>46</v>
      </c>
      <c r="Z88" s="27"/>
      <c r="AA88" s="23"/>
      <c r="AB88" s="24"/>
      <c r="AC88" s="24"/>
      <c r="AD88" s="24"/>
      <c r="AE88" s="24"/>
      <c r="AF88" s="24"/>
      <c r="AG88" s="24"/>
      <c r="AH88" s="24"/>
    </row>
    <row r="89" ht="13.5" customHeight="1">
      <c r="A89" s="53"/>
      <c r="B89" s="12" t="s">
        <v>817</v>
      </c>
      <c r="C89" s="13" t="s">
        <v>818</v>
      </c>
      <c r="D89" s="14" t="s">
        <v>49</v>
      </c>
      <c r="E89" s="11" t="s">
        <v>775</v>
      </c>
      <c r="F89" s="11" t="s">
        <v>94</v>
      </c>
      <c r="G89" s="15">
        <v>46295.0</v>
      </c>
      <c r="H89" s="15">
        <v>46356.0</v>
      </c>
      <c r="I89" s="17"/>
      <c r="J89" s="11" t="s">
        <v>108</v>
      </c>
      <c r="K89" s="18" t="str">
        <f t="shared" si="1"/>
        <v>WBS: WBE-272
שם פרויקט: ערד- הקמת שדה 9 במסדר 161 ק"ו
מנה״פ: בר אור, מעיין
יעד תכנית פיתוח: 30/09/2026
יעד מסתמן: 30/11/2026</v>
      </c>
      <c r="L89" s="19"/>
      <c r="M89" s="20" t="s">
        <v>791</v>
      </c>
      <c r="N89" s="20" t="s">
        <v>791</v>
      </c>
      <c r="O89" s="20" t="s">
        <v>791</v>
      </c>
      <c r="P89" s="20" t="s">
        <v>792</v>
      </c>
      <c r="Q89" s="20" t="s">
        <v>792</v>
      </c>
      <c r="R89" s="20" t="s">
        <v>792</v>
      </c>
      <c r="S89" s="20" t="s">
        <v>793</v>
      </c>
      <c r="T89" s="20" t="s">
        <v>794</v>
      </c>
      <c r="U89" s="20" t="s">
        <v>795</v>
      </c>
      <c r="V89" s="20" t="s">
        <v>796</v>
      </c>
      <c r="W89" s="20" t="s">
        <v>797</v>
      </c>
      <c r="X89" s="30"/>
      <c r="Y89" s="27" t="s">
        <v>46</v>
      </c>
      <c r="Z89" s="27"/>
      <c r="AA89" s="23"/>
      <c r="AB89" s="24"/>
      <c r="AC89" s="24"/>
      <c r="AD89" s="24"/>
      <c r="AE89" s="24"/>
      <c r="AF89" s="24"/>
      <c r="AG89" s="24"/>
      <c r="AH89" s="24"/>
    </row>
    <row r="90" ht="13.5" customHeight="1">
      <c r="A90" s="53"/>
      <c r="B90" s="12" t="s">
        <v>819</v>
      </c>
      <c r="C90" s="13" t="s">
        <v>820</v>
      </c>
      <c r="D90" s="14" t="s">
        <v>30</v>
      </c>
      <c r="E90" s="11" t="s">
        <v>775</v>
      </c>
      <c r="F90" s="11" t="s">
        <v>94</v>
      </c>
      <c r="G90" s="15">
        <v>45988.0</v>
      </c>
      <c r="H90" s="40" t="s">
        <v>821</v>
      </c>
      <c r="I90" s="17"/>
      <c r="J90" s="11" t="s">
        <v>305</v>
      </c>
      <c r="K90" s="18" t="str">
        <f t="shared" si="1"/>
        <v>WBS: WBC-116
שם פרויקט: נחל צופים-הקמת תחמ"ש פנימית 161/13.8 ק"ו
מנה״פ: בר אור, מעיין
יעד תכנית פיתוח: 27/11/2025
יעד מסתמן: חושמל 27/11/2025</v>
      </c>
      <c r="L90" s="19"/>
      <c r="M90" s="20" t="s">
        <v>822</v>
      </c>
      <c r="N90" s="20" t="s">
        <v>822</v>
      </c>
      <c r="O90" s="20" t="s">
        <v>822</v>
      </c>
      <c r="P90" s="20" t="s">
        <v>823</v>
      </c>
      <c r="Q90" s="20" t="s">
        <v>823</v>
      </c>
      <c r="R90" s="20" t="s">
        <v>823</v>
      </c>
      <c r="S90" s="20" t="s">
        <v>824</v>
      </c>
      <c r="T90" s="20" t="s">
        <v>824</v>
      </c>
      <c r="U90" s="20" t="s">
        <v>824</v>
      </c>
      <c r="V90" s="20" t="s">
        <v>825</v>
      </c>
      <c r="W90" s="20" t="s">
        <v>825</v>
      </c>
      <c r="X90" s="30"/>
      <c r="Y90" s="27"/>
      <c r="Z90" s="27"/>
      <c r="AA90" s="23"/>
      <c r="AB90" s="24"/>
      <c r="AC90" s="24"/>
      <c r="AD90" s="24"/>
      <c r="AE90" s="24"/>
      <c r="AF90" s="24"/>
      <c r="AG90" s="24"/>
      <c r="AH90" s="24"/>
    </row>
    <row r="91" ht="13.5" customHeight="1">
      <c r="A91" s="53"/>
      <c r="B91" s="12" t="s">
        <v>826</v>
      </c>
      <c r="C91" s="13" t="s">
        <v>827</v>
      </c>
      <c r="D91" s="14" t="s">
        <v>30</v>
      </c>
      <c r="E91" s="11" t="s">
        <v>775</v>
      </c>
      <c r="F91" s="11" t="s">
        <v>94</v>
      </c>
      <c r="G91" s="15">
        <v>46660.0</v>
      </c>
      <c r="H91" s="15">
        <v>46964.0</v>
      </c>
      <c r="I91" s="17"/>
      <c r="J91" s="11" t="s">
        <v>33</v>
      </c>
      <c r="K91" s="18" t="str">
        <f t="shared" si="1"/>
        <v>WBS: WBC-015
שם פרויקט: גנים(אתר מכבית)-הקמת תחמ"ש פנימית 161/24
מנה״פ: בר אור, מעיין
יעד תכנית פיתוח: 30/09/2027
יעד מסתמן: 30/07/2028</v>
      </c>
      <c r="L91" s="19"/>
      <c r="M91" s="21" t="s">
        <v>828</v>
      </c>
      <c r="N91" s="21" t="s">
        <v>829</v>
      </c>
      <c r="O91" s="21" t="s">
        <v>830</v>
      </c>
      <c r="P91" s="21" t="s">
        <v>831</v>
      </c>
      <c r="Q91" s="21" t="s">
        <v>832</v>
      </c>
      <c r="R91" s="21" t="s">
        <v>832</v>
      </c>
      <c r="S91" s="21" t="s">
        <v>833</v>
      </c>
      <c r="T91" s="21" t="s">
        <v>833</v>
      </c>
      <c r="U91" s="21" t="s">
        <v>834</v>
      </c>
      <c r="V91" s="21" t="s">
        <v>835</v>
      </c>
      <c r="W91" s="21" t="s">
        <v>835</v>
      </c>
      <c r="X91" s="30"/>
      <c r="Y91" s="27"/>
      <c r="Z91" s="27"/>
      <c r="AA91" s="23"/>
      <c r="AB91" s="24"/>
      <c r="AC91" s="24"/>
      <c r="AD91" s="24"/>
      <c r="AE91" s="24"/>
      <c r="AF91" s="24"/>
      <c r="AG91" s="24"/>
      <c r="AH91" s="24"/>
    </row>
    <row r="92" ht="13.5" customHeight="1">
      <c r="A92" s="53"/>
      <c r="B92" s="12" t="s">
        <v>836</v>
      </c>
      <c r="C92" s="13" t="s">
        <v>837</v>
      </c>
      <c r="D92" s="14" t="s">
        <v>161</v>
      </c>
      <c r="E92" s="11" t="s">
        <v>775</v>
      </c>
      <c r="F92" s="11" t="s">
        <v>94</v>
      </c>
      <c r="G92" s="15">
        <v>46142.0</v>
      </c>
      <c r="H92" s="15">
        <v>46142.0</v>
      </c>
      <c r="I92" s="17"/>
      <c r="J92" s="17"/>
      <c r="K92" s="18" t="str">
        <f t="shared" si="1"/>
        <v>WBS: WBD-049
שם פרויקט: גנים (מכבית) ניידת-  הצבת תחמ"ש ניידת
מנה״פ: בר אור, מעיין
יעד תכנית פיתוח: 30/04/2026
יעד מסתמן: 30/04/2026</v>
      </c>
      <c r="L92" s="19"/>
      <c r="M92" s="20" t="s">
        <v>838</v>
      </c>
      <c r="N92" s="20" t="s">
        <v>838</v>
      </c>
      <c r="O92" s="20" t="s">
        <v>838</v>
      </c>
      <c r="P92" s="20" t="s">
        <v>839</v>
      </c>
      <c r="Q92" s="20" t="s">
        <v>839</v>
      </c>
      <c r="R92" s="20" t="s">
        <v>839</v>
      </c>
      <c r="S92" s="20" t="s">
        <v>840</v>
      </c>
      <c r="T92" s="20" t="s">
        <v>840</v>
      </c>
      <c r="U92" s="20" t="s">
        <v>840</v>
      </c>
      <c r="V92" s="20" t="s">
        <v>841</v>
      </c>
      <c r="W92" s="20" t="s">
        <v>841</v>
      </c>
      <c r="X92" s="30"/>
      <c r="Y92" s="27"/>
      <c r="Z92" s="27"/>
      <c r="AA92" s="23"/>
      <c r="AB92" s="24"/>
      <c r="AC92" s="24"/>
      <c r="AD92" s="24"/>
      <c r="AE92" s="24"/>
      <c r="AF92" s="24"/>
      <c r="AG92" s="24"/>
      <c r="AH92" s="24"/>
    </row>
    <row r="93" ht="13.5" customHeight="1">
      <c r="A93" s="53"/>
      <c r="B93" s="12" t="s">
        <v>842</v>
      </c>
      <c r="C93" s="13" t="s">
        <v>843</v>
      </c>
      <c r="D93" s="14" t="s">
        <v>30</v>
      </c>
      <c r="E93" s="11" t="s">
        <v>775</v>
      </c>
      <c r="F93" s="11" t="s">
        <v>94</v>
      </c>
      <c r="G93" s="15">
        <v>45853.0</v>
      </c>
      <c r="H93" s="40" t="s">
        <v>631</v>
      </c>
      <c r="I93" s="17"/>
      <c r="J93" s="11" t="s">
        <v>305</v>
      </c>
      <c r="K93" s="18" t="str">
        <f t="shared" si="1"/>
        <v>WBS: WBC-027
שם פרויקט: גבעתיים - הקמת תחמ"ש פנימית 161/24 ק"ו
מנה״פ: בר אור, מעיין
יעד תכנית פיתוח: 15/07/2025
יעד מסתמן: חושמל</v>
      </c>
      <c r="L93" s="19"/>
      <c r="M93" s="63" t="s">
        <v>844</v>
      </c>
      <c r="N93" s="63" t="s">
        <v>845</v>
      </c>
      <c r="O93" s="62" t="s">
        <v>846</v>
      </c>
      <c r="P93" s="62" t="s">
        <v>847</v>
      </c>
      <c r="Q93" s="62" t="s">
        <v>848</v>
      </c>
      <c r="R93" s="62" t="s">
        <v>848</v>
      </c>
      <c r="S93" s="62" t="s">
        <v>849</v>
      </c>
      <c r="T93" s="62" t="s">
        <v>849</v>
      </c>
      <c r="U93" s="62" t="s">
        <v>849</v>
      </c>
      <c r="V93" s="62" t="s">
        <v>850</v>
      </c>
      <c r="W93" s="62" t="s">
        <v>850</v>
      </c>
      <c r="X93" s="30"/>
      <c r="Y93" s="27"/>
      <c r="Z93" s="27"/>
      <c r="AA93" s="23"/>
      <c r="AB93" s="24"/>
      <c r="AC93" s="24"/>
      <c r="AD93" s="24"/>
      <c r="AE93" s="24"/>
      <c r="AF93" s="24"/>
      <c r="AG93" s="24"/>
      <c r="AH93" s="24"/>
    </row>
    <row r="94" ht="13.5" customHeight="1">
      <c r="A94" s="53"/>
      <c r="B94" s="12" t="s">
        <v>851</v>
      </c>
      <c r="C94" s="13" t="s">
        <v>852</v>
      </c>
      <c r="D94" s="14" t="s">
        <v>49</v>
      </c>
      <c r="E94" s="11" t="s">
        <v>775</v>
      </c>
      <c r="F94" s="11" t="s">
        <v>94</v>
      </c>
      <c r="G94" s="15">
        <v>46111.0</v>
      </c>
      <c r="H94" s="15">
        <v>46356.0</v>
      </c>
      <c r="I94" s="17"/>
      <c r="J94" s="11" t="s">
        <v>95</v>
      </c>
      <c r="K94" s="18" t="str">
        <f t="shared" si="1"/>
        <v>WBS: WBE-204
שם פרויקט: אשלים-התקנת  2 שנאים 50 מגוו"א
מנה״פ: בר אור, מעיין
יעד תכנית פיתוח: 30/03/2026
יעד מסתמן: 30/11/2026</v>
      </c>
      <c r="L94" s="19"/>
      <c r="M94" s="21" t="s">
        <v>853</v>
      </c>
      <c r="N94" s="21" t="s">
        <v>854</v>
      </c>
      <c r="O94" s="21" t="s">
        <v>854</v>
      </c>
      <c r="P94" s="21" t="s">
        <v>855</v>
      </c>
      <c r="Q94" s="21" t="s">
        <v>855</v>
      </c>
      <c r="R94" s="21" t="s">
        <v>855</v>
      </c>
      <c r="S94" s="21" t="s">
        <v>855</v>
      </c>
      <c r="T94" s="21" t="s">
        <v>855</v>
      </c>
      <c r="U94" s="21" t="s">
        <v>855</v>
      </c>
      <c r="V94" s="21" t="s">
        <v>855</v>
      </c>
      <c r="W94" s="21" t="s">
        <v>856</v>
      </c>
      <c r="X94" s="30"/>
      <c r="Y94" s="27"/>
      <c r="Z94" s="27"/>
      <c r="AA94" s="23"/>
      <c r="AB94" s="24"/>
      <c r="AC94" s="24"/>
      <c r="AD94" s="24"/>
      <c r="AE94" s="24"/>
      <c r="AF94" s="24"/>
      <c r="AG94" s="24"/>
      <c r="AH94" s="24"/>
    </row>
    <row r="95" ht="13.5" customHeight="1">
      <c r="A95" s="53"/>
      <c r="B95" s="12" t="s">
        <v>857</v>
      </c>
      <c r="C95" s="13" t="s">
        <v>858</v>
      </c>
      <c r="D95" s="14" t="s">
        <v>49</v>
      </c>
      <c r="E95" s="11" t="s">
        <v>775</v>
      </c>
      <c r="F95" s="11" t="s">
        <v>94</v>
      </c>
      <c r="G95" s="15">
        <v>46418.0</v>
      </c>
      <c r="H95" s="15">
        <v>46356.0</v>
      </c>
      <c r="I95" s="17"/>
      <c r="J95" s="11" t="s">
        <v>95</v>
      </c>
      <c r="K95" s="18" t="str">
        <f t="shared" si="1"/>
        <v>WBS: WBE-180
שם פרויקט: אשלים-PV3- התקנת שני שדות קווים 161/24 ק"ו
מנה״פ: בר אור, מעיין
יעד תכנית פיתוח: 31/01/2027
יעד מסתמן: 30/11/2026</v>
      </c>
      <c r="L95" s="19"/>
      <c r="M95" s="21" t="s">
        <v>853</v>
      </c>
      <c r="N95" s="21" t="s">
        <v>854</v>
      </c>
      <c r="O95" s="21" t="s">
        <v>854</v>
      </c>
      <c r="P95" s="21" t="s">
        <v>859</v>
      </c>
      <c r="Q95" s="21" t="s">
        <v>859</v>
      </c>
      <c r="R95" s="21" t="s">
        <v>859</v>
      </c>
      <c r="S95" s="21" t="s">
        <v>855</v>
      </c>
      <c r="T95" s="21" t="s">
        <v>855</v>
      </c>
      <c r="U95" s="21" t="s">
        <v>855</v>
      </c>
      <c r="V95" s="21" t="s">
        <v>855</v>
      </c>
      <c r="W95" s="21" t="s">
        <v>856</v>
      </c>
      <c r="X95" s="30"/>
      <c r="Y95" s="27"/>
      <c r="Z95" s="27"/>
      <c r="AA95" s="23"/>
      <c r="AB95" s="24"/>
      <c r="AC95" s="24"/>
      <c r="AD95" s="24"/>
      <c r="AE95" s="24"/>
      <c r="AF95" s="24"/>
      <c r="AG95" s="24"/>
      <c r="AH95" s="24"/>
    </row>
    <row r="96" ht="13.5" customHeight="1">
      <c r="A96" s="53"/>
      <c r="B96" s="12" t="s">
        <v>860</v>
      </c>
      <c r="C96" s="13" t="s">
        <v>861</v>
      </c>
      <c r="D96" s="14" t="s">
        <v>49</v>
      </c>
      <c r="E96" s="11" t="s">
        <v>775</v>
      </c>
      <c r="F96" s="11" t="s">
        <v>94</v>
      </c>
      <c r="G96" s="15">
        <v>46418.0</v>
      </c>
      <c r="H96" s="15">
        <v>46660.0</v>
      </c>
      <c r="I96" s="17"/>
      <c r="J96" s="11" t="s">
        <v>65</v>
      </c>
      <c r="K96" s="18" t="str">
        <f t="shared" si="1"/>
        <v>WBS: WBK-021
שם פרויקט: אבן ספיר-התקנת שנאי קישור 400/161 ק"ו שלישי, 575 מגוו"א
מנה״פ: בר אור, מעיין
יעד תכנית פיתוח: 31/01/2027
יעד מסתמן: 30/09/2027</v>
      </c>
      <c r="L96" s="19"/>
      <c r="M96" s="20" t="s">
        <v>862</v>
      </c>
      <c r="N96" s="20" t="s">
        <v>862</v>
      </c>
      <c r="O96" s="20" t="s">
        <v>862</v>
      </c>
      <c r="P96" s="20" t="s">
        <v>863</v>
      </c>
      <c r="Q96" s="20" t="s">
        <v>863</v>
      </c>
      <c r="R96" s="20" t="s">
        <v>863</v>
      </c>
      <c r="S96" s="20" t="s">
        <v>863</v>
      </c>
      <c r="T96" s="20" t="s">
        <v>863</v>
      </c>
      <c r="U96" s="20" t="s">
        <v>863</v>
      </c>
      <c r="V96" s="20" t="s">
        <v>864</v>
      </c>
      <c r="W96" s="20" t="s">
        <v>865</v>
      </c>
      <c r="X96" s="30"/>
      <c r="Y96" s="22" t="s">
        <v>77</v>
      </c>
      <c r="Z96" s="27"/>
      <c r="AA96" s="23"/>
      <c r="AB96" s="24"/>
      <c r="AC96" s="24"/>
      <c r="AD96" s="24"/>
      <c r="AE96" s="24"/>
      <c r="AF96" s="24"/>
      <c r="AG96" s="24"/>
      <c r="AH96" s="24"/>
    </row>
    <row r="97" ht="13.5" customHeight="1">
      <c r="A97" s="53"/>
      <c r="B97" s="12" t="s">
        <v>866</v>
      </c>
      <c r="C97" s="13" t="s">
        <v>867</v>
      </c>
      <c r="D97" s="14" t="s">
        <v>49</v>
      </c>
      <c r="E97" s="11" t="s">
        <v>775</v>
      </c>
      <c r="F97" s="11" t="s">
        <v>94</v>
      </c>
      <c r="G97" s="15">
        <v>46934.0</v>
      </c>
      <c r="H97" s="15">
        <v>47087.0</v>
      </c>
      <c r="I97" s="17"/>
      <c r="J97" s="11" t="s">
        <v>65</v>
      </c>
      <c r="K97" s="18" t="str">
        <f t="shared" si="1"/>
        <v>WBS: WBK-014
שם פרויקט: אבן ספיר-הרחבת תחמ"ג וחיבור שנאי קישור שלישי 453
מנה״פ: בר אור, מעיין
יעד תכנית פיתוח: 30/06/2028
יעד מסתמן: 30/11/2028</v>
      </c>
      <c r="L97" s="19"/>
      <c r="M97" s="20" t="s">
        <v>862</v>
      </c>
      <c r="N97" s="20" t="s">
        <v>862</v>
      </c>
      <c r="O97" s="20" t="s">
        <v>862</v>
      </c>
      <c r="P97" s="20" t="s">
        <v>868</v>
      </c>
      <c r="Q97" s="20" t="s">
        <v>868</v>
      </c>
      <c r="R97" s="20" t="s">
        <v>868</v>
      </c>
      <c r="S97" s="20" t="s">
        <v>868</v>
      </c>
      <c r="T97" s="20" t="s">
        <v>869</v>
      </c>
      <c r="U97" s="20" t="s">
        <v>869</v>
      </c>
      <c r="V97" s="20" t="s">
        <v>869</v>
      </c>
      <c r="W97" s="20" t="s">
        <v>869</v>
      </c>
      <c r="X97" s="30"/>
      <c r="Y97" s="22" t="s">
        <v>77</v>
      </c>
      <c r="Z97" s="27"/>
      <c r="AA97" s="23"/>
      <c r="AB97" s="24"/>
      <c r="AC97" s="24"/>
      <c r="AD97" s="24"/>
      <c r="AE97" s="24"/>
      <c r="AF97" s="24"/>
      <c r="AG97" s="24"/>
      <c r="AH97" s="24"/>
    </row>
    <row r="98" ht="13.5" customHeight="1">
      <c r="A98" s="53"/>
      <c r="B98" s="12" t="s">
        <v>870</v>
      </c>
      <c r="C98" s="13" t="s">
        <v>871</v>
      </c>
      <c r="D98" s="14" t="s">
        <v>30</v>
      </c>
      <c r="E98" s="11" t="s">
        <v>872</v>
      </c>
      <c r="F98" s="11" t="s">
        <v>873</v>
      </c>
      <c r="G98" s="15">
        <v>47847.0</v>
      </c>
      <c r="H98" s="15">
        <v>47847.0</v>
      </c>
      <c r="I98" s="17"/>
      <c r="J98" s="11" t="s">
        <v>80</v>
      </c>
      <c r="K98" s="18" t="str">
        <f t="shared" si="1"/>
        <v>WBS: WBJ-015
שם פרויקט: דן- הקמת תחמ"ג 
מנה״פ: ברח'ד, טובה
יעד תכנית פיתוח: 30/12/2030
יעד מסתמן: 30/12/2030</v>
      </c>
      <c r="L98" s="18"/>
      <c r="M98" s="20" t="s">
        <v>874</v>
      </c>
      <c r="N98" s="20" t="s">
        <v>875</v>
      </c>
      <c r="O98" s="20" t="s">
        <v>876</v>
      </c>
      <c r="P98" s="20" t="s">
        <v>877</v>
      </c>
      <c r="Q98" s="20" t="s">
        <v>878</v>
      </c>
      <c r="R98" s="20" t="s">
        <v>879</v>
      </c>
      <c r="S98" s="20" t="s">
        <v>880</v>
      </c>
      <c r="T98" s="20" t="s">
        <v>880</v>
      </c>
      <c r="U98" s="20" t="s">
        <v>881</v>
      </c>
      <c r="V98" s="20" t="s">
        <v>882</v>
      </c>
      <c r="W98" s="20" t="s">
        <v>883</v>
      </c>
      <c r="X98" s="20" t="s">
        <v>884</v>
      </c>
      <c r="Y98" s="22" t="s">
        <v>190</v>
      </c>
      <c r="Z98" s="22"/>
      <c r="AA98" s="23"/>
      <c r="AB98" s="24"/>
      <c r="AC98" s="24"/>
      <c r="AD98" s="24"/>
      <c r="AE98" s="24"/>
      <c r="AF98" s="24"/>
      <c r="AG98" s="24"/>
      <c r="AH98" s="24"/>
    </row>
    <row r="99" ht="13.5" customHeight="1">
      <c r="A99" s="53" t="s">
        <v>27</v>
      </c>
      <c r="B99" s="12" t="s">
        <v>885</v>
      </c>
      <c r="C99" s="13" t="s">
        <v>886</v>
      </c>
      <c r="D99" s="14" t="s">
        <v>49</v>
      </c>
      <c r="E99" s="11" t="s">
        <v>872</v>
      </c>
      <c r="F99" s="11" t="s">
        <v>873</v>
      </c>
      <c r="G99" s="15">
        <v>46783.0</v>
      </c>
      <c r="H99" s="15">
        <v>46721.0</v>
      </c>
      <c r="I99" s="17"/>
      <c r="J99" s="11" t="s">
        <v>95</v>
      </c>
      <c r="K99" s="18" t="str">
        <f t="shared" si="1"/>
        <v>WBS: WBE-283
שם פרויקט: צחר-הקמת שדה קו חיבור כבל תת"ק משדה עמיאל
מנה״פ: ברח'ד, טובה
יעד תכנית פיתוח: 31/01/2028
יעד מסתמן: 30/11/2027</v>
      </c>
      <c r="L99" s="19"/>
      <c r="M99" s="20" t="s">
        <v>887</v>
      </c>
      <c r="N99" s="20" t="s">
        <v>887</v>
      </c>
      <c r="O99" s="20" t="s">
        <v>887</v>
      </c>
      <c r="P99" s="20" t="s">
        <v>887</v>
      </c>
      <c r="Q99" s="20" t="s">
        <v>887</v>
      </c>
      <c r="R99" s="20" t="s">
        <v>887</v>
      </c>
      <c r="S99" s="20" t="s">
        <v>887</v>
      </c>
      <c r="T99" s="20" t="s">
        <v>888</v>
      </c>
      <c r="U99" s="20" t="s">
        <v>888</v>
      </c>
      <c r="V99" s="20" t="s">
        <v>888</v>
      </c>
      <c r="W99" s="20" t="s">
        <v>888</v>
      </c>
      <c r="X99" s="20" t="s">
        <v>889</v>
      </c>
      <c r="Y99" s="27" t="s">
        <v>62</v>
      </c>
      <c r="Z99" s="27"/>
      <c r="AA99" s="23"/>
      <c r="AB99" s="24"/>
      <c r="AC99" s="24"/>
      <c r="AD99" s="24"/>
      <c r="AE99" s="24"/>
      <c r="AF99" s="24"/>
      <c r="AG99" s="24"/>
      <c r="AH99" s="24"/>
    </row>
    <row r="100" ht="13.5" customHeight="1">
      <c r="A100" s="53" t="s">
        <v>27</v>
      </c>
      <c r="B100" s="12" t="s">
        <v>890</v>
      </c>
      <c r="C100" s="13" t="s">
        <v>891</v>
      </c>
      <c r="D100" s="14" t="s">
        <v>30</v>
      </c>
      <c r="E100" s="11" t="s">
        <v>872</v>
      </c>
      <c r="F100" s="11" t="s">
        <v>873</v>
      </c>
      <c r="G100" s="15">
        <v>46356.0</v>
      </c>
      <c r="H100" s="15">
        <v>46325.0</v>
      </c>
      <c r="I100" s="17"/>
      <c r="J100" s="11" t="s">
        <v>95</v>
      </c>
      <c r="K100" s="18" t="str">
        <f t="shared" si="1"/>
        <v>WBS: WBC-007
שם פרויקט: צחר- הקמת תחמש חיצונית 161/24 ק"ו
מנה״פ: ברח'ד, טובה
יעד תכנית פיתוח: 30/11/2026
יעד מסתמן: 30/10/2026</v>
      </c>
      <c r="L100" s="19"/>
      <c r="M100" s="20" t="s">
        <v>892</v>
      </c>
      <c r="N100" s="20" t="s">
        <v>893</v>
      </c>
      <c r="O100" s="20" t="s">
        <v>894</v>
      </c>
      <c r="P100" s="20" t="s">
        <v>895</v>
      </c>
      <c r="Q100" s="20" t="s">
        <v>895</v>
      </c>
      <c r="R100" s="20" t="s">
        <v>896</v>
      </c>
      <c r="S100" s="20" t="s">
        <v>897</v>
      </c>
      <c r="T100" s="20" t="s">
        <v>898</v>
      </c>
      <c r="U100" s="20" t="s">
        <v>899</v>
      </c>
      <c r="V100" s="20" t="s">
        <v>899</v>
      </c>
      <c r="W100" s="20" t="s">
        <v>900</v>
      </c>
      <c r="X100" s="20" t="s">
        <v>901</v>
      </c>
      <c r="Y100" s="27" t="s">
        <v>62</v>
      </c>
      <c r="Z100" s="27"/>
      <c r="AA100" s="23"/>
      <c r="AB100" s="24"/>
      <c r="AC100" s="24"/>
      <c r="AD100" s="24"/>
      <c r="AE100" s="24"/>
      <c r="AF100" s="24"/>
      <c r="AG100" s="24"/>
      <c r="AH100" s="24"/>
    </row>
    <row r="101" ht="13.5" customHeight="1">
      <c r="A101" s="53"/>
      <c r="B101" s="12" t="s">
        <v>902</v>
      </c>
      <c r="C101" s="13" t="s">
        <v>903</v>
      </c>
      <c r="D101" s="14" t="s">
        <v>30</v>
      </c>
      <c r="E101" s="11" t="s">
        <v>872</v>
      </c>
      <c r="F101" s="11" t="s">
        <v>873</v>
      </c>
      <c r="G101" s="15">
        <v>47118.0</v>
      </c>
      <c r="H101" s="16">
        <v>46934.0</v>
      </c>
      <c r="I101" s="17"/>
      <c r="J101" s="11" t="s">
        <v>80</v>
      </c>
      <c r="K101" s="18" t="str">
        <f t="shared" si="1"/>
        <v>WBS: WBC-004
שם פרויקט: ביכורים (אסיף)-הקמת תחמ"ש פנימית 161/24
מנה״פ: ברח'ד, טובה
יעד תכנית פיתוח: 31/12/2028
יעד מסתמן: 30/06/2028</v>
      </c>
      <c r="L101" s="19"/>
      <c r="M101" s="20" t="s">
        <v>904</v>
      </c>
      <c r="N101" s="20" t="s">
        <v>904</v>
      </c>
      <c r="O101" s="20" t="s">
        <v>904</v>
      </c>
      <c r="P101" s="20" t="s">
        <v>904</v>
      </c>
      <c r="Q101" s="20" t="s">
        <v>905</v>
      </c>
      <c r="R101" s="20" t="s">
        <v>905</v>
      </c>
      <c r="S101" s="20" t="s">
        <v>906</v>
      </c>
      <c r="T101" s="20" t="s">
        <v>906</v>
      </c>
      <c r="U101" s="20" t="s">
        <v>906</v>
      </c>
      <c r="V101" s="20" t="s">
        <v>906</v>
      </c>
      <c r="W101" s="20" t="s">
        <v>906</v>
      </c>
      <c r="X101" s="30"/>
      <c r="Y101" s="22"/>
      <c r="Z101" s="27"/>
      <c r="AA101" s="23"/>
      <c r="AB101" s="24"/>
      <c r="AC101" s="24"/>
      <c r="AD101" s="24"/>
      <c r="AE101" s="24"/>
      <c r="AF101" s="24"/>
      <c r="AG101" s="24"/>
      <c r="AH101" s="24"/>
    </row>
    <row r="102" ht="13.5" customHeight="1">
      <c r="A102" s="27"/>
      <c r="B102" s="12" t="s">
        <v>907</v>
      </c>
      <c r="C102" s="13" t="s">
        <v>908</v>
      </c>
      <c r="D102" s="14" t="s">
        <v>49</v>
      </c>
      <c r="E102" s="11" t="s">
        <v>909</v>
      </c>
      <c r="F102" s="11" t="s">
        <v>32</v>
      </c>
      <c r="G102" s="15">
        <v>46173.0</v>
      </c>
      <c r="H102" s="15">
        <v>46387.0</v>
      </c>
      <c r="I102" s="17"/>
      <c r="J102" s="11" t="s">
        <v>499</v>
      </c>
      <c r="K102" s="18" t="str">
        <f t="shared" si="1"/>
        <v>WBS: WBE-154
שם פרויקט: ירושלים ה -הוספת שנאי 514 , 56 מגוו"א
מנה״פ: ברקוביץ, משה
יעד תכנית פיתוח: 31/05/2026
יעד מסתמן: 31/12/2026</v>
      </c>
      <c r="L102" s="18"/>
      <c r="M102" s="30"/>
      <c r="N102" s="33" t="s">
        <v>910</v>
      </c>
      <c r="O102" s="33" t="s">
        <v>911</v>
      </c>
      <c r="P102" s="33" t="s">
        <v>911</v>
      </c>
      <c r="Q102" s="33" t="s">
        <v>911</v>
      </c>
      <c r="R102" s="33" t="s">
        <v>911</v>
      </c>
      <c r="S102" s="33" t="s">
        <v>911</v>
      </c>
      <c r="T102" s="33" t="s">
        <v>912</v>
      </c>
      <c r="U102" s="33" t="s">
        <v>912</v>
      </c>
      <c r="V102" s="33" t="s">
        <v>913</v>
      </c>
      <c r="W102" s="33" t="s">
        <v>913</v>
      </c>
      <c r="X102" s="30"/>
      <c r="Y102" s="27"/>
      <c r="Z102" s="27"/>
      <c r="AA102" s="23"/>
      <c r="AB102" s="24"/>
      <c r="AC102" s="24"/>
      <c r="AD102" s="24"/>
      <c r="AE102" s="65"/>
      <c r="AF102" s="65"/>
      <c r="AG102" s="65"/>
      <c r="AH102" s="65"/>
    </row>
    <row r="103" ht="13.5" customHeight="1">
      <c r="A103" s="27"/>
      <c r="B103" s="12" t="s">
        <v>914</v>
      </c>
      <c r="C103" s="13" t="s">
        <v>915</v>
      </c>
      <c r="D103" s="14" t="s">
        <v>374</v>
      </c>
      <c r="E103" s="11" t="s">
        <v>909</v>
      </c>
      <c r="F103" s="11" t="s">
        <v>32</v>
      </c>
      <c r="G103" s="15">
        <v>46173.0</v>
      </c>
      <c r="H103" s="15">
        <v>46387.0</v>
      </c>
      <c r="I103" s="11" t="s">
        <v>80</v>
      </c>
      <c r="J103" s="11" t="s">
        <v>80</v>
      </c>
      <c r="K103" s="18" t="str">
        <f t="shared" si="1"/>
        <v>WBS: WBM-00885-055
שם פרויקט: ירושלים ה'- התאמת מע' מים לכיבוי אש
מנה״פ: ברקוביץ, משה
יעד תכנית פיתוח: 31/05/2026
יעד מסתמן: 31/12/2026</v>
      </c>
      <c r="L103" s="18"/>
      <c r="M103" s="30"/>
      <c r="N103" s="36"/>
      <c r="O103" s="37" t="s">
        <v>916</v>
      </c>
      <c r="P103" s="37" t="s">
        <v>917</v>
      </c>
      <c r="Q103" s="37" t="s">
        <v>918</v>
      </c>
      <c r="R103" s="37" t="s">
        <v>919</v>
      </c>
      <c r="S103" s="37" t="s">
        <v>919</v>
      </c>
      <c r="T103" s="37" t="s">
        <v>920</v>
      </c>
      <c r="U103" s="37" t="s">
        <v>921</v>
      </c>
      <c r="V103" s="37" t="s">
        <v>922</v>
      </c>
      <c r="W103" s="37" t="s">
        <v>923</v>
      </c>
      <c r="X103" s="20" t="s">
        <v>924</v>
      </c>
      <c r="Y103" s="27"/>
      <c r="Z103" s="27"/>
      <c r="AA103" s="23"/>
      <c r="AB103" s="24"/>
      <c r="AC103" s="24"/>
      <c r="AD103" s="24"/>
      <c r="AE103" s="65"/>
      <c r="AF103" s="65"/>
      <c r="AG103" s="65"/>
      <c r="AH103" s="65"/>
    </row>
    <row r="104" ht="13.5" customHeight="1">
      <c r="A104" s="27"/>
      <c r="B104" s="12" t="s">
        <v>925</v>
      </c>
      <c r="C104" s="13" t="s">
        <v>926</v>
      </c>
      <c r="D104" s="14" t="s">
        <v>30</v>
      </c>
      <c r="E104" s="11" t="s">
        <v>909</v>
      </c>
      <c r="F104" s="11" t="s">
        <v>32</v>
      </c>
      <c r="G104" s="15">
        <v>47299.0</v>
      </c>
      <c r="H104" s="15">
        <v>47299.0</v>
      </c>
      <c r="I104" s="17"/>
      <c r="J104" s="11" t="s">
        <v>80</v>
      </c>
      <c r="K104" s="66" t="str">
        <f t="shared" si="1"/>
        <v>WBS: WBC-044
שם פרויקט: ירושלים דרום (גבעת המטוס)-הקמת תחמ"ש פנימית 161/13.8
מנה״פ: ברקוביץ, משה
יעד תכנית פיתוח: 30/06/2029
יעד מסתמן: 30/06/2029</v>
      </c>
      <c r="L104" s="18"/>
      <c r="M104" s="30"/>
      <c r="N104" s="33" t="s">
        <v>927</v>
      </c>
      <c r="O104" s="20" t="s">
        <v>928</v>
      </c>
      <c r="P104" s="20" t="s">
        <v>929</v>
      </c>
      <c r="Q104" s="20" t="s">
        <v>930</v>
      </c>
      <c r="R104" s="20" t="s">
        <v>931</v>
      </c>
      <c r="S104" s="20" t="s">
        <v>932</v>
      </c>
      <c r="T104" s="20" t="s">
        <v>933</v>
      </c>
      <c r="U104" s="20" t="s">
        <v>934</v>
      </c>
      <c r="V104" s="20" t="s">
        <v>935</v>
      </c>
      <c r="W104" s="20" t="s">
        <v>936</v>
      </c>
      <c r="X104" s="20" t="s">
        <v>937</v>
      </c>
      <c r="Y104" s="67"/>
      <c r="Z104" s="27"/>
      <c r="AA104" s="23"/>
      <c r="AB104" s="24"/>
      <c r="AC104" s="24"/>
      <c r="AD104" s="24"/>
      <c r="AE104" s="65"/>
      <c r="AF104" s="65"/>
      <c r="AG104" s="65"/>
      <c r="AH104" s="65"/>
    </row>
    <row r="105" ht="13.5" customHeight="1">
      <c r="A105" s="53"/>
      <c r="B105" s="12" t="s">
        <v>938</v>
      </c>
      <c r="C105" s="13" t="s">
        <v>939</v>
      </c>
      <c r="D105" s="14" t="s">
        <v>49</v>
      </c>
      <c r="E105" s="11" t="s">
        <v>909</v>
      </c>
      <c r="F105" s="11" t="s">
        <v>32</v>
      </c>
      <c r="G105" s="15">
        <v>46142.0</v>
      </c>
      <c r="H105" s="15">
        <v>46172.0</v>
      </c>
      <c r="I105" s="17"/>
      <c r="J105" s="11" t="s">
        <v>499</v>
      </c>
      <c r="K105" s="18" t="str">
        <f t="shared" si="1"/>
        <v>WBS: WBE-093
שם פרויקט: ירושלים ד'- הקמת בנין
מנה״פ: ברקוביץ, משה
יעד תכנית פיתוח: 30/04/2026
יעד מסתמן: 30/05/2026</v>
      </c>
      <c r="L105" s="19"/>
      <c r="M105" s="20" t="s">
        <v>940</v>
      </c>
      <c r="N105" s="33" t="s">
        <v>941</v>
      </c>
      <c r="O105" s="20" t="s">
        <v>942</v>
      </c>
      <c r="P105" s="20" t="s">
        <v>943</v>
      </c>
      <c r="Q105" s="20" t="s">
        <v>944</v>
      </c>
      <c r="R105" s="20" t="s">
        <v>945</v>
      </c>
      <c r="S105" s="20" t="s">
        <v>946</v>
      </c>
      <c r="T105" s="20" t="s">
        <v>947</v>
      </c>
      <c r="U105" s="20" t="s">
        <v>948</v>
      </c>
      <c r="V105" s="20" t="s">
        <v>949</v>
      </c>
      <c r="W105" s="20" t="s">
        <v>950</v>
      </c>
      <c r="X105" s="21" t="s">
        <v>951</v>
      </c>
      <c r="Y105" s="27"/>
      <c r="Z105" s="27"/>
      <c r="AA105" s="23"/>
      <c r="AB105" s="24"/>
      <c r="AC105" s="24"/>
      <c r="AD105" s="24"/>
      <c r="AE105" s="24"/>
      <c r="AF105" s="24"/>
      <c r="AG105" s="24"/>
      <c r="AH105" s="24"/>
    </row>
    <row r="106" ht="13.5" customHeight="1">
      <c r="A106" s="53"/>
      <c r="B106" s="12" t="s">
        <v>952</v>
      </c>
      <c r="C106" s="13" t="s">
        <v>953</v>
      </c>
      <c r="D106" s="14" t="s">
        <v>49</v>
      </c>
      <c r="E106" s="11" t="s">
        <v>954</v>
      </c>
      <c r="F106" s="11" t="s">
        <v>239</v>
      </c>
      <c r="G106" s="15">
        <v>47483.0</v>
      </c>
      <c r="H106" s="15">
        <v>46660.0</v>
      </c>
      <c r="I106" s="17"/>
      <c r="J106" s="11" t="s">
        <v>65</v>
      </c>
      <c r="K106" s="18" t="str">
        <f t="shared" si="1"/>
        <v>WBS: WBE-278
שם פרויקט: תעשיה אדומים-משיק ל-wbn-103-הוספת שני שדות מעגלים 161 ק"ו
מנה״פ: בן חמו, דביר 
יעד תכנית פיתוח: 31/12/2029
יעד מסתמן: 30/09/2027</v>
      </c>
      <c r="L106" s="19"/>
      <c r="M106" s="20" t="s">
        <v>955</v>
      </c>
      <c r="N106" s="20" t="s">
        <v>956</v>
      </c>
      <c r="O106" s="20" t="s">
        <v>956</v>
      </c>
      <c r="P106" s="20" t="s">
        <v>956</v>
      </c>
      <c r="Q106" s="20" t="s">
        <v>956</v>
      </c>
      <c r="R106" s="20" t="s">
        <v>956</v>
      </c>
      <c r="S106" s="20" t="s">
        <v>956</v>
      </c>
      <c r="T106" s="20" t="s">
        <v>956</v>
      </c>
      <c r="U106" s="20" t="s">
        <v>956</v>
      </c>
      <c r="V106" s="20" t="s">
        <v>956</v>
      </c>
      <c r="W106" s="31" t="s">
        <v>957</v>
      </c>
      <c r="X106" s="20" t="s">
        <v>958</v>
      </c>
      <c r="Y106" s="27" t="s">
        <v>129</v>
      </c>
      <c r="Z106" s="27" t="s">
        <v>190</v>
      </c>
      <c r="AA106" s="23"/>
      <c r="AB106" s="24"/>
      <c r="AC106" s="24"/>
      <c r="AD106" s="24"/>
      <c r="AE106" s="24"/>
      <c r="AF106" s="24"/>
      <c r="AG106" s="24"/>
      <c r="AH106" s="24"/>
    </row>
    <row r="107" ht="13.5" customHeight="1">
      <c r="A107" s="53"/>
      <c r="B107" s="12" t="s">
        <v>959</v>
      </c>
      <c r="C107" s="13" t="s">
        <v>960</v>
      </c>
      <c r="D107" s="14" t="s">
        <v>49</v>
      </c>
      <c r="E107" s="11" t="s">
        <v>954</v>
      </c>
      <c r="F107" s="11" t="s">
        <v>239</v>
      </c>
      <c r="G107" s="15">
        <v>46843.0</v>
      </c>
      <c r="H107" s="40" t="s">
        <v>961</v>
      </c>
      <c r="I107" s="17"/>
      <c r="J107" s="11" t="s">
        <v>108</v>
      </c>
      <c r="K107" s="18" t="str">
        <f t="shared" si="1"/>
        <v>WBS: WBE-148
שם פרויקט: צפית-החלפת מנתקים, מ"ז ומ"מ 400 ק"ו
מנה״פ: בן חמו, דביר 
יעד תכנית פיתוח: 31/03/2028
יעד מסתמן: מדובר בפרויקט בשלבים בכל עונת מעבר להפסקות עד לתאריך 30/03/2028</v>
      </c>
      <c r="L107" s="19"/>
      <c r="M107" s="20" t="s">
        <v>962</v>
      </c>
      <c r="N107" s="20" t="s">
        <v>962</v>
      </c>
      <c r="O107" s="20" t="s">
        <v>963</v>
      </c>
      <c r="P107" s="20" t="s">
        <v>964</v>
      </c>
      <c r="Q107" s="20" t="s">
        <v>964</v>
      </c>
      <c r="R107" s="20" t="s">
        <v>964</v>
      </c>
      <c r="S107" s="20" t="s">
        <v>964</v>
      </c>
      <c r="T107" s="20" t="s">
        <v>965</v>
      </c>
      <c r="U107" s="20" t="s">
        <v>965</v>
      </c>
      <c r="V107" s="20" t="s">
        <v>965</v>
      </c>
      <c r="W107" s="20" t="s">
        <v>965</v>
      </c>
      <c r="X107" s="20" t="s">
        <v>966</v>
      </c>
      <c r="Y107" s="27" t="s">
        <v>46</v>
      </c>
      <c r="Z107" s="27"/>
      <c r="AA107" s="23"/>
      <c r="AB107" s="24"/>
      <c r="AC107" s="24"/>
      <c r="AD107" s="24"/>
      <c r="AE107" s="24"/>
      <c r="AF107" s="24"/>
      <c r="AG107" s="24"/>
      <c r="AH107" s="24"/>
    </row>
    <row r="108" ht="13.5" customHeight="1">
      <c r="A108" s="53"/>
      <c r="B108" s="12" t="s">
        <v>967</v>
      </c>
      <c r="C108" s="13" t="s">
        <v>968</v>
      </c>
      <c r="D108" s="14" t="s">
        <v>374</v>
      </c>
      <c r="E108" s="11" t="s">
        <v>954</v>
      </c>
      <c r="F108" s="11" t="s">
        <v>239</v>
      </c>
      <c r="G108" s="15">
        <v>46295.0</v>
      </c>
      <c r="H108" s="40" t="s">
        <v>969</v>
      </c>
      <c r="I108" s="17"/>
      <c r="J108" s="11" t="s">
        <v>80</v>
      </c>
      <c r="K108" s="18" t="str">
        <f t="shared" si="1"/>
        <v>WBS: WBM-40487
שם פרויקט: צפית -החלפת ציוד 161 ק"ו-שדות 6,9
מנה״פ: בן חמו, דביר 
יעד תכנית פיתוח: 30/09/2026
יעד מסתמן: מדובר בשלוש עונות מעבר של הפסקות עד ל- 03/2027</v>
      </c>
      <c r="L108" s="18"/>
      <c r="M108" s="20" t="s">
        <v>970</v>
      </c>
      <c r="N108" s="20" t="s">
        <v>971</v>
      </c>
      <c r="O108" s="20" t="s">
        <v>972</v>
      </c>
      <c r="P108" s="20" t="s">
        <v>973</v>
      </c>
      <c r="Q108" s="20" t="s">
        <v>973</v>
      </c>
      <c r="R108" s="20" t="s">
        <v>973</v>
      </c>
      <c r="S108" s="20" t="s">
        <v>973</v>
      </c>
      <c r="T108" s="20" t="s">
        <v>973</v>
      </c>
      <c r="U108" s="20" t="s">
        <v>973</v>
      </c>
      <c r="V108" s="20" t="s">
        <v>973</v>
      </c>
      <c r="W108" s="20" t="s">
        <v>973</v>
      </c>
      <c r="X108" s="30"/>
      <c r="Y108" s="27"/>
      <c r="Z108" s="27"/>
      <c r="AA108" s="23"/>
      <c r="AB108" s="24"/>
      <c r="AC108" s="24"/>
      <c r="AD108" s="24"/>
      <c r="AE108" s="24"/>
      <c r="AF108" s="24"/>
      <c r="AG108" s="24"/>
      <c r="AH108" s="24"/>
    </row>
    <row r="109" ht="13.5" customHeight="1">
      <c r="A109" s="53"/>
      <c r="B109" s="12" t="s">
        <v>974</v>
      </c>
      <c r="C109" s="13" t="s">
        <v>975</v>
      </c>
      <c r="D109" s="14" t="s">
        <v>374</v>
      </c>
      <c r="E109" s="11" t="s">
        <v>954</v>
      </c>
      <c r="F109" s="11" t="s">
        <v>239</v>
      </c>
      <c r="G109" s="15">
        <v>46356.0</v>
      </c>
      <c r="H109" s="40" t="s">
        <v>976</v>
      </c>
      <c r="I109" s="17"/>
      <c r="J109" s="11" t="s">
        <v>80</v>
      </c>
      <c r="K109" s="18" t="str">
        <f t="shared" si="1"/>
        <v>WBS: WBM-40489-ST2
שם פרויקט: צפית  - החלפת ציוד 161 ק"ו בשדה 14
מנה״פ: בן חמו, דביר 
יעד תכנית פיתוח: 30/11/2026
יעד מסתמן: מדובר בשלוש עונות מעבר של הפסקותעד ל- 03/2027</v>
      </c>
      <c r="L109" s="18"/>
      <c r="M109" s="20" t="s">
        <v>970</v>
      </c>
      <c r="N109" s="20" t="s">
        <v>971</v>
      </c>
      <c r="O109" s="20" t="s">
        <v>972</v>
      </c>
      <c r="P109" s="20" t="s">
        <v>972</v>
      </c>
      <c r="Q109" s="20" t="s">
        <v>977</v>
      </c>
      <c r="R109" s="20" t="s">
        <v>978</v>
      </c>
      <c r="S109" s="20" t="s">
        <v>979</v>
      </c>
      <c r="T109" s="20" t="s">
        <v>980</v>
      </c>
      <c r="U109" s="20" t="s">
        <v>980</v>
      </c>
      <c r="V109" s="20" t="s">
        <v>981</v>
      </c>
      <c r="W109" s="20" t="s">
        <v>981</v>
      </c>
      <c r="X109" s="30"/>
      <c r="Y109" s="27"/>
      <c r="Z109" s="27"/>
      <c r="AA109" s="23"/>
      <c r="AB109" s="24"/>
      <c r="AC109" s="24"/>
      <c r="AD109" s="24"/>
      <c r="AE109" s="24"/>
      <c r="AF109" s="24"/>
      <c r="AG109" s="24"/>
      <c r="AH109" s="24"/>
    </row>
    <row r="110" ht="13.5" customHeight="1">
      <c r="A110" s="53"/>
      <c r="B110" s="12" t="s">
        <v>982</v>
      </c>
      <c r="C110" s="13" t="s">
        <v>983</v>
      </c>
      <c r="D110" s="14" t="s">
        <v>49</v>
      </c>
      <c r="E110" s="11" t="s">
        <v>954</v>
      </c>
      <c r="F110" s="11" t="s">
        <v>239</v>
      </c>
      <c r="G110" s="15">
        <v>46387.0</v>
      </c>
      <c r="H110" s="15">
        <v>46387.0</v>
      </c>
      <c r="I110" s="17"/>
      <c r="J110" s="11" t="s">
        <v>103</v>
      </c>
      <c r="K110" s="18" t="str">
        <f t="shared" si="1"/>
        <v>WBS: WBE-240
שם פרויקט: סדום צפון-הקמת שדה לצורך קליטת קו מפארן
מנה״פ: בן חמו, דביר 
יעד תכנית פיתוח: 31/12/2026
יעד מסתמן: 31/12/2026</v>
      </c>
      <c r="L110" s="19"/>
      <c r="M110" s="20" t="s">
        <v>984</v>
      </c>
      <c r="N110" s="20" t="s">
        <v>984</v>
      </c>
      <c r="O110" s="20" t="s">
        <v>984</v>
      </c>
      <c r="P110" s="20" t="s">
        <v>984</v>
      </c>
      <c r="Q110" s="20" t="s">
        <v>984</v>
      </c>
      <c r="R110" s="20" t="s">
        <v>984</v>
      </c>
      <c r="S110" s="20" t="s">
        <v>984</v>
      </c>
      <c r="T110" s="20" t="s">
        <v>984</v>
      </c>
      <c r="U110" s="20" t="s">
        <v>984</v>
      </c>
      <c r="V110" s="20" t="s">
        <v>984</v>
      </c>
      <c r="W110" s="20" t="s">
        <v>984</v>
      </c>
      <c r="X110" s="30"/>
      <c r="Y110" s="27"/>
      <c r="Z110" s="27"/>
      <c r="AA110" s="23"/>
      <c r="AB110" s="24"/>
      <c r="AC110" s="24"/>
      <c r="AD110" s="24"/>
      <c r="AE110" s="24"/>
      <c r="AF110" s="24"/>
      <c r="AG110" s="24"/>
      <c r="AH110" s="24"/>
    </row>
    <row r="111" ht="13.5" customHeight="1">
      <c r="A111" s="53"/>
      <c r="B111" s="12" t="s">
        <v>985</v>
      </c>
      <c r="C111" s="13" t="s">
        <v>986</v>
      </c>
      <c r="D111" s="14" t="s">
        <v>374</v>
      </c>
      <c r="E111" s="11" t="s">
        <v>954</v>
      </c>
      <c r="F111" s="11" t="s">
        <v>239</v>
      </c>
      <c r="G111" s="15">
        <v>46203.0</v>
      </c>
      <c r="H111" s="40" t="s">
        <v>987</v>
      </c>
      <c r="I111" s="17"/>
      <c r="J111" s="11" t="s">
        <v>65</v>
      </c>
      <c r="K111" s="18" t="str">
        <f t="shared" si="1"/>
        <v>WBS: WBM-40305
שם פרויקט: סדום צפון-התא.שדות (3)לכורנוב ו (8) לסדו
מנה״פ: בן חמו, דביר 
יעד תכנית פיתוח: 30/06/2026
יעד מסתמן: 01/07/2026 לא אפשרי! יתקבל יעד חדש לאחר קבלת המסמכים</v>
      </c>
      <c r="L111" s="18"/>
      <c r="M111" s="20" t="s">
        <v>988</v>
      </c>
      <c r="N111" s="20" t="s">
        <v>989</v>
      </c>
      <c r="O111" s="20" t="s">
        <v>990</v>
      </c>
      <c r="P111" s="20" t="s">
        <v>991</v>
      </c>
      <c r="Q111" s="20" t="s">
        <v>956</v>
      </c>
      <c r="R111" s="20" t="s">
        <v>956</v>
      </c>
      <c r="S111" s="20" t="s">
        <v>956</v>
      </c>
      <c r="T111" s="20" t="s">
        <v>956</v>
      </c>
      <c r="U111" s="20" t="s">
        <v>956</v>
      </c>
      <c r="V111" s="20" t="s">
        <v>956</v>
      </c>
      <c r="W111" s="20" t="s">
        <v>956</v>
      </c>
      <c r="X111" s="30"/>
      <c r="Y111" s="27" t="s">
        <v>129</v>
      </c>
      <c r="Z111" s="27"/>
      <c r="AA111" s="23"/>
      <c r="AB111" s="24"/>
      <c r="AC111" s="24"/>
      <c r="AD111" s="24"/>
      <c r="AE111" s="24"/>
      <c r="AF111" s="24"/>
      <c r="AG111" s="24"/>
      <c r="AH111" s="24"/>
    </row>
    <row r="112" ht="13.5" customHeight="1">
      <c r="A112" s="53"/>
      <c r="B112" s="12" t="s">
        <v>992</v>
      </c>
      <c r="C112" s="13" t="s">
        <v>993</v>
      </c>
      <c r="D112" s="14" t="s">
        <v>49</v>
      </c>
      <c r="E112" s="11" t="s">
        <v>954</v>
      </c>
      <c r="F112" s="11" t="s">
        <v>239</v>
      </c>
      <c r="G112" s="15">
        <v>46112.0</v>
      </c>
      <c r="H112" s="15">
        <v>46071.0</v>
      </c>
      <c r="I112" s="17"/>
      <c r="J112" s="11" t="s">
        <v>468</v>
      </c>
      <c r="K112" s="18" t="str">
        <f t="shared" si="1"/>
        <v>WBS: WBE-114
שם פרויקט: סדום צפון-החלפת שנאי  ל-50 מגוו"א והתאמת יציאות מ"ג
מנה״פ: בן חמו, דביר 
יעד תכנית פיתוח: 31/03/2026
יעד מסתמן: 18/02/2026</v>
      </c>
      <c r="L112" s="19"/>
      <c r="M112" s="20" t="s">
        <v>994</v>
      </c>
      <c r="N112" s="20" t="s">
        <v>994</v>
      </c>
      <c r="O112" s="20" t="s">
        <v>995</v>
      </c>
      <c r="P112" s="20" t="s">
        <v>996</v>
      </c>
      <c r="Q112" s="20" t="s">
        <v>996</v>
      </c>
      <c r="R112" s="20" t="s">
        <v>996</v>
      </c>
      <c r="S112" s="20" t="s">
        <v>997</v>
      </c>
      <c r="T112" s="20" t="s">
        <v>997</v>
      </c>
      <c r="U112" s="20" t="s">
        <v>997</v>
      </c>
      <c r="V112" s="20" t="s">
        <v>997</v>
      </c>
      <c r="W112" s="20" t="s">
        <v>997</v>
      </c>
      <c r="X112" s="30"/>
      <c r="Y112" s="27"/>
      <c r="Z112" s="27"/>
      <c r="AA112" s="23"/>
      <c r="AB112" s="24"/>
      <c r="AC112" s="24"/>
      <c r="AD112" s="24"/>
      <c r="AE112" s="24"/>
      <c r="AF112" s="24"/>
      <c r="AG112" s="24"/>
      <c r="AH112" s="24"/>
    </row>
    <row r="113" ht="13.5" customHeight="1">
      <c r="A113" s="53"/>
      <c r="B113" s="12" t="s">
        <v>998</v>
      </c>
      <c r="C113" s="13" t="s">
        <v>999</v>
      </c>
      <c r="D113" s="14" t="s">
        <v>49</v>
      </c>
      <c r="E113" s="11" t="s">
        <v>954</v>
      </c>
      <c r="F113" s="11" t="s">
        <v>239</v>
      </c>
      <c r="G113" s="15">
        <v>47483.0</v>
      </c>
      <c r="H113" s="15">
        <v>46660.0</v>
      </c>
      <c r="I113" s="17"/>
      <c r="J113" s="11" t="s">
        <v>103</v>
      </c>
      <c r="K113" s="18" t="str">
        <f t="shared" si="1"/>
        <v>WBS: WBE-279
שם פרויקט: מעלה אפריים- משיק ל-wbo-103-הוספת ארבעה שדות מעגלים 161 ק"ו
מנה״פ: בן חמו, דביר 
יעד תכנית פיתוח: 31/12/2029
יעד מסתמן: 30/09/2027</v>
      </c>
      <c r="L113" s="19"/>
      <c r="M113" s="20" t="s">
        <v>984</v>
      </c>
      <c r="N113" s="20" t="s">
        <v>984</v>
      </c>
      <c r="O113" s="20" t="s">
        <v>984</v>
      </c>
      <c r="P113" s="20" t="s">
        <v>984</v>
      </c>
      <c r="Q113" s="20" t="s">
        <v>984</v>
      </c>
      <c r="R113" s="20" t="s">
        <v>984</v>
      </c>
      <c r="S113" s="20" t="s">
        <v>984</v>
      </c>
      <c r="T113" s="20" t="s">
        <v>984</v>
      </c>
      <c r="U113" s="20" t="s">
        <v>984</v>
      </c>
      <c r="V113" s="20" t="s">
        <v>984</v>
      </c>
      <c r="W113" s="20" t="s">
        <v>984</v>
      </c>
      <c r="X113" s="30"/>
      <c r="Y113" s="30"/>
      <c r="Z113" s="30"/>
      <c r="AA113" s="68">
        <v>47483.0</v>
      </c>
      <c r="AB113" s="24"/>
      <c r="AC113" s="24"/>
      <c r="AD113" s="24"/>
      <c r="AE113" s="24"/>
      <c r="AF113" s="24"/>
      <c r="AG113" s="24"/>
      <c r="AH113" s="24"/>
    </row>
    <row r="114" ht="13.5" customHeight="1">
      <c r="A114" s="53" t="s">
        <v>27</v>
      </c>
      <c r="B114" s="69" t="s">
        <v>1000</v>
      </c>
      <c r="C114" s="13" t="s">
        <v>1001</v>
      </c>
      <c r="D114" s="14" t="s">
        <v>374</v>
      </c>
      <c r="E114" s="11" t="s">
        <v>954</v>
      </c>
      <c r="F114" s="11" t="s">
        <v>239</v>
      </c>
      <c r="G114" s="15">
        <v>46386.0</v>
      </c>
      <c r="H114" s="15"/>
      <c r="I114" s="17"/>
      <c r="J114" s="11" t="s">
        <v>95</v>
      </c>
      <c r="K114" s="18" t="str">
        <f t="shared" si="1"/>
        <v>WBS: WBM-60088-024
שם פרויקט: ירושלים ג' – השלמת מאצרות שמן
מנה״פ: בן חמו, דביר 
יעד תכנית פיתוח: 30/12/2026
יעד מסתמן: 30/12/1899</v>
      </c>
      <c r="L114" s="18"/>
      <c r="M114" s="20" t="s">
        <v>1002</v>
      </c>
      <c r="N114" s="20" t="s">
        <v>1002</v>
      </c>
      <c r="O114" s="20" t="s">
        <v>1002</v>
      </c>
      <c r="P114" s="20" t="s">
        <v>1003</v>
      </c>
      <c r="Q114" s="20" t="s">
        <v>1003</v>
      </c>
      <c r="R114" s="20" t="s">
        <v>1004</v>
      </c>
      <c r="S114" s="20" t="s">
        <v>1004</v>
      </c>
      <c r="T114" s="20" t="s">
        <v>1005</v>
      </c>
      <c r="U114" s="20" t="s">
        <v>1006</v>
      </c>
      <c r="V114" s="20" t="s">
        <v>1006</v>
      </c>
      <c r="W114" s="20" t="s">
        <v>1006</v>
      </c>
      <c r="X114" s="30"/>
      <c r="Y114" s="27"/>
      <c r="Z114" s="27"/>
      <c r="AA114" s="23"/>
      <c r="AB114" s="24"/>
      <c r="AC114" s="24"/>
      <c r="AD114" s="24"/>
      <c r="AE114" s="24"/>
      <c r="AF114" s="24"/>
      <c r="AG114" s="24"/>
      <c r="AH114" s="24"/>
    </row>
    <row r="115" ht="13.5" customHeight="1">
      <c r="A115" s="53"/>
      <c r="B115" s="12" t="s">
        <v>1007</v>
      </c>
      <c r="C115" s="13" t="s">
        <v>1008</v>
      </c>
      <c r="D115" s="14" t="s">
        <v>374</v>
      </c>
      <c r="E115" s="11" t="s">
        <v>954</v>
      </c>
      <c r="F115" s="11" t="s">
        <v>239</v>
      </c>
      <c r="G115" s="15">
        <v>46203.0</v>
      </c>
      <c r="H115" s="15">
        <v>46387.0</v>
      </c>
      <c r="I115" s="17"/>
      <c r="J115" s="11" t="s">
        <v>80</v>
      </c>
      <c r="K115" s="18" t="str">
        <f t="shared" si="1"/>
        <v>WBS: WBM-40532
שם פרויקט: ירושלים ג'- התאמת שדה מקשר (5,6) ליכולת 1400 א'
מנה״פ: בן חמו, דביר 
יעד תכנית פיתוח: 30/06/2026
יעד מסתמן: 31/12/2026</v>
      </c>
      <c r="L115" s="18"/>
      <c r="M115" s="20" t="s">
        <v>1009</v>
      </c>
      <c r="N115" s="20" t="s">
        <v>1009</v>
      </c>
      <c r="O115" s="20" t="s">
        <v>1009</v>
      </c>
      <c r="P115" s="20" t="s">
        <v>1009</v>
      </c>
      <c r="Q115" s="20" t="s">
        <v>1009</v>
      </c>
      <c r="R115" s="20" t="s">
        <v>1009</v>
      </c>
      <c r="S115" s="20" t="s">
        <v>1009</v>
      </c>
      <c r="T115" s="20" t="s">
        <v>1009</v>
      </c>
      <c r="U115" s="20" t="s">
        <v>1009</v>
      </c>
      <c r="V115" s="20" t="s">
        <v>1010</v>
      </c>
      <c r="W115" s="20" t="s">
        <v>1010</v>
      </c>
      <c r="X115" s="30"/>
      <c r="Y115" s="70"/>
      <c r="Z115" s="27"/>
      <c r="AA115" s="23"/>
      <c r="AB115" s="24"/>
      <c r="AC115" s="24"/>
      <c r="AD115" s="24"/>
      <c r="AE115" s="24"/>
      <c r="AF115" s="24"/>
      <c r="AG115" s="24"/>
      <c r="AH115" s="24"/>
    </row>
    <row r="116" ht="13.5" customHeight="1">
      <c r="A116" s="53"/>
      <c r="B116" s="71" t="s">
        <v>1011</v>
      </c>
      <c r="C116" s="13" t="s">
        <v>1012</v>
      </c>
      <c r="D116" s="14" t="s">
        <v>374</v>
      </c>
      <c r="E116" s="11" t="s">
        <v>954</v>
      </c>
      <c r="F116" s="11" t="s">
        <v>239</v>
      </c>
      <c r="G116" s="15">
        <v>46081.0</v>
      </c>
      <c r="H116" s="15">
        <v>46568.0</v>
      </c>
      <c r="I116" s="17"/>
      <c r="J116" s="11" t="s">
        <v>108</v>
      </c>
      <c r="K116" s="18" t="str">
        <f t="shared" si="1"/>
        <v>WBS: WBM-40531
שם פרויקט: ירושלים ג'- התאמת שדה 3 ליכולת 1400 א'
מנה״פ: בן חמו, דביר 
יעד תכנית פיתוח: 28/02/2026
יעד מסתמן: 30/06/2027</v>
      </c>
      <c r="L116" s="18"/>
      <c r="M116" s="20" t="s">
        <v>1013</v>
      </c>
      <c r="N116" s="20" t="s">
        <v>1013</v>
      </c>
      <c r="O116" s="20" t="s">
        <v>1014</v>
      </c>
      <c r="P116" s="20" t="s">
        <v>1015</v>
      </c>
      <c r="Q116" s="20" t="s">
        <v>1015</v>
      </c>
      <c r="R116" s="20" t="s">
        <v>1015</v>
      </c>
      <c r="S116" s="20" t="s">
        <v>1015</v>
      </c>
      <c r="T116" s="20" t="s">
        <v>1015</v>
      </c>
      <c r="U116" s="20" t="s">
        <v>1015</v>
      </c>
      <c r="V116" s="20" t="s">
        <v>1015</v>
      </c>
      <c r="W116" s="20" t="s">
        <v>1015</v>
      </c>
      <c r="X116" s="20" t="s">
        <v>1016</v>
      </c>
      <c r="Y116" s="70" t="s">
        <v>190</v>
      </c>
      <c r="Z116" s="27"/>
      <c r="AA116" s="23"/>
      <c r="AB116" s="24"/>
      <c r="AC116" s="24"/>
      <c r="AD116" s="24"/>
      <c r="AE116" s="24"/>
      <c r="AF116" s="24"/>
      <c r="AG116" s="24"/>
      <c r="AH116" s="24"/>
    </row>
    <row r="117" ht="13.5" customHeight="1">
      <c r="A117" s="53"/>
      <c r="B117" s="12" t="s">
        <v>1017</v>
      </c>
      <c r="C117" s="13" t="s">
        <v>1018</v>
      </c>
      <c r="D117" s="14" t="s">
        <v>49</v>
      </c>
      <c r="E117" s="11" t="s">
        <v>954</v>
      </c>
      <c r="F117" s="11" t="s">
        <v>239</v>
      </c>
      <c r="G117" s="15">
        <v>46173.0</v>
      </c>
      <c r="H117" s="15">
        <v>46203.0</v>
      </c>
      <c r="I117" s="17"/>
      <c r="J117" s="11" t="s">
        <v>108</v>
      </c>
      <c r="K117" s="18" t="str">
        <f t="shared" si="1"/>
        <v>WBS: WBE-258
שם פרויקט: ירושלים ג- החלפת שנאי 521 וציוד בשדה 161 ק"ו מס' 2
מנה״פ: בן חמו, דביר 
יעד תכנית פיתוח: 31/05/2026
יעד מסתמן: 30/06/2026</v>
      </c>
      <c r="L117" s="19"/>
      <c r="M117" s="20" t="s">
        <v>1013</v>
      </c>
      <c r="N117" s="20" t="s">
        <v>1013</v>
      </c>
      <c r="O117" s="20" t="s">
        <v>1013</v>
      </c>
      <c r="P117" s="20" t="s">
        <v>1013</v>
      </c>
      <c r="Q117" s="20" t="s">
        <v>1013</v>
      </c>
      <c r="R117" s="20" t="s">
        <v>1013</v>
      </c>
      <c r="S117" s="20" t="s">
        <v>1013</v>
      </c>
      <c r="T117" s="20" t="s">
        <v>1005</v>
      </c>
      <c r="U117" s="20" t="s">
        <v>1019</v>
      </c>
      <c r="V117" s="20" t="s">
        <v>1020</v>
      </c>
      <c r="W117" s="20" t="s">
        <v>1021</v>
      </c>
      <c r="X117" s="30"/>
      <c r="Y117" s="27"/>
      <c r="Z117" s="27"/>
      <c r="AA117" s="23"/>
      <c r="AB117" s="24"/>
      <c r="AC117" s="24"/>
      <c r="AD117" s="24"/>
      <c r="AE117" s="24"/>
      <c r="AF117" s="24"/>
      <c r="AG117" s="24"/>
      <c r="AH117" s="24"/>
    </row>
    <row r="118" ht="13.5" customHeight="1">
      <c r="A118" s="53"/>
      <c r="B118" s="12" t="s">
        <v>1022</v>
      </c>
      <c r="C118" s="72" t="s">
        <v>1023</v>
      </c>
      <c r="D118" s="14" t="s">
        <v>374</v>
      </c>
      <c r="E118" s="11" t="s">
        <v>954</v>
      </c>
      <c r="F118" s="11" t="s">
        <v>239</v>
      </c>
      <c r="G118" s="15">
        <v>46081.0</v>
      </c>
      <c r="H118" s="40" t="s">
        <v>1024</v>
      </c>
      <c r="I118" s="17"/>
      <c r="J118" s="11" t="s">
        <v>108</v>
      </c>
      <c r="K118" s="18" t="str">
        <f t="shared" si="1"/>
        <v>WBS: WBM-00895
שם פרויקט: סדום דרום
מנה״פ: בן חמו, דביר 
יעד תכנית פיתוח: 28/02/2026
יעד מסתמן: 30/06/2026 לא אפשרי! עיכוב בקבלת קבלן נכון להודעה אחרונה החישמול יהיה ב-09.2026</v>
      </c>
      <c r="L118" s="18"/>
      <c r="M118" s="20" t="s">
        <v>1025</v>
      </c>
      <c r="N118" s="20" t="s">
        <v>1025</v>
      </c>
      <c r="O118" s="20" t="s">
        <v>1026</v>
      </c>
      <c r="P118" s="20" t="s">
        <v>1026</v>
      </c>
      <c r="Q118" s="20" t="s">
        <v>1026</v>
      </c>
      <c r="R118" s="20" t="s">
        <v>1027</v>
      </c>
      <c r="S118" s="20" t="s">
        <v>1027</v>
      </c>
      <c r="T118" s="20" t="s">
        <v>1028</v>
      </c>
      <c r="U118" s="20" t="s">
        <v>1029</v>
      </c>
      <c r="V118" s="20" t="s">
        <v>1029</v>
      </c>
      <c r="W118" s="20" t="s">
        <v>1029</v>
      </c>
      <c r="X118" s="20" t="s">
        <v>1030</v>
      </c>
      <c r="Y118" s="22"/>
      <c r="Z118" s="27"/>
      <c r="AA118" s="23"/>
      <c r="AB118" s="24"/>
      <c r="AC118" s="24"/>
      <c r="AD118" s="24"/>
      <c r="AE118" s="24"/>
      <c r="AF118" s="24"/>
      <c r="AG118" s="24"/>
      <c r="AH118" s="24"/>
    </row>
    <row r="119" ht="13.5" customHeight="1">
      <c r="A119" s="53"/>
      <c r="B119" s="12" t="s">
        <v>1031</v>
      </c>
      <c r="C119" s="13" t="s">
        <v>1032</v>
      </c>
      <c r="D119" s="14" t="s">
        <v>49</v>
      </c>
      <c r="E119" s="11" t="s">
        <v>954</v>
      </c>
      <c r="F119" s="11" t="s">
        <v>239</v>
      </c>
      <c r="G119" s="15">
        <v>47299.0</v>
      </c>
      <c r="H119" s="15">
        <v>46600.0</v>
      </c>
      <c r="I119" s="17"/>
      <c r="J119" s="11" t="s">
        <v>65</v>
      </c>
      <c r="K119" s="18" t="str">
        <f t="shared" si="1"/>
        <v>WBS: WBE-194
שם פרויקט: קרית הלאום
משיק wbo-122-הרחבת מסדר פנימי 161 ק"ו ב-3 שדות מ"ע , 2שדות קווים למעגלים מתחמ"ג ירושלים
מנה״פ: בן חמו, דביר 
יעד תכנית פיתוח: 30/06/2029
יעד מסתמן: 01/08/2027</v>
      </c>
      <c r="L119" s="18"/>
      <c r="M119" s="20" t="s">
        <v>1033</v>
      </c>
      <c r="N119" s="20" t="s">
        <v>1033</v>
      </c>
      <c r="O119" s="20" t="s">
        <v>1034</v>
      </c>
      <c r="P119" s="20" t="s">
        <v>1034</v>
      </c>
      <c r="Q119" s="20" t="s">
        <v>1034</v>
      </c>
      <c r="R119" s="44" t="s">
        <v>1035</v>
      </c>
      <c r="S119" s="44" t="s">
        <v>1035</v>
      </c>
      <c r="T119" s="44" t="s">
        <v>1036</v>
      </c>
      <c r="U119" s="44" t="s">
        <v>1036</v>
      </c>
      <c r="V119" s="44" t="s">
        <v>1036</v>
      </c>
      <c r="W119" s="44" t="s">
        <v>1036</v>
      </c>
      <c r="X119" s="45"/>
      <c r="Y119" s="27"/>
      <c r="Z119" s="27"/>
      <c r="AA119" s="23"/>
      <c r="AB119" s="24"/>
      <c r="AC119" s="24"/>
      <c r="AD119" s="24"/>
      <c r="AE119" s="24"/>
      <c r="AF119" s="24"/>
      <c r="AG119" s="24"/>
      <c r="AH119" s="24"/>
    </row>
    <row r="120" ht="13.5" customHeight="1">
      <c r="A120" s="53"/>
      <c r="B120" s="12" t="s">
        <v>1037</v>
      </c>
      <c r="C120" s="13" t="s">
        <v>1038</v>
      </c>
      <c r="D120" s="14" t="s">
        <v>49</v>
      </c>
      <c r="E120" s="11" t="s">
        <v>954</v>
      </c>
      <c r="F120" s="11" t="s">
        <v>239</v>
      </c>
      <c r="G120" s="15">
        <v>48699.0</v>
      </c>
      <c r="H120" s="15">
        <v>48699.0</v>
      </c>
      <c r="I120" s="17"/>
      <c r="J120" s="11" t="s">
        <v>103</v>
      </c>
      <c r="K120" s="18" t="str">
        <f t="shared" si="1"/>
        <v>WBS: WBK-022
שם פרויקט: גן שורק מסדר 400 ק"ו-הקמת דיאמטר 5 עם 2 יציאות 400 ק"ו לתחמ"ג תקומה
מנה״פ: בן חמו, דביר 
יעד תכנית פיתוח: 30/04/2033
יעד מסתמן: 30/04/2033</v>
      </c>
      <c r="L120" s="18"/>
      <c r="M120" s="20" t="s">
        <v>1039</v>
      </c>
      <c r="N120" s="20" t="s">
        <v>1039</v>
      </c>
      <c r="O120" s="20" t="s">
        <v>1040</v>
      </c>
      <c r="P120" s="20" t="s">
        <v>1040</v>
      </c>
      <c r="Q120" s="20" t="s">
        <v>1040</v>
      </c>
      <c r="R120" s="44" t="s">
        <v>1041</v>
      </c>
      <c r="S120" s="44" t="s">
        <v>1041</v>
      </c>
      <c r="T120" s="44" t="s">
        <v>1041</v>
      </c>
      <c r="U120" s="73" t="s">
        <v>1041</v>
      </c>
      <c r="V120" s="20" t="s">
        <v>1041</v>
      </c>
      <c r="W120" s="20" t="s">
        <v>1041</v>
      </c>
      <c r="X120" s="74"/>
      <c r="Y120" s="22"/>
      <c r="Z120" s="27"/>
      <c r="AA120" s="23"/>
      <c r="AB120" s="24"/>
      <c r="AC120" s="24"/>
      <c r="AD120" s="24"/>
      <c r="AE120" s="24"/>
      <c r="AF120" s="24"/>
      <c r="AG120" s="24"/>
      <c r="AH120" s="24"/>
    </row>
    <row r="121" ht="13.5" customHeight="1">
      <c r="A121" s="53"/>
      <c r="B121" s="12" t="s">
        <v>1042</v>
      </c>
      <c r="C121" s="13" t="s">
        <v>1043</v>
      </c>
      <c r="D121" s="14" t="s">
        <v>49</v>
      </c>
      <c r="E121" s="11" t="s">
        <v>954</v>
      </c>
      <c r="F121" s="11" t="s">
        <v>239</v>
      </c>
      <c r="G121" s="15">
        <v>46964.0</v>
      </c>
      <c r="H121" s="15">
        <v>46721.0</v>
      </c>
      <c r="I121" s="17"/>
      <c r="J121" s="11" t="s">
        <v>65</v>
      </c>
      <c r="K121" s="18" t="str">
        <f t="shared" si="1"/>
        <v>WBS: WBE-287
שם פרויקט: גן שורק-חיבור 4 מעגלי כבלים מתח"כ שורק 900 לשדות 6,7,8,9
מנה״פ: בן חמו, דביר 
יעד תכנית פיתוח: 30/07/2028
יעד מסתמן: 30/11/2027</v>
      </c>
      <c r="L121" s="19"/>
      <c r="M121" s="20" t="s">
        <v>1044</v>
      </c>
      <c r="N121" s="20" t="s">
        <v>1045</v>
      </c>
      <c r="O121" s="20" t="s">
        <v>1046</v>
      </c>
      <c r="P121" s="20" t="s">
        <v>1046</v>
      </c>
      <c r="Q121" s="20" t="s">
        <v>1046</v>
      </c>
      <c r="R121" s="44" t="s">
        <v>1035</v>
      </c>
      <c r="S121" s="44" t="s">
        <v>1035</v>
      </c>
      <c r="T121" s="44" t="s">
        <v>1047</v>
      </c>
      <c r="U121" s="44" t="s">
        <v>1047</v>
      </c>
      <c r="V121" s="44" t="s">
        <v>1047</v>
      </c>
      <c r="W121" s="44" t="s">
        <v>1047</v>
      </c>
      <c r="X121" s="30"/>
      <c r="Y121" s="27" t="s">
        <v>129</v>
      </c>
      <c r="Z121" s="27"/>
      <c r="AA121" s="23"/>
      <c r="AB121" s="24"/>
      <c r="AC121" s="24"/>
      <c r="AD121" s="24"/>
      <c r="AE121" s="24"/>
      <c r="AF121" s="24"/>
      <c r="AG121" s="24"/>
      <c r="AH121" s="24"/>
    </row>
    <row r="122" ht="13.5" customHeight="1">
      <c r="A122" s="53"/>
      <c r="B122" s="12" t="s">
        <v>1048</v>
      </c>
      <c r="C122" s="13" t="s">
        <v>1049</v>
      </c>
      <c r="D122" s="14" t="s">
        <v>30</v>
      </c>
      <c r="E122" s="11" t="s">
        <v>1050</v>
      </c>
      <c r="F122" s="11" t="s">
        <v>32</v>
      </c>
      <c r="G122" s="15">
        <v>46538.0</v>
      </c>
      <c r="H122" s="15">
        <v>46690.0</v>
      </c>
      <c r="I122" s="17"/>
      <c r="J122" s="11" t="s">
        <v>95</v>
      </c>
      <c r="K122" s="18" t="str">
        <f t="shared" si="1"/>
        <v>WBS: WBC-078
שם פרויקט: תל השומר- הקמת תחמ"ש פנימית 161/24 ק"ו
מנה״פ: יהודר בכר, אורית
יעד תכנית פיתוח: 31/05/2027
יעד מסתמן: 30/10/2027</v>
      </c>
      <c r="L122" s="19"/>
      <c r="M122" s="20" t="s">
        <v>1051</v>
      </c>
      <c r="N122" s="20" t="s">
        <v>1052</v>
      </c>
      <c r="O122" s="20" t="s">
        <v>1053</v>
      </c>
      <c r="P122" s="20" t="s">
        <v>1054</v>
      </c>
      <c r="Q122" s="20" t="s">
        <v>1054</v>
      </c>
      <c r="R122" s="20" t="s">
        <v>1055</v>
      </c>
      <c r="S122" s="20" t="s">
        <v>1056</v>
      </c>
      <c r="T122" s="20" t="s">
        <v>1057</v>
      </c>
      <c r="U122" s="20" t="s">
        <v>1058</v>
      </c>
      <c r="V122" s="20" t="s">
        <v>1059</v>
      </c>
      <c r="W122" s="20" t="s">
        <v>1060</v>
      </c>
      <c r="X122" s="20" t="s">
        <v>1061</v>
      </c>
      <c r="Y122" s="27" t="s">
        <v>77</v>
      </c>
      <c r="Z122" s="27"/>
      <c r="AA122" s="23"/>
      <c r="AB122" s="24"/>
      <c r="AC122" s="24"/>
      <c r="AD122" s="24"/>
      <c r="AE122" s="24"/>
      <c r="AF122" s="24"/>
      <c r="AG122" s="24"/>
      <c r="AH122" s="24"/>
    </row>
    <row r="123" ht="13.5" customHeight="1">
      <c r="A123" s="53" t="s">
        <v>27</v>
      </c>
      <c r="B123" s="12" t="s">
        <v>1062</v>
      </c>
      <c r="C123" s="13" t="s">
        <v>1063</v>
      </c>
      <c r="D123" s="14" t="s">
        <v>30</v>
      </c>
      <c r="E123" s="11" t="s">
        <v>1050</v>
      </c>
      <c r="F123" s="11" t="s">
        <v>32</v>
      </c>
      <c r="G123" s="15">
        <v>46233.0</v>
      </c>
      <c r="H123" s="15">
        <v>46295.0</v>
      </c>
      <c r="I123" s="17"/>
      <c r="J123" s="11" t="s">
        <v>50</v>
      </c>
      <c r="K123" s="18" t="str">
        <f t="shared" si="1"/>
        <v>WBS: WBC-073
שם פרויקט: רחובות צפון- הקמת תחמ"ש פנימית 161/24 ק"
מנה״פ: יהודר בכר, אורית
יעד תכנית פיתוח: 30/07/2026
יעד מסתמן: 30/09/2026</v>
      </c>
      <c r="L123" s="19"/>
      <c r="M123" s="20" t="s">
        <v>1064</v>
      </c>
      <c r="N123" s="20" t="s">
        <v>1065</v>
      </c>
      <c r="O123" s="20" t="s">
        <v>1066</v>
      </c>
      <c r="P123" s="20" t="s">
        <v>1067</v>
      </c>
      <c r="Q123" s="20" t="s">
        <v>1068</v>
      </c>
      <c r="R123" s="29" t="s">
        <v>1069</v>
      </c>
      <c r="S123" s="29" t="s">
        <v>1070</v>
      </c>
      <c r="T123" s="20" t="s">
        <v>1071</v>
      </c>
      <c r="U123" s="20" t="s">
        <v>1072</v>
      </c>
      <c r="V123" s="75" t="s">
        <v>1073</v>
      </c>
      <c r="W123" s="76" t="s">
        <v>1074</v>
      </c>
      <c r="X123" s="20" t="s">
        <v>1075</v>
      </c>
      <c r="Y123" s="22" t="s">
        <v>62</v>
      </c>
      <c r="Z123" s="27" t="s">
        <v>177</v>
      </c>
      <c r="AA123" s="23"/>
      <c r="AB123" s="24"/>
      <c r="AC123" s="24"/>
      <c r="AD123" s="24"/>
      <c r="AE123" s="24"/>
      <c r="AF123" s="24"/>
      <c r="AG123" s="24"/>
      <c r="AH123" s="24"/>
    </row>
    <row r="124" ht="13.5" customHeight="1">
      <c r="A124" s="53"/>
      <c r="B124" s="47" t="s">
        <v>1076</v>
      </c>
      <c r="C124" s="13" t="s">
        <v>1077</v>
      </c>
      <c r="D124" s="14" t="s">
        <v>30</v>
      </c>
      <c r="E124" s="11" t="s">
        <v>1050</v>
      </c>
      <c r="F124" s="11" t="s">
        <v>32</v>
      </c>
      <c r="G124" s="15">
        <v>45644.0</v>
      </c>
      <c r="H124" s="40" t="s">
        <v>1078</v>
      </c>
      <c r="I124" s="17"/>
      <c r="J124" s="11" t="s">
        <v>468</v>
      </c>
      <c r="K124" s="18" t="str">
        <f t="shared" si="1"/>
        <v>WBS: WBC-042
שם פרויקט: קרית משה
הקמת תחמ"ש פנימית
מנה״פ: יהודר בכר, אורית
יעד תכנית פיתוח: 18/12/2024
יעד מסתמן: חושמל 18/12/24</v>
      </c>
      <c r="L124" s="18"/>
      <c r="M124" s="20" t="s">
        <v>1079</v>
      </c>
      <c r="N124" s="20" t="s">
        <v>1079</v>
      </c>
      <c r="O124" s="30"/>
      <c r="P124" s="30"/>
      <c r="Q124" s="20" t="s">
        <v>1080</v>
      </c>
      <c r="R124" s="20" t="s">
        <v>1081</v>
      </c>
      <c r="S124" s="20" t="s">
        <v>1081</v>
      </c>
      <c r="T124" s="20" t="s">
        <v>1081</v>
      </c>
      <c r="U124" s="20" t="s">
        <v>1081</v>
      </c>
      <c r="V124" s="20" t="s">
        <v>1081</v>
      </c>
      <c r="W124" s="20" t="s">
        <v>1081</v>
      </c>
      <c r="X124" s="20" t="s">
        <v>1080</v>
      </c>
      <c r="Y124" s="27" t="s">
        <v>190</v>
      </c>
      <c r="Z124" s="27"/>
      <c r="AA124" s="23"/>
      <c r="AB124" s="24"/>
      <c r="AC124" s="24"/>
      <c r="AD124" s="24"/>
      <c r="AE124" s="24"/>
      <c r="AF124" s="24"/>
      <c r="AG124" s="24"/>
      <c r="AH124" s="24"/>
    </row>
    <row r="125" ht="13.5" customHeight="1">
      <c r="A125" s="53"/>
      <c r="B125" s="12" t="s">
        <v>1082</v>
      </c>
      <c r="C125" s="13" t="s">
        <v>1083</v>
      </c>
      <c r="D125" s="14" t="s">
        <v>49</v>
      </c>
      <c r="E125" s="11" t="s">
        <v>1050</v>
      </c>
      <c r="F125" s="11" t="s">
        <v>32</v>
      </c>
      <c r="G125" s="15">
        <v>45666.0</v>
      </c>
      <c r="H125" s="40" t="s">
        <v>631</v>
      </c>
      <c r="I125" s="17"/>
      <c r="J125" s="11" t="s">
        <v>499</v>
      </c>
      <c r="K125" s="18" t="str">
        <f t="shared" si="1"/>
        <v>WBS: WBE-170
שם פרויקט: לוד-הוספת שנאי 526 161/24 ק"ו 50 מגוו"א
מנה״פ: יהודר בכר, אורית
יעד תכנית פיתוח: 09/01/2025
יעד מסתמן: חושמל</v>
      </c>
      <c r="L125" s="19"/>
      <c r="M125" s="20" t="s">
        <v>1084</v>
      </c>
      <c r="N125" s="20" t="s">
        <v>1084</v>
      </c>
      <c r="O125" s="20" t="s">
        <v>1085</v>
      </c>
      <c r="P125" s="20" t="s">
        <v>1086</v>
      </c>
      <c r="Q125" s="20" t="s">
        <v>1086</v>
      </c>
      <c r="R125" s="20" t="s">
        <v>1087</v>
      </c>
      <c r="S125" s="20" t="s">
        <v>1087</v>
      </c>
      <c r="T125" s="20" t="s">
        <v>1087</v>
      </c>
      <c r="U125" s="20" t="s">
        <v>1087</v>
      </c>
      <c r="V125" s="20" t="s">
        <v>1087</v>
      </c>
      <c r="W125" s="20" t="s">
        <v>1087</v>
      </c>
      <c r="X125" s="20" t="s">
        <v>1088</v>
      </c>
      <c r="Y125" s="27" t="s">
        <v>190</v>
      </c>
      <c r="Z125" s="27"/>
      <c r="AA125" s="23"/>
      <c r="AB125" s="24"/>
      <c r="AC125" s="24"/>
      <c r="AD125" s="24"/>
      <c r="AE125" s="24"/>
      <c r="AF125" s="24"/>
      <c r="AG125" s="24"/>
      <c r="AH125" s="24"/>
    </row>
    <row r="126" ht="13.5" customHeight="1">
      <c r="A126" s="53" t="s">
        <v>27</v>
      </c>
      <c r="B126" s="12" t="s">
        <v>1089</v>
      </c>
      <c r="C126" s="13" t="s">
        <v>1090</v>
      </c>
      <c r="D126" s="14" t="s">
        <v>30</v>
      </c>
      <c r="E126" s="11" t="s">
        <v>1050</v>
      </c>
      <c r="F126" s="11" t="s">
        <v>32</v>
      </c>
      <c r="G126" s="15">
        <v>46356.0</v>
      </c>
      <c r="H126" s="15">
        <v>46356.0</v>
      </c>
      <c r="I126" s="17"/>
      <c r="J126" s="11" t="s">
        <v>50</v>
      </c>
      <c r="K126" s="18" t="str">
        <f t="shared" si="1"/>
        <v>WBS: WBC-028
שם פרויקט: בת ים - הקמת תחמ"ש פנימית 161/24 ק"ו
מנה״פ: יהודר בכר, אורית
יעד תכנית פיתוח: 30/11/2026
יעד מסתמן: 30/11/2026</v>
      </c>
      <c r="L126" s="19"/>
      <c r="M126" s="20" t="s">
        <v>1091</v>
      </c>
      <c r="N126" s="20" t="s">
        <v>1091</v>
      </c>
      <c r="O126" s="20" t="s">
        <v>1092</v>
      </c>
      <c r="P126" s="20" t="s">
        <v>1093</v>
      </c>
      <c r="Q126" s="20" t="s">
        <v>1094</v>
      </c>
      <c r="R126" s="20" t="s">
        <v>1095</v>
      </c>
      <c r="S126" s="77" t="s">
        <v>1096</v>
      </c>
      <c r="T126" s="20" t="s">
        <v>1097</v>
      </c>
      <c r="U126" s="20" t="s">
        <v>1098</v>
      </c>
      <c r="V126" s="20" t="s">
        <v>1099</v>
      </c>
      <c r="W126" s="20" t="s">
        <v>1100</v>
      </c>
      <c r="X126" s="20" t="s">
        <v>1101</v>
      </c>
      <c r="Y126" s="27" t="s">
        <v>62</v>
      </c>
      <c r="Z126" s="27" t="s">
        <v>177</v>
      </c>
      <c r="AA126" s="23"/>
      <c r="AB126" s="24"/>
      <c r="AC126" s="24"/>
      <c r="AD126" s="24"/>
      <c r="AE126" s="24"/>
      <c r="AF126" s="24"/>
      <c r="AG126" s="24"/>
      <c r="AH126" s="24"/>
    </row>
    <row r="127" ht="13.5" customHeight="1">
      <c r="A127" s="53"/>
      <c r="B127" s="12" t="s">
        <v>1102</v>
      </c>
      <c r="C127" s="13" t="s">
        <v>1103</v>
      </c>
      <c r="D127" s="14" t="s">
        <v>49</v>
      </c>
      <c r="E127" s="11" t="s">
        <v>1104</v>
      </c>
      <c r="F127" s="11" t="s">
        <v>163</v>
      </c>
      <c r="G127" s="15">
        <v>47118.0</v>
      </c>
      <c r="H127" s="15">
        <v>47026.0</v>
      </c>
      <c r="I127" s="17"/>
      <c r="J127" s="11" t="s">
        <v>103</v>
      </c>
      <c r="K127" s="18" t="str">
        <f t="shared" si="1"/>
        <v>WBS: WBK-015
שם פרויקט: קיסריה- התקנת ש"ק שלישי 650 מגוו"א
מנה״פ: יעקבי, ניר
יעד תכנית פיתוח: 31/12/2028
יעד מסתמן: 30/09/2028</v>
      </c>
      <c r="L127" s="19"/>
      <c r="M127" s="20" t="s">
        <v>1105</v>
      </c>
      <c r="N127" s="20" t="s">
        <v>1105</v>
      </c>
      <c r="O127" s="20" t="s">
        <v>1105</v>
      </c>
      <c r="P127" s="20" t="s">
        <v>1105</v>
      </c>
      <c r="Q127" s="20" t="s">
        <v>1105</v>
      </c>
      <c r="R127" s="20" t="s">
        <v>1105</v>
      </c>
      <c r="S127" s="20" t="s">
        <v>1105</v>
      </c>
      <c r="T127" s="20" t="s">
        <v>1105</v>
      </c>
      <c r="U127" s="20" t="s">
        <v>1105</v>
      </c>
      <c r="V127" s="20" t="s">
        <v>1105</v>
      </c>
      <c r="W127" s="20" t="s">
        <v>1105</v>
      </c>
      <c r="X127" s="20" t="s">
        <v>1106</v>
      </c>
      <c r="Y127" s="11" t="s">
        <v>129</v>
      </c>
      <c r="Z127" s="27" t="s">
        <v>190</v>
      </c>
      <c r="AA127" s="23"/>
      <c r="AB127" s="24"/>
      <c r="AC127" s="24"/>
      <c r="AD127" s="24"/>
      <c r="AE127" s="24"/>
      <c r="AF127" s="24"/>
      <c r="AG127" s="24"/>
      <c r="AH127" s="24"/>
    </row>
    <row r="128" ht="13.5" customHeight="1">
      <c r="A128" s="53"/>
      <c r="B128" s="12" t="s">
        <v>1107</v>
      </c>
      <c r="C128" s="13" t="s">
        <v>1108</v>
      </c>
      <c r="D128" s="14" t="s">
        <v>49</v>
      </c>
      <c r="E128" s="11" t="s">
        <v>1104</v>
      </c>
      <c r="F128" s="11" t="s">
        <v>163</v>
      </c>
      <c r="G128" s="15">
        <v>46568.0</v>
      </c>
      <c r="H128" s="15">
        <v>46568.0</v>
      </c>
      <c r="I128" s="17"/>
      <c r="J128" s="11" t="s">
        <v>80</v>
      </c>
      <c r="K128" s="18" t="str">
        <f t="shared" si="1"/>
        <v>WBS: WBE-221
שם פרויקט: ציפורית-התקנת שנאי רביעי והחלפת 2 שנאים
מנה״פ: יעקבי, ניר
יעד תכנית פיתוח: 30/06/2027
יעד מסתמן: 30/06/2027</v>
      </c>
      <c r="L128" s="19"/>
      <c r="M128" s="20" t="s">
        <v>1109</v>
      </c>
      <c r="N128" s="20" t="s">
        <v>1109</v>
      </c>
      <c r="O128" s="20" t="s">
        <v>1110</v>
      </c>
      <c r="P128" s="20" t="s">
        <v>1111</v>
      </c>
      <c r="Q128" s="20" t="s">
        <v>1112</v>
      </c>
      <c r="R128" s="20" t="s">
        <v>1113</v>
      </c>
      <c r="S128" s="20" t="s">
        <v>1114</v>
      </c>
      <c r="T128" s="20" t="s">
        <v>1114</v>
      </c>
      <c r="U128" s="20" t="s">
        <v>1115</v>
      </c>
      <c r="V128" s="20" t="s">
        <v>1116</v>
      </c>
      <c r="W128" s="20" t="s">
        <v>1116</v>
      </c>
      <c r="X128" s="20" t="s">
        <v>1117</v>
      </c>
      <c r="Y128" s="22" t="s">
        <v>77</v>
      </c>
      <c r="Z128" s="27"/>
      <c r="AA128" s="23"/>
      <c r="AB128" s="24"/>
      <c r="AC128" s="24"/>
      <c r="AD128" s="24"/>
      <c r="AE128" s="24"/>
      <c r="AF128" s="24"/>
      <c r="AG128" s="24"/>
      <c r="AH128" s="24"/>
    </row>
    <row r="129" ht="13.5" customHeight="1">
      <c r="A129" s="53"/>
      <c r="B129" s="12" t="s">
        <v>1118</v>
      </c>
      <c r="C129" s="13" t="s">
        <v>1119</v>
      </c>
      <c r="D129" s="14" t="s">
        <v>49</v>
      </c>
      <c r="E129" s="11" t="s">
        <v>1104</v>
      </c>
      <c r="F129" s="11" t="s">
        <v>163</v>
      </c>
      <c r="G129" s="15">
        <v>46326.0</v>
      </c>
      <c r="H129" s="15">
        <v>46387.0</v>
      </c>
      <c r="I129" s="17"/>
      <c r="J129" s="11" t="s">
        <v>108</v>
      </c>
      <c r="K129" s="18" t="str">
        <f t="shared" si="1"/>
        <v>WBS: WBE-168
שם פרויקט: צור שלום - התקנת שנאי 524 161/24 ק"ו, 50 מגוו"א בשדה 10 בתחמ"ש צור שלום. התקנת סוללות קבלים 2x5 מגווא"ר.
מנה״פ: יעקבי, ניר
יעד תכנית פיתוח: 31/10/2026
יעד מסתמן: 31/12/2026</v>
      </c>
      <c r="L129" s="19"/>
      <c r="M129" s="20" t="s">
        <v>1120</v>
      </c>
      <c r="N129" s="20" t="s">
        <v>1120</v>
      </c>
      <c r="O129" s="18" t="s">
        <v>1121</v>
      </c>
      <c r="P129" s="18" t="s">
        <v>1122</v>
      </c>
      <c r="Q129" s="18" t="s">
        <v>1122</v>
      </c>
      <c r="R129" s="18" t="s">
        <v>1122</v>
      </c>
      <c r="S129" s="18" t="s">
        <v>1122</v>
      </c>
      <c r="T129" s="18" t="s">
        <v>1122</v>
      </c>
      <c r="U129" s="18" t="s">
        <v>1122</v>
      </c>
      <c r="V129" s="18" t="s">
        <v>1122</v>
      </c>
      <c r="W129" s="18" t="s">
        <v>1123</v>
      </c>
      <c r="X129" s="20" t="s">
        <v>1124</v>
      </c>
      <c r="Y129" s="27" t="s">
        <v>46</v>
      </c>
      <c r="Z129" s="27" t="s">
        <v>190</v>
      </c>
      <c r="AA129" s="23"/>
      <c r="AB129" s="24"/>
      <c r="AC129" s="24"/>
      <c r="AD129" s="24"/>
      <c r="AE129" s="24"/>
      <c r="AF129" s="24"/>
      <c r="AG129" s="24"/>
      <c r="AH129" s="24"/>
    </row>
    <row r="130" ht="13.5" customHeight="1">
      <c r="A130" s="53"/>
      <c r="B130" s="12" t="s">
        <v>1125</v>
      </c>
      <c r="C130" s="13" t="s">
        <v>1126</v>
      </c>
      <c r="D130" s="14" t="s">
        <v>49</v>
      </c>
      <c r="E130" s="11" t="s">
        <v>1104</v>
      </c>
      <c r="F130" s="11" t="s">
        <v>163</v>
      </c>
      <c r="G130" s="15">
        <v>46568.0</v>
      </c>
      <c r="H130" s="40" t="s">
        <v>1127</v>
      </c>
      <c r="I130" s="17"/>
      <c r="J130" s="11" t="s">
        <v>95</v>
      </c>
      <c r="K130" s="18" t="str">
        <f t="shared" si="1"/>
        <v>WBS: WBE-263
שם פרויקט: כרמיאל-החלפת 4 שנ.מ-33 ל-50 מו"א-רב שלבי
מנה״פ: יעקבי, ניר
יעד תכנית פיתוח: 30/06/2027
יעד מסתמן: שנאי 522+521 ב12/2026 , שנאי 523 ב06/2027 , שנאי 524 ב12/2027</v>
      </c>
      <c r="L130" s="19"/>
      <c r="M130" s="20" t="s">
        <v>1128</v>
      </c>
      <c r="N130" s="20" t="s">
        <v>1129</v>
      </c>
      <c r="O130" s="20" t="s">
        <v>1130</v>
      </c>
      <c r="P130" s="20" t="s">
        <v>1130</v>
      </c>
      <c r="Q130" s="20" t="s">
        <v>1131</v>
      </c>
      <c r="R130" s="20" t="s">
        <v>1131</v>
      </c>
      <c r="S130" s="20" t="s">
        <v>1131</v>
      </c>
      <c r="T130" s="20" t="s">
        <v>1132</v>
      </c>
      <c r="U130" s="20" t="s">
        <v>1132</v>
      </c>
      <c r="V130" s="20" t="s">
        <v>1132</v>
      </c>
      <c r="W130" s="20" t="s">
        <v>1133</v>
      </c>
      <c r="X130" s="30" t="s">
        <v>1134</v>
      </c>
      <c r="Y130" s="17"/>
      <c r="Z130" s="17"/>
      <c r="AA130" s="23"/>
      <c r="AB130" s="24"/>
      <c r="AC130" s="24"/>
      <c r="AD130" s="24"/>
      <c r="AE130" s="24"/>
      <c r="AF130" s="24"/>
      <c r="AG130" s="24"/>
      <c r="AH130" s="24"/>
    </row>
    <row r="131" ht="13.5" customHeight="1">
      <c r="A131" s="53"/>
      <c r="B131" s="12" t="s">
        <v>1135</v>
      </c>
      <c r="C131" s="13" t="s">
        <v>1136</v>
      </c>
      <c r="D131" s="14" t="s">
        <v>49</v>
      </c>
      <c r="E131" s="11" t="s">
        <v>1104</v>
      </c>
      <c r="F131" s="11" t="s">
        <v>163</v>
      </c>
      <c r="G131" s="15">
        <v>46568.0</v>
      </c>
      <c r="H131" s="40" t="s">
        <v>1137</v>
      </c>
      <c r="I131" s="17"/>
      <c r="J131" s="11" t="s">
        <v>95</v>
      </c>
      <c r="K131" s="18" t="str">
        <f t="shared" si="1"/>
        <v>WBS: WBE-226
שם פרויקט: כורסי-רב שלבי-החלפת 2 שנאים 521,522 והתקנת 2 שנאים 523,524
מנה״פ: יעקבי, ניר
יעד תכנית פיתוח: 30/06/2027
יעד מסתמן: שנאי 521,324,524 
30/06/2027
שנאי 522
28/02/2028
</v>
      </c>
      <c r="L131" s="19"/>
      <c r="M131" s="20" t="s">
        <v>1138</v>
      </c>
      <c r="N131" s="20" t="s">
        <v>1139</v>
      </c>
      <c r="O131" s="20" t="s">
        <v>1139</v>
      </c>
      <c r="P131" s="20" t="s">
        <v>1140</v>
      </c>
      <c r="Q131" s="21" t="s">
        <v>1140</v>
      </c>
      <c r="R131" s="21" t="s">
        <v>1141</v>
      </c>
      <c r="S131" s="21" t="s">
        <v>1142</v>
      </c>
      <c r="T131" s="21" t="s">
        <v>1143</v>
      </c>
      <c r="U131" s="21" t="s">
        <v>1143</v>
      </c>
      <c r="V131" s="21" t="s">
        <v>1144</v>
      </c>
      <c r="W131" s="21" t="s">
        <v>1144</v>
      </c>
      <c r="X131" s="20" t="s">
        <v>1145</v>
      </c>
      <c r="Y131" s="27"/>
      <c r="Z131" s="27"/>
      <c r="AA131" s="23"/>
      <c r="AB131" s="24"/>
      <c r="AC131" s="24"/>
      <c r="AD131" s="24"/>
      <c r="AE131" s="24"/>
      <c r="AF131" s="24"/>
      <c r="AG131" s="24"/>
      <c r="AH131" s="24"/>
    </row>
    <row r="132" ht="13.5" customHeight="1">
      <c r="A132" s="53"/>
      <c r="B132" s="12" t="s">
        <v>1146</v>
      </c>
      <c r="C132" s="13" t="s">
        <v>1147</v>
      </c>
      <c r="D132" s="14" t="s">
        <v>49</v>
      </c>
      <c r="E132" s="11" t="s">
        <v>1104</v>
      </c>
      <c r="F132" s="11" t="s">
        <v>163</v>
      </c>
      <c r="G132" s="15">
        <v>46203.0</v>
      </c>
      <c r="H132" s="15">
        <v>46326.0</v>
      </c>
      <c r="I132" s="17"/>
      <c r="J132" s="11" t="s">
        <v>50</v>
      </c>
      <c r="K132" s="18" t="str">
        <f t="shared" si="1"/>
        <v>WBS: WBE-233
שם פרויקט: יזרעאל-הח' 2 שנאים161/24 30 ב-50מגוו"א כ"א
מנה״פ: יעקבי, ניר
יעד תכנית פיתוח: 30/06/2026
יעד מסתמן: 31/10/2026</v>
      </c>
      <c r="L132" s="19"/>
      <c r="M132" s="20" t="s">
        <v>1148</v>
      </c>
      <c r="N132" s="20" t="s">
        <v>1149</v>
      </c>
      <c r="O132" s="20" t="s">
        <v>1150</v>
      </c>
      <c r="P132" s="20" t="s">
        <v>1151</v>
      </c>
      <c r="Q132" s="20" t="s">
        <v>1152</v>
      </c>
      <c r="R132" s="20" t="s">
        <v>1153</v>
      </c>
      <c r="S132" s="29" t="s">
        <v>1154</v>
      </c>
      <c r="T132" s="29" t="s">
        <v>1155</v>
      </c>
      <c r="U132" s="29" t="s">
        <v>1156</v>
      </c>
      <c r="V132" s="29" t="s">
        <v>1157</v>
      </c>
      <c r="W132" s="29" t="s">
        <v>1157</v>
      </c>
      <c r="X132" s="20" t="s">
        <v>1158</v>
      </c>
      <c r="Y132" s="27"/>
      <c r="Z132" s="27"/>
      <c r="AA132" s="23"/>
      <c r="AB132" s="24"/>
      <c r="AC132" s="24"/>
      <c r="AD132" s="24"/>
      <c r="AE132" s="24"/>
      <c r="AF132" s="24"/>
      <c r="AG132" s="24"/>
      <c r="AH132" s="24"/>
    </row>
    <row r="133" ht="13.5" customHeight="1">
      <c r="A133" s="53" t="s">
        <v>27</v>
      </c>
      <c r="B133" s="12" t="s">
        <v>1159</v>
      </c>
      <c r="C133" s="13" t="s">
        <v>1160</v>
      </c>
      <c r="D133" s="14" t="s">
        <v>49</v>
      </c>
      <c r="E133" s="11" t="s">
        <v>1104</v>
      </c>
      <c r="F133" s="11" t="s">
        <v>163</v>
      </c>
      <c r="G133" s="15">
        <v>46568.0</v>
      </c>
      <c r="H133" s="15">
        <v>46568.0</v>
      </c>
      <c r="I133" s="17"/>
      <c r="J133" s="11" t="s">
        <v>108</v>
      </c>
      <c r="K133" s="18" t="str">
        <f t="shared" si="1"/>
        <v>WBS: WBE-135
שם פרויקט: יזרעאל- החלפת שנאים 522 ו-524 ל-50 מגוו"א.
מנה״פ: יעקבי, ניר
יעד תכנית פיתוח: 30/06/2027
יעד מסתמן: 30/06/2027</v>
      </c>
      <c r="L133" s="19"/>
      <c r="M133" s="20" t="s">
        <v>1161</v>
      </c>
      <c r="N133" s="20" t="s">
        <v>1162</v>
      </c>
      <c r="O133" s="20" t="s">
        <v>1163</v>
      </c>
      <c r="P133" s="20" t="s">
        <v>1163</v>
      </c>
      <c r="Q133" s="20" t="s">
        <v>1164</v>
      </c>
      <c r="R133" s="20" t="s">
        <v>1164</v>
      </c>
      <c r="S133" s="20" t="s">
        <v>1164</v>
      </c>
      <c r="T133" s="20" t="s">
        <v>1165</v>
      </c>
      <c r="U133" s="20" t="s">
        <v>1165</v>
      </c>
      <c r="V133" s="20" t="s">
        <v>1166</v>
      </c>
      <c r="W133" s="20" t="s">
        <v>1167</v>
      </c>
      <c r="X133" s="30"/>
      <c r="Y133" s="22"/>
      <c r="Z133" s="27"/>
      <c r="AA133" s="23"/>
      <c r="AB133" s="24"/>
      <c r="AC133" s="24"/>
      <c r="AD133" s="24"/>
      <c r="AE133" s="24"/>
      <c r="AF133" s="24"/>
      <c r="AG133" s="24"/>
      <c r="AH133" s="24"/>
    </row>
    <row r="134" ht="13.5" customHeight="1">
      <c r="A134" s="53"/>
      <c r="B134" s="12" t="s">
        <v>1168</v>
      </c>
      <c r="C134" s="13" t="s">
        <v>1169</v>
      </c>
      <c r="D134" s="14" t="s">
        <v>49</v>
      </c>
      <c r="E134" s="11" t="s">
        <v>1104</v>
      </c>
      <c r="F134" s="11" t="s">
        <v>163</v>
      </c>
      <c r="G134" s="15">
        <v>46021.0</v>
      </c>
      <c r="H134" s="40" t="s">
        <v>631</v>
      </c>
      <c r="I134" s="17"/>
      <c r="J134" s="11" t="s">
        <v>468</v>
      </c>
      <c r="K134" s="18" t="str">
        <f t="shared" si="1"/>
        <v>WBS: WBE-169
שם פרויקט: יהלום-הוספת שנאי 50 MVA רב שלבי
מנה״פ: יעקבי, ניר
יעד תכנית פיתוח: 30/12/2025
יעד מסתמן: חושמל</v>
      </c>
      <c r="L134" s="19"/>
      <c r="M134" s="20" t="s">
        <v>1170</v>
      </c>
      <c r="N134" s="20" t="s">
        <v>1170</v>
      </c>
      <c r="O134" s="20" t="s">
        <v>1170</v>
      </c>
      <c r="P134" s="20" t="s">
        <v>1170</v>
      </c>
      <c r="Q134" s="20" t="s">
        <v>1170</v>
      </c>
      <c r="R134" s="20" t="s">
        <v>1170</v>
      </c>
      <c r="S134" s="20" t="s">
        <v>1170</v>
      </c>
      <c r="T134" s="20" t="s">
        <v>1171</v>
      </c>
      <c r="U134" s="20" t="s">
        <v>1171</v>
      </c>
      <c r="V134" s="20" t="s">
        <v>1171</v>
      </c>
      <c r="W134" s="20" t="s">
        <v>1171</v>
      </c>
      <c r="X134" s="30"/>
      <c r="Y134" s="27"/>
      <c r="Z134" s="27"/>
      <c r="AA134" s="23"/>
      <c r="AB134" s="24"/>
      <c r="AC134" s="24"/>
      <c r="AD134" s="24"/>
      <c r="AE134" s="24"/>
      <c r="AF134" s="24"/>
      <c r="AG134" s="24"/>
      <c r="AH134" s="24"/>
    </row>
    <row r="135" ht="13.5" customHeight="1">
      <c r="A135" s="53" t="s">
        <v>27</v>
      </c>
      <c r="B135" s="12" t="s">
        <v>1172</v>
      </c>
      <c r="C135" s="13" t="s">
        <v>1173</v>
      </c>
      <c r="D135" s="14" t="s">
        <v>49</v>
      </c>
      <c r="E135" s="11" t="s">
        <v>1104</v>
      </c>
      <c r="F135" s="11" t="s">
        <v>163</v>
      </c>
      <c r="G135" s="15">
        <v>46203.0</v>
      </c>
      <c r="H135" s="15">
        <v>46233.0</v>
      </c>
      <c r="I135" s="17"/>
      <c r="J135" s="11" t="s">
        <v>95</v>
      </c>
      <c r="K135" s="18" t="str">
        <f t="shared" si="1"/>
        <v>WBS: WBE-252
שם פרויקט: חולה - החלפת שנאי 522 מ- 33 ל- 50 מגוו"א והחלפת מסדר מ"ג פ"צ 2
מנה״פ: יעקבי, ניר
יעד תכנית פיתוח: 30/06/2026
יעד מסתמן: 30/07/2026</v>
      </c>
      <c r="L135" s="19"/>
      <c r="M135" s="20" t="s">
        <v>1174</v>
      </c>
      <c r="N135" s="20" t="s">
        <v>1175</v>
      </c>
      <c r="O135" s="20" t="s">
        <v>1175</v>
      </c>
      <c r="P135" s="20" t="s">
        <v>1175</v>
      </c>
      <c r="Q135" s="20" t="s">
        <v>1176</v>
      </c>
      <c r="R135" s="20" t="s">
        <v>1177</v>
      </c>
      <c r="S135" s="20" t="s">
        <v>1178</v>
      </c>
      <c r="T135" s="20" t="s">
        <v>1179</v>
      </c>
      <c r="U135" s="20" t="s">
        <v>1180</v>
      </c>
      <c r="V135" s="20" t="s">
        <v>1181</v>
      </c>
      <c r="W135" s="20" t="s">
        <v>1181</v>
      </c>
      <c r="X135" s="30"/>
      <c r="Y135" s="27"/>
      <c r="Z135" s="27"/>
      <c r="AA135" s="23"/>
      <c r="AB135" s="24"/>
      <c r="AC135" s="24"/>
      <c r="AD135" s="24"/>
      <c r="AE135" s="24"/>
      <c r="AF135" s="24"/>
      <c r="AG135" s="24"/>
      <c r="AH135" s="24"/>
    </row>
    <row r="136" ht="13.5" customHeight="1">
      <c r="A136" s="53"/>
      <c r="B136" s="12" t="s">
        <v>1182</v>
      </c>
      <c r="C136" s="13" t="s">
        <v>1183</v>
      </c>
      <c r="D136" s="14" t="s">
        <v>49</v>
      </c>
      <c r="E136" s="11" t="s">
        <v>1104</v>
      </c>
      <c r="F136" s="11" t="s">
        <v>163</v>
      </c>
      <c r="G136" s="15">
        <v>46934.0</v>
      </c>
      <c r="H136" s="15">
        <v>46568.0</v>
      </c>
      <c r="I136" s="17"/>
      <c r="J136" s="11" t="s">
        <v>65</v>
      </c>
      <c r="K136" s="18" t="str">
        <f t="shared" si="1"/>
        <v>WBS: WBE-199
שם פרויקט: זבולון-התקנת שנאי שלישי 161/24 ק"ו 50 מגוו"א
מנה״פ: יעקבי, ניר
יעד תכנית פיתוח: 30/06/2028
יעד מסתמן: 30/06/2027</v>
      </c>
      <c r="L136" s="19"/>
      <c r="M136" s="20" t="s">
        <v>1184</v>
      </c>
      <c r="N136" s="20" t="s">
        <v>1185</v>
      </c>
      <c r="O136" s="20" t="s">
        <v>1185</v>
      </c>
      <c r="P136" s="20" t="s">
        <v>1186</v>
      </c>
      <c r="Q136" s="20" t="s">
        <v>1187</v>
      </c>
      <c r="R136" s="20" t="s">
        <v>1188</v>
      </c>
      <c r="S136" s="20" t="s">
        <v>1188</v>
      </c>
      <c r="T136" s="20" t="s">
        <v>1188</v>
      </c>
      <c r="U136" s="20" t="s">
        <v>1188</v>
      </c>
      <c r="V136" s="20" t="s">
        <v>1189</v>
      </c>
      <c r="W136" s="20" t="s">
        <v>1189</v>
      </c>
      <c r="X136" s="30"/>
      <c r="Y136" s="27"/>
      <c r="Z136" s="27"/>
      <c r="AA136" s="23"/>
      <c r="AB136" s="24"/>
      <c r="AC136" s="24"/>
      <c r="AD136" s="24"/>
      <c r="AE136" s="24"/>
      <c r="AF136" s="24"/>
      <c r="AG136" s="24"/>
      <c r="AH136" s="24"/>
    </row>
    <row r="137" ht="13.5" customHeight="1">
      <c r="A137" s="53"/>
      <c r="B137" s="12" t="s">
        <v>1190</v>
      </c>
      <c r="C137" s="13" t="s">
        <v>1191</v>
      </c>
      <c r="D137" s="14" t="s">
        <v>49</v>
      </c>
      <c r="E137" s="11" t="s">
        <v>1104</v>
      </c>
      <c r="F137" s="11" t="s">
        <v>163</v>
      </c>
      <c r="G137" s="15">
        <v>47026.0</v>
      </c>
      <c r="H137" s="15">
        <v>46537.0</v>
      </c>
      <c r="I137" s="17"/>
      <c r="J137" s="11" t="s">
        <v>65</v>
      </c>
      <c r="K137" s="18" t="str">
        <f t="shared" si="1"/>
        <v>WBS: WBK-013
שם פרויקט: זבולון-השלמת שדה 23 והתאמתו ליכולת 2500 א' במסדר 161 ק"ו. התקנת אוטו שנאי 400/170 ק"ו רביעי, בהספק 575 מגוו"א
מנה״פ: יעקבי, ניר
יעד תכנית פיתוח: 30/09/2028
יעד מסתמן: 30/05/2027</v>
      </c>
      <c r="L137" s="19"/>
      <c r="M137" s="20" t="s">
        <v>1184</v>
      </c>
      <c r="N137" s="20" t="s">
        <v>1185</v>
      </c>
      <c r="O137" s="20" t="s">
        <v>1185</v>
      </c>
      <c r="P137" s="20" t="s">
        <v>1186</v>
      </c>
      <c r="Q137" s="20" t="s">
        <v>1187</v>
      </c>
      <c r="R137" s="20" t="s">
        <v>1192</v>
      </c>
      <c r="S137" s="20" t="s">
        <v>1193</v>
      </c>
      <c r="T137" s="20" t="s">
        <v>1193</v>
      </c>
      <c r="U137" s="20" t="s">
        <v>1194</v>
      </c>
      <c r="V137" s="20" t="s">
        <v>1195</v>
      </c>
      <c r="W137" s="20" t="s">
        <v>1196</v>
      </c>
      <c r="X137" s="20" t="s">
        <v>1197</v>
      </c>
      <c r="Y137" s="22" t="s">
        <v>190</v>
      </c>
      <c r="Z137" s="27"/>
      <c r="AA137" s="23"/>
      <c r="AB137" s="24"/>
      <c r="AC137" s="24"/>
      <c r="AD137" s="24"/>
      <c r="AE137" s="24"/>
      <c r="AF137" s="24"/>
      <c r="AG137" s="24"/>
      <c r="AH137" s="24"/>
    </row>
    <row r="138" ht="13.5" customHeight="1">
      <c r="A138" s="53"/>
      <c r="B138" s="12" t="s">
        <v>1198</v>
      </c>
      <c r="C138" s="13" t="s">
        <v>1199</v>
      </c>
      <c r="D138" s="14" t="s">
        <v>30</v>
      </c>
      <c r="E138" s="11" t="s">
        <v>1104</v>
      </c>
      <c r="F138" s="11" t="s">
        <v>163</v>
      </c>
      <c r="G138" s="15">
        <v>46233.0</v>
      </c>
      <c r="H138" s="15">
        <v>46233.0</v>
      </c>
      <c r="I138" s="17"/>
      <c r="J138" s="11" t="s">
        <v>50</v>
      </c>
      <c r="K138" s="18" t="str">
        <f t="shared" si="1"/>
        <v>WBS: WBC-206
שם פרויקט: הדרי שאן(טירת צבי)-חח"י-התקנת 4 שנאים 50 מגוו"א
מנה״פ: יעקבי, ניר
יעד תכנית פיתוח: 30/07/2026
יעד מסתמן: 30/07/2026</v>
      </c>
      <c r="L138" s="19"/>
      <c r="M138" s="20" t="s">
        <v>1200</v>
      </c>
      <c r="N138" s="20" t="s">
        <v>1201</v>
      </c>
      <c r="O138" s="20" t="s">
        <v>1202</v>
      </c>
      <c r="P138" s="20" t="s">
        <v>1203</v>
      </c>
      <c r="Q138" s="20" t="s">
        <v>1204</v>
      </c>
      <c r="R138" s="20" t="s">
        <v>1204</v>
      </c>
      <c r="S138" s="29" t="s">
        <v>1205</v>
      </c>
      <c r="T138" s="29" t="s">
        <v>1206</v>
      </c>
      <c r="U138" s="29" t="s">
        <v>1206</v>
      </c>
      <c r="V138" s="29" t="s">
        <v>1206</v>
      </c>
      <c r="W138" s="29" t="s">
        <v>1206</v>
      </c>
      <c r="X138" s="20" t="s">
        <v>1207</v>
      </c>
      <c r="Y138" s="27"/>
      <c r="Z138" s="17"/>
      <c r="AA138" s="23"/>
      <c r="AB138" s="24"/>
      <c r="AC138" s="24"/>
      <c r="AD138" s="24"/>
      <c r="AE138" s="24"/>
      <c r="AF138" s="24"/>
      <c r="AG138" s="24"/>
      <c r="AH138" s="24"/>
    </row>
    <row r="139" ht="13.5" customHeight="1">
      <c r="A139" s="53"/>
      <c r="B139" s="12" t="s">
        <v>1208</v>
      </c>
      <c r="C139" s="13" t="s">
        <v>1209</v>
      </c>
      <c r="D139" s="14" t="s">
        <v>49</v>
      </c>
      <c r="E139" s="11" t="s">
        <v>1104</v>
      </c>
      <c r="F139" s="11" t="s">
        <v>163</v>
      </c>
      <c r="G139" s="15">
        <v>46752.0</v>
      </c>
      <c r="H139" s="15">
        <v>46660.0</v>
      </c>
      <c r="I139" s="17"/>
      <c r="J139" s="11" t="s">
        <v>65</v>
      </c>
      <c r="K139" s="18" t="str">
        <f t="shared" si="1"/>
        <v>WBS: WBE-197
שם פרויקט: אדמירליטי -התקנת שנאי שלישי 161/24 ק"ו, 50 מגוו"א
מנה״פ: יעקבי, ניר
יעד תכנית פיתוח: 31/12/2027
יעד מסתמן: 30/09/2027</v>
      </c>
      <c r="L139" s="19"/>
      <c r="M139" s="20" t="s">
        <v>1184</v>
      </c>
      <c r="N139" s="20" t="s">
        <v>1184</v>
      </c>
      <c r="O139" s="20" t="s">
        <v>1210</v>
      </c>
      <c r="P139" s="20" t="s">
        <v>1211</v>
      </c>
      <c r="Q139" s="20" t="s">
        <v>1212</v>
      </c>
      <c r="R139" s="20" t="s">
        <v>1192</v>
      </c>
      <c r="S139" s="20" t="s">
        <v>1213</v>
      </c>
      <c r="T139" s="20" t="s">
        <v>1214</v>
      </c>
      <c r="U139" s="20" t="s">
        <v>1214</v>
      </c>
      <c r="V139" s="20" t="s">
        <v>1214</v>
      </c>
      <c r="W139" s="20" t="s">
        <v>1214</v>
      </c>
      <c r="X139" s="30"/>
      <c r="Y139" s="27"/>
      <c r="Z139" s="27"/>
      <c r="AA139" s="23"/>
      <c r="AB139" s="24"/>
      <c r="AC139" s="24"/>
      <c r="AD139" s="24"/>
      <c r="AE139" s="24"/>
      <c r="AF139" s="24"/>
      <c r="AG139" s="24"/>
      <c r="AH139" s="24"/>
    </row>
    <row r="140" ht="13.5" customHeight="1">
      <c r="A140" s="27"/>
      <c r="B140" s="12" t="s">
        <v>1215</v>
      </c>
      <c r="C140" s="13" t="s">
        <v>1216</v>
      </c>
      <c r="D140" s="14" t="s">
        <v>161</v>
      </c>
      <c r="E140" s="11" t="s">
        <v>1104</v>
      </c>
      <c r="F140" s="11" t="s">
        <v>163</v>
      </c>
      <c r="G140" s="15">
        <v>46203.0</v>
      </c>
      <c r="H140" s="15">
        <v>46127.0</v>
      </c>
      <c r="I140" s="17"/>
      <c r="J140" s="11" t="s">
        <v>600</v>
      </c>
      <c r="K140" s="18" t="str">
        <f t="shared" si="1"/>
        <v>WBS: WBD-127
שם פרויקט: כרמיאל ניידת- תכנון הצבת תחמ"ש ניידת
מנה״פ: יעקבי, ניר
יעד תכנית פיתוח: 30/06/2026
יעד מסתמן: 15/04/2026</v>
      </c>
      <c r="L140" s="18"/>
      <c r="M140" s="30"/>
      <c r="N140" s="36"/>
      <c r="O140" s="36"/>
      <c r="P140" s="36"/>
      <c r="Q140" s="36"/>
      <c r="R140" s="37" t="s">
        <v>1217</v>
      </c>
      <c r="S140" s="37" t="s">
        <v>1217</v>
      </c>
      <c r="T140" s="37" t="s">
        <v>1217</v>
      </c>
      <c r="U140" s="37" t="s">
        <v>1217</v>
      </c>
      <c r="V140" s="37" t="s">
        <v>1217</v>
      </c>
      <c r="W140" s="37" t="s">
        <v>1217</v>
      </c>
      <c r="X140" s="30"/>
      <c r="Y140" s="60"/>
      <c r="Z140" s="27"/>
      <c r="AA140" s="23"/>
      <c r="AB140" s="24"/>
      <c r="AC140" s="24"/>
      <c r="AD140" s="24"/>
      <c r="AE140" s="24"/>
      <c r="AF140" s="24"/>
      <c r="AG140" s="24"/>
      <c r="AH140" s="24"/>
    </row>
    <row r="141" ht="13.5" customHeight="1">
      <c r="A141" s="27"/>
      <c r="B141" s="12" t="s">
        <v>1218</v>
      </c>
      <c r="C141" s="13" t="s">
        <v>1219</v>
      </c>
      <c r="D141" s="14" t="s">
        <v>161</v>
      </c>
      <c r="E141" s="11" t="s">
        <v>1104</v>
      </c>
      <c r="F141" s="11" t="s">
        <v>163</v>
      </c>
      <c r="G141" s="15">
        <v>46085.0</v>
      </c>
      <c r="H141" s="15">
        <v>46085.0</v>
      </c>
      <c r="I141" s="17"/>
      <c r="J141" s="11" t="s">
        <v>468</v>
      </c>
      <c r="K141" s="18" t="str">
        <f t="shared" si="1"/>
        <v>WBS: WBD-129
שם פרויקט: הדרי שאן- תכנון הצבת תחמ"ש ניידת, 30 מגוו"א
מנה״פ: יעקבי, ניר
יעד תכנית פיתוח: 04/03/2026
יעד מסתמן: 04/03/2026</v>
      </c>
      <c r="L141" s="18"/>
      <c r="M141" s="30"/>
      <c r="N141" s="36"/>
      <c r="O141" s="36"/>
      <c r="P141" s="36"/>
      <c r="Q141" s="36"/>
      <c r="R141" s="37" t="s">
        <v>1220</v>
      </c>
      <c r="S141" s="37" t="s">
        <v>1220</v>
      </c>
      <c r="T141" s="37" t="s">
        <v>1221</v>
      </c>
      <c r="U141" s="37" t="s">
        <v>1222</v>
      </c>
      <c r="V141" s="37" t="s">
        <v>1222</v>
      </c>
      <c r="W141" s="37" t="s">
        <v>1222</v>
      </c>
      <c r="X141" s="30"/>
      <c r="Y141" s="60"/>
      <c r="Z141" s="27"/>
      <c r="AA141" s="23"/>
      <c r="AB141" s="24"/>
      <c r="AC141" s="24"/>
      <c r="AD141" s="24"/>
      <c r="AE141" s="24"/>
      <c r="AF141" s="24"/>
      <c r="AG141" s="24"/>
      <c r="AH141" s="24"/>
    </row>
    <row r="142" ht="13.5" customHeight="1">
      <c r="A142" s="53" t="s">
        <v>27</v>
      </c>
      <c r="B142" s="12" t="s">
        <v>1223</v>
      </c>
      <c r="C142" s="13" t="s">
        <v>1224</v>
      </c>
      <c r="D142" s="14" t="s">
        <v>49</v>
      </c>
      <c r="E142" s="11" t="s">
        <v>1104</v>
      </c>
      <c r="F142" s="11" t="s">
        <v>163</v>
      </c>
      <c r="G142" s="15">
        <v>46752.0</v>
      </c>
      <c r="H142" s="15">
        <v>46660.0</v>
      </c>
      <c r="I142" s="17"/>
      <c r="J142" s="11" t="s">
        <v>80</v>
      </c>
      <c r="K142" s="18" t="str">
        <f t="shared" si="1"/>
        <v>WBS: WBE-253
שם פרויקט: "כברי - החלפת שנאי 523  ומסדר מ""ג פ""צ 3"
מנה״פ: יעקבי, ניר
יעד תכנית פיתוח: 31/12/2027
יעד מסתמן: 30/09/2027</v>
      </c>
      <c r="L142" s="19"/>
      <c r="M142" s="20" t="s">
        <v>1225</v>
      </c>
      <c r="N142" s="20" t="s">
        <v>1226</v>
      </c>
      <c r="O142" s="20" t="s">
        <v>1226</v>
      </c>
      <c r="P142" s="20" t="s">
        <v>1227</v>
      </c>
      <c r="Q142" s="20" t="s">
        <v>1228</v>
      </c>
      <c r="R142" s="20" t="s">
        <v>1229</v>
      </c>
      <c r="S142" s="20" t="s">
        <v>1229</v>
      </c>
      <c r="T142" s="20" t="s">
        <v>1230</v>
      </c>
      <c r="U142" s="20" t="s">
        <v>1231</v>
      </c>
      <c r="V142" s="20" t="s">
        <v>1232</v>
      </c>
      <c r="W142" s="20" t="s">
        <v>1233</v>
      </c>
      <c r="X142" s="20" t="s">
        <v>1234</v>
      </c>
      <c r="Y142" s="27" t="s">
        <v>129</v>
      </c>
      <c r="Z142" s="27" t="s">
        <v>77</v>
      </c>
      <c r="AA142" s="23"/>
      <c r="AB142" s="24"/>
      <c r="AC142" s="24"/>
      <c r="AD142" s="24"/>
      <c r="AE142" s="24"/>
      <c r="AF142" s="24"/>
      <c r="AG142" s="24"/>
      <c r="AH142" s="24"/>
    </row>
    <row r="143" ht="13.5" customHeight="1">
      <c r="A143" s="53"/>
      <c r="B143" s="12" t="s">
        <v>1235</v>
      </c>
      <c r="C143" s="13" t="s">
        <v>1236</v>
      </c>
      <c r="D143" s="14" t="s">
        <v>161</v>
      </c>
      <c r="E143" s="11" t="s">
        <v>1237</v>
      </c>
      <c r="F143" s="17"/>
      <c r="G143" s="15">
        <v>46078.0</v>
      </c>
      <c r="H143" s="40" t="s">
        <v>631</v>
      </c>
      <c r="I143" s="17"/>
      <c r="J143" s="11" t="s">
        <v>468</v>
      </c>
      <c r="K143" s="18" t="str">
        <f t="shared" si="1"/>
        <v>WBS: WBD-092
שם פרויקט: שרון ניידת-הצבת תחמ"ש ניידת
מנה״פ: כוכבה כהן
יעד תכנית פיתוח: 25/02/2026
יעד מסתמן: חושמל</v>
      </c>
      <c r="L143" s="19"/>
      <c r="M143" s="33" t="s">
        <v>1238</v>
      </c>
      <c r="N143" s="33" t="s">
        <v>1239</v>
      </c>
      <c r="O143" s="33" t="s">
        <v>1240</v>
      </c>
      <c r="P143" s="33" t="s">
        <v>1241</v>
      </c>
      <c r="Q143" s="33" t="s">
        <v>1242</v>
      </c>
      <c r="R143" s="33" t="s">
        <v>1243</v>
      </c>
      <c r="S143" s="33" t="s">
        <v>1244</v>
      </c>
      <c r="T143" s="33" t="s">
        <v>1245</v>
      </c>
      <c r="U143" s="33" t="s">
        <v>1246</v>
      </c>
      <c r="V143" s="33" t="s">
        <v>1246</v>
      </c>
      <c r="W143" s="33" t="s">
        <v>1246</v>
      </c>
      <c r="X143" s="30"/>
      <c r="Y143" s="27"/>
      <c r="Z143" s="27"/>
      <c r="AA143" s="23"/>
      <c r="AB143" s="24"/>
      <c r="AC143" s="24"/>
      <c r="AD143" s="24"/>
      <c r="AE143" s="24"/>
      <c r="AF143" s="24"/>
      <c r="AG143" s="24"/>
      <c r="AH143" s="24"/>
    </row>
    <row r="144" ht="13.5" customHeight="1">
      <c r="A144" s="53"/>
      <c r="B144" s="12" t="s">
        <v>1247</v>
      </c>
      <c r="C144" s="13" t="s">
        <v>1248</v>
      </c>
      <c r="D144" s="14" t="s">
        <v>161</v>
      </c>
      <c r="E144" s="11" t="s">
        <v>1237</v>
      </c>
      <c r="F144" s="17"/>
      <c r="G144" s="15">
        <v>46112.0</v>
      </c>
      <c r="H144" s="40" t="s">
        <v>1249</v>
      </c>
      <c r="I144" s="17"/>
      <c r="J144" s="11" t="s">
        <v>103</v>
      </c>
      <c r="K144" s="18" t="str">
        <f t="shared" si="1"/>
        <v>WBS: WBD-118
שם פרויקט: שוהם-ב.ס.ר-הצבת תחמ"ש ניידת, 30 מגוו"א
מנה״פ: כוכבה כהן
יעד תכנית פיתוח: 31/03/2026
יעד מסתמן: טרם ידוע </v>
      </c>
      <c r="L144" s="19"/>
      <c r="M144" s="33" t="s">
        <v>1250</v>
      </c>
      <c r="N144" s="29" t="s">
        <v>1251</v>
      </c>
      <c r="O144" s="29" t="s">
        <v>1252</v>
      </c>
      <c r="P144" s="29" t="s">
        <v>1253</v>
      </c>
      <c r="Q144" s="29" t="s">
        <v>1253</v>
      </c>
      <c r="R144" s="29" t="s">
        <v>1253</v>
      </c>
      <c r="S144" s="78" t="s">
        <v>1253</v>
      </c>
      <c r="T144" s="78" t="s">
        <v>1253</v>
      </c>
      <c r="U144" s="78" t="s">
        <v>1253</v>
      </c>
      <c r="V144" s="78" t="s">
        <v>1254</v>
      </c>
      <c r="W144" s="78" t="s">
        <v>1254</v>
      </c>
      <c r="X144" s="30"/>
      <c r="Y144" s="27"/>
      <c r="Z144" s="27"/>
      <c r="AA144" s="23"/>
      <c r="AB144" s="24"/>
      <c r="AC144" s="24"/>
      <c r="AD144" s="24"/>
      <c r="AE144" s="24"/>
      <c r="AF144" s="24"/>
      <c r="AG144" s="24"/>
      <c r="AH144" s="24"/>
    </row>
    <row r="145" ht="13.5" customHeight="1">
      <c r="A145" s="53" t="s">
        <v>27</v>
      </c>
      <c r="B145" s="12" t="s">
        <v>1255</v>
      </c>
      <c r="C145" s="13" t="s">
        <v>1256</v>
      </c>
      <c r="D145" s="14" t="s">
        <v>161</v>
      </c>
      <c r="E145" s="11" t="s">
        <v>1237</v>
      </c>
      <c r="F145" s="17"/>
      <c r="G145" s="15">
        <v>46112.0</v>
      </c>
      <c r="H145" s="40" t="s">
        <v>1257</v>
      </c>
      <c r="I145" s="17"/>
      <c r="J145" s="11" t="s">
        <v>103</v>
      </c>
      <c r="K145" s="18" t="str">
        <f t="shared" si="1"/>
        <v>WBS: WBD-117
שם פרויקט: עזריאלי ניידות- הצבת 2 תחמ"ש ניידות, 20 מגוו"א כ"א
מנה״פ: כוכבה כהן
יעד תכנית פיתוח: 31/03/2026
יעד מסתמן: תלוי במועד בחירת מיקום סופי</v>
      </c>
      <c r="L145" s="19"/>
      <c r="M145" s="33" t="s">
        <v>1258</v>
      </c>
      <c r="N145" s="33" t="s">
        <v>1259</v>
      </c>
      <c r="O145" s="34" t="s">
        <v>1260</v>
      </c>
      <c r="P145" s="20" t="s">
        <v>1261</v>
      </c>
      <c r="Q145" s="20" t="s">
        <v>1262</v>
      </c>
      <c r="R145" s="20" t="s">
        <v>1262</v>
      </c>
      <c r="S145" s="34" t="s">
        <v>1263</v>
      </c>
      <c r="T145" s="34" t="s">
        <v>1263</v>
      </c>
      <c r="U145" s="34" t="s">
        <v>1264</v>
      </c>
      <c r="V145" s="34" t="s">
        <v>1265</v>
      </c>
      <c r="W145" s="34" t="s">
        <v>1265</v>
      </c>
      <c r="X145" s="30"/>
      <c r="Y145" s="27"/>
      <c r="Z145" s="27"/>
      <c r="AA145" s="23"/>
      <c r="AB145" s="24"/>
      <c r="AC145" s="24"/>
      <c r="AD145" s="24"/>
      <c r="AE145" s="24"/>
      <c r="AF145" s="24"/>
      <c r="AG145" s="24"/>
      <c r="AH145" s="24"/>
    </row>
    <row r="146" ht="13.5" customHeight="1">
      <c r="A146" s="53" t="s">
        <v>27</v>
      </c>
      <c r="B146" s="12" t="s">
        <v>1266</v>
      </c>
      <c r="C146" s="13" t="s">
        <v>1267</v>
      </c>
      <c r="D146" s="14" t="s">
        <v>161</v>
      </c>
      <c r="E146" s="11" t="s">
        <v>1237</v>
      </c>
      <c r="F146" s="17"/>
      <c r="G146" s="15">
        <v>46264.0</v>
      </c>
      <c r="H146" s="15">
        <v>46537.0</v>
      </c>
      <c r="I146" s="17"/>
      <c r="J146" s="11" t="s">
        <v>65</v>
      </c>
      <c r="K146" s="18" t="str">
        <f t="shared" si="1"/>
        <v>WBS: WBD-099
שם פרויקט: ספיר ניידת- תכנון הצבת 2 ניידות
מנה״פ: כוכבה כהן
יעד תכנית פיתוח: 30/08/2026
יעד מסתמן: 30/05/2027</v>
      </c>
      <c r="L146" s="19"/>
      <c r="M146" s="33" t="s">
        <v>1268</v>
      </c>
      <c r="N146" s="33" t="s">
        <v>1268</v>
      </c>
      <c r="O146" s="33" t="s">
        <v>1269</v>
      </c>
      <c r="P146" s="79" t="s">
        <v>1270</v>
      </c>
      <c r="Q146" s="79" t="s">
        <v>1271</v>
      </c>
      <c r="R146" s="79" t="s">
        <v>1272</v>
      </c>
      <c r="S146" s="80" t="s">
        <v>1273</v>
      </c>
      <c r="T146" s="80" t="s">
        <v>1274</v>
      </c>
      <c r="U146" s="80" t="s">
        <v>1275</v>
      </c>
      <c r="V146" s="21" t="s">
        <v>1276</v>
      </c>
      <c r="W146" s="21" t="s">
        <v>1276</v>
      </c>
      <c r="X146" s="81"/>
      <c r="Y146" s="82"/>
      <c r="Z146" s="27"/>
      <c r="AA146" s="23"/>
      <c r="AB146" s="24"/>
      <c r="AC146" s="24"/>
      <c r="AD146" s="24"/>
      <c r="AE146" s="24"/>
      <c r="AF146" s="24"/>
      <c r="AG146" s="24"/>
      <c r="AH146" s="24"/>
    </row>
    <row r="147" ht="13.5" customHeight="1">
      <c r="A147" s="53"/>
      <c r="B147" s="12" t="s">
        <v>1277</v>
      </c>
      <c r="C147" s="13" t="s">
        <v>1278</v>
      </c>
      <c r="D147" s="14" t="s">
        <v>49</v>
      </c>
      <c r="E147" s="11" t="s">
        <v>1279</v>
      </c>
      <c r="F147" s="11" t="s">
        <v>239</v>
      </c>
      <c r="G147" s="15">
        <v>46387.0</v>
      </c>
      <c r="H147" s="15">
        <v>46751.0</v>
      </c>
      <c r="I147" s="17"/>
      <c r="J147" s="11" t="s">
        <v>1280</v>
      </c>
      <c r="K147" s="18" t="str">
        <f t="shared" si="1"/>
        <v>WBS: WBE-274
שם פרויקט: תל אור - 2 מתקני אגירת אנרגיה בסוללות
מנה״פ: לופטון כהן, אדווה
יעד תכנית פיתוח: 31/12/2026
יעד מסתמן: 30/12/2027</v>
      </c>
      <c r="L147" s="19"/>
      <c r="M147" s="20" t="s">
        <v>1281</v>
      </c>
      <c r="N147" s="83" t="s">
        <v>1281</v>
      </c>
      <c r="O147" s="84" t="s">
        <v>1281</v>
      </c>
      <c r="P147" s="84" t="s">
        <v>1281</v>
      </c>
      <c r="Q147" s="84" t="s">
        <v>1281</v>
      </c>
      <c r="R147" s="84" t="s">
        <v>1281</v>
      </c>
      <c r="S147" s="84" t="s">
        <v>1281</v>
      </c>
      <c r="T147" s="84" t="s">
        <v>1281</v>
      </c>
      <c r="U147" s="84" t="s">
        <v>1281</v>
      </c>
      <c r="V147" s="84" t="s">
        <v>1281</v>
      </c>
      <c r="W147" s="84" t="s">
        <v>1281</v>
      </c>
      <c r="X147" s="85"/>
      <c r="Y147" s="27"/>
      <c r="Z147" s="27"/>
      <c r="AA147" s="23"/>
      <c r="AB147" s="24"/>
      <c r="AC147" s="24"/>
      <c r="AD147" s="24"/>
      <c r="AE147" s="24"/>
      <c r="AF147" s="24"/>
      <c r="AG147" s="24"/>
      <c r="AH147" s="24"/>
    </row>
    <row r="148" ht="13.5" customHeight="1">
      <c r="A148" s="53"/>
      <c r="B148" s="12" t="s">
        <v>1282</v>
      </c>
      <c r="C148" s="13" t="s">
        <v>1283</v>
      </c>
      <c r="D148" s="14" t="s">
        <v>161</v>
      </c>
      <c r="E148" s="11" t="s">
        <v>1279</v>
      </c>
      <c r="F148" s="11" t="s">
        <v>239</v>
      </c>
      <c r="G148" s="15">
        <v>46112.0</v>
      </c>
      <c r="H148" s="86">
        <v>46091.0</v>
      </c>
      <c r="I148" s="17"/>
      <c r="J148" s="11" t="s">
        <v>468</v>
      </c>
      <c r="K148" s="18" t="str">
        <f t="shared" si="1"/>
        <v>WBS: WBD-087
שם פרויקט: שער שומרון – התקנת תחמ"ש ניידת 20 מגוו"א
מנה״פ: לופטון כהן, אדווה
יעד תכנית פיתוח: 31/03/2026
יעד מסתמן: 10/03/2026</v>
      </c>
      <c r="L148" s="19"/>
      <c r="M148" s="20" t="s">
        <v>1284</v>
      </c>
      <c r="N148" s="87" t="s">
        <v>1285</v>
      </c>
      <c r="O148" s="88" t="s">
        <v>1286</v>
      </c>
      <c r="P148" s="88" t="s">
        <v>1287</v>
      </c>
      <c r="Q148" s="88" t="s">
        <v>1288</v>
      </c>
      <c r="R148" s="88" t="s">
        <v>1289</v>
      </c>
      <c r="S148" s="88" t="s">
        <v>1290</v>
      </c>
      <c r="T148" s="88" t="s">
        <v>1291</v>
      </c>
      <c r="U148" s="63" t="s">
        <v>1292</v>
      </c>
      <c r="V148" s="63" t="s">
        <v>1293</v>
      </c>
      <c r="W148" s="63" t="s">
        <v>1293</v>
      </c>
      <c r="X148" s="63"/>
      <c r="Y148" s="27"/>
      <c r="Z148" s="27"/>
      <c r="AA148" s="23"/>
      <c r="AB148" s="24"/>
      <c r="AC148" s="24"/>
      <c r="AD148" s="24"/>
      <c r="AE148" s="24"/>
      <c r="AF148" s="24"/>
      <c r="AG148" s="24"/>
      <c r="AH148" s="24"/>
    </row>
    <row r="149" ht="13.5" customHeight="1">
      <c r="A149" s="53" t="s">
        <v>27</v>
      </c>
      <c r="B149" s="12" t="s">
        <v>1294</v>
      </c>
      <c r="C149" s="13" t="s">
        <v>1295</v>
      </c>
      <c r="D149" s="14" t="s">
        <v>161</v>
      </c>
      <c r="E149" s="11" t="s">
        <v>1279</v>
      </c>
      <c r="F149" s="11" t="s">
        <v>239</v>
      </c>
      <c r="G149" s="15">
        <v>46203.0</v>
      </c>
      <c r="H149" s="15">
        <v>46172.0</v>
      </c>
      <c r="I149" s="17"/>
      <c r="J149" s="11" t="s">
        <v>95</v>
      </c>
      <c r="K149" s="18" t="str">
        <f t="shared" si="1"/>
        <v>WBS: WBD-084
שם פרויקט: רמת רחל ניידת- העתקת ניידת
מנה״פ: לופטון כהן, אדווה
יעד תכנית פיתוח: 30/06/2026
יעד מסתמן: 30/05/2026</v>
      </c>
      <c r="L149" s="19"/>
      <c r="M149" s="20" t="s">
        <v>1296</v>
      </c>
      <c r="N149" s="89" t="s">
        <v>1297</v>
      </c>
      <c r="O149" s="89" t="s">
        <v>1297</v>
      </c>
      <c r="P149" s="89" t="s">
        <v>1297</v>
      </c>
      <c r="Q149" s="89" t="s">
        <v>1298</v>
      </c>
      <c r="R149" s="89" t="s">
        <v>1298</v>
      </c>
      <c r="S149" s="89" t="s">
        <v>1299</v>
      </c>
      <c r="T149" s="89" t="s">
        <v>1299</v>
      </c>
      <c r="U149" s="89" t="s">
        <v>1300</v>
      </c>
      <c r="V149" s="62" t="s">
        <v>1301</v>
      </c>
      <c r="W149" s="62" t="s">
        <v>1302</v>
      </c>
      <c r="X149" s="89"/>
      <c r="Y149" s="27"/>
      <c r="Z149" s="27"/>
      <c r="AA149" s="23"/>
      <c r="AB149" s="24"/>
      <c r="AC149" s="24"/>
      <c r="AD149" s="24"/>
      <c r="AE149" s="24"/>
      <c r="AF149" s="24"/>
      <c r="AG149" s="24"/>
      <c r="AH149" s="24"/>
    </row>
    <row r="150" ht="13.5" customHeight="1">
      <c r="A150" s="53"/>
      <c r="B150" s="12" t="s">
        <v>1303</v>
      </c>
      <c r="C150" s="13" t="s">
        <v>1304</v>
      </c>
      <c r="D150" s="14" t="s">
        <v>49</v>
      </c>
      <c r="E150" s="11" t="s">
        <v>1279</v>
      </c>
      <c r="F150" s="11" t="s">
        <v>239</v>
      </c>
      <c r="G150" s="15">
        <v>46387.0</v>
      </c>
      <c r="H150" s="15">
        <v>46751.0</v>
      </c>
      <c r="I150" s="17"/>
      <c r="J150" s="11" t="s">
        <v>1280</v>
      </c>
      <c r="K150" s="18" t="str">
        <f t="shared" si="1"/>
        <v>WBS: WBE-276
שם פרויקט: קרית שמונה- מתקן אגירת אנרגיה בסוללות
מנה״פ: לופטון כהן, אדווה
יעד תכנית פיתוח: 31/12/2026
יעד מסתמן: 30/12/2027</v>
      </c>
      <c r="L150" s="19"/>
      <c r="M150" s="34" t="s">
        <v>1305</v>
      </c>
      <c r="N150" s="34" t="s">
        <v>1306</v>
      </c>
      <c r="O150" s="34" t="s">
        <v>1307</v>
      </c>
      <c r="P150" s="34" t="s">
        <v>1307</v>
      </c>
      <c r="Q150" s="26" t="s">
        <v>1308</v>
      </c>
      <c r="R150" s="26" t="s">
        <v>1309</v>
      </c>
      <c r="S150" s="26" t="s">
        <v>1309</v>
      </c>
      <c r="T150" s="26" t="s">
        <v>1310</v>
      </c>
      <c r="U150" s="26" t="s">
        <v>1311</v>
      </c>
      <c r="V150" s="26" t="s">
        <v>1311</v>
      </c>
      <c r="W150" s="26" t="s">
        <v>1312</v>
      </c>
      <c r="X150" s="89" t="s">
        <v>1313</v>
      </c>
      <c r="Y150" s="27" t="s">
        <v>190</v>
      </c>
      <c r="Z150" s="27" t="s">
        <v>177</v>
      </c>
      <c r="AA150" s="23"/>
      <c r="AB150" s="24"/>
      <c r="AC150" s="24"/>
      <c r="AD150" s="24"/>
      <c r="AE150" s="24"/>
      <c r="AF150" s="24"/>
      <c r="AG150" s="24"/>
      <c r="AH150" s="24"/>
    </row>
    <row r="151" ht="13.5" customHeight="1">
      <c r="A151" s="53" t="s">
        <v>27</v>
      </c>
      <c r="B151" s="12" t="s">
        <v>1314</v>
      </c>
      <c r="C151" s="13" t="s">
        <v>1315</v>
      </c>
      <c r="D151" s="14" t="s">
        <v>161</v>
      </c>
      <c r="E151" s="11" t="s">
        <v>1279</v>
      </c>
      <c r="F151" s="11" t="s">
        <v>239</v>
      </c>
      <c r="G151" s="15">
        <v>46112.0</v>
      </c>
      <c r="H151" s="15">
        <v>46112.0</v>
      </c>
      <c r="I151" s="17"/>
      <c r="J151" s="11" t="s">
        <v>95</v>
      </c>
      <c r="K151" s="18" t="str">
        <f t="shared" si="1"/>
        <v>WBS: WBD-088
שם פרויקט: קרית ארבע ניידת -  התקנת תחמ"ש ניידת
מנה״פ: לופטון כהן, אדווה
יעד תכנית פיתוח: 31/03/2026
יעד מסתמן: 31/03/2026</v>
      </c>
      <c r="L151" s="19"/>
      <c r="M151" s="20" t="s">
        <v>1316</v>
      </c>
      <c r="N151" s="20" t="s">
        <v>1317</v>
      </c>
      <c r="O151" s="20" t="s">
        <v>1318</v>
      </c>
      <c r="P151" s="21" t="s">
        <v>1319</v>
      </c>
      <c r="Q151" s="21" t="s">
        <v>1319</v>
      </c>
      <c r="R151" s="21" t="s">
        <v>1320</v>
      </c>
      <c r="S151" s="21" t="s">
        <v>1321</v>
      </c>
      <c r="T151" s="21" t="s">
        <v>1322</v>
      </c>
      <c r="U151" s="21" t="s">
        <v>1323</v>
      </c>
      <c r="V151" s="21" t="s">
        <v>1324</v>
      </c>
      <c r="W151" s="21" t="s">
        <v>1325</v>
      </c>
      <c r="X151" s="89" t="s">
        <v>1326</v>
      </c>
      <c r="Y151" s="27" t="s">
        <v>190</v>
      </c>
      <c r="Z151" s="27"/>
      <c r="AA151" s="23"/>
      <c r="AB151" s="24"/>
      <c r="AC151" s="24"/>
      <c r="AD151" s="24"/>
      <c r="AE151" s="24"/>
      <c r="AF151" s="24"/>
      <c r="AG151" s="24"/>
      <c r="AH151" s="24"/>
    </row>
    <row r="152" ht="13.5" customHeight="1">
      <c r="A152" s="53"/>
      <c r="B152" s="12" t="s">
        <v>1327</v>
      </c>
      <c r="C152" s="13" t="s">
        <v>1328</v>
      </c>
      <c r="D152" s="14" t="s">
        <v>49</v>
      </c>
      <c r="E152" s="11" t="s">
        <v>1279</v>
      </c>
      <c r="F152" s="11" t="s">
        <v>239</v>
      </c>
      <c r="G152" s="15">
        <v>46142.0</v>
      </c>
      <c r="H152" s="15">
        <v>46751.0</v>
      </c>
      <c r="I152" s="17"/>
      <c r="J152" s="11" t="s">
        <v>1280</v>
      </c>
      <c r="K152" s="18" t="str">
        <f t="shared" si="1"/>
        <v>WBS: WBE-265
שם פרויקט: קציעות-  2 מתקנים לאגירת אנרגיה בסוללות
מנה״פ: לופטון כהן, אדווה
יעד תכנית פיתוח: 30/04/2026
יעד מסתמן: 30/12/2027</v>
      </c>
      <c r="L152" s="19"/>
      <c r="M152" s="20" t="s">
        <v>1281</v>
      </c>
      <c r="N152" s="20" t="s">
        <v>1329</v>
      </c>
      <c r="O152" s="20" t="s">
        <v>1329</v>
      </c>
      <c r="P152" s="20" t="s">
        <v>1329</v>
      </c>
      <c r="Q152" s="20" t="s">
        <v>1329</v>
      </c>
      <c r="R152" s="20" t="s">
        <v>1329</v>
      </c>
      <c r="S152" s="20" t="s">
        <v>1329</v>
      </c>
      <c r="T152" s="20" t="s">
        <v>1329</v>
      </c>
      <c r="U152" s="20" t="s">
        <v>1329</v>
      </c>
      <c r="V152" s="20" t="s">
        <v>1329</v>
      </c>
      <c r="W152" s="20" t="s">
        <v>1329</v>
      </c>
      <c r="X152" s="62" t="s">
        <v>1330</v>
      </c>
      <c r="Y152" s="63" t="s">
        <v>177</v>
      </c>
      <c r="Z152" s="63" t="s">
        <v>77</v>
      </c>
      <c r="AA152" s="23"/>
      <c r="AB152" s="24"/>
      <c r="AC152" s="24"/>
      <c r="AD152" s="24"/>
      <c r="AE152" s="24"/>
      <c r="AF152" s="24"/>
      <c r="AG152" s="24"/>
      <c r="AH152" s="24"/>
    </row>
    <row r="153" ht="13.5" customHeight="1">
      <c r="A153" s="53" t="s">
        <v>27</v>
      </c>
      <c r="B153" s="12" t="s">
        <v>1331</v>
      </c>
      <c r="C153" s="13" t="s">
        <v>1332</v>
      </c>
      <c r="D153" s="14" t="s">
        <v>49</v>
      </c>
      <c r="E153" s="11" t="s">
        <v>1279</v>
      </c>
      <c r="F153" s="11" t="s">
        <v>239</v>
      </c>
      <c r="G153" s="15">
        <v>46142.0</v>
      </c>
      <c r="H153" s="15">
        <v>46751.0</v>
      </c>
      <c r="I153" s="17"/>
      <c r="J153" s="11" t="s">
        <v>1280</v>
      </c>
      <c r="K153" s="18" t="str">
        <f t="shared" si="1"/>
        <v>WBS: WBE-140
שם פרויקט: ערד - 2 מתקנים לאגירת אנרגיה בסוללות
מנה״פ: לופטון כהן, אדווה
יעד תכנית פיתוח: 30/04/2026
יעד מסתמן: 30/12/2027</v>
      </c>
      <c r="L153" s="19"/>
      <c r="M153" s="20" t="s">
        <v>1333</v>
      </c>
      <c r="N153" s="20" t="s">
        <v>1334</v>
      </c>
      <c r="O153" s="20" t="s">
        <v>1335</v>
      </c>
      <c r="P153" s="29" t="s">
        <v>1336</v>
      </c>
      <c r="Q153" s="29" t="s">
        <v>1337</v>
      </c>
      <c r="R153" s="29" t="s">
        <v>1337</v>
      </c>
      <c r="S153" s="29" t="s">
        <v>1337</v>
      </c>
      <c r="T153" s="29" t="s">
        <v>1337</v>
      </c>
      <c r="U153" s="29" t="s">
        <v>1338</v>
      </c>
      <c r="V153" s="29" t="s">
        <v>1338</v>
      </c>
      <c r="W153" s="29" t="s">
        <v>1339</v>
      </c>
      <c r="X153" s="20" t="s">
        <v>1340</v>
      </c>
      <c r="Y153" s="27"/>
      <c r="Z153" s="27"/>
      <c r="AA153" s="23"/>
      <c r="AB153" s="24"/>
      <c r="AC153" s="24"/>
      <c r="AD153" s="24"/>
      <c r="AE153" s="24"/>
      <c r="AF153" s="24"/>
      <c r="AG153" s="24"/>
      <c r="AH153" s="24"/>
    </row>
    <row r="154" ht="13.5" customHeight="1">
      <c r="A154" s="53"/>
      <c r="B154" s="12" t="s">
        <v>1341</v>
      </c>
      <c r="C154" s="13" t="s">
        <v>1342</v>
      </c>
      <c r="D154" s="14" t="s">
        <v>49</v>
      </c>
      <c r="E154" s="11" t="s">
        <v>1279</v>
      </c>
      <c r="F154" s="11" t="s">
        <v>239</v>
      </c>
      <c r="G154" s="15">
        <v>46142.0</v>
      </c>
      <c r="H154" s="15">
        <v>46751.0</v>
      </c>
      <c r="I154" s="17"/>
      <c r="J154" s="11" t="s">
        <v>1280</v>
      </c>
      <c r="K154" s="18" t="str">
        <f t="shared" si="1"/>
        <v>WBS: WBE-275
שם פרויקט: עין חרוד - מתקן אגירת אנרגיה בסוללות
מנה״פ: לופטון כהן, אדווה
יעד תכנית פיתוח: 30/04/2026
יעד מסתמן: 30/12/2027</v>
      </c>
      <c r="L154" s="19"/>
      <c r="M154" s="20" t="s">
        <v>1281</v>
      </c>
      <c r="N154" s="20" t="s">
        <v>1281</v>
      </c>
      <c r="O154" s="20" t="s">
        <v>1281</v>
      </c>
      <c r="P154" s="20" t="s">
        <v>1281</v>
      </c>
      <c r="Q154" s="20" t="s">
        <v>1281</v>
      </c>
      <c r="R154" s="20" t="s">
        <v>1281</v>
      </c>
      <c r="S154" s="20" t="s">
        <v>1281</v>
      </c>
      <c r="T154" s="20" t="s">
        <v>1281</v>
      </c>
      <c r="U154" s="20" t="s">
        <v>1281</v>
      </c>
      <c r="V154" s="20" t="s">
        <v>1281</v>
      </c>
      <c r="W154" s="20" t="s">
        <v>1281</v>
      </c>
      <c r="X154" s="30"/>
      <c r="Y154" s="27"/>
      <c r="Z154" s="27"/>
      <c r="AA154" s="23"/>
      <c r="AB154" s="24"/>
      <c r="AC154" s="24"/>
      <c r="AD154" s="24"/>
      <c r="AE154" s="24"/>
      <c r="AF154" s="24"/>
      <c r="AG154" s="24"/>
      <c r="AH154" s="24"/>
    </row>
    <row r="155" ht="13.5" customHeight="1">
      <c r="A155" s="53"/>
      <c r="B155" s="12" t="s">
        <v>1343</v>
      </c>
      <c r="C155" s="13" t="s">
        <v>1344</v>
      </c>
      <c r="D155" s="14" t="s">
        <v>49</v>
      </c>
      <c r="E155" s="11" t="s">
        <v>1279</v>
      </c>
      <c r="F155" s="11" t="s">
        <v>239</v>
      </c>
      <c r="G155" s="15">
        <v>46142.0</v>
      </c>
      <c r="H155" s="15">
        <v>46751.0</v>
      </c>
      <c r="I155" s="17"/>
      <c r="J155" s="11" t="s">
        <v>1280</v>
      </c>
      <c r="K155" s="18" t="str">
        <f t="shared" si="1"/>
        <v>WBS: WBE-268
שם פרויקט: נחל שחורת- מתקן אגירת אנרגיה בסוללות
מנה״פ: לופטון כהן, אדווה
יעד תכנית פיתוח: 30/04/2026
יעד מסתמן: 30/12/2027</v>
      </c>
      <c r="L155" s="19"/>
      <c r="M155" s="20" t="s">
        <v>1345</v>
      </c>
      <c r="N155" s="20" t="s">
        <v>1346</v>
      </c>
      <c r="O155" s="20" t="s">
        <v>1346</v>
      </c>
      <c r="P155" s="20" t="s">
        <v>1346</v>
      </c>
      <c r="Q155" s="20" t="s">
        <v>1346</v>
      </c>
      <c r="R155" s="20" t="s">
        <v>1346</v>
      </c>
      <c r="S155" s="20" t="s">
        <v>1346</v>
      </c>
      <c r="T155" s="20" t="s">
        <v>1346</v>
      </c>
      <c r="U155" s="20" t="s">
        <v>1346</v>
      </c>
      <c r="V155" s="20" t="s">
        <v>1281</v>
      </c>
      <c r="W155" s="20" t="s">
        <v>1281</v>
      </c>
      <c r="X155" s="30"/>
      <c r="Y155" s="27"/>
      <c r="Z155" s="27"/>
      <c r="AA155" s="23"/>
      <c r="AB155" s="24"/>
      <c r="AC155" s="24"/>
      <c r="AD155" s="24"/>
      <c r="AE155" s="24"/>
      <c r="AF155" s="24"/>
      <c r="AG155" s="24"/>
      <c r="AH155" s="24"/>
    </row>
    <row r="156" ht="13.5" customHeight="1">
      <c r="A156" s="53"/>
      <c r="B156" s="12" t="s">
        <v>1347</v>
      </c>
      <c r="C156" s="13" t="s">
        <v>1348</v>
      </c>
      <c r="D156" s="14" t="s">
        <v>161</v>
      </c>
      <c r="E156" s="11" t="s">
        <v>1279</v>
      </c>
      <c r="F156" s="11" t="s">
        <v>239</v>
      </c>
      <c r="G156" s="15">
        <v>46022.0</v>
      </c>
      <c r="H156" s="15">
        <v>46052.0</v>
      </c>
      <c r="I156" s="17"/>
      <c r="J156" s="11" t="s">
        <v>305</v>
      </c>
      <c r="K156" s="18" t="str">
        <f t="shared" si="1"/>
        <v>WBS: WBD-054
שם פרויקט: חצבה (ספיר) ניידת-תחמ"ש ניידת 161/36 ק"ו
מנה״פ: לופטון כהן, אדווה
יעד תכנית פיתוח: 31/12/2025
יעד מסתמן: 30/01/2026</v>
      </c>
      <c r="L156" s="19"/>
      <c r="M156" s="20" t="s">
        <v>1349</v>
      </c>
      <c r="N156" s="20" t="s">
        <v>1349</v>
      </c>
      <c r="O156" s="20" t="s">
        <v>1349</v>
      </c>
      <c r="P156" s="20" t="s">
        <v>1350</v>
      </c>
      <c r="Q156" s="20" t="s">
        <v>1350</v>
      </c>
      <c r="R156" s="20" t="s">
        <v>1350</v>
      </c>
      <c r="S156" s="20" t="s">
        <v>1351</v>
      </c>
      <c r="T156" s="20" t="s">
        <v>1351</v>
      </c>
      <c r="U156" s="20" t="s">
        <v>1352</v>
      </c>
      <c r="V156" s="20" t="s">
        <v>1352</v>
      </c>
      <c r="W156" s="20" t="s">
        <v>1352</v>
      </c>
      <c r="X156" s="30"/>
      <c r="Y156" s="27"/>
      <c r="Z156" s="27"/>
      <c r="AA156" s="23"/>
      <c r="AB156" s="24"/>
      <c r="AC156" s="24"/>
      <c r="AD156" s="24"/>
      <c r="AE156" s="24"/>
      <c r="AF156" s="24"/>
      <c r="AG156" s="24"/>
      <c r="AH156" s="24"/>
    </row>
    <row r="157" ht="13.5" customHeight="1">
      <c r="A157" s="53"/>
      <c r="B157" s="12" t="s">
        <v>1353</v>
      </c>
      <c r="C157" s="13" t="s">
        <v>1354</v>
      </c>
      <c r="D157" s="14" t="s">
        <v>161</v>
      </c>
      <c r="E157" s="11" t="s">
        <v>1279</v>
      </c>
      <c r="F157" s="11" t="s">
        <v>239</v>
      </c>
      <c r="G157" s="15">
        <v>45991.0</v>
      </c>
      <c r="H157" s="40" t="s">
        <v>1355</v>
      </c>
      <c r="I157" s="17"/>
      <c r="J157" s="11" t="s">
        <v>305</v>
      </c>
      <c r="K157" s="18" t="str">
        <f t="shared" si="1"/>
        <v>WBS: WBD-100
שם פרויקט: בית הגדי ניידת- הצבת תחמ"ש ניידת
מנה״פ: לופטון כהן, אדווה
יעד תכנית פיתוח: 30/11/2025
יעד מסתמן: חושמל 30/08/2025</v>
      </c>
      <c r="L157" s="19"/>
      <c r="M157" s="20" t="s">
        <v>1356</v>
      </c>
      <c r="N157" s="20" t="s">
        <v>1356</v>
      </c>
      <c r="O157" s="20" t="s">
        <v>1356</v>
      </c>
      <c r="P157" s="20" t="s">
        <v>1357</v>
      </c>
      <c r="Q157" s="20" t="s">
        <v>1358</v>
      </c>
      <c r="R157" s="20" t="s">
        <v>1358</v>
      </c>
      <c r="S157" s="20" t="s">
        <v>1358</v>
      </c>
      <c r="T157" s="20" t="s">
        <v>1358</v>
      </c>
      <c r="U157" s="20" t="s">
        <v>1358</v>
      </c>
      <c r="V157" s="20" t="s">
        <v>1358</v>
      </c>
      <c r="W157" s="20" t="s">
        <v>1359</v>
      </c>
      <c r="X157" s="63" t="s">
        <v>1360</v>
      </c>
      <c r="Y157" s="87"/>
      <c r="Z157" s="27"/>
      <c r="AA157" s="23"/>
      <c r="AB157" s="24"/>
      <c r="AC157" s="24"/>
      <c r="AD157" s="24"/>
      <c r="AE157" s="24"/>
      <c r="AF157" s="24"/>
      <c r="AG157" s="24"/>
      <c r="AH157" s="24"/>
    </row>
    <row r="158" ht="13.5" customHeight="1">
      <c r="A158" s="53"/>
      <c r="B158" s="12" t="s">
        <v>1361</v>
      </c>
      <c r="C158" s="13" t="s">
        <v>1362</v>
      </c>
      <c r="D158" s="14" t="s">
        <v>49</v>
      </c>
      <c r="E158" s="11" t="s">
        <v>1279</v>
      </c>
      <c r="F158" s="11" t="s">
        <v>239</v>
      </c>
      <c r="G158" s="15">
        <v>46142.0</v>
      </c>
      <c r="H158" s="15">
        <v>46751.0</v>
      </c>
      <c r="I158" s="17"/>
      <c r="J158" s="11" t="s">
        <v>1280</v>
      </c>
      <c r="K158" s="18" t="str">
        <f t="shared" si="1"/>
        <v>WBS: WBE-139
שם פרויקט: ב"ש מערב -מתקן אגירת אנרגיה בסוללות
מנה״פ: לופטון כהן, אדווה
יעד תכנית פיתוח: 30/04/2026
יעד מסתמן: 30/12/2027</v>
      </c>
      <c r="L158" s="19"/>
      <c r="M158" s="20" t="s">
        <v>1363</v>
      </c>
      <c r="N158" s="20" t="s">
        <v>1364</v>
      </c>
      <c r="O158" s="20" t="s">
        <v>1365</v>
      </c>
      <c r="P158" s="20" t="s">
        <v>1365</v>
      </c>
      <c r="Q158" s="20" t="s">
        <v>1366</v>
      </c>
      <c r="R158" s="20" t="s">
        <v>1367</v>
      </c>
      <c r="S158" s="20" t="s">
        <v>1368</v>
      </c>
      <c r="T158" s="20" t="s">
        <v>1368</v>
      </c>
      <c r="U158" s="29" t="s">
        <v>1369</v>
      </c>
      <c r="V158" s="29" t="s">
        <v>1370</v>
      </c>
      <c r="W158" s="29" t="s">
        <v>1370</v>
      </c>
      <c r="X158" s="30"/>
      <c r="Y158" s="27"/>
      <c r="Z158" s="27"/>
      <c r="AA158" s="23"/>
      <c r="AB158" s="24"/>
      <c r="AC158" s="24"/>
      <c r="AD158" s="24"/>
      <c r="AE158" s="24"/>
      <c r="AF158" s="24"/>
      <c r="AG158" s="24"/>
      <c r="AH158" s="24"/>
    </row>
    <row r="159" ht="13.5" customHeight="1">
      <c r="A159" s="53"/>
      <c r="B159" s="12" t="s">
        <v>1371</v>
      </c>
      <c r="C159" s="13" t="s">
        <v>1372</v>
      </c>
      <c r="D159" s="14" t="s">
        <v>49</v>
      </c>
      <c r="E159" s="11" t="s">
        <v>1373</v>
      </c>
      <c r="F159" s="11" t="s">
        <v>873</v>
      </c>
      <c r="G159" s="15">
        <v>47118.0</v>
      </c>
      <c r="H159" s="16">
        <v>47026.0</v>
      </c>
      <c r="I159" s="17"/>
      <c r="J159" s="11" t="s">
        <v>80</v>
      </c>
      <c r="K159" s="18" t="str">
        <f t="shared" si="1"/>
        <v>WBS: WBE-164
שם פרויקט: קישון -שדרוג תחמ"ש והחלפת שנאים 521, 522
מנה״פ: גולן, לירון
יעד תכנית פיתוח: 31/12/2028
יעד מסתמן: 30/09/2028</v>
      </c>
      <c r="L159" s="19"/>
      <c r="M159" s="20" t="s">
        <v>1374</v>
      </c>
      <c r="N159" s="20" t="s">
        <v>1375</v>
      </c>
      <c r="O159" s="20" t="s">
        <v>1375</v>
      </c>
      <c r="P159" s="20" t="s">
        <v>1375</v>
      </c>
      <c r="Q159" s="20" t="s">
        <v>1375</v>
      </c>
      <c r="R159" s="20" t="s">
        <v>1375</v>
      </c>
      <c r="S159" s="20" t="s">
        <v>1375</v>
      </c>
      <c r="T159" s="20" t="s">
        <v>1375</v>
      </c>
      <c r="U159" s="20" t="s">
        <v>1375</v>
      </c>
      <c r="V159" s="20" t="s">
        <v>1375</v>
      </c>
      <c r="W159" s="20" t="s">
        <v>1375</v>
      </c>
      <c r="X159" s="20" t="s">
        <v>1376</v>
      </c>
      <c r="Y159" s="27" t="s">
        <v>177</v>
      </c>
      <c r="Z159" s="27"/>
      <c r="AA159" s="23"/>
      <c r="AB159" s="24"/>
      <c r="AC159" s="24"/>
      <c r="AD159" s="24"/>
      <c r="AE159" s="24"/>
      <c r="AF159" s="24"/>
      <c r="AG159" s="24"/>
      <c r="AH159" s="24"/>
    </row>
    <row r="160" ht="13.5" customHeight="1">
      <c r="A160" s="53" t="s">
        <v>27</v>
      </c>
      <c r="B160" s="12" t="s">
        <v>1377</v>
      </c>
      <c r="C160" s="13" t="s">
        <v>1378</v>
      </c>
      <c r="D160" s="14" t="s">
        <v>49</v>
      </c>
      <c r="E160" s="11" t="s">
        <v>1373</v>
      </c>
      <c r="F160" s="11" t="s">
        <v>873</v>
      </c>
      <c r="G160" s="15">
        <v>46387.0</v>
      </c>
      <c r="H160" s="15">
        <v>46295.0</v>
      </c>
      <c r="I160" s="17"/>
      <c r="J160" s="11" t="s">
        <v>499</v>
      </c>
      <c r="K160" s="18" t="str">
        <f t="shared" si="1"/>
        <v>WBS: WBE-145
שם פרויקט: קישון - החלפת שנאים  524, 523
מנה״פ: גולן, לירון
יעד תכנית פיתוח: 31/12/2026
יעד מסתמן: 30/09/2026</v>
      </c>
      <c r="L160" s="19"/>
      <c r="M160" s="20" t="s">
        <v>1379</v>
      </c>
      <c r="N160" s="20" t="s">
        <v>1380</v>
      </c>
      <c r="O160" s="34" t="s">
        <v>1381</v>
      </c>
      <c r="P160" s="34" t="s">
        <v>1382</v>
      </c>
      <c r="Q160" s="34" t="s">
        <v>1383</v>
      </c>
      <c r="R160" s="34" t="s">
        <v>1384</v>
      </c>
      <c r="S160" s="34" t="s">
        <v>1385</v>
      </c>
      <c r="T160" s="34" t="s">
        <v>1386</v>
      </c>
      <c r="U160" s="34" t="s">
        <v>1387</v>
      </c>
      <c r="V160" s="34" t="s">
        <v>1388</v>
      </c>
      <c r="W160" s="34" t="s">
        <v>1389</v>
      </c>
      <c r="X160" s="20" t="s">
        <v>1390</v>
      </c>
      <c r="Y160" s="27" t="s">
        <v>77</v>
      </c>
      <c r="Z160" s="27"/>
      <c r="AA160" s="23"/>
      <c r="AB160" s="24"/>
      <c r="AC160" s="24"/>
      <c r="AD160" s="24"/>
      <c r="AE160" s="24"/>
      <c r="AF160" s="24"/>
      <c r="AG160" s="24"/>
      <c r="AH160" s="24"/>
    </row>
    <row r="161" ht="13.5" customHeight="1">
      <c r="A161" s="53" t="s">
        <v>27</v>
      </c>
      <c r="B161" s="90" t="s">
        <v>1391</v>
      </c>
      <c r="C161" s="13" t="s">
        <v>1392</v>
      </c>
      <c r="D161" s="14" t="s">
        <v>374</v>
      </c>
      <c r="E161" s="11" t="s">
        <v>1373</v>
      </c>
      <c r="F161" s="11" t="s">
        <v>873</v>
      </c>
      <c r="G161" s="15" t="s">
        <v>1393</v>
      </c>
      <c r="H161" s="15"/>
      <c r="I161" s="17"/>
      <c r="J161" s="11" t="s">
        <v>108</v>
      </c>
      <c r="K161" s="18" t="str">
        <f t="shared" si="1"/>
        <v>WBS: WBM-406333
WBM-40534
WBM-40200
שם פרויקט: קישון שדות 11,17,20,25 ומ"ז
מנה״פ: גולן, לירון
יעד תכנית פיתוח: 30/06/2026
30/05/2027
31/12/2026
יעד מסתמן: 30/12/1899</v>
      </c>
      <c r="L161" s="18"/>
      <c r="M161" s="20" t="s">
        <v>1394</v>
      </c>
      <c r="N161" s="20" t="s">
        <v>1395</v>
      </c>
      <c r="O161" s="34" t="s">
        <v>1396</v>
      </c>
      <c r="P161" s="34" t="s">
        <v>1397</v>
      </c>
      <c r="Q161" s="34" t="s">
        <v>1397</v>
      </c>
      <c r="R161" s="34" t="s">
        <v>1397</v>
      </c>
      <c r="S161" s="34" t="s">
        <v>1398</v>
      </c>
      <c r="T161" s="34" t="s">
        <v>1398</v>
      </c>
      <c r="U161" s="34" t="s">
        <v>1398</v>
      </c>
      <c r="V161" s="34" t="s">
        <v>1398</v>
      </c>
      <c r="W161" s="34" t="s">
        <v>1399</v>
      </c>
      <c r="X161" s="21"/>
      <c r="Y161" s="27"/>
      <c r="Z161" s="27"/>
      <c r="AA161" s="23"/>
      <c r="AB161" s="24"/>
      <c r="AC161" s="24"/>
      <c r="AD161" s="24"/>
      <c r="AE161" s="24"/>
      <c r="AF161" s="24"/>
      <c r="AG161" s="24"/>
      <c r="AH161" s="24"/>
    </row>
    <row r="162" ht="13.5" customHeight="1">
      <c r="A162" s="53"/>
      <c r="B162" s="12" t="s">
        <v>1400</v>
      </c>
      <c r="C162" s="13" t="s">
        <v>1401</v>
      </c>
      <c r="D162" s="14" t="s">
        <v>49</v>
      </c>
      <c r="E162" s="11" t="s">
        <v>1373</v>
      </c>
      <c r="F162" s="11" t="s">
        <v>873</v>
      </c>
      <c r="G162" s="15">
        <v>46203.0</v>
      </c>
      <c r="H162" s="15">
        <v>46537.0</v>
      </c>
      <c r="I162" s="17"/>
      <c r="J162" s="11" t="s">
        <v>80</v>
      </c>
      <c r="K162" s="18" t="str">
        <f t="shared" si="1"/>
        <v>WBS: WBE-186
שם פרויקט: צפת -התקנת שנאי רביעי 161/24 ק"ו, 50 מגוו"א
מנה״פ: גולן, לירון
יעד תכנית פיתוח: 30/06/2026
יעד מסתמן: 30/05/2027</v>
      </c>
      <c r="L162" s="19"/>
      <c r="M162" s="20" t="s">
        <v>1402</v>
      </c>
      <c r="N162" s="20" t="s">
        <v>1402</v>
      </c>
      <c r="O162" s="20" t="s">
        <v>1402</v>
      </c>
      <c r="P162" s="20" t="s">
        <v>1402</v>
      </c>
      <c r="Q162" s="20" t="s">
        <v>1402</v>
      </c>
      <c r="R162" s="20" t="s">
        <v>1402</v>
      </c>
      <c r="S162" s="20" t="s">
        <v>1402</v>
      </c>
      <c r="T162" s="20" t="s">
        <v>1402</v>
      </c>
      <c r="U162" s="20" t="s">
        <v>1403</v>
      </c>
      <c r="V162" s="20" t="s">
        <v>1403</v>
      </c>
      <c r="W162" s="20" t="s">
        <v>1403</v>
      </c>
      <c r="X162" s="30"/>
      <c r="Y162" s="27"/>
      <c r="Z162" s="27"/>
      <c r="AA162" s="23"/>
      <c r="AB162" s="24"/>
      <c r="AC162" s="24"/>
      <c r="AD162" s="24"/>
      <c r="AE162" s="24"/>
      <c r="AF162" s="24"/>
      <c r="AG162" s="24"/>
      <c r="AH162" s="24"/>
    </row>
    <row r="163" ht="13.5" customHeight="1">
      <c r="A163" s="53"/>
      <c r="B163" s="12" t="s">
        <v>1404</v>
      </c>
      <c r="C163" s="13" t="s">
        <v>1405</v>
      </c>
      <c r="D163" s="14" t="s">
        <v>49</v>
      </c>
      <c r="E163" s="11" t="s">
        <v>1373</v>
      </c>
      <c r="F163" s="11" t="s">
        <v>873</v>
      </c>
      <c r="G163" s="15">
        <v>46721.0</v>
      </c>
      <c r="H163" s="15">
        <v>46660.0</v>
      </c>
      <c r="I163" s="17"/>
      <c r="J163" s="11" t="s">
        <v>80</v>
      </c>
      <c r="K163" s="18" t="str">
        <f t="shared" si="1"/>
        <v>WBS: WBE-195
שם פרויקט: עתלית- התקנת שנאי שלישי (524) 161/24 ק"ו, 50 מגוו"א
מנה״פ: גולן, לירון
יעד תכנית פיתוח: 30/11/2027
יעד מסתמן: 30/09/2027</v>
      </c>
      <c r="L163" s="19"/>
      <c r="M163" s="20" t="s">
        <v>1406</v>
      </c>
      <c r="N163" s="20" t="s">
        <v>1407</v>
      </c>
      <c r="O163" s="20" t="s">
        <v>1407</v>
      </c>
      <c r="P163" s="20" t="s">
        <v>1407</v>
      </c>
      <c r="Q163" s="20" t="s">
        <v>1407</v>
      </c>
      <c r="R163" s="20" t="s">
        <v>1407</v>
      </c>
      <c r="S163" s="20" t="s">
        <v>1407</v>
      </c>
      <c r="T163" s="20" t="s">
        <v>1407</v>
      </c>
      <c r="U163" s="20" t="s">
        <v>1408</v>
      </c>
      <c r="V163" s="20" t="s">
        <v>1408</v>
      </c>
      <c r="W163" s="20" t="s">
        <v>1408</v>
      </c>
      <c r="X163" s="30"/>
      <c r="Y163" s="27"/>
      <c r="Z163" s="27"/>
      <c r="AA163" s="23"/>
      <c r="AB163" s="24"/>
      <c r="AC163" s="24"/>
      <c r="AD163" s="24"/>
      <c r="AE163" s="24"/>
      <c r="AF163" s="24"/>
      <c r="AG163" s="24"/>
      <c r="AH163" s="24"/>
    </row>
    <row r="164" ht="13.5" customHeight="1">
      <c r="A164" s="53"/>
      <c r="B164" s="12" t="s">
        <v>1409</v>
      </c>
      <c r="C164" s="13" t="s">
        <v>1410</v>
      </c>
      <c r="D164" s="14" t="s">
        <v>49</v>
      </c>
      <c r="E164" s="11" t="s">
        <v>1411</v>
      </c>
      <c r="F164" s="11" t="s">
        <v>557</v>
      </c>
      <c r="G164" s="15">
        <v>46027.0</v>
      </c>
      <c r="H164" s="40" t="s">
        <v>1412</v>
      </c>
      <c r="I164" s="17"/>
      <c r="J164" s="11" t="s">
        <v>305</v>
      </c>
      <c r="K164" s="18" t="str">
        <f t="shared" si="1"/>
        <v>WBS: WBE-141
שם פרויקט: פארן - מתקן אגירת אנרגיה בסוללות
מנה״פ: מזרחי, סולי
יעד תכנית פיתוח: 05/01/2026
יעד מסתמן: חושמל 30/10/2024</v>
      </c>
      <c r="L164" s="19"/>
      <c r="M164" s="20" t="s">
        <v>1413</v>
      </c>
      <c r="N164" s="20" t="s">
        <v>1413</v>
      </c>
      <c r="O164" s="20" t="s">
        <v>1413</v>
      </c>
      <c r="P164" s="20" t="s">
        <v>1413</v>
      </c>
      <c r="Q164" s="20" t="s">
        <v>1414</v>
      </c>
      <c r="R164" s="20" t="s">
        <v>1414</v>
      </c>
      <c r="S164" s="20" t="s">
        <v>1414</v>
      </c>
      <c r="T164" s="20" t="s">
        <v>1415</v>
      </c>
      <c r="U164" s="20" t="s">
        <v>1415</v>
      </c>
      <c r="V164" s="20" t="s">
        <v>1415</v>
      </c>
      <c r="W164" s="20" t="s">
        <v>1415</v>
      </c>
      <c r="X164" s="30"/>
      <c r="Y164" s="27"/>
      <c r="Z164" s="27"/>
      <c r="AA164" s="23"/>
      <c r="AB164" s="24"/>
      <c r="AC164" s="24"/>
      <c r="AD164" s="24"/>
      <c r="AE164" s="24"/>
      <c r="AF164" s="24"/>
      <c r="AG164" s="24"/>
      <c r="AH164" s="24"/>
    </row>
    <row r="165" ht="13.5" customHeight="1">
      <c r="A165" s="53"/>
      <c r="B165" s="12" t="s">
        <v>1416</v>
      </c>
      <c r="C165" s="13" t="s">
        <v>1417</v>
      </c>
      <c r="D165" s="14" t="s">
        <v>49</v>
      </c>
      <c r="E165" s="11" t="s">
        <v>1411</v>
      </c>
      <c r="F165" s="11" t="s">
        <v>557</v>
      </c>
      <c r="G165" s="15">
        <v>46081.0</v>
      </c>
      <c r="H165" s="40" t="s">
        <v>1418</v>
      </c>
      <c r="I165" s="17"/>
      <c r="J165" s="11" t="s">
        <v>305</v>
      </c>
      <c r="K165" s="18" t="str">
        <f t="shared" si="1"/>
        <v>WBS: WBE-134
שם פרויקט: נתיבות - התקנת מתקן אגירת אנרגיה
מנה״פ: מזרחי, סולי
יעד תכנית פיתוח: 28/02/2026
יעד מסתמן: חושמל 30/12/2024</v>
      </c>
      <c r="L165" s="19"/>
      <c r="M165" s="29" t="s">
        <v>1413</v>
      </c>
      <c r="N165" s="20" t="s">
        <v>1413</v>
      </c>
      <c r="O165" s="20" t="s">
        <v>1413</v>
      </c>
      <c r="P165" s="20" t="s">
        <v>1413</v>
      </c>
      <c r="Q165" s="29" t="s">
        <v>1419</v>
      </c>
      <c r="R165" s="29" t="s">
        <v>1419</v>
      </c>
      <c r="S165" s="29" t="s">
        <v>1420</v>
      </c>
      <c r="T165" s="29" t="s">
        <v>1420</v>
      </c>
      <c r="U165" s="29" t="s">
        <v>1420</v>
      </c>
      <c r="V165" s="29" t="s">
        <v>1420</v>
      </c>
      <c r="W165" s="29" t="s">
        <v>1420</v>
      </c>
      <c r="X165" s="30"/>
      <c r="Y165" s="27"/>
      <c r="Z165" s="27"/>
      <c r="AA165" s="23"/>
      <c r="AB165" s="24"/>
      <c r="AC165" s="24"/>
      <c r="AD165" s="24"/>
      <c r="AE165" s="24"/>
      <c r="AF165" s="24"/>
      <c r="AG165" s="24"/>
      <c r="AH165" s="24"/>
    </row>
    <row r="166" ht="13.5" customHeight="1">
      <c r="A166" s="53"/>
      <c r="B166" s="12" t="s">
        <v>1421</v>
      </c>
      <c r="C166" s="13" t="s">
        <v>1422</v>
      </c>
      <c r="D166" s="14" t="s">
        <v>374</v>
      </c>
      <c r="E166" s="11" t="s">
        <v>1411</v>
      </c>
      <c r="F166" s="11" t="s">
        <v>557</v>
      </c>
      <c r="G166" s="15">
        <v>46476.0</v>
      </c>
      <c r="H166" s="15"/>
      <c r="I166" s="17"/>
      <c r="J166" s="11" t="s">
        <v>80</v>
      </c>
      <c r="K166" s="18" t="str">
        <f t="shared" si="1"/>
        <v>WBS: WBM-00289
שם פרויקט: כפר סבא-התקנת 3 ס"ק 5*2 מגווא"ר כ"א
מנה״פ: מזרחי, סולי
יעד תכנית פיתוח: 30/03/2027
יעד מסתמן: 30/12/1899</v>
      </c>
      <c r="L166" s="18"/>
      <c r="M166" s="20" t="s">
        <v>1423</v>
      </c>
      <c r="N166" s="20" t="s">
        <v>1423</v>
      </c>
      <c r="O166" s="20" t="s">
        <v>1423</v>
      </c>
      <c r="P166" s="20" t="s">
        <v>1423</v>
      </c>
      <c r="Q166" s="20" t="s">
        <v>1423</v>
      </c>
      <c r="R166" s="20" t="s">
        <v>1423</v>
      </c>
      <c r="S166" s="20" t="s">
        <v>1424</v>
      </c>
      <c r="T166" s="20" t="s">
        <v>1424</v>
      </c>
      <c r="U166" s="20" t="s">
        <v>1424</v>
      </c>
      <c r="V166" s="20" t="s">
        <v>1425</v>
      </c>
      <c r="W166" s="20" t="s">
        <v>1425</v>
      </c>
      <c r="X166" s="30"/>
      <c r="Y166" s="22" t="s">
        <v>190</v>
      </c>
      <c r="Z166" s="27"/>
      <c r="AA166" s="23"/>
      <c r="AB166" s="24"/>
      <c r="AC166" s="24"/>
      <c r="AD166" s="24"/>
      <c r="AE166" s="24"/>
      <c r="AF166" s="24"/>
      <c r="AG166" s="24"/>
      <c r="AH166" s="24"/>
    </row>
    <row r="167" ht="13.5" customHeight="1">
      <c r="A167" s="53" t="s">
        <v>27</v>
      </c>
      <c r="B167" s="12" t="s">
        <v>1426</v>
      </c>
      <c r="C167" s="13" t="s">
        <v>1427</v>
      </c>
      <c r="D167" s="14" t="s">
        <v>49</v>
      </c>
      <c r="E167" s="11" t="s">
        <v>1411</v>
      </c>
      <c r="F167" s="11" t="s">
        <v>557</v>
      </c>
      <c r="G167" s="15">
        <v>46326.0</v>
      </c>
      <c r="H167" s="15">
        <v>46295.0</v>
      </c>
      <c r="I167" s="17"/>
      <c r="J167" s="11" t="s">
        <v>50</v>
      </c>
      <c r="K167" s="18" t="str">
        <f t="shared" si="1"/>
        <v>WBS: WBE-182
שם פרויקט: כפר סבא-הרחבת מסדר 161 ק"ו והתקנת שנאי רביעי 161/24 ק"ו  50 מגוו"א
מנה״פ: מזרחי, סולי
יעד תכנית פיתוח: 31/10/2026
יעד מסתמן: 30/09/2026</v>
      </c>
      <c r="L167" s="19"/>
      <c r="M167" s="20" t="s">
        <v>1428</v>
      </c>
      <c r="N167" s="20" t="s">
        <v>1428</v>
      </c>
      <c r="O167" s="20" t="s">
        <v>1429</v>
      </c>
      <c r="P167" s="20" t="s">
        <v>1430</v>
      </c>
      <c r="Q167" s="20" t="s">
        <v>1431</v>
      </c>
      <c r="R167" s="20" t="s">
        <v>1432</v>
      </c>
      <c r="S167" s="20" t="s">
        <v>1433</v>
      </c>
      <c r="T167" s="20" t="s">
        <v>1434</v>
      </c>
      <c r="U167" s="20" t="s">
        <v>1435</v>
      </c>
      <c r="V167" s="20" t="s">
        <v>1436</v>
      </c>
      <c r="W167" s="29" t="s">
        <v>1437</v>
      </c>
      <c r="X167" s="30"/>
      <c r="Y167" s="27" t="s">
        <v>62</v>
      </c>
      <c r="Z167" s="27"/>
      <c r="AA167" s="23"/>
      <c r="AB167" s="24"/>
      <c r="AC167" s="24"/>
      <c r="AD167" s="24"/>
      <c r="AE167" s="24"/>
      <c r="AF167" s="24"/>
      <c r="AG167" s="24"/>
      <c r="AH167" s="24"/>
    </row>
    <row r="168" ht="13.5" customHeight="1">
      <c r="A168" s="53"/>
      <c r="B168" s="91" t="s">
        <v>1438</v>
      </c>
      <c r="C168" s="13" t="s">
        <v>1439</v>
      </c>
      <c r="D168" s="14" t="s">
        <v>49</v>
      </c>
      <c r="E168" s="11" t="s">
        <v>1411</v>
      </c>
      <c r="F168" s="11" t="s">
        <v>557</v>
      </c>
      <c r="G168" s="15">
        <v>46356.0</v>
      </c>
      <c r="H168" s="15">
        <v>46476.0</v>
      </c>
      <c r="I168" s="17"/>
      <c r="J168" s="11" t="s">
        <v>108</v>
      </c>
      <c r="K168" s="18" t="str">
        <f t="shared" si="1"/>
        <v>WBS: WBE-306
שם פרויקט: זמורות - הקמת בניין פיקוד ו- 4 מסדרי מ''ג
מנה״פ: מזרחי, סולי
יעד תכנית פיתוח: 30/11/2026
יעד מסתמן: 30/03/2027</v>
      </c>
      <c r="L168" s="18"/>
      <c r="M168" s="20" t="s">
        <v>1440</v>
      </c>
      <c r="N168" s="20" t="s">
        <v>1441</v>
      </c>
      <c r="O168" s="20" t="s">
        <v>1442</v>
      </c>
      <c r="P168" s="20" t="s">
        <v>1442</v>
      </c>
      <c r="Q168" s="20" t="s">
        <v>1443</v>
      </c>
      <c r="R168" s="20" t="s">
        <v>1444</v>
      </c>
      <c r="S168" s="20" t="s">
        <v>1445</v>
      </c>
      <c r="T168" s="20" t="s">
        <v>1446</v>
      </c>
      <c r="U168" s="20" t="s">
        <v>1447</v>
      </c>
      <c r="V168" s="20" t="s">
        <v>1448</v>
      </c>
      <c r="W168" s="20" t="s">
        <v>1448</v>
      </c>
      <c r="X168" s="30"/>
      <c r="Y168" s="27" t="s">
        <v>46</v>
      </c>
      <c r="Z168" s="27"/>
      <c r="AA168" s="23"/>
      <c r="AB168" s="24"/>
      <c r="AC168" s="24"/>
      <c r="AD168" s="24"/>
      <c r="AE168" s="24"/>
      <c r="AF168" s="24"/>
      <c r="AG168" s="24"/>
      <c r="AH168" s="24"/>
    </row>
    <row r="169" ht="13.5" customHeight="1">
      <c r="A169" s="53" t="s">
        <v>27</v>
      </c>
      <c r="B169" s="12" t="s">
        <v>1449</v>
      </c>
      <c r="C169" s="13" t="s">
        <v>1450</v>
      </c>
      <c r="D169" s="14" t="s">
        <v>49</v>
      </c>
      <c r="E169" s="11" t="s">
        <v>1411</v>
      </c>
      <c r="F169" s="11" t="s">
        <v>557</v>
      </c>
      <c r="G169" s="15">
        <v>46112.0</v>
      </c>
      <c r="H169" s="15">
        <v>46111.0</v>
      </c>
      <c r="I169" s="17"/>
      <c r="J169" s="11" t="s">
        <v>499</v>
      </c>
      <c r="K169" s="18" t="str">
        <f t="shared" si="1"/>
        <v>WBS: WBE-115
שם פרויקט: זמורות-הוספת שנאי רביעי 524 50 מגוו"א ומסדר מ"ג (מכולה)
מנה״פ: מזרחי, סולי
יעד תכנית פיתוח: 31/03/2026
יעד מסתמן: 30/03/2026</v>
      </c>
      <c r="L169" s="19"/>
      <c r="M169" s="20" t="s">
        <v>1451</v>
      </c>
      <c r="N169" s="20" t="s">
        <v>1452</v>
      </c>
      <c r="O169" s="20" t="s">
        <v>1452</v>
      </c>
      <c r="P169" s="20" t="s">
        <v>1452</v>
      </c>
      <c r="Q169" s="20" t="s">
        <v>1453</v>
      </c>
      <c r="R169" s="20" t="s">
        <v>1454</v>
      </c>
      <c r="S169" s="20" t="s">
        <v>1455</v>
      </c>
      <c r="T169" s="20" t="s">
        <v>1456</v>
      </c>
      <c r="U169" s="20" t="s">
        <v>1457</v>
      </c>
      <c r="V169" s="20" t="s">
        <v>1458</v>
      </c>
      <c r="W169" s="20" t="s">
        <v>1459</v>
      </c>
      <c r="X169" s="30"/>
      <c r="Y169" s="27" t="s">
        <v>191</v>
      </c>
      <c r="Z169" s="27" t="s">
        <v>177</v>
      </c>
      <c r="AA169" s="23"/>
      <c r="AB169" s="24"/>
      <c r="AC169" s="24"/>
      <c r="AD169" s="24"/>
      <c r="AE169" s="24"/>
      <c r="AF169" s="24"/>
      <c r="AG169" s="24"/>
      <c r="AH169" s="24"/>
    </row>
    <row r="170" ht="13.5" customHeight="1">
      <c r="A170" s="53"/>
      <c r="B170" s="12" t="s">
        <v>1460</v>
      </c>
      <c r="C170" s="13" t="s">
        <v>1461</v>
      </c>
      <c r="D170" s="14" t="s">
        <v>49</v>
      </c>
      <c r="E170" s="11" t="s">
        <v>1411</v>
      </c>
      <c r="F170" s="11" t="s">
        <v>557</v>
      </c>
      <c r="G170" s="15">
        <v>46022.0</v>
      </c>
      <c r="H170" s="40" t="s">
        <v>1412</v>
      </c>
      <c r="I170" s="17"/>
      <c r="J170" s="11" t="s">
        <v>305</v>
      </c>
      <c r="K170" s="18" t="str">
        <f t="shared" si="1"/>
        <v>WBS: WBE-172
שם פרויקט: דימונה-התקנת מת.אגירת אנרגיה בליתיום יון
מנה״פ: מזרחי, סולי
יעד תכנית פיתוח: 31/12/2025
יעד מסתמן: חושמל 30/10/2024</v>
      </c>
      <c r="L170" s="19"/>
      <c r="M170" s="92" t="s">
        <v>1413</v>
      </c>
      <c r="N170" s="29" t="s">
        <v>1413</v>
      </c>
      <c r="O170" s="29" t="s">
        <v>1413</v>
      </c>
      <c r="P170" s="29" t="s">
        <v>1413</v>
      </c>
      <c r="Q170" s="29" t="s">
        <v>1419</v>
      </c>
      <c r="R170" s="29" t="s">
        <v>1419</v>
      </c>
      <c r="S170" s="29" t="s">
        <v>1419</v>
      </c>
      <c r="T170" s="29" t="s">
        <v>1462</v>
      </c>
      <c r="U170" s="29" t="s">
        <v>1462</v>
      </c>
      <c r="V170" s="29" t="s">
        <v>1462</v>
      </c>
      <c r="W170" s="29" t="s">
        <v>1462</v>
      </c>
      <c r="X170" s="30"/>
      <c r="Y170" s="27"/>
      <c r="Z170" s="27"/>
      <c r="AA170" s="23"/>
      <c r="AB170" s="24"/>
      <c r="AC170" s="24"/>
      <c r="AD170" s="24"/>
      <c r="AE170" s="24"/>
      <c r="AF170" s="24"/>
      <c r="AG170" s="24"/>
      <c r="AH170" s="24"/>
    </row>
    <row r="171" ht="13.5" customHeight="1">
      <c r="A171" s="53" t="s">
        <v>27</v>
      </c>
      <c r="B171" s="12" t="s">
        <v>1463</v>
      </c>
      <c r="C171" s="13" t="s">
        <v>1464</v>
      </c>
      <c r="D171" s="14" t="s">
        <v>49</v>
      </c>
      <c r="E171" s="11" t="s">
        <v>1411</v>
      </c>
      <c r="F171" s="11" t="s">
        <v>557</v>
      </c>
      <c r="G171" s="15">
        <v>46538.0</v>
      </c>
      <c r="H171" s="15">
        <v>46172.0</v>
      </c>
      <c r="I171" s="17"/>
      <c r="J171" s="11" t="s">
        <v>95</v>
      </c>
      <c r="K171" s="18" t="str">
        <f t="shared" si="1"/>
        <v>WBS: WBE-185
שם פרויקט: גליל-התקנת 2 שנאים 50 מגוו"א 161/24 ק"ו
מנה״פ: מזרחי, סולי
יעד תכנית פיתוח: 31/05/2027
יעד מסתמן: 30/05/2026</v>
      </c>
      <c r="L171" s="19"/>
      <c r="M171" s="20" t="s">
        <v>1465</v>
      </c>
      <c r="N171" s="20" t="s">
        <v>1466</v>
      </c>
      <c r="O171" s="20" t="s">
        <v>1467</v>
      </c>
      <c r="P171" s="20" t="s">
        <v>1467</v>
      </c>
      <c r="Q171" s="20" t="s">
        <v>1468</v>
      </c>
      <c r="R171" s="20" t="s">
        <v>1469</v>
      </c>
      <c r="S171" s="20" t="s">
        <v>1470</v>
      </c>
      <c r="T171" s="20" t="s">
        <v>1471</v>
      </c>
      <c r="U171" s="20" t="s">
        <v>1472</v>
      </c>
      <c r="V171" s="20" t="s">
        <v>1473</v>
      </c>
      <c r="W171" s="29" t="s">
        <v>1474</v>
      </c>
      <c r="X171" s="30"/>
      <c r="Y171" s="27"/>
      <c r="Z171" s="27"/>
      <c r="AA171" s="23"/>
      <c r="AB171" s="24"/>
      <c r="AC171" s="24"/>
      <c r="AD171" s="24"/>
      <c r="AE171" s="24"/>
      <c r="AF171" s="24"/>
      <c r="AG171" s="24"/>
      <c r="AH171" s="24"/>
    </row>
    <row r="172" ht="13.5" customHeight="1">
      <c r="A172" s="53"/>
      <c r="B172" s="12" t="s">
        <v>1475</v>
      </c>
      <c r="C172" s="13" t="s">
        <v>1476</v>
      </c>
      <c r="D172" s="14" t="s">
        <v>30</v>
      </c>
      <c r="E172" s="11" t="s">
        <v>1411</v>
      </c>
      <c r="F172" s="11" t="s">
        <v>557</v>
      </c>
      <c r="G172" s="15">
        <v>46537.0</v>
      </c>
      <c r="H172" s="40" t="s">
        <v>1477</v>
      </c>
      <c r="I172" s="17"/>
      <c r="J172" s="11" t="s">
        <v>499</v>
      </c>
      <c r="K172" s="18" t="str">
        <f t="shared" si="1"/>
        <v>WBS: WBJ-002
שם פרויקט: גליל-הקמת תחמ"ג 400/161, 650*2 מגוו"א-רב שלבי
מנה״פ: מזרחי, סולי
יעד תכנית פיתוח: 30/05/2027
יעד מסתמן: 30/06/2026
30/3/2026 מסדר 161 ק"ו</v>
      </c>
      <c r="L172" s="19"/>
      <c r="M172" s="20" t="s">
        <v>1478</v>
      </c>
      <c r="N172" s="20" t="s">
        <v>1479</v>
      </c>
      <c r="O172" s="29" t="s">
        <v>1480</v>
      </c>
      <c r="P172" s="29" t="s">
        <v>1481</v>
      </c>
      <c r="Q172" s="29" t="s">
        <v>1482</v>
      </c>
      <c r="R172" s="29" t="s">
        <v>1483</v>
      </c>
      <c r="S172" s="29" t="s">
        <v>1484</v>
      </c>
      <c r="T172" s="93" t="s">
        <v>1485</v>
      </c>
      <c r="U172" s="93" t="s">
        <v>1486</v>
      </c>
      <c r="V172" s="93" t="s">
        <v>1487</v>
      </c>
      <c r="W172" s="31" t="s">
        <v>1488</v>
      </c>
      <c r="X172" s="60"/>
      <c r="Y172" s="27" t="s">
        <v>62</v>
      </c>
      <c r="Z172" s="27"/>
      <c r="AA172" s="23"/>
      <c r="AB172" s="24"/>
      <c r="AC172" s="24"/>
      <c r="AD172" s="24"/>
      <c r="AE172" s="24"/>
      <c r="AF172" s="24"/>
      <c r="AG172" s="24"/>
      <c r="AH172" s="24"/>
    </row>
    <row r="173" ht="13.5" customHeight="1">
      <c r="A173" s="53"/>
      <c r="B173" s="12" t="s">
        <v>1489</v>
      </c>
      <c r="C173" s="13" t="s">
        <v>1490</v>
      </c>
      <c r="D173" s="14" t="s">
        <v>49</v>
      </c>
      <c r="E173" s="11" t="s">
        <v>1411</v>
      </c>
      <c r="F173" s="11" t="s">
        <v>557</v>
      </c>
      <c r="G173" s="15">
        <v>46081.0</v>
      </c>
      <c r="H173" s="40" t="s">
        <v>1412</v>
      </c>
      <c r="I173" s="17"/>
      <c r="J173" s="11" t="s">
        <v>305</v>
      </c>
      <c r="K173" s="18" t="str">
        <f t="shared" si="1"/>
        <v>WBS: WBE-131
שם פרויקט: בשור - התקנת מתקן אגירת אנרגיה
מנה״פ: מזרחי, סולי
יעד תכנית פיתוח: 28/02/2026
יעד מסתמן: חושמל 30/10/2024</v>
      </c>
      <c r="L173" s="19"/>
      <c r="M173" s="92" t="s">
        <v>1491</v>
      </c>
      <c r="N173" s="92" t="s">
        <v>1491</v>
      </c>
      <c r="O173" s="92" t="s">
        <v>1491</v>
      </c>
      <c r="P173" s="92" t="s">
        <v>1491</v>
      </c>
      <c r="Q173" s="20" t="s">
        <v>1414</v>
      </c>
      <c r="R173" s="20" t="s">
        <v>1414</v>
      </c>
      <c r="S173" s="20" t="s">
        <v>1414</v>
      </c>
      <c r="T173" s="20" t="s">
        <v>1414</v>
      </c>
      <c r="U173" s="20" t="s">
        <v>1414</v>
      </c>
      <c r="V173" s="20" t="s">
        <v>1414</v>
      </c>
      <c r="W173" s="20" t="s">
        <v>1414</v>
      </c>
      <c r="X173" s="30"/>
      <c r="Y173" s="27"/>
      <c r="Z173" s="27"/>
      <c r="AA173" s="23"/>
      <c r="AB173" s="24"/>
      <c r="AC173" s="24"/>
      <c r="AD173" s="24"/>
      <c r="AE173" s="24"/>
      <c r="AF173" s="24"/>
      <c r="AG173" s="24"/>
      <c r="AH173" s="24"/>
    </row>
    <row r="174" ht="13.5" customHeight="1">
      <c r="A174" s="53"/>
      <c r="B174" s="12" t="s">
        <v>1492</v>
      </c>
      <c r="C174" s="13" t="s">
        <v>1493</v>
      </c>
      <c r="D174" s="14" t="s">
        <v>49</v>
      </c>
      <c r="E174" s="11" t="s">
        <v>1411</v>
      </c>
      <c r="F174" s="11" t="s">
        <v>557</v>
      </c>
      <c r="G174" s="15">
        <v>46783.0</v>
      </c>
      <c r="H174" s="15">
        <v>46721.0</v>
      </c>
      <c r="I174" s="17"/>
      <c r="J174" s="17"/>
      <c r="K174" s="18" t="str">
        <f t="shared" si="1"/>
        <v>WBS: WBE-284
שם פרויקט: בשור-הקמת שדה שנאי 161 ק"ו  מותאם ליכולת 2500 אמפר
מנה״פ: מזרחי, סולי
יעד תכנית פיתוח: 31/01/2028
יעד מסתמן: 30/11/2027</v>
      </c>
      <c r="L174" s="19"/>
      <c r="M174" s="20" t="s">
        <v>1494</v>
      </c>
      <c r="N174" s="20" t="s">
        <v>1494</v>
      </c>
      <c r="O174" s="20" t="s">
        <v>1494</v>
      </c>
      <c r="P174" s="20" t="s">
        <v>1494</v>
      </c>
      <c r="Q174" s="20" t="s">
        <v>1494</v>
      </c>
      <c r="R174" s="20" t="s">
        <v>1494</v>
      </c>
      <c r="S174" s="20" t="s">
        <v>1495</v>
      </c>
      <c r="T174" s="20" t="s">
        <v>1495</v>
      </c>
      <c r="U174" s="20" t="s">
        <v>1495</v>
      </c>
      <c r="V174" s="20" t="s">
        <v>1495</v>
      </c>
      <c r="W174" s="20" t="s">
        <v>1495</v>
      </c>
      <c r="X174" s="30"/>
      <c r="Y174" s="22" t="s">
        <v>190</v>
      </c>
      <c r="Z174" s="27"/>
      <c r="AA174" s="23"/>
      <c r="AB174" s="24"/>
      <c r="AC174" s="24"/>
      <c r="AD174" s="24"/>
      <c r="AE174" s="24"/>
      <c r="AF174" s="24"/>
      <c r="AG174" s="24"/>
      <c r="AH174" s="24"/>
    </row>
    <row r="175" ht="13.5" customHeight="1">
      <c r="A175" s="27" t="s">
        <v>27</v>
      </c>
      <c r="B175" s="12" t="s">
        <v>1496</v>
      </c>
      <c r="C175" s="13" t="s">
        <v>1497</v>
      </c>
      <c r="D175" s="14" t="s">
        <v>49</v>
      </c>
      <c r="E175" s="11" t="s">
        <v>1411</v>
      </c>
      <c r="F175" s="11" t="s">
        <v>557</v>
      </c>
      <c r="G175" s="15">
        <v>46173.0</v>
      </c>
      <c r="H175" s="40" t="s">
        <v>1498</v>
      </c>
      <c r="I175" s="17"/>
      <c r="J175" s="11" t="s">
        <v>50</v>
      </c>
      <c r="K175" s="18" t="str">
        <f t="shared" si="1"/>
        <v>WBS: WBE-119
שם פרויקט: בשור- התקנת שנאי  50 מגוו"א ומאצרת שמן לשנאי
מנה״פ: מזרחי, סולי
יעד תכנית פיתוח: 31/05/2026
יעד מסתמן: שנאי 30/05/26
סיום כולל 30/07/26</v>
      </c>
      <c r="L175" s="18"/>
      <c r="M175" s="30"/>
      <c r="N175" s="36"/>
      <c r="O175" s="20" t="s">
        <v>1499</v>
      </c>
      <c r="P175" s="36"/>
      <c r="Q175" s="20" t="s">
        <v>1500</v>
      </c>
      <c r="R175" s="20" t="s">
        <v>1501</v>
      </c>
      <c r="S175" s="20" t="s">
        <v>1502</v>
      </c>
      <c r="T175" s="20" t="s">
        <v>1503</v>
      </c>
      <c r="U175" s="20" t="s">
        <v>1504</v>
      </c>
      <c r="V175" s="20" t="s">
        <v>1505</v>
      </c>
      <c r="W175" s="20" t="s">
        <v>1505</v>
      </c>
      <c r="X175" s="20" t="s">
        <v>1506</v>
      </c>
      <c r="Y175" s="38" t="s">
        <v>46</v>
      </c>
      <c r="Z175" s="27" t="s">
        <v>177</v>
      </c>
      <c r="AA175" s="23"/>
      <c r="AB175" s="24"/>
      <c r="AC175" s="24"/>
      <c r="AD175" s="24"/>
      <c r="AE175" s="24"/>
      <c r="AF175" s="24"/>
      <c r="AG175" s="24"/>
      <c r="AH175" s="24"/>
    </row>
    <row r="176" ht="13.5" customHeight="1">
      <c r="A176" s="27" t="s">
        <v>27</v>
      </c>
      <c r="B176" s="12" t="s">
        <v>1507</v>
      </c>
      <c r="C176" s="13" t="s">
        <v>1508</v>
      </c>
      <c r="D176" s="14" t="s">
        <v>374</v>
      </c>
      <c r="E176" s="11" t="s">
        <v>1411</v>
      </c>
      <c r="F176" s="11" t="s">
        <v>557</v>
      </c>
      <c r="G176" s="15">
        <v>46203.0</v>
      </c>
      <c r="H176" s="15">
        <v>46203.0</v>
      </c>
      <c r="I176" s="17"/>
      <c r="J176" s="11" t="s">
        <v>95</v>
      </c>
      <c r="K176" s="18" t="str">
        <f t="shared" si="1"/>
        <v>WBS: WBM-40609
שם פרויקט: בשור- הקמת בניין פקוד, התקנת 3 מסדרי מ''ג והעתקת היציאות למסדרים החדשים ומאצרת שמן לשנאי
מנה״פ: מזרחי, סולי
יעד תכנית פיתוח: 30/06/2026
יעד מסתמן: 30/06/2026</v>
      </c>
      <c r="L176" s="18"/>
      <c r="M176" s="30"/>
      <c r="N176" s="36"/>
      <c r="O176" s="36"/>
      <c r="P176" s="37" t="s">
        <v>1509</v>
      </c>
      <c r="Q176" s="37" t="s">
        <v>1510</v>
      </c>
      <c r="R176" s="37" t="s">
        <v>1510</v>
      </c>
      <c r="S176" s="37" t="s">
        <v>1511</v>
      </c>
      <c r="T176" s="37" t="s">
        <v>1512</v>
      </c>
      <c r="U176" s="37" t="s">
        <v>1513</v>
      </c>
      <c r="V176" s="37" t="s">
        <v>1513</v>
      </c>
      <c r="W176" s="94" t="s">
        <v>1514</v>
      </c>
      <c r="X176" s="30"/>
      <c r="Y176" s="38" t="s">
        <v>177</v>
      </c>
      <c r="Z176" s="27"/>
      <c r="AA176" s="23"/>
      <c r="AB176" s="24"/>
      <c r="AC176" s="24"/>
      <c r="AD176" s="24"/>
      <c r="AE176" s="24"/>
      <c r="AF176" s="24"/>
      <c r="AG176" s="24"/>
      <c r="AH176" s="24"/>
    </row>
    <row r="177" ht="13.5" customHeight="1">
      <c r="A177" s="53"/>
      <c r="B177" s="12" t="s">
        <v>1515</v>
      </c>
      <c r="C177" s="13" t="s">
        <v>1516</v>
      </c>
      <c r="D177" s="14" t="s">
        <v>49</v>
      </c>
      <c r="E177" s="11" t="s">
        <v>1411</v>
      </c>
      <c r="F177" s="11" t="s">
        <v>557</v>
      </c>
      <c r="G177" s="15">
        <v>46691.0</v>
      </c>
      <c r="H177" s="40" t="s">
        <v>1517</v>
      </c>
      <c r="I177" s="17"/>
      <c r="J177" s="11" t="s">
        <v>80</v>
      </c>
      <c r="K177" s="18" t="str">
        <f t="shared" si="1"/>
        <v>WBS: WBE-239
שם פרויקט: בשור-הקמת 2 שדות קו 161חדשים והתא' שד' קו והקמת 2 שד' קו161ק"ו חדשים לניר יצחק
מנה״פ: מזרחי, סולי
יעד תכנית פיתוח: 31/10/2027
יעד מסתמן: שני שדות - 30/12/2026 , שני שדות 30/09/2027</v>
      </c>
      <c r="L177" s="19"/>
      <c r="M177" s="20" t="s">
        <v>1518</v>
      </c>
      <c r="N177" s="20" t="s">
        <v>1519</v>
      </c>
      <c r="O177" s="20" t="s">
        <v>1520</v>
      </c>
      <c r="P177" s="20" t="s">
        <v>1521</v>
      </c>
      <c r="Q177" s="20" t="s">
        <v>1522</v>
      </c>
      <c r="R177" s="20" t="s">
        <v>1523</v>
      </c>
      <c r="S177" s="20" t="s">
        <v>1524</v>
      </c>
      <c r="T177" s="20" t="s">
        <v>1525</v>
      </c>
      <c r="U177" s="20" t="s">
        <v>1526</v>
      </c>
      <c r="V177" s="20" t="s">
        <v>1527</v>
      </c>
      <c r="W177" s="31" t="s">
        <v>1528</v>
      </c>
      <c r="X177" s="30"/>
      <c r="Y177" s="27" t="s">
        <v>77</v>
      </c>
      <c r="Z177" s="27"/>
      <c r="AA177" s="23"/>
      <c r="AB177" s="24"/>
      <c r="AC177" s="24"/>
      <c r="AD177" s="24"/>
      <c r="AE177" s="24"/>
      <c r="AF177" s="24"/>
      <c r="AG177" s="24"/>
      <c r="AH177" s="24"/>
    </row>
    <row r="178" ht="13.5" customHeight="1">
      <c r="A178" s="53"/>
      <c r="B178" s="12" t="s">
        <v>1529</v>
      </c>
      <c r="C178" s="13" t="s">
        <v>1530</v>
      </c>
      <c r="D178" s="14" t="s">
        <v>49</v>
      </c>
      <c r="E178" s="11" t="s">
        <v>1411</v>
      </c>
      <c r="F178" s="11" t="s">
        <v>557</v>
      </c>
      <c r="G178" s="15">
        <v>46081.0</v>
      </c>
      <c r="H178" s="40" t="s">
        <v>1412</v>
      </c>
      <c r="I178" s="17"/>
      <c r="J178" s="11" t="s">
        <v>305</v>
      </c>
      <c r="K178" s="18" t="str">
        <f t="shared" si="1"/>
        <v>WBS: WBE-129
שם פרויקט: אילת- התקנת מתקן אגירת אנרגיה + פירוק
מנה״פ: מזרחי, סולי
יעד תכנית פיתוח: 28/02/2026
יעד מסתמן: חושמל 30/10/2024</v>
      </c>
      <c r="L178" s="19"/>
      <c r="M178" s="92" t="s">
        <v>1413</v>
      </c>
      <c r="N178" s="92" t="s">
        <v>1413</v>
      </c>
      <c r="O178" s="29" t="s">
        <v>1413</v>
      </c>
      <c r="P178" s="29" t="s">
        <v>1413</v>
      </c>
      <c r="Q178" s="29" t="s">
        <v>1419</v>
      </c>
      <c r="R178" s="29" t="s">
        <v>1419</v>
      </c>
      <c r="S178" s="29" t="s">
        <v>1419</v>
      </c>
      <c r="T178" s="29" t="s">
        <v>1419</v>
      </c>
      <c r="U178" s="29" t="s">
        <v>1419</v>
      </c>
      <c r="V178" s="29" t="s">
        <v>1419</v>
      </c>
      <c r="W178" s="29" t="s">
        <v>1419</v>
      </c>
      <c r="X178" s="30"/>
      <c r="Y178" s="27"/>
      <c r="Z178" s="27"/>
      <c r="AA178" s="23"/>
      <c r="AB178" s="24"/>
      <c r="AC178" s="24"/>
      <c r="AD178" s="24"/>
      <c r="AE178" s="24"/>
      <c r="AF178" s="24"/>
      <c r="AG178" s="24"/>
      <c r="AH178" s="24"/>
    </row>
    <row r="179" ht="13.5" customHeight="1">
      <c r="A179" s="53"/>
      <c r="B179" s="12" t="s">
        <v>1531</v>
      </c>
      <c r="C179" s="13" t="s">
        <v>1532</v>
      </c>
      <c r="D179" s="14" t="s">
        <v>49</v>
      </c>
      <c r="E179" s="11" t="s">
        <v>1411</v>
      </c>
      <c r="F179" s="11" t="s">
        <v>557</v>
      </c>
      <c r="G179" s="15">
        <v>46081.0</v>
      </c>
      <c r="H179" s="15">
        <v>46022.0</v>
      </c>
      <c r="I179" s="17"/>
      <c r="J179" s="17"/>
      <c r="K179" s="18" t="str">
        <f t="shared" si="1"/>
        <v>WBS: WBE-244
שם פרויקט: אופקים - עע"א - התקנת שנאי 45 מו"א לרכבת
מנה״פ: מזרחי, סולי
יעד תכנית פיתוח: 28/02/2026
יעד מסתמן: 31/12/2025</v>
      </c>
      <c r="L179" s="19"/>
      <c r="M179" s="20" t="s">
        <v>1533</v>
      </c>
      <c r="N179" s="20" t="s">
        <v>1534</v>
      </c>
      <c r="O179" s="20" t="s">
        <v>1535</v>
      </c>
      <c r="P179" s="20" t="s">
        <v>1536</v>
      </c>
      <c r="Q179" s="20" t="s">
        <v>1537</v>
      </c>
      <c r="R179" s="20" t="s">
        <v>1538</v>
      </c>
      <c r="S179" s="20" t="s">
        <v>1539</v>
      </c>
      <c r="T179" s="20" t="s">
        <v>1540</v>
      </c>
      <c r="U179" s="20" t="s">
        <v>1540</v>
      </c>
      <c r="V179" s="20" t="s">
        <v>1541</v>
      </c>
      <c r="W179" s="20" t="s">
        <v>1542</v>
      </c>
      <c r="X179" s="30"/>
      <c r="Y179" s="27"/>
      <c r="Z179" s="27"/>
      <c r="AA179" s="23"/>
      <c r="AB179" s="24"/>
      <c r="AC179" s="24"/>
      <c r="AD179" s="24"/>
      <c r="AE179" s="24"/>
      <c r="AF179" s="24"/>
      <c r="AG179" s="24"/>
      <c r="AH179" s="24"/>
    </row>
    <row r="180" ht="13.5" customHeight="1">
      <c r="A180" s="53" t="s">
        <v>27</v>
      </c>
      <c r="B180" s="12" t="s">
        <v>1543</v>
      </c>
      <c r="C180" s="13" t="s">
        <v>1544</v>
      </c>
      <c r="D180" s="14" t="s">
        <v>30</v>
      </c>
      <c r="E180" s="11" t="s">
        <v>1411</v>
      </c>
      <c r="F180" s="11" t="s">
        <v>557</v>
      </c>
      <c r="G180" s="15">
        <v>46142.0</v>
      </c>
      <c r="H180" s="15">
        <v>46142.0</v>
      </c>
      <c r="I180" s="17"/>
      <c r="J180" s="11" t="s">
        <v>499</v>
      </c>
      <c r="K180" s="18" t="str">
        <f t="shared" si="1"/>
        <v>WBS: WBC-024
שם פרויקט: אוניברסיטת תל אביב-הקמת תחמ"ש פנימית 161
מנה״פ: מזרחי, סולי
יעד תכנית פיתוח: 30/04/2026
יעד מסתמן: 30/04/2026</v>
      </c>
      <c r="L180" s="19"/>
      <c r="M180" s="20" t="s">
        <v>1545</v>
      </c>
      <c r="N180" s="20" t="s">
        <v>1546</v>
      </c>
      <c r="O180" s="20" t="s">
        <v>1547</v>
      </c>
      <c r="P180" s="20" t="s">
        <v>1548</v>
      </c>
      <c r="Q180" s="29" t="s">
        <v>1549</v>
      </c>
      <c r="R180" s="31" t="s">
        <v>1550</v>
      </c>
      <c r="S180" s="64" t="s">
        <v>1551</v>
      </c>
      <c r="T180" s="64" t="s">
        <v>1552</v>
      </c>
      <c r="U180" s="64" t="s">
        <v>1553</v>
      </c>
      <c r="V180" s="64" t="s">
        <v>1554</v>
      </c>
      <c r="W180" s="64" t="s">
        <v>1555</v>
      </c>
      <c r="X180" s="20" t="s">
        <v>1556</v>
      </c>
      <c r="Y180" s="63" t="s">
        <v>177</v>
      </c>
      <c r="Z180" s="95" t="s">
        <v>191</v>
      </c>
      <c r="AA180" s="23"/>
      <c r="AB180" s="24"/>
      <c r="AC180" s="24"/>
      <c r="AD180" s="24"/>
      <c r="AE180" s="24"/>
      <c r="AF180" s="24"/>
      <c r="AG180" s="24"/>
      <c r="AH180" s="24"/>
    </row>
    <row r="181" ht="13.5" customHeight="1">
      <c r="A181" s="27"/>
      <c r="B181" s="96" t="s">
        <v>1557</v>
      </c>
      <c r="C181" s="13" t="s">
        <v>1558</v>
      </c>
      <c r="D181" s="14" t="s">
        <v>30</v>
      </c>
      <c r="E181" s="11" t="s">
        <v>1411</v>
      </c>
      <c r="F181" s="11" t="s">
        <v>557</v>
      </c>
      <c r="G181" s="15">
        <v>49247.0</v>
      </c>
      <c r="H181" s="15"/>
      <c r="I181" s="17"/>
      <c r="J181" s="11" t="s">
        <v>80</v>
      </c>
      <c r="K181" s="18" t="str">
        <f t="shared" si="1"/>
        <v>WBS: WBC-082
שם פרויקט: תחמ"ש נווה ימין 
(כפר סבא)
מנה״פ: מזרחי, סולי
יעד תכנית פיתוח: 30/10/2034
יעד מסתמן: 30/12/1899</v>
      </c>
      <c r="L181" s="18"/>
      <c r="M181" s="30"/>
      <c r="N181" s="36"/>
      <c r="O181" s="36"/>
      <c r="P181" s="36"/>
      <c r="Q181" s="97" t="s">
        <v>1559</v>
      </c>
      <c r="R181" s="97" t="s">
        <v>1560</v>
      </c>
      <c r="S181" s="97" t="s">
        <v>1561</v>
      </c>
      <c r="T181" s="97" t="s">
        <v>1562</v>
      </c>
      <c r="U181" s="97" t="s">
        <v>1563</v>
      </c>
      <c r="V181" s="97" t="s">
        <v>1564</v>
      </c>
      <c r="W181" s="97" t="s">
        <v>1565</v>
      </c>
      <c r="X181" s="30"/>
      <c r="Y181" s="60"/>
      <c r="Z181" s="27"/>
      <c r="AA181" s="23"/>
      <c r="AB181" s="24"/>
      <c r="AC181" s="24"/>
      <c r="AD181" s="24"/>
      <c r="AE181" s="24"/>
      <c r="AF181" s="24"/>
      <c r="AG181" s="24"/>
      <c r="AH181" s="24"/>
    </row>
    <row r="182" ht="13.5" customHeight="1">
      <c r="A182" s="53"/>
      <c r="B182" s="12" t="s">
        <v>1566</v>
      </c>
      <c r="C182" s="13" t="s">
        <v>1567</v>
      </c>
      <c r="D182" s="14" t="s">
        <v>49</v>
      </c>
      <c r="E182" s="11" t="s">
        <v>1568</v>
      </c>
      <c r="F182" s="11" t="s">
        <v>255</v>
      </c>
      <c r="G182" s="15">
        <v>47118.0</v>
      </c>
      <c r="H182" s="15">
        <v>47026.0</v>
      </c>
      <c r="I182" s="17"/>
      <c r="J182" s="11" t="s">
        <v>103</v>
      </c>
      <c r="K182" s="18" t="str">
        <f t="shared" si="1"/>
        <v>WBS: wbe-183
שם פרויקט: ת"א מרכז-התקנת שנאי רביעי 161/13.8/13.8 ק"ו 56 מגוו"א
מנה״פ: פוטרמן, שרון 
יעד תכנית פיתוח: 31/12/2028
יעד מסתמן: 30/09/2028</v>
      </c>
      <c r="L182" s="19"/>
      <c r="M182" s="20" t="s">
        <v>1569</v>
      </c>
      <c r="N182" s="20" t="s">
        <v>1569</v>
      </c>
      <c r="O182" s="20" t="s">
        <v>1569</v>
      </c>
      <c r="P182" s="20" t="s">
        <v>1569</v>
      </c>
      <c r="Q182" s="20" t="s">
        <v>1569</v>
      </c>
      <c r="R182" s="20" t="s">
        <v>1569</v>
      </c>
      <c r="S182" s="20" t="s">
        <v>1569</v>
      </c>
      <c r="T182" s="20" t="s">
        <v>1569</v>
      </c>
      <c r="U182" s="20" t="s">
        <v>1569</v>
      </c>
      <c r="V182" s="20" t="s">
        <v>1569</v>
      </c>
      <c r="W182" s="20" t="s">
        <v>1569</v>
      </c>
      <c r="X182" s="30"/>
      <c r="Y182" s="98"/>
      <c r="Z182" s="27"/>
      <c r="AA182" s="23"/>
      <c r="AB182" s="24"/>
      <c r="AC182" s="24"/>
      <c r="AD182" s="24"/>
      <c r="AE182" s="24"/>
      <c r="AF182" s="24"/>
      <c r="AG182" s="24"/>
      <c r="AH182" s="24"/>
    </row>
    <row r="183" ht="13.5" customHeight="1">
      <c r="A183" s="53" t="s">
        <v>27</v>
      </c>
      <c r="B183" s="12" t="s">
        <v>1570</v>
      </c>
      <c r="C183" s="13" t="s">
        <v>1571</v>
      </c>
      <c r="D183" s="14" t="s">
        <v>49</v>
      </c>
      <c r="E183" s="11" t="s">
        <v>1568</v>
      </c>
      <c r="F183" s="11" t="s">
        <v>255</v>
      </c>
      <c r="G183" s="15">
        <v>46387.0</v>
      </c>
      <c r="H183" s="15">
        <v>46476.0</v>
      </c>
      <c r="I183" s="17"/>
      <c r="J183" s="11" t="s">
        <v>80</v>
      </c>
      <c r="K183" s="18" t="str">
        <f t="shared" si="1"/>
        <v>WBS: WBE-281
שם פרויקט: מודיעין – התקנת שנאי שישי (525) 50 מגוו"א.
מנה״פ: פוטרמן, שרון 
יעד תכנית פיתוח: 31/12/2026
יעד מסתמן: 30/03/2027</v>
      </c>
      <c r="L183" s="19"/>
      <c r="M183" s="26" t="s">
        <v>1572</v>
      </c>
      <c r="N183" s="26" t="s">
        <v>1572</v>
      </c>
      <c r="O183" s="26" t="s">
        <v>1572</v>
      </c>
      <c r="P183" s="20" t="s">
        <v>1573</v>
      </c>
      <c r="Q183" s="20" t="s">
        <v>1573</v>
      </c>
      <c r="R183" s="20" t="s">
        <v>1574</v>
      </c>
      <c r="S183" s="20" t="s">
        <v>1575</v>
      </c>
      <c r="T183" s="20" t="s">
        <v>1576</v>
      </c>
      <c r="U183" s="20" t="s">
        <v>1576</v>
      </c>
      <c r="V183" s="20" t="s">
        <v>1577</v>
      </c>
      <c r="W183" s="20" t="s">
        <v>1578</v>
      </c>
      <c r="X183" s="30"/>
      <c r="Y183" s="27"/>
      <c r="Z183" s="67"/>
      <c r="AA183" s="23"/>
      <c r="AB183" s="24"/>
      <c r="AC183" s="24"/>
      <c r="AD183" s="24"/>
      <c r="AE183" s="24"/>
      <c r="AF183" s="24"/>
      <c r="AG183" s="24"/>
      <c r="AH183" s="24"/>
    </row>
    <row r="184" ht="13.5" customHeight="1">
      <c r="A184" s="53"/>
      <c r="B184" s="12" t="s">
        <v>1579</v>
      </c>
      <c r="C184" s="13" t="s">
        <v>1580</v>
      </c>
      <c r="D184" s="14" t="s">
        <v>49</v>
      </c>
      <c r="E184" s="11" t="s">
        <v>1568</v>
      </c>
      <c r="F184" s="11" t="s">
        <v>255</v>
      </c>
      <c r="G184" s="15">
        <v>46142.0</v>
      </c>
      <c r="H184" s="15">
        <v>46507.0</v>
      </c>
      <c r="I184" s="17"/>
      <c r="J184" s="11" t="s">
        <v>80</v>
      </c>
      <c r="K184" s="18" t="str">
        <f t="shared" si="1"/>
        <v>WBS: WBE-198
שם פרויקט: לוד-הוספת שנאי שישי  (525) 161/24 ק"ו 50 מגוו"א
מנה״פ: פוטרמן, שרון 
יעד תכנית פיתוח: 30/04/2026
יעד מסתמן: 30/04/2027</v>
      </c>
      <c r="L184" s="19"/>
      <c r="M184" s="26" t="s">
        <v>1581</v>
      </c>
      <c r="N184" s="26" t="s">
        <v>1581</v>
      </c>
      <c r="O184" s="26" t="s">
        <v>1581</v>
      </c>
      <c r="P184" s="26" t="s">
        <v>1582</v>
      </c>
      <c r="Q184" s="26" t="s">
        <v>1583</v>
      </c>
      <c r="R184" s="26" t="s">
        <v>1583</v>
      </c>
      <c r="S184" s="26" t="s">
        <v>1584</v>
      </c>
      <c r="T184" s="26" t="s">
        <v>1585</v>
      </c>
      <c r="U184" s="26" t="s">
        <v>1585</v>
      </c>
      <c r="V184" s="26" t="s">
        <v>1586</v>
      </c>
      <c r="W184" s="26" t="s">
        <v>1587</v>
      </c>
      <c r="X184" s="30"/>
      <c r="Y184" s="63"/>
      <c r="Z184" s="67"/>
      <c r="AA184" s="23"/>
      <c r="AB184" s="24"/>
      <c r="AC184" s="24"/>
      <c r="AD184" s="24"/>
      <c r="AE184" s="24"/>
      <c r="AF184" s="24"/>
      <c r="AG184" s="24"/>
      <c r="AH184" s="24"/>
    </row>
    <row r="185" ht="13.5" customHeight="1">
      <c r="A185" s="53" t="s">
        <v>27</v>
      </c>
      <c r="B185" s="12" t="s">
        <v>1588</v>
      </c>
      <c r="C185" s="13" t="s">
        <v>1589</v>
      </c>
      <c r="D185" s="14" t="s">
        <v>49</v>
      </c>
      <c r="E185" s="11" t="s">
        <v>1568</v>
      </c>
      <c r="F185" s="11" t="s">
        <v>255</v>
      </c>
      <c r="G185" s="15">
        <v>46417.0</v>
      </c>
      <c r="H185" s="15">
        <v>46476.0</v>
      </c>
      <c r="I185" s="17"/>
      <c r="J185" s="11" t="s">
        <v>80</v>
      </c>
      <c r="K185" s="18" t="str">
        <f t="shared" si="1"/>
        <v>WBS: WBE-216
שם פרויקט: כנות-התקנת שנאי שלישי 161/24 ק"ו 50 מו"א
מנה״פ: פוטרמן, שרון 
יעד תכנית פיתוח: 30/01/2027
יעד מסתמן: 30/03/2027</v>
      </c>
      <c r="L185" s="19"/>
      <c r="M185" s="34" t="s">
        <v>1590</v>
      </c>
      <c r="N185" s="34" t="s">
        <v>1590</v>
      </c>
      <c r="O185" s="34" t="s">
        <v>1590</v>
      </c>
      <c r="P185" s="26" t="s">
        <v>1590</v>
      </c>
      <c r="Q185" s="26" t="s">
        <v>1590</v>
      </c>
      <c r="R185" s="26" t="s">
        <v>1590</v>
      </c>
      <c r="S185" s="26" t="s">
        <v>1591</v>
      </c>
      <c r="T185" s="26" t="s">
        <v>1591</v>
      </c>
      <c r="U185" s="26" t="s">
        <v>1591</v>
      </c>
      <c r="V185" s="26" t="s">
        <v>1592</v>
      </c>
      <c r="W185" s="26" t="s">
        <v>1593</v>
      </c>
      <c r="X185" s="30"/>
      <c r="Y185" s="99" t="s">
        <v>77</v>
      </c>
      <c r="Z185" s="27"/>
      <c r="AA185" s="23"/>
      <c r="AB185" s="24"/>
      <c r="AC185" s="24"/>
      <c r="AD185" s="24"/>
      <c r="AE185" s="24"/>
      <c r="AF185" s="24"/>
      <c r="AG185" s="24"/>
      <c r="AH185" s="24"/>
    </row>
    <row r="186" ht="13.5" customHeight="1">
      <c r="A186" s="53"/>
      <c r="B186" s="12" t="s">
        <v>1594</v>
      </c>
      <c r="C186" s="100" t="s">
        <v>1595</v>
      </c>
      <c r="D186" s="14" t="s">
        <v>374</v>
      </c>
      <c r="E186" s="11" t="s">
        <v>1568</v>
      </c>
      <c r="F186" s="11" t="s">
        <v>255</v>
      </c>
      <c r="G186" s="15">
        <v>46568.0</v>
      </c>
      <c r="H186" s="15"/>
      <c r="I186" s="17"/>
      <c r="J186" s="11" t="s">
        <v>80</v>
      </c>
      <c r="K186" s="18" t="str">
        <f t="shared" si="1"/>
        <v>WBS: WBM-10482
שם פרויקט: גזר-
ST-1 התקנת מסדר 24 ק"ו, פ"צ 4, השלמת מערכת SCS במסדרי 161 ו 400 ק"ו.
ST-2 החלפת 2 מסדרי מ"ג ומערכת SCS
מנה״פ: פוטרמן, שרון 
יעד תכנית פיתוח: 30/06/2027
יעד מסתמן: 30/12/1899</v>
      </c>
      <c r="L186" s="101"/>
      <c r="M186" s="34" t="s">
        <v>1596</v>
      </c>
      <c r="N186" s="34" t="s">
        <v>1596</v>
      </c>
      <c r="O186" s="34" t="s">
        <v>1596</v>
      </c>
      <c r="P186" s="34" t="s">
        <v>1596</v>
      </c>
      <c r="Q186" s="34" t="s">
        <v>1596</v>
      </c>
      <c r="R186" s="34" t="s">
        <v>1596</v>
      </c>
      <c r="S186" s="34" t="s">
        <v>1597</v>
      </c>
      <c r="T186" s="34" t="s">
        <v>1597</v>
      </c>
      <c r="U186" s="34" t="s">
        <v>1597</v>
      </c>
      <c r="V186" s="34" t="s">
        <v>1598</v>
      </c>
      <c r="W186" s="34" t="s">
        <v>1599</v>
      </c>
      <c r="X186" s="30"/>
      <c r="Y186" s="27"/>
      <c r="Z186" s="27"/>
      <c r="AA186" s="23"/>
      <c r="AB186" s="24"/>
      <c r="AC186" s="24"/>
      <c r="AD186" s="24"/>
      <c r="AE186" s="24"/>
      <c r="AF186" s="24"/>
      <c r="AG186" s="24"/>
      <c r="AH186" s="24"/>
    </row>
    <row r="187" ht="13.5" customHeight="1">
      <c r="A187" s="53"/>
      <c r="B187" s="12" t="s">
        <v>1600</v>
      </c>
      <c r="C187" s="13" t="s">
        <v>1601</v>
      </c>
      <c r="D187" s="14" t="s">
        <v>49</v>
      </c>
      <c r="E187" s="11" t="s">
        <v>1568</v>
      </c>
      <c r="F187" s="11" t="s">
        <v>255</v>
      </c>
      <c r="G187" s="15">
        <v>46324.0</v>
      </c>
      <c r="H187" s="15">
        <v>46324.0</v>
      </c>
      <c r="I187" s="17"/>
      <c r="J187" s="11" t="s">
        <v>95</v>
      </c>
      <c r="K187" s="18" t="str">
        <f t="shared" si="1"/>
        <v>WBS: WBE-179
שם פרויקט: גבעת שאול-הרחבת מסדר 161 ק"ו והתקנת שנאי רביעי
מנה״פ: פוטרמן, שרון 
יעד תכנית פיתוח: 29/10/2026
יעד מסתמן: 29/10/2026</v>
      </c>
      <c r="L187" s="19"/>
      <c r="M187" s="26" t="s">
        <v>1602</v>
      </c>
      <c r="N187" s="26" t="s">
        <v>1602</v>
      </c>
      <c r="O187" s="26" t="s">
        <v>1602</v>
      </c>
      <c r="P187" s="26" t="s">
        <v>1603</v>
      </c>
      <c r="Q187" s="26" t="s">
        <v>1604</v>
      </c>
      <c r="R187" s="26" t="s">
        <v>1605</v>
      </c>
      <c r="S187" s="26" t="s">
        <v>1606</v>
      </c>
      <c r="T187" s="26" t="s">
        <v>1607</v>
      </c>
      <c r="U187" s="26" t="s">
        <v>1608</v>
      </c>
      <c r="V187" s="26" t="s">
        <v>1609</v>
      </c>
      <c r="W187" s="26" t="s">
        <v>1610</v>
      </c>
      <c r="X187" s="30"/>
      <c r="Y187" s="27"/>
      <c r="Z187" s="27"/>
      <c r="AA187" s="23"/>
      <c r="AB187" s="24"/>
      <c r="AC187" s="24"/>
      <c r="AD187" s="24"/>
      <c r="AE187" s="24"/>
      <c r="AF187" s="24"/>
      <c r="AG187" s="24"/>
      <c r="AH187" s="24"/>
    </row>
    <row r="188" ht="13.5" customHeight="1">
      <c r="A188" s="53" t="s">
        <v>27</v>
      </c>
      <c r="B188" s="12" t="s">
        <v>1611</v>
      </c>
      <c r="C188" s="13" t="s">
        <v>1612</v>
      </c>
      <c r="D188" s="14" t="s">
        <v>49</v>
      </c>
      <c r="E188" s="11" t="s">
        <v>1568</v>
      </c>
      <c r="F188" s="11" t="s">
        <v>255</v>
      </c>
      <c r="G188" s="15">
        <v>46081.0</v>
      </c>
      <c r="H188" s="15">
        <v>46143.0</v>
      </c>
      <c r="I188" s="17"/>
      <c r="J188" s="11" t="s">
        <v>499</v>
      </c>
      <c r="K188" s="18" t="str">
        <f t="shared" si="1"/>
        <v>WBS: WBE-261
שם פרויקט: ביתר – הוספת שנאי רביעי  36KV 50 MVA
מנה״פ: פוטרמן, שרון 
יעד תכנית פיתוח: 28/02/2026
יעד מסתמן: 01/05/2026</v>
      </c>
      <c r="L188" s="19"/>
      <c r="M188" s="33" t="s">
        <v>1613</v>
      </c>
      <c r="N188" s="33" t="s">
        <v>1614</v>
      </c>
      <c r="O188" s="33" t="s">
        <v>1615</v>
      </c>
      <c r="P188" s="33" t="s">
        <v>1616</v>
      </c>
      <c r="Q188" s="33" t="s">
        <v>1617</v>
      </c>
      <c r="R188" s="33" t="s">
        <v>1618</v>
      </c>
      <c r="S188" s="33" t="s">
        <v>1619</v>
      </c>
      <c r="T188" s="33" t="s">
        <v>1619</v>
      </c>
      <c r="U188" s="33" t="s">
        <v>1620</v>
      </c>
      <c r="V188" s="33" t="s">
        <v>1620</v>
      </c>
      <c r="W188" s="33" t="s">
        <v>1620</v>
      </c>
      <c r="X188" s="30"/>
      <c r="Y188" s="27"/>
      <c r="Z188" s="27"/>
      <c r="AA188" s="23"/>
      <c r="AB188" s="24"/>
      <c r="AC188" s="24"/>
      <c r="AD188" s="24"/>
      <c r="AE188" s="24"/>
      <c r="AF188" s="24"/>
      <c r="AG188" s="24"/>
      <c r="AH188" s="24"/>
    </row>
    <row r="189" ht="13.5" customHeight="1">
      <c r="A189" s="53"/>
      <c r="B189" s="12" t="s">
        <v>1621</v>
      </c>
      <c r="C189" s="13" t="s">
        <v>1622</v>
      </c>
      <c r="D189" s="14" t="s">
        <v>30</v>
      </c>
      <c r="E189" s="11" t="s">
        <v>1568</v>
      </c>
      <c r="F189" s="11" t="s">
        <v>255</v>
      </c>
      <c r="G189" s="15">
        <v>46934.0</v>
      </c>
      <c r="H189" s="16">
        <v>46934.0</v>
      </c>
      <c r="I189" s="17"/>
      <c r="J189" s="11" t="s">
        <v>33</v>
      </c>
      <c r="K189" s="18" t="str">
        <f t="shared" si="1"/>
        <v>WBS: WBC-031
שם פרויקט: בית וגן - הקמת תחמ"ש פנימית 161/24 ק"ו
מנה״פ: פוטרמן, שרון 
יעד תכנית פיתוח: 30/06/2028
יעד מסתמן: 30/06/2028</v>
      </c>
      <c r="L189" s="19"/>
      <c r="M189" s="26" t="s">
        <v>1623</v>
      </c>
      <c r="N189" s="26" t="s">
        <v>1623</v>
      </c>
      <c r="O189" s="26" t="s">
        <v>1623</v>
      </c>
      <c r="P189" s="26" t="s">
        <v>1623</v>
      </c>
      <c r="Q189" s="26" t="s">
        <v>1624</v>
      </c>
      <c r="R189" s="26" t="s">
        <v>1625</v>
      </c>
      <c r="S189" s="26" t="s">
        <v>1626</v>
      </c>
      <c r="T189" s="26" t="s">
        <v>1627</v>
      </c>
      <c r="U189" s="26" t="s">
        <v>1628</v>
      </c>
      <c r="V189" s="26" t="s">
        <v>1629</v>
      </c>
      <c r="W189" s="26" t="s">
        <v>1629</v>
      </c>
      <c r="X189" s="30"/>
      <c r="Y189" s="27"/>
      <c r="Z189" s="27"/>
      <c r="AA189" s="23"/>
      <c r="AB189" s="24"/>
      <c r="AC189" s="24"/>
      <c r="AD189" s="24"/>
      <c r="AE189" s="24"/>
      <c r="AF189" s="24"/>
      <c r="AG189" s="24"/>
      <c r="AH189" s="24"/>
    </row>
    <row r="190" ht="13.5" customHeight="1">
      <c r="A190" s="53"/>
      <c r="B190" s="12" t="s">
        <v>1630</v>
      </c>
      <c r="C190" s="102" t="s">
        <v>1631</v>
      </c>
      <c r="D190" s="14" t="s">
        <v>374</v>
      </c>
      <c r="E190" s="11" t="s">
        <v>1568</v>
      </c>
      <c r="F190" s="11" t="s">
        <v>255</v>
      </c>
      <c r="G190" s="15">
        <v>46326.0</v>
      </c>
      <c r="H190" s="15"/>
      <c r="I190" s="17"/>
      <c r="J190" s="11" t="s">
        <v>80</v>
      </c>
      <c r="K190" s="18"/>
      <c r="L190" s="18"/>
      <c r="M190" s="26" t="s">
        <v>1632</v>
      </c>
      <c r="N190" s="26" t="s">
        <v>1632</v>
      </c>
      <c r="O190" s="26" t="s">
        <v>1632</v>
      </c>
      <c r="P190" s="26" t="s">
        <v>1632</v>
      </c>
      <c r="Q190" s="26" t="s">
        <v>1590</v>
      </c>
      <c r="R190" s="26" t="s">
        <v>1590</v>
      </c>
      <c r="S190" s="26" t="s">
        <v>1590</v>
      </c>
      <c r="T190" s="26" t="s">
        <v>1590</v>
      </c>
      <c r="U190" s="26" t="s">
        <v>1590</v>
      </c>
      <c r="V190" s="26" t="s">
        <v>1633</v>
      </c>
      <c r="W190" s="26" t="s">
        <v>1634</v>
      </c>
      <c r="X190" s="30"/>
      <c r="Y190" s="27"/>
      <c r="Z190" s="27"/>
      <c r="AA190" s="23"/>
      <c r="AB190" s="24"/>
      <c r="AC190" s="24"/>
      <c r="AD190" s="24"/>
      <c r="AE190" s="24"/>
      <c r="AF190" s="24"/>
      <c r="AG190" s="24"/>
      <c r="AH190" s="24"/>
    </row>
    <row r="191" ht="13.5" customHeight="1">
      <c r="A191" s="53"/>
      <c r="B191" s="103" t="s">
        <v>1635</v>
      </c>
      <c r="C191" s="104" t="s">
        <v>1636</v>
      </c>
      <c r="D191" s="14" t="s">
        <v>161</v>
      </c>
      <c r="E191" s="11" t="s">
        <v>1568</v>
      </c>
      <c r="F191" s="11" t="s">
        <v>255</v>
      </c>
      <c r="G191" s="15">
        <v>46142.0</v>
      </c>
      <c r="H191" s="105">
        <v>46142.0</v>
      </c>
      <c r="I191" s="17"/>
      <c r="J191" s="11" t="s">
        <v>80</v>
      </c>
      <c r="K191" s="18" t="str">
        <f t="shared" ref="K191:K194" si="3">"WBS: " &amp; B191 &amp; CHAR(10) &amp;
"שם פרויקט: " &amp; C191 &amp; CHAR(10) &amp;
"מנה״פ: " &amp; E191 &amp; CHAR(10) &amp;
"יעד תכנית פיתוח: " &amp; TEXT(G191,"dd/mm/yyyy") &amp; CHAR(10) &amp;
"יעד מסתמן: " &amp; TEXT(H191,"dd/mm/yyyy")</f>
        <v>WBS: WBD-125
שם פרויקט: אלפי מנשה- החלפת ניידת 20 מגוו"א בניידת 30 מגוו"א
מנה״פ: פוטרמן, שרון 
יעד תכנית פיתוח: 30/04/2026
יעד מסתמן: 30/04/2026</v>
      </c>
      <c r="L191" s="19"/>
      <c r="M191" s="106" t="s">
        <v>1637</v>
      </c>
      <c r="N191" s="106" t="s">
        <v>1637</v>
      </c>
      <c r="O191" s="106" t="s">
        <v>1637</v>
      </c>
      <c r="P191" s="106" t="s">
        <v>1637</v>
      </c>
      <c r="Q191" s="106" t="s">
        <v>1638</v>
      </c>
      <c r="R191" s="106" t="s">
        <v>1638</v>
      </c>
      <c r="S191" s="106" t="s">
        <v>1638</v>
      </c>
      <c r="T191" s="106" t="s">
        <v>1639</v>
      </c>
      <c r="U191" s="106" t="s">
        <v>1639</v>
      </c>
      <c r="V191" s="107" t="s">
        <v>1640</v>
      </c>
      <c r="W191" s="107" t="s">
        <v>1641</v>
      </c>
      <c r="X191" s="37" t="s">
        <v>1016</v>
      </c>
      <c r="Y191" s="27"/>
      <c r="Z191" s="27"/>
      <c r="AA191" s="23"/>
      <c r="AB191" s="24"/>
      <c r="AC191" s="24"/>
      <c r="AD191" s="24"/>
      <c r="AE191" s="24"/>
      <c r="AF191" s="24"/>
      <c r="AG191" s="24"/>
      <c r="AH191" s="24"/>
    </row>
    <row r="192" ht="13.5" customHeight="1">
      <c r="A192" s="108"/>
      <c r="B192" s="103" t="s">
        <v>1642</v>
      </c>
      <c r="C192" s="104" t="s">
        <v>1643</v>
      </c>
      <c r="D192" s="109" t="s">
        <v>49</v>
      </c>
      <c r="E192" s="110" t="s">
        <v>909</v>
      </c>
      <c r="F192" s="110" t="s">
        <v>32</v>
      </c>
      <c r="G192" s="15">
        <v>48212.0</v>
      </c>
      <c r="H192" s="105">
        <v>47848.0</v>
      </c>
      <c r="I192" s="108"/>
      <c r="J192" s="110" t="s">
        <v>80</v>
      </c>
      <c r="K192" s="108" t="str">
        <f t="shared" si="3"/>
        <v>WBS: WBJ-003
שם פרויקט: תחמ"ג ירושלים
מנה״פ: ברקוביץ, משה
יעד תכנית פיתוח: 30/12/2031
יעד מסתמן: 31/12/2030</v>
      </c>
      <c r="L192" s="111"/>
      <c r="M192" s="36"/>
      <c r="N192" s="37" t="s">
        <v>1644</v>
      </c>
      <c r="O192" s="37" t="s">
        <v>1645</v>
      </c>
      <c r="P192" s="37" t="s">
        <v>1646</v>
      </c>
      <c r="Q192" s="37" t="s">
        <v>1647</v>
      </c>
      <c r="R192" s="37" t="s">
        <v>1648</v>
      </c>
      <c r="S192" s="37" t="s">
        <v>1649</v>
      </c>
      <c r="T192" s="37" t="s">
        <v>1650</v>
      </c>
      <c r="U192" s="37" t="s">
        <v>1651</v>
      </c>
      <c r="V192" s="37" t="s">
        <v>1652</v>
      </c>
      <c r="W192" s="37" t="s">
        <v>1653</v>
      </c>
      <c r="X192" s="37" t="s">
        <v>1654</v>
      </c>
      <c r="Y192" s="108"/>
      <c r="Z192" s="108"/>
      <c r="AA192" s="23"/>
      <c r="AB192" s="24"/>
      <c r="AC192" s="24"/>
      <c r="AD192" s="24"/>
      <c r="AE192" s="24"/>
      <c r="AF192" s="24"/>
      <c r="AG192" s="24"/>
      <c r="AH192" s="24"/>
    </row>
    <row r="193" ht="13.5" customHeight="1">
      <c r="A193" s="108"/>
      <c r="B193" s="112" t="s">
        <v>1655</v>
      </c>
      <c r="C193" s="104" t="s">
        <v>1656</v>
      </c>
      <c r="D193" s="109" t="s">
        <v>374</v>
      </c>
      <c r="E193" s="110" t="s">
        <v>31</v>
      </c>
      <c r="F193" s="110" t="s">
        <v>32</v>
      </c>
      <c r="G193" s="15">
        <v>46325.0</v>
      </c>
      <c r="H193" s="105">
        <v>46325.0</v>
      </c>
      <c r="I193" s="108"/>
      <c r="J193" s="110" t="s">
        <v>1657</v>
      </c>
      <c r="K193" s="108" t="str">
        <f t="shared" si="3"/>
        <v>WBS: WBM-40475
שם פרויקט: הכפר הירוק-הח' 2 מ"ז ,2 בושינג(7,9) מהדק
מנה״פ: אוברקוביץ, ענת
יעד תכנית פיתוח: 30/10/2026
יעד מסתמן: 30/10/2026</v>
      </c>
      <c r="L193" s="111"/>
      <c r="M193" s="36"/>
      <c r="N193" s="36"/>
      <c r="O193" s="36"/>
      <c r="P193" s="37" t="s">
        <v>1658</v>
      </c>
      <c r="Q193" s="37" t="s">
        <v>1659</v>
      </c>
      <c r="R193" s="37" t="s">
        <v>1659</v>
      </c>
      <c r="S193" s="37" t="s">
        <v>1660</v>
      </c>
      <c r="T193" s="37" t="s">
        <v>1659</v>
      </c>
      <c r="U193" s="37" t="s">
        <v>1661</v>
      </c>
      <c r="V193" s="37" t="s">
        <v>1661</v>
      </c>
      <c r="W193" s="37" t="s">
        <v>1661</v>
      </c>
      <c r="X193" s="37" t="s">
        <v>1662</v>
      </c>
      <c r="Y193" s="108"/>
      <c r="Z193" s="17"/>
      <c r="AA193" s="23"/>
      <c r="AB193" s="24"/>
      <c r="AC193" s="24"/>
      <c r="AD193" s="24"/>
      <c r="AE193" s="65"/>
      <c r="AF193" s="65"/>
      <c r="AG193" s="65"/>
      <c r="AH193" s="65"/>
    </row>
    <row r="194" ht="13.5" customHeight="1">
      <c r="A194" s="108"/>
      <c r="B194" s="112" t="s">
        <v>1663</v>
      </c>
      <c r="C194" s="104" t="s">
        <v>1664</v>
      </c>
      <c r="D194" s="109" t="s">
        <v>30</v>
      </c>
      <c r="E194" s="110" t="s">
        <v>31</v>
      </c>
      <c r="F194" s="110" t="s">
        <v>32</v>
      </c>
      <c r="G194" s="15">
        <v>47786.0</v>
      </c>
      <c r="H194" s="105">
        <v>47786.0</v>
      </c>
      <c r="I194" s="108"/>
      <c r="J194" s="110" t="s">
        <v>80</v>
      </c>
      <c r="K194" s="108" t="str">
        <f t="shared" si="3"/>
        <v>WBS: WBC-084
שם פרויקט: סירקין- הקמת תחמ"ש פנימית  161/24 ק"ו
מנה״פ: אוברקוביץ, ענת
יעד תכנית פיתוח: 30/10/2030
יעד מסתמן: 30/10/2030</v>
      </c>
      <c r="L194" s="111"/>
      <c r="M194" s="36"/>
      <c r="N194" s="36"/>
      <c r="O194" s="36"/>
      <c r="P194" s="37" t="s">
        <v>1665</v>
      </c>
      <c r="Q194" s="37" t="s">
        <v>1666</v>
      </c>
      <c r="R194" s="37" t="s">
        <v>1666</v>
      </c>
      <c r="S194" s="37" t="s">
        <v>1667</v>
      </c>
      <c r="T194" s="37" t="s">
        <v>1668</v>
      </c>
      <c r="U194" s="37" t="s">
        <v>1669</v>
      </c>
      <c r="V194" s="37" t="s">
        <v>1670</v>
      </c>
      <c r="W194" s="37" t="s">
        <v>1671</v>
      </c>
      <c r="X194" s="37" t="s">
        <v>1672</v>
      </c>
      <c r="Y194" s="110" t="s">
        <v>77</v>
      </c>
      <c r="Z194" s="108"/>
      <c r="AA194" s="23"/>
      <c r="AB194" s="24"/>
      <c r="AC194" s="24"/>
      <c r="AD194" s="24"/>
      <c r="AE194" s="24"/>
      <c r="AF194" s="24"/>
      <c r="AG194" s="24"/>
      <c r="AH194" s="24"/>
    </row>
    <row r="195" ht="13.5" customHeight="1">
      <c r="A195" s="113"/>
      <c r="B195" s="96" t="s">
        <v>1673</v>
      </c>
      <c r="C195" s="114" t="s">
        <v>1674</v>
      </c>
      <c r="D195" s="115" t="s">
        <v>161</v>
      </c>
      <c r="E195" s="110" t="s">
        <v>1568</v>
      </c>
      <c r="F195" s="110" t="s">
        <v>255</v>
      </c>
      <c r="G195" s="15">
        <v>46203.0</v>
      </c>
      <c r="H195" s="105">
        <v>46203.0</v>
      </c>
      <c r="I195" s="110" t="s">
        <v>80</v>
      </c>
      <c r="J195" s="37" t="s">
        <v>80</v>
      </c>
      <c r="K195" s="36"/>
      <c r="L195" s="36"/>
      <c r="M195" s="110" t="s">
        <v>129</v>
      </c>
      <c r="N195" s="108"/>
      <c r="O195" s="36"/>
      <c r="P195" s="36"/>
      <c r="Q195" s="36"/>
      <c r="R195" s="36"/>
      <c r="S195" s="36"/>
      <c r="T195" s="36"/>
      <c r="U195" s="36"/>
      <c r="V195" s="37" t="s">
        <v>1675</v>
      </c>
      <c r="W195" s="37" t="s">
        <v>1676</v>
      </c>
      <c r="X195" s="36"/>
      <c r="Y195" s="108"/>
      <c r="Z195" s="108"/>
      <c r="AA195" s="23"/>
      <c r="AB195" s="24"/>
      <c r="AC195" s="24"/>
      <c r="AD195" s="24"/>
      <c r="AE195" s="24"/>
      <c r="AF195" s="24"/>
      <c r="AG195" s="24"/>
      <c r="AH195" s="24"/>
    </row>
    <row r="196" ht="13.5" customHeight="1">
      <c r="A196" s="108"/>
      <c r="B196" s="116" t="s">
        <v>1677</v>
      </c>
      <c r="C196" s="63" t="s">
        <v>1678</v>
      </c>
      <c r="D196" s="14" t="s">
        <v>161</v>
      </c>
      <c r="E196" s="11" t="s">
        <v>1568</v>
      </c>
      <c r="F196" s="11" t="s">
        <v>255</v>
      </c>
      <c r="G196" s="15">
        <v>46112.0</v>
      </c>
      <c r="H196" s="15">
        <v>46173.0</v>
      </c>
      <c r="I196" s="108"/>
      <c r="J196" s="11" t="s">
        <v>80</v>
      </c>
      <c r="K196" s="108" t="str">
        <f t="shared" ref="K196:K235" si="4">"WBS: " &amp; B196 &amp; CHAR(10) &amp;
"שם פרויקט: " &amp; C196 &amp; CHAR(10) &amp;
"מנה״פ: " &amp; E196 &amp; CHAR(10) &amp;
"יעד תכנית פיתוח: " &amp; TEXT(G196,"dd/mm/yyyy") &amp; CHAR(10) &amp;
"יעד מסתמן: " &amp; TEXT(H196,"dd/mm/yyyy")</f>
        <v>WBS: WBD-126
שם פרויקט: בית יהושוע- הוספת ניידת 30
מנה״פ: פוטרמן, שרון 
יעד תכנית פיתוח: 31/03/2026
יעד מסתמן: 31/05/2026</v>
      </c>
      <c r="L196" s="111"/>
      <c r="M196" s="36"/>
      <c r="N196" s="36"/>
      <c r="O196" s="36"/>
      <c r="P196" s="36"/>
      <c r="Q196" s="37" t="s">
        <v>1679</v>
      </c>
      <c r="R196" s="37" t="s">
        <v>1680</v>
      </c>
      <c r="S196" s="117"/>
      <c r="T196" s="37" t="s">
        <v>1681</v>
      </c>
      <c r="U196" s="20" t="s">
        <v>1681</v>
      </c>
      <c r="V196" s="20" t="s">
        <v>1681</v>
      </c>
      <c r="W196" s="20" t="s">
        <v>1681</v>
      </c>
      <c r="X196" s="30"/>
      <c r="Y196" s="11" t="s">
        <v>129</v>
      </c>
      <c r="Z196" s="17"/>
      <c r="AA196" s="23"/>
      <c r="AB196" s="24"/>
      <c r="AC196" s="24"/>
      <c r="AD196" s="24"/>
      <c r="AE196" s="24"/>
      <c r="AF196" s="24"/>
      <c r="AG196" s="24"/>
      <c r="AH196" s="24"/>
    </row>
    <row r="197" ht="13.5" customHeight="1">
      <c r="A197" s="53"/>
      <c r="B197" s="118" t="s">
        <v>1682</v>
      </c>
      <c r="C197" s="13" t="s">
        <v>1683</v>
      </c>
      <c r="D197" s="13" t="s">
        <v>1683</v>
      </c>
      <c r="E197" s="11" t="s">
        <v>1373</v>
      </c>
      <c r="F197" s="11" t="s">
        <v>873</v>
      </c>
      <c r="G197" s="15"/>
      <c r="H197" s="40" t="s">
        <v>1684</v>
      </c>
      <c r="I197" s="17"/>
      <c r="J197" s="11" t="s">
        <v>468</v>
      </c>
      <c r="K197" s="18" t="str">
        <f t="shared" si="4"/>
        <v>WBS: ניידת 42 צומת תפוח
שם פרויקט: קדם ניידות 
מנה״פ: גולן, לירון
יעד תכנית פיתוח: 30/12/1899
יעד מסתמן: הסתיים</v>
      </c>
      <c r="L197" s="18"/>
      <c r="M197" s="20" t="s">
        <v>1685</v>
      </c>
      <c r="N197" s="20" t="s">
        <v>1685</v>
      </c>
      <c r="O197" s="20" t="s">
        <v>1685</v>
      </c>
      <c r="P197" s="20" t="s">
        <v>1685</v>
      </c>
      <c r="Q197" s="20" t="s">
        <v>1685</v>
      </c>
      <c r="R197" s="20" t="s">
        <v>1685</v>
      </c>
      <c r="S197" s="20" t="s">
        <v>1685</v>
      </c>
      <c r="T197" s="20" t="s">
        <v>1685</v>
      </c>
      <c r="U197" s="20" t="s">
        <v>1686</v>
      </c>
      <c r="V197" s="20" t="s">
        <v>1687</v>
      </c>
      <c r="W197" s="20" t="s">
        <v>1687</v>
      </c>
      <c r="X197" s="30"/>
      <c r="Y197" s="27"/>
      <c r="Z197" s="27"/>
      <c r="AA197" s="23"/>
      <c r="AB197" s="24"/>
      <c r="AC197" s="24"/>
      <c r="AD197" s="24"/>
      <c r="AE197" s="24"/>
      <c r="AF197" s="24"/>
      <c r="AG197" s="24"/>
      <c r="AH197" s="24"/>
    </row>
    <row r="198" ht="13.5" customHeight="1">
      <c r="A198" s="53"/>
      <c r="B198" s="118" t="s">
        <v>1688</v>
      </c>
      <c r="C198" s="13" t="s">
        <v>1683</v>
      </c>
      <c r="D198" s="13" t="s">
        <v>1683</v>
      </c>
      <c r="E198" s="11" t="s">
        <v>1373</v>
      </c>
      <c r="F198" s="11" t="s">
        <v>873</v>
      </c>
      <c r="G198" s="15"/>
      <c r="H198" s="15">
        <v>46053.0</v>
      </c>
      <c r="I198" s="17"/>
      <c r="J198" s="11" t="s">
        <v>468</v>
      </c>
      <c r="K198" s="18" t="str">
        <f t="shared" si="4"/>
        <v>WBS: ניידת 43 שוהם
שם פרויקט: קדם ניידות 
מנה״פ: גולן, לירון
יעד תכנית פיתוח: 30/12/1899
יעד מסתמן: 31/01/2026</v>
      </c>
      <c r="L198" s="18"/>
      <c r="M198" s="20" t="s">
        <v>1689</v>
      </c>
      <c r="N198" s="20" t="s">
        <v>1689</v>
      </c>
      <c r="O198" s="20" t="s">
        <v>1689</v>
      </c>
      <c r="P198" s="20" t="s">
        <v>1689</v>
      </c>
      <c r="Q198" s="20" t="s">
        <v>1686</v>
      </c>
      <c r="R198" s="20" t="s">
        <v>1686</v>
      </c>
      <c r="S198" s="20" t="s">
        <v>1686</v>
      </c>
      <c r="T198" s="20" t="s">
        <v>1686</v>
      </c>
      <c r="U198" s="20" t="s">
        <v>1686</v>
      </c>
      <c r="V198" s="20" t="s">
        <v>1687</v>
      </c>
      <c r="W198" s="20" t="s">
        <v>1687</v>
      </c>
      <c r="X198" s="30"/>
      <c r="Y198" s="27"/>
      <c r="Z198" s="27"/>
      <c r="AA198" s="23"/>
      <c r="AB198" s="24"/>
      <c r="AC198" s="24"/>
      <c r="AD198" s="24"/>
      <c r="AE198" s="24"/>
      <c r="AF198" s="24"/>
      <c r="AG198" s="24"/>
      <c r="AH198" s="24"/>
    </row>
    <row r="199" ht="13.5" customHeight="1">
      <c r="A199" s="53"/>
      <c r="B199" s="118" t="s">
        <v>1690</v>
      </c>
      <c r="C199" s="13" t="s">
        <v>1683</v>
      </c>
      <c r="D199" s="13" t="s">
        <v>1683</v>
      </c>
      <c r="E199" s="11" t="s">
        <v>1373</v>
      </c>
      <c r="F199" s="11" t="s">
        <v>873</v>
      </c>
      <c r="G199" s="15"/>
      <c r="H199" s="15">
        <v>46081.0</v>
      </c>
      <c r="I199" s="17"/>
      <c r="J199" s="11" t="s">
        <v>468</v>
      </c>
      <c r="K199" s="18" t="str">
        <f t="shared" si="4"/>
        <v>WBS: ניידת 44
שם פרויקט: קדם ניידות 
מנה״פ: גולן, לירון
יעד תכנית פיתוח: 30/12/1899
יעד מסתמן: 28/02/2026</v>
      </c>
      <c r="L199" s="18"/>
      <c r="M199" s="20" t="s">
        <v>1691</v>
      </c>
      <c r="N199" s="20" t="s">
        <v>1691</v>
      </c>
      <c r="O199" s="20" t="s">
        <v>1691</v>
      </c>
      <c r="P199" s="20" t="s">
        <v>1691</v>
      </c>
      <c r="Q199" s="20" t="s">
        <v>1692</v>
      </c>
      <c r="R199" s="20" t="s">
        <v>1692</v>
      </c>
      <c r="S199" s="20" t="s">
        <v>1692</v>
      </c>
      <c r="T199" s="20" t="s">
        <v>1692</v>
      </c>
      <c r="U199" s="20" t="s">
        <v>1692</v>
      </c>
      <c r="V199" s="20" t="s">
        <v>1693</v>
      </c>
      <c r="W199" s="20" t="s">
        <v>1694</v>
      </c>
      <c r="X199" s="30"/>
      <c r="Y199" s="27"/>
      <c r="Z199" s="27"/>
      <c r="AA199" s="23"/>
      <c r="AB199" s="24"/>
      <c r="AC199" s="24"/>
      <c r="AD199" s="24"/>
      <c r="AE199" s="24"/>
      <c r="AF199" s="24"/>
      <c r="AG199" s="24"/>
      <c r="AH199" s="24"/>
    </row>
    <row r="200" ht="13.5" customHeight="1">
      <c r="A200" s="53"/>
      <c r="B200" s="118" t="s">
        <v>1695</v>
      </c>
      <c r="C200" s="13" t="s">
        <v>1683</v>
      </c>
      <c r="D200" s="13" t="s">
        <v>1683</v>
      </c>
      <c r="E200" s="11" t="s">
        <v>1373</v>
      </c>
      <c r="F200" s="11" t="s">
        <v>873</v>
      </c>
      <c r="G200" s="15"/>
      <c r="H200" s="15">
        <v>46081.0</v>
      </c>
      <c r="I200" s="17"/>
      <c r="J200" s="11" t="s">
        <v>468</v>
      </c>
      <c r="K200" s="18" t="str">
        <f t="shared" si="4"/>
        <v>WBS: ניידת 45
שם פרויקט: קדם ניידות 
מנה״פ: גולן, לירון
יעד תכנית פיתוח: 30/12/1899
יעד מסתמן: 28/02/2026</v>
      </c>
      <c r="L200" s="18"/>
      <c r="M200" s="20" t="s">
        <v>1691</v>
      </c>
      <c r="N200" s="20" t="s">
        <v>1691</v>
      </c>
      <c r="O200" s="20" t="s">
        <v>1691</v>
      </c>
      <c r="P200" s="20" t="s">
        <v>1691</v>
      </c>
      <c r="Q200" s="20" t="s">
        <v>1692</v>
      </c>
      <c r="R200" s="20" t="s">
        <v>1692</v>
      </c>
      <c r="S200" s="20" t="s">
        <v>1692</v>
      </c>
      <c r="T200" s="20" t="s">
        <v>1692</v>
      </c>
      <c r="U200" s="20" t="s">
        <v>1692</v>
      </c>
      <c r="V200" s="20" t="s">
        <v>1693</v>
      </c>
      <c r="W200" s="20" t="s">
        <v>1694</v>
      </c>
      <c r="X200" s="30"/>
      <c r="Y200" s="27"/>
      <c r="Z200" s="27"/>
      <c r="AA200" s="23"/>
      <c r="AB200" s="24"/>
      <c r="AC200" s="24"/>
      <c r="AD200" s="24"/>
      <c r="AE200" s="24"/>
      <c r="AF200" s="24"/>
      <c r="AG200" s="24"/>
      <c r="AH200" s="24"/>
    </row>
    <row r="201" ht="13.5" customHeight="1">
      <c r="A201" s="27"/>
      <c r="B201" s="118" t="s">
        <v>1696</v>
      </c>
      <c r="C201" s="13" t="s">
        <v>1683</v>
      </c>
      <c r="D201" s="13" t="s">
        <v>1683</v>
      </c>
      <c r="E201" s="11" t="s">
        <v>1373</v>
      </c>
      <c r="F201" s="11" t="s">
        <v>873</v>
      </c>
      <c r="G201" s="15"/>
      <c r="H201" s="15"/>
      <c r="I201" s="17"/>
      <c r="J201" s="17"/>
      <c r="K201" s="18" t="str">
        <f t="shared" si="4"/>
        <v>WBS: ניידת 46
שם פרויקט: קדם ניידות 
מנה״פ: גולן, לירון
יעד תכנית פיתוח: 30/12/1899
יעד מסתמן: 30/12/1899</v>
      </c>
      <c r="L201" s="18"/>
      <c r="M201" s="30"/>
      <c r="N201" s="20" t="s">
        <v>1697</v>
      </c>
      <c r="O201" s="20" t="s">
        <v>1698</v>
      </c>
      <c r="P201" s="20" t="s">
        <v>1699</v>
      </c>
      <c r="Q201" s="20" t="s">
        <v>1700</v>
      </c>
      <c r="R201" s="20" t="s">
        <v>1701</v>
      </c>
      <c r="S201" s="20" t="s">
        <v>1702</v>
      </c>
      <c r="T201" s="20" t="s">
        <v>1702</v>
      </c>
      <c r="U201" s="20" t="s">
        <v>1702</v>
      </c>
      <c r="V201" s="20" t="s">
        <v>1703</v>
      </c>
      <c r="W201" s="20" t="s">
        <v>1704</v>
      </c>
      <c r="X201" s="30"/>
      <c r="Y201" s="60"/>
      <c r="Z201" s="27"/>
      <c r="AA201" s="23"/>
      <c r="AB201" s="24"/>
      <c r="AC201" s="24"/>
      <c r="AD201" s="24"/>
      <c r="AE201" s="24"/>
      <c r="AF201" s="24"/>
      <c r="AG201" s="24"/>
      <c r="AH201" s="24"/>
    </row>
    <row r="202" ht="13.5" customHeight="1">
      <c r="A202" s="27"/>
      <c r="B202" s="118" t="s">
        <v>1705</v>
      </c>
      <c r="C202" s="13" t="s">
        <v>1683</v>
      </c>
      <c r="D202" s="13" t="s">
        <v>1683</v>
      </c>
      <c r="E202" s="11" t="s">
        <v>1373</v>
      </c>
      <c r="F202" s="11" t="s">
        <v>873</v>
      </c>
      <c r="G202" s="15"/>
      <c r="H202" s="15"/>
      <c r="I202" s="17"/>
      <c r="J202" s="17"/>
      <c r="K202" s="18" t="str">
        <f t="shared" si="4"/>
        <v>WBS: ניידת 47
שם פרויקט: קדם ניידות 
מנה״פ: גולן, לירון
יעד תכנית פיתוח: 30/12/1899
יעד מסתמן: 30/12/1899</v>
      </c>
      <c r="L202" s="18"/>
      <c r="M202" s="30"/>
      <c r="N202" s="20" t="s">
        <v>1697</v>
      </c>
      <c r="O202" s="20" t="s">
        <v>1698</v>
      </c>
      <c r="P202" s="20" t="s">
        <v>1699</v>
      </c>
      <c r="Q202" s="20" t="s">
        <v>1700</v>
      </c>
      <c r="R202" s="20" t="s">
        <v>1701</v>
      </c>
      <c r="S202" s="20" t="s">
        <v>1706</v>
      </c>
      <c r="T202" s="20" t="s">
        <v>1702</v>
      </c>
      <c r="U202" s="20" t="s">
        <v>1702</v>
      </c>
      <c r="V202" s="20" t="s">
        <v>1703</v>
      </c>
      <c r="W202" s="20" t="s">
        <v>1704</v>
      </c>
      <c r="X202" s="30"/>
      <c r="Y202" s="60"/>
      <c r="Z202" s="27"/>
      <c r="AA202" s="23"/>
      <c r="AB202" s="24"/>
      <c r="AC202" s="24"/>
      <c r="AD202" s="24"/>
      <c r="AE202" s="24"/>
      <c r="AF202" s="24"/>
      <c r="AG202" s="24"/>
      <c r="AH202" s="24"/>
    </row>
    <row r="203" ht="13.5" customHeight="1">
      <c r="A203" s="53"/>
      <c r="B203" s="118" t="s">
        <v>1707</v>
      </c>
      <c r="C203" s="13" t="s">
        <v>1683</v>
      </c>
      <c r="D203" s="14" t="s">
        <v>161</v>
      </c>
      <c r="E203" s="11" t="s">
        <v>1373</v>
      </c>
      <c r="F203" s="11" t="s">
        <v>873</v>
      </c>
      <c r="G203" s="15"/>
      <c r="H203" s="15">
        <v>46081.0</v>
      </c>
      <c r="I203" s="17"/>
      <c r="J203" s="17"/>
      <c r="K203" s="18" t="str">
        <f t="shared" si="4"/>
        <v>WBS: ניידת 48
שם פרויקט: קדם ניידות 
מנה״פ: גולן, לירון
יעד תכנית פיתוח: 30/12/1899
יעד מסתמן: 28/02/2026</v>
      </c>
      <c r="L203" s="18"/>
      <c r="M203" s="20" t="s">
        <v>1708</v>
      </c>
      <c r="N203" s="20" t="s">
        <v>1708</v>
      </c>
      <c r="O203" s="20" t="s">
        <v>1708</v>
      </c>
      <c r="P203" s="20" t="s">
        <v>1708</v>
      </c>
      <c r="Q203" s="20" t="s">
        <v>1709</v>
      </c>
      <c r="R203" s="20" t="s">
        <v>1709</v>
      </c>
      <c r="S203" s="20" t="s">
        <v>1709</v>
      </c>
      <c r="T203" s="20" t="s">
        <v>1710</v>
      </c>
      <c r="U203" s="20" t="s">
        <v>1710</v>
      </c>
      <c r="V203" s="20" t="s">
        <v>1711</v>
      </c>
      <c r="W203" s="20" t="s">
        <v>1712</v>
      </c>
      <c r="X203" s="30"/>
      <c r="Y203" s="27"/>
      <c r="Z203" s="27"/>
      <c r="AA203" s="23"/>
      <c r="AB203" s="24"/>
      <c r="AC203" s="24"/>
      <c r="AD203" s="24"/>
      <c r="AE203" s="24"/>
      <c r="AF203" s="24"/>
      <c r="AG203" s="24"/>
      <c r="AH203" s="24"/>
    </row>
    <row r="204" ht="13.5" customHeight="1">
      <c r="A204" s="53"/>
      <c r="B204" s="118" t="s">
        <v>1713</v>
      </c>
      <c r="C204" s="13" t="s">
        <v>1683</v>
      </c>
      <c r="D204" s="14" t="s">
        <v>161</v>
      </c>
      <c r="E204" s="11" t="s">
        <v>1373</v>
      </c>
      <c r="F204" s="11" t="s">
        <v>873</v>
      </c>
      <c r="G204" s="15"/>
      <c r="H204" s="15"/>
      <c r="I204" s="17"/>
      <c r="J204" s="17"/>
      <c r="K204" s="18" t="str">
        <f t="shared" si="4"/>
        <v>WBS: ניידת 49 חירום
שם פרויקט: קדם ניידות 
מנה״פ: גולן, לירון
יעד תכנית פיתוח: 30/12/1899
יעד מסתמן: 30/12/1899</v>
      </c>
      <c r="L204" s="18"/>
      <c r="M204" s="20" t="s">
        <v>1714</v>
      </c>
      <c r="N204" s="20" t="s">
        <v>1715</v>
      </c>
      <c r="O204" s="20" t="s">
        <v>1716</v>
      </c>
      <c r="P204" s="20" t="s">
        <v>1717</v>
      </c>
      <c r="Q204" s="20" t="s">
        <v>1718</v>
      </c>
      <c r="R204" s="20" t="s">
        <v>1718</v>
      </c>
      <c r="S204" s="20" t="s">
        <v>1719</v>
      </c>
      <c r="T204" s="20" t="s">
        <v>1719</v>
      </c>
      <c r="U204" s="20" t="s">
        <v>1719</v>
      </c>
      <c r="V204" s="20" t="s">
        <v>1719</v>
      </c>
      <c r="W204" s="20" t="s">
        <v>1720</v>
      </c>
      <c r="X204" s="30"/>
      <c r="Y204" s="27"/>
      <c r="Z204" s="27"/>
      <c r="AA204" s="23"/>
      <c r="AB204" s="24"/>
      <c r="AC204" s="24"/>
      <c r="AD204" s="24"/>
      <c r="AE204" s="24"/>
      <c r="AF204" s="24"/>
      <c r="AG204" s="24"/>
      <c r="AH204" s="24"/>
    </row>
    <row r="205" ht="13.5" customHeight="1">
      <c r="A205" s="53"/>
      <c r="B205" s="118" t="s">
        <v>1721</v>
      </c>
      <c r="C205" s="13" t="s">
        <v>1683</v>
      </c>
      <c r="D205" s="14" t="s">
        <v>161</v>
      </c>
      <c r="E205" s="11" t="s">
        <v>1373</v>
      </c>
      <c r="F205" s="11" t="s">
        <v>873</v>
      </c>
      <c r="G205" s="15"/>
      <c r="H205" s="15">
        <v>46081.0</v>
      </c>
      <c r="I205" s="17"/>
      <c r="J205" s="11" t="s">
        <v>468</v>
      </c>
      <c r="K205" s="18" t="str">
        <f t="shared" si="4"/>
        <v>WBS: ניידת 50
שם פרויקט: קדם ניידות 
מנה״פ: גולן, לירון
יעד תכנית פיתוח: 30/12/1899
יעד מסתמן: 28/02/2026</v>
      </c>
      <c r="L205" s="18"/>
      <c r="M205" s="20" t="s">
        <v>1722</v>
      </c>
      <c r="N205" s="20" t="s">
        <v>1722</v>
      </c>
      <c r="O205" s="20" t="s">
        <v>1723</v>
      </c>
      <c r="P205" s="20" t="s">
        <v>1723</v>
      </c>
      <c r="Q205" s="20" t="s">
        <v>1724</v>
      </c>
      <c r="R205" s="20" t="s">
        <v>1725</v>
      </c>
      <c r="S205" s="20" t="s">
        <v>1726</v>
      </c>
      <c r="T205" s="20" t="s">
        <v>1727</v>
      </c>
      <c r="U205" s="20" t="s">
        <v>1727</v>
      </c>
      <c r="V205" s="20" t="s">
        <v>1728</v>
      </c>
      <c r="W205" s="20" t="s">
        <v>1728</v>
      </c>
      <c r="X205" s="30"/>
      <c r="Y205" s="27"/>
      <c r="Z205" s="27"/>
      <c r="AA205" s="23"/>
      <c r="AB205" s="24"/>
      <c r="AC205" s="24"/>
      <c r="AD205" s="24"/>
      <c r="AE205" s="24"/>
      <c r="AF205" s="24"/>
      <c r="AG205" s="24"/>
      <c r="AH205" s="24"/>
    </row>
    <row r="206" ht="13.5" customHeight="1">
      <c r="A206" s="53"/>
      <c r="B206" s="118" t="s">
        <v>1729</v>
      </c>
      <c r="C206" s="13" t="s">
        <v>1683</v>
      </c>
      <c r="D206" s="14" t="s">
        <v>161</v>
      </c>
      <c r="E206" s="11" t="s">
        <v>1373</v>
      </c>
      <c r="F206" s="11" t="s">
        <v>873</v>
      </c>
      <c r="G206" s="15"/>
      <c r="H206" s="15"/>
      <c r="I206" s="17"/>
      <c r="J206" s="11" t="s">
        <v>468</v>
      </c>
      <c r="K206" s="18" t="str">
        <f t="shared" si="4"/>
        <v>WBS: ניידת 51
שם פרויקט: קדם ניידות 
מנה״פ: גולן, לירון
יעד תכנית פיתוח: 30/12/1899
יעד מסתמן: 30/12/1899</v>
      </c>
      <c r="L206" s="18"/>
      <c r="M206" s="20" t="s">
        <v>1730</v>
      </c>
      <c r="N206" s="20" t="s">
        <v>1730</v>
      </c>
      <c r="O206" s="20" t="s">
        <v>1731</v>
      </c>
      <c r="P206" s="20" t="s">
        <v>1731</v>
      </c>
      <c r="Q206" s="20" t="s">
        <v>1724</v>
      </c>
      <c r="R206" s="20" t="s">
        <v>1732</v>
      </c>
      <c r="S206" s="20" t="s">
        <v>1732</v>
      </c>
      <c r="T206" s="20" t="s">
        <v>1732</v>
      </c>
      <c r="U206" s="20" t="s">
        <v>1732</v>
      </c>
      <c r="V206" s="20" t="s">
        <v>1733</v>
      </c>
      <c r="W206" s="20" t="s">
        <v>1733</v>
      </c>
      <c r="X206" s="30"/>
      <c r="Y206" s="27"/>
      <c r="Z206" s="27"/>
      <c r="AA206" s="23"/>
      <c r="AB206" s="24"/>
      <c r="AC206" s="24"/>
      <c r="AD206" s="24"/>
      <c r="AE206" s="24"/>
      <c r="AF206" s="24"/>
      <c r="AG206" s="24"/>
      <c r="AH206" s="24"/>
    </row>
    <row r="207" ht="13.5" customHeight="1">
      <c r="A207" s="53"/>
      <c r="B207" s="118" t="s">
        <v>1734</v>
      </c>
      <c r="C207" s="13" t="s">
        <v>1683</v>
      </c>
      <c r="D207" s="14" t="s">
        <v>161</v>
      </c>
      <c r="E207" s="11" t="s">
        <v>1373</v>
      </c>
      <c r="F207" s="11" t="s">
        <v>873</v>
      </c>
      <c r="G207" s="15"/>
      <c r="H207" s="15"/>
      <c r="I207" s="17"/>
      <c r="J207" s="11" t="s">
        <v>468</v>
      </c>
      <c r="K207" s="18" t="str">
        <f t="shared" si="4"/>
        <v>WBS: ניידת 60
שם פרויקט: קדם ניידות 
מנה״פ: גולן, לירון
יעד תכנית פיתוח: 30/12/1899
יעד מסתמן: 30/12/1899</v>
      </c>
      <c r="L207" s="18"/>
      <c r="M207" s="20" t="s">
        <v>1735</v>
      </c>
      <c r="N207" s="20" t="s">
        <v>1735</v>
      </c>
      <c r="O207" s="20" t="s">
        <v>1735</v>
      </c>
      <c r="P207" s="20" t="s">
        <v>1735</v>
      </c>
      <c r="Q207" s="20" t="s">
        <v>1735</v>
      </c>
      <c r="R207" s="20" t="s">
        <v>1735</v>
      </c>
      <c r="S207" s="20" t="s">
        <v>1735</v>
      </c>
      <c r="T207" s="20" t="s">
        <v>1736</v>
      </c>
      <c r="U207" s="20" t="s">
        <v>1736</v>
      </c>
      <c r="V207" s="20" t="s">
        <v>1737</v>
      </c>
      <c r="W207" s="20" t="s">
        <v>1737</v>
      </c>
      <c r="X207" s="30"/>
      <c r="Y207" s="27"/>
      <c r="Z207" s="27"/>
      <c r="AA207" s="23"/>
      <c r="AB207" s="24"/>
      <c r="AC207" s="24"/>
      <c r="AD207" s="24"/>
      <c r="AE207" s="24"/>
      <c r="AF207" s="24"/>
      <c r="AG207" s="24"/>
      <c r="AH207" s="24"/>
    </row>
    <row r="208" ht="13.5" customHeight="1">
      <c r="A208" s="53"/>
      <c r="B208" s="118" t="s">
        <v>1738</v>
      </c>
      <c r="C208" s="13" t="s">
        <v>1683</v>
      </c>
      <c r="D208" s="14" t="s">
        <v>161</v>
      </c>
      <c r="E208" s="11" t="s">
        <v>1373</v>
      </c>
      <c r="F208" s="11" t="s">
        <v>873</v>
      </c>
      <c r="G208" s="15"/>
      <c r="H208" s="15"/>
      <c r="I208" s="17"/>
      <c r="J208" s="11" t="s">
        <v>468</v>
      </c>
      <c r="K208" s="18" t="str">
        <f t="shared" si="4"/>
        <v>WBS: ניידת 61
שם פרויקט: קדם ניידות 
מנה״פ: גולן, לירון
יעד תכנית פיתוח: 30/12/1899
יעד מסתמן: 30/12/1899</v>
      </c>
      <c r="L208" s="18"/>
      <c r="M208" s="20" t="s">
        <v>1735</v>
      </c>
      <c r="N208" s="20" t="s">
        <v>1735</v>
      </c>
      <c r="O208" s="20" t="s">
        <v>1735</v>
      </c>
      <c r="P208" s="20" t="s">
        <v>1735</v>
      </c>
      <c r="Q208" s="20" t="s">
        <v>1735</v>
      </c>
      <c r="R208" s="20" t="s">
        <v>1735</v>
      </c>
      <c r="S208" s="20" t="s">
        <v>1735</v>
      </c>
      <c r="T208" s="20" t="s">
        <v>1736</v>
      </c>
      <c r="U208" s="20" t="s">
        <v>1736</v>
      </c>
      <c r="V208" s="20" t="s">
        <v>1737</v>
      </c>
      <c r="W208" s="20" t="s">
        <v>1737</v>
      </c>
      <c r="X208" s="30"/>
      <c r="Y208" s="27"/>
      <c r="Z208" s="27"/>
      <c r="AA208" s="23"/>
      <c r="AB208" s="24"/>
      <c r="AC208" s="24"/>
      <c r="AD208" s="24"/>
      <c r="AE208" s="24"/>
      <c r="AF208" s="24"/>
      <c r="AG208" s="24"/>
      <c r="AH208" s="24"/>
    </row>
    <row r="209" ht="13.5" customHeight="1">
      <c r="A209" s="53"/>
      <c r="B209" s="118" t="s">
        <v>1739</v>
      </c>
      <c r="C209" s="13" t="s">
        <v>1683</v>
      </c>
      <c r="D209" s="14" t="s">
        <v>161</v>
      </c>
      <c r="E209" s="11" t="s">
        <v>1373</v>
      </c>
      <c r="F209" s="11" t="s">
        <v>873</v>
      </c>
      <c r="G209" s="15"/>
      <c r="H209" s="15">
        <v>46053.0</v>
      </c>
      <c r="I209" s="17"/>
      <c r="J209" s="11" t="s">
        <v>468</v>
      </c>
      <c r="K209" s="18" t="str">
        <f t="shared" si="4"/>
        <v>WBS: ניידת 62
שם פרויקט: קדם ניידות 
מנה״פ: גולן, לירון
יעד תכנית פיתוח: 30/12/1899
יעד מסתמן: 31/01/2026</v>
      </c>
      <c r="L209" s="18"/>
      <c r="M209" s="20" t="s">
        <v>1740</v>
      </c>
      <c r="N209" s="20" t="s">
        <v>1740</v>
      </c>
      <c r="O209" s="20" t="s">
        <v>1740</v>
      </c>
      <c r="P209" s="20" t="s">
        <v>1740</v>
      </c>
      <c r="Q209" s="20" t="s">
        <v>1740</v>
      </c>
      <c r="R209" s="20" t="s">
        <v>1740</v>
      </c>
      <c r="S209" s="20" t="s">
        <v>1735</v>
      </c>
      <c r="T209" s="20" t="s">
        <v>1736</v>
      </c>
      <c r="U209" s="20" t="s">
        <v>1736</v>
      </c>
      <c r="V209" s="20" t="s">
        <v>1737</v>
      </c>
      <c r="W209" s="20" t="s">
        <v>1737</v>
      </c>
      <c r="X209" s="30"/>
      <c r="Y209" s="27"/>
      <c r="Z209" s="27"/>
      <c r="AA209" s="23"/>
      <c r="AB209" s="24"/>
      <c r="AC209" s="24"/>
      <c r="AD209" s="24"/>
      <c r="AE209" s="24"/>
      <c r="AF209" s="24"/>
      <c r="AG209" s="24"/>
      <c r="AH209" s="24"/>
    </row>
    <row r="210" ht="13.5" customHeight="1">
      <c r="A210" s="53"/>
      <c r="B210" s="118" t="s">
        <v>1741</v>
      </c>
      <c r="C210" s="13" t="s">
        <v>1683</v>
      </c>
      <c r="D210" s="14" t="s">
        <v>161</v>
      </c>
      <c r="E210" s="11" t="s">
        <v>1373</v>
      </c>
      <c r="F210" s="11" t="s">
        <v>873</v>
      </c>
      <c r="G210" s="15"/>
      <c r="H210" s="15">
        <v>46081.0</v>
      </c>
      <c r="I210" s="17"/>
      <c r="J210" s="11" t="s">
        <v>468</v>
      </c>
      <c r="K210" s="18" t="str">
        <f t="shared" si="4"/>
        <v>WBS: ניידת 63
שם פרויקט: קדם ניידות 
מנה״פ: גולן, לירון
יעד תכנית פיתוח: 30/12/1899
יעד מסתמן: 28/02/2026</v>
      </c>
      <c r="L210" s="18"/>
      <c r="M210" s="20" t="s">
        <v>1742</v>
      </c>
      <c r="N210" s="20" t="s">
        <v>1742</v>
      </c>
      <c r="O210" s="20" t="s">
        <v>1742</v>
      </c>
      <c r="P210" s="20" t="s">
        <v>1743</v>
      </c>
      <c r="Q210" s="20" t="s">
        <v>1743</v>
      </c>
      <c r="R210" s="20" t="s">
        <v>1743</v>
      </c>
      <c r="S210" s="20" t="s">
        <v>1735</v>
      </c>
      <c r="T210" s="20" t="s">
        <v>1736</v>
      </c>
      <c r="U210" s="20" t="s">
        <v>1736</v>
      </c>
      <c r="V210" s="20" t="s">
        <v>1737</v>
      </c>
      <c r="W210" s="20" t="s">
        <v>1737</v>
      </c>
      <c r="X210" s="30"/>
      <c r="Y210" s="27"/>
      <c r="Z210" s="27"/>
      <c r="AA210" s="23"/>
      <c r="AB210" s="24"/>
      <c r="AC210" s="24"/>
      <c r="AD210" s="24"/>
      <c r="AE210" s="24"/>
      <c r="AF210" s="24"/>
      <c r="AG210" s="24"/>
      <c r="AH210" s="24"/>
    </row>
    <row r="211" ht="13.5" customHeight="1">
      <c r="A211" s="53"/>
      <c r="B211" s="118" t="s">
        <v>1744</v>
      </c>
      <c r="C211" s="13" t="s">
        <v>1683</v>
      </c>
      <c r="D211" s="14" t="s">
        <v>161</v>
      </c>
      <c r="E211" s="11" t="s">
        <v>1373</v>
      </c>
      <c r="F211" s="11" t="s">
        <v>873</v>
      </c>
      <c r="G211" s="15"/>
      <c r="H211" s="15">
        <v>46081.0</v>
      </c>
      <c r="I211" s="17"/>
      <c r="J211" s="11" t="s">
        <v>468</v>
      </c>
      <c r="K211" s="18" t="str">
        <f t="shared" si="4"/>
        <v>WBS: ניידת 64
שם פרויקט: קדם ניידות 
מנה״פ: גולן, לירון
יעד תכנית פיתוח: 30/12/1899
יעד מסתמן: 28/02/2026</v>
      </c>
      <c r="L211" s="18"/>
      <c r="M211" s="20" t="s">
        <v>1742</v>
      </c>
      <c r="N211" s="20" t="s">
        <v>1742</v>
      </c>
      <c r="O211" s="20" t="s">
        <v>1742</v>
      </c>
      <c r="P211" s="20" t="s">
        <v>1743</v>
      </c>
      <c r="Q211" s="20" t="s">
        <v>1743</v>
      </c>
      <c r="R211" s="20" t="s">
        <v>1743</v>
      </c>
      <c r="S211" s="20" t="s">
        <v>1743</v>
      </c>
      <c r="T211" s="20" t="s">
        <v>1743</v>
      </c>
      <c r="U211" s="20" t="s">
        <v>1743</v>
      </c>
      <c r="V211" s="20" t="s">
        <v>1737</v>
      </c>
      <c r="W211" s="20" t="s">
        <v>1737</v>
      </c>
      <c r="X211" s="30"/>
      <c r="Y211" s="27"/>
      <c r="Z211" s="27"/>
      <c r="AA211" s="23"/>
      <c r="AB211" s="24"/>
      <c r="AC211" s="24"/>
      <c r="AD211" s="24"/>
      <c r="AE211" s="24"/>
      <c r="AF211" s="24"/>
      <c r="AG211" s="24"/>
      <c r="AH211" s="24"/>
    </row>
    <row r="212" ht="13.5" customHeight="1">
      <c r="A212" s="53"/>
      <c r="B212" s="118" t="s">
        <v>1745</v>
      </c>
      <c r="C212" s="13" t="s">
        <v>1683</v>
      </c>
      <c r="D212" s="14" t="s">
        <v>161</v>
      </c>
      <c r="E212" s="11" t="s">
        <v>1373</v>
      </c>
      <c r="F212" s="11" t="s">
        <v>873</v>
      </c>
      <c r="G212" s="15"/>
      <c r="H212" s="15">
        <v>46081.0</v>
      </c>
      <c r="I212" s="17"/>
      <c r="J212" s="11" t="s">
        <v>468</v>
      </c>
      <c r="K212" s="18" t="str">
        <f t="shared" si="4"/>
        <v>WBS: ניידת 65
שם פרויקט: קדם ניידות 
מנה״פ: גולן, לירון
יעד תכנית פיתוח: 30/12/1899
יעד מסתמן: 28/02/2026</v>
      </c>
      <c r="L212" s="18"/>
      <c r="M212" s="20" t="s">
        <v>1742</v>
      </c>
      <c r="N212" s="20" t="s">
        <v>1742</v>
      </c>
      <c r="O212" s="20" t="s">
        <v>1742</v>
      </c>
      <c r="P212" s="20" t="s">
        <v>1743</v>
      </c>
      <c r="Q212" s="20" t="s">
        <v>1743</v>
      </c>
      <c r="R212" s="20" t="s">
        <v>1743</v>
      </c>
      <c r="S212" s="20" t="s">
        <v>1735</v>
      </c>
      <c r="T212" s="20" t="s">
        <v>1746</v>
      </c>
      <c r="U212" s="20" t="s">
        <v>1746</v>
      </c>
      <c r="V212" s="20" t="s">
        <v>1737</v>
      </c>
      <c r="W212" s="20" t="s">
        <v>1737</v>
      </c>
      <c r="X212" s="30"/>
      <c r="Y212" s="27"/>
      <c r="Z212" s="27"/>
      <c r="AA212" s="23"/>
      <c r="AB212" s="24"/>
      <c r="AC212" s="24"/>
      <c r="AD212" s="24"/>
      <c r="AE212" s="24"/>
      <c r="AF212" s="24"/>
      <c r="AG212" s="24"/>
      <c r="AH212" s="24"/>
    </row>
    <row r="213" ht="13.5" customHeight="1">
      <c r="A213" s="119"/>
      <c r="B213" s="118" t="s">
        <v>1747</v>
      </c>
      <c r="C213" s="13" t="s">
        <v>1683</v>
      </c>
      <c r="D213" s="14" t="s">
        <v>161</v>
      </c>
      <c r="E213" s="11" t="s">
        <v>1373</v>
      </c>
      <c r="F213" s="11" t="s">
        <v>873</v>
      </c>
      <c r="G213" s="15"/>
      <c r="H213" s="15">
        <v>46142.0</v>
      </c>
      <c r="I213" s="17"/>
      <c r="J213" s="17"/>
      <c r="K213" s="18" t="str">
        <f t="shared" si="4"/>
        <v>WBS: ניידת 66
שם פרויקט: קדם ניידות 
מנה״פ: גולן, לירון
יעד תכנית פיתוח: 30/12/1899
יעד מסתמן: 30/04/2026</v>
      </c>
      <c r="L213" s="18"/>
      <c r="M213" s="20" t="s">
        <v>1748</v>
      </c>
      <c r="N213" s="20" t="s">
        <v>1748</v>
      </c>
      <c r="O213" s="20" t="s">
        <v>1748</v>
      </c>
      <c r="P213" s="20" t="s">
        <v>1748</v>
      </c>
      <c r="Q213" s="20" t="s">
        <v>1749</v>
      </c>
      <c r="R213" s="20" t="s">
        <v>1750</v>
      </c>
      <c r="S213" s="20" t="s">
        <v>1751</v>
      </c>
      <c r="T213" s="20" t="s">
        <v>1752</v>
      </c>
      <c r="U213" s="20" t="s">
        <v>1752</v>
      </c>
      <c r="V213" s="20" t="s">
        <v>1753</v>
      </c>
      <c r="W213" s="20" t="s">
        <v>1754</v>
      </c>
      <c r="X213" s="30"/>
      <c r="Y213" s="27"/>
      <c r="Z213" s="27"/>
      <c r="AA213" s="23"/>
      <c r="AB213" s="24"/>
      <c r="AC213" s="24"/>
      <c r="AD213" s="24"/>
      <c r="AE213" s="24"/>
      <c r="AF213" s="24"/>
      <c r="AG213" s="24"/>
      <c r="AH213" s="24"/>
    </row>
    <row r="214" ht="13.5" customHeight="1">
      <c r="A214" s="53"/>
      <c r="B214" s="118" t="s">
        <v>1755</v>
      </c>
      <c r="C214" s="13" t="s">
        <v>1683</v>
      </c>
      <c r="D214" s="14" t="s">
        <v>161</v>
      </c>
      <c r="E214" s="11" t="s">
        <v>1373</v>
      </c>
      <c r="F214" s="11" t="s">
        <v>873</v>
      </c>
      <c r="G214" s="15"/>
      <c r="H214" s="15">
        <v>46142.0</v>
      </c>
      <c r="I214" s="17"/>
      <c r="J214" s="17"/>
      <c r="K214" s="18" t="str">
        <f t="shared" si="4"/>
        <v>WBS: ניידת 67
שם פרויקט: קדם ניידות 
מנה״פ: גולן, לירון
יעד תכנית פיתוח: 30/12/1899
יעד מסתמן: 30/04/2026</v>
      </c>
      <c r="L214" s="18"/>
      <c r="M214" s="20" t="s">
        <v>1748</v>
      </c>
      <c r="N214" s="20" t="s">
        <v>1748</v>
      </c>
      <c r="O214" s="20" t="s">
        <v>1748</v>
      </c>
      <c r="P214" s="20" t="s">
        <v>1748</v>
      </c>
      <c r="Q214" s="20" t="s">
        <v>1749</v>
      </c>
      <c r="R214" s="20" t="s">
        <v>1750</v>
      </c>
      <c r="S214" s="20" t="s">
        <v>1751</v>
      </c>
      <c r="T214" s="20" t="s">
        <v>1752</v>
      </c>
      <c r="U214" s="20" t="s">
        <v>1752</v>
      </c>
      <c r="V214" s="20" t="s">
        <v>1753</v>
      </c>
      <c r="W214" s="20" t="s">
        <v>1754</v>
      </c>
      <c r="X214" s="30"/>
      <c r="Y214" s="120"/>
      <c r="Z214" s="121"/>
      <c r="AA214" s="23"/>
      <c r="AB214" s="24"/>
      <c r="AC214" s="24"/>
      <c r="AD214" s="24"/>
      <c r="AE214" s="24"/>
      <c r="AF214" s="24"/>
      <c r="AG214" s="24"/>
      <c r="AH214" s="24"/>
    </row>
    <row r="215" ht="13.5" customHeight="1">
      <c r="A215" s="27"/>
      <c r="B215" s="118" t="s">
        <v>1756</v>
      </c>
      <c r="C215" s="13" t="s">
        <v>1683</v>
      </c>
      <c r="D215" s="14" t="s">
        <v>161</v>
      </c>
      <c r="E215" s="11" t="s">
        <v>1373</v>
      </c>
      <c r="F215" s="11" t="s">
        <v>873</v>
      </c>
      <c r="G215" s="15"/>
      <c r="H215" s="15">
        <v>46142.0</v>
      </c>
      <c r="I215" s="17"/>
      <c r="J215" s="17"/>
      <c r="K215" s="18" t="str">
        <f t="shared" si="4"/>
        <v>WBS: ניידת 68
שם פרויקט: קדם ניידות 
מנה״פ: גולן, לירון
יעד תכנית פיתוח: 30/12/1899
יעד מסתמן: 30/04/2026</v>
      </c>
      <c r="L215" s="18"/>
      <c r="M215" s="30"/>
      <c r="N215" s="37" t="s">
        <v>1748</v>
      </c>
      <c r="O215" s="37" t="s">
        <v>1748</v>
      </c>
      <c r="P215" s="37" t="s">
        <v>1748</v>
      </c>
      <c r="Q215" s="20" t="s">
        <v>1749</v>
      </c>
      <c r="R215" s="20" t="s">
        <v>1750</v>
      </c>
      <c r="S215" s="20" t="s">
        <v>1757</v>
      </c>
      <c r="T215" s="20" t="s">
        <v>1752</v>
      </c>
      <c r="U215" s="20" t="s">
        <v>1752</v>
      </c>
      <c r="V215" s="20" t="s">
        <v>1753</v>
      </c>
      <c r="W215" s="20" t="s">
        <v>1754</v>
      </c>
      <c r="X215" s="30"/>
      <c r="Y215" s="60"/>
      <c r="Z215" s="27"/>
      <c r="AA215" s="23"/>
      <c r="AB215" s="24"/>
      <c r="AC215" s="24"/>
      <c r="AD215" s="24"/>
      <c r="AE215" s="24"/>
      <c r="AF215" s="24"/>
      <c r="AG215" s="24"/>
      <c r="AH215" s="24"/>
    </row>
    <row r="216" ht="13.5" customHeight="1">
      <c r="A216" s="27"/>
      <c r="B216" s="118" t="s">
        <v>1758</v>
      </c>
      <c r="C216" s="13" t="s">
        <v>1683</v>
      </c>
      <c r="D216" s="14" t="s">
        <v>161</v>
      </c>
      <c r="E216" s="11" t="s">
        <v>1373</v>
      </c>
      <c r="F216" s="11" t="s">
        <v>873</v>
      </c>
      <c r="G216" s="15"/>
      <c r="H216" s="15">
        <v>46173.0</v>
      </c>
      <c r="I216" s="17"/>
      <c r="J216" s="17"/>
      <c r="K216" s="18" t="str">
        <f t="shared" si="4"/>
        <v>WBS: ניידת 69
שם פרויקט: קדם ניידות 
מנה״פ: גולן, לירון
יעד תכנית פיתוח: 30/12/1899
יעד מסתמן: 31/05/2026</v>
      </c>
      <c r="L216" s="18"/>
      <c r="M216" s="30"/>
      <c r="N216" s="36"/>
      <c r="O216" s="37" t="s">
        <v>1759</v>
      </c>
      <c r="P216" s="37" t="s">
        <v>1760</v>
      </c>
      <c r="Q216" s="37" t="s">
        <v>1760</v>
      </c>
      <c r="R216" s="37" t="s">
        <v>1761</v>
      </c>
      <c r="S216" s="37" t="s">
        <v>1762</v>
      </c>
      <c r="T216" s="37" t="s">
        <v>1763</v>
      </c>
      <c r="U216" s="37" t="s">
        <v>1763</v>
      </c>
      <c r="V216" s="37" t="s">
        <v>1764</v>
      </c>
      <c r="W216" s="37" t="s">
        <v>1765</v>
      </c>
      <c r="X216" s="30"/>
      <c r="Y216" s="60"/>
      <c r="Z216" s="27"/>
      <c r="AA216" s="23"/>
      <c r="AB216" s="24"/>
      <c r="AC216" s="24"/>
      <c r="AD216" s="24"/>
      <c r="AE216" s="24"/>
      <c r="AF216" s="24"/>
      <c r="AG216" s="24"/>
      <c r="AH216" s="24"/>
    </row>
    <row r="217" ht="13.5" customHeight="1">
      <c r="A217" s="27"/>
      <c r="B217" s="118" t="s">
        <v>1766</v>
      </c>
      <c r="C217" s="13" t="s">
        <v>1683</v>
      </c>
      <c r="D217" s="14" t="s">
        <v>161</v>
      </c>
      <c r="E217" s="11" t="s">
        <v>1373</v>
      </c>
      <c r="F217" s="11" t="s">
        <v>873</v>
      </c>
      <c r="G217" s="15"/>
      <c r="H217" s="15">
        <v>46173.0</v>
      </c>
      <c r="I217" s="17"/>
      <c r="J217" s="17"/>
      <c r="K217" s="18" t="str">
        <f t="shared" si="4"/>
        <v>WBS: ניידת 70
שם פרויקט: קדם ניידות 
מנה״פ: גולן, לירון
יעד תכנית פיתוח: 30/12/1899
יעד מסתמן: 31/05/2026</v>
      </c>
      <c r="L217" s="18"/>
      <c r="M217" s="30"/>
      <c r="N217" s="36"/>
      <c r="O217" s="37" t="s">
        <v>1759</v>
      </c>
      <c r="P217" s="37" t="s">
        <v>1760</v>
      </c>
      <c r="Q217" s="37" t="s">
        <v>1760</v>
      </c>
      <c r="R217" s="37" t="s">
        <v>1761</v>
      </c>
      <c r="S217" s="37" t="s">
        <v>1762</v>
      </c>
      <c r="T217" s="37" t="s">
        <v>1763</v>
      </c>
      <c r="U217" s="37" t="s">
        <v>1763</v>
      </c>
      <c r="V217" s="37" t="s">
        <v>1764</v>
      </c>
      <c r="W217" s="37" t="s">
        <v>1765</v>
      </c>
      <c r="X217" s="30"/>
      <c r="Y217" s="60"/>
      <c r="Z217" s="27"/>
      <c r="AA217" s="23"/>
      <c r="AB217" s="24"/>
      <c r="AC217" s="24"/>
      <c r="AD217" s="24"/>
      <c r="AE217" s="24"/>
      <c r="AF217" s="24"/>
      <c r="AG217" s="24"/>
      <c r="AH217" s="24"/>
    </row>
    <row r="218" ht="13.5" customHeight="1">
      <c r="A218" s="27"/>
      <c r="B218" s="118" t="s">
        <v>1767</v>
      </c>
      <c r="C218" s="13" t="s">
        <v>1683</v>
      </c>
      <c r="D218" s="14" t="s">
        <v>161</v>
      </c>
      <c r="E218" s="11" t="s">
        <v>1373</v>
      </c>
      <c r="F218" s="11" t="s">
        <v>873</v>
      </c>
      <c r="G218" s="15"/>
      <c r="H218" s="15">
        <v>46173.0</v>
      </c>
      <c r="I218" s="17"/>
      <c r="J218" s="17"/>
      <c r="K218" s="18" t="str">
        <f t="shared" si="4"/>
        <v>WBS: ניידת 71
שם פרויקט: קדם ניידות 
מנה״פ: גולן, לירון
יעד תכנית פיתוח: 30/12/1899
יעד מסתמן: 31/05/2026</v>
      </c>
      <c r="L218" s="18"/>
      <c r="M218" s="30"/>
      <c r="N218" s="36"/>
      <c r="O218" s="37" t="s">
        <v>1759</v>
      </c>
      <c r="P218" s="37" t="s">
        <v>1760</v>
      </c>
      <c r="Q218" s="37" t="s">
        <v>1760</v>
      </c>
      <c r="R218" s="37" t="s">
        <v>1761</v>
      </c>
      <c r="S218" s="37" t="s">
        <v>1762</v>
      </c>
      <c r="T218" s="37" t="s">
        <v>1763</v>
      </c>
      <c r="U218" s="37" t="s">
        <v>1763</v>
      </c>
      <c r="V218" s="37" t="s">
        <v>1764</v>
      </c>
      <c r="W218" s="37" t="s">
        <v>1765</v>
      </c>
      <c r="X218" s="30"/>
      <c r="Y218" s="60"/>
      <c r="Z218" s="27"/>
      <c r="AA218" s="23"/>
      <c r="AB218" s="24"/>
      <c r="AC218" s="24"/>
      <c r="AD218" s="24"/>
      <c r="AE218" s="24"/>
      <c r="AF218" s="24"/>
      <c r="AG218" s="24"/>
      <c r="AH218" s="24"/>
    </row>
    <row r="219" ht="13.5" customHeight="1">
      <c r="A219" s="27"/>
      <c r="B219" s="118" t="s">
        <v>1768</v>
      </c>
      <c r="C219" s="13" t="s">
        <v>1683</v>
      </c>
      <c r="D219" s="14" t="s">
        <v>161</v>
      </c>
      <c r="E219" s="11" t="s">
        <v>1373</v>
      </c>
      <c r="F219" s="11" t="s">
        <v>873</v>
      </c>
      <c r="G219" s="15"/>
      <c r="H219" s="15">
        <v>46234.0</v>
      </c>
      <c r="I219" s="17"/>
      <c r="J219" s="17"/>
      <c r="K219" s="18" t="str">
        <f t="shared" si="4"/>
        <v>WBS: ניידת 56
שם פרויקט: קדם ניידות 
מנה״פ: גולן, לירון
יעד תכנית פיתוח: 30/12/1899
יעד מסתמן: 31/07/2026</v>
      </c>
      <c r="L219" s="18"/>
      <c r="M219" s="30"/>
      <c r="N219" s="36"/>
      <c r="O219" s="37" t="s">
        <v>1769</v>
      </c>
      <c r="P219" s="37" t="s">
        <v>1770</v>
      </c>
      <c r="Q219" s="37" t="s">
        <v>1771</v>
      </c>
      <c r="R219" s="37" t="s">
        <v>1771</v>
      </c>
      <c r="S219" s="37" t="s">
        <v>1772</v>
      </c>
      <c r="T219" s="37" t="s">
        <v>1772</v>
      </c>
      <c r="U219" s="37" t="s">
        <v>1772</v>
      </c>
      <c r="V219" s="37" t="s">
        <v>1772</v>
      </c>
      <c r="W219" s="37" t="s">
        <v>1773</v>
      </c>
      <c r="X219" s="30"/>
      <c r="Y219" s="60"/>
      <c r="Z219" s="27"/>
      <c r="AA219" s="23"/>
      <c r="AB219" s="24"/>
      <c r="AC219" s="24"/>
      <c r="AD219" s="24"/>
      <c r="AE219" s="24"/>
      <c r="AF219" s="24"/>
      <c r="AG219" s="24"/>
      <c r="AH219" s="24"/>
    </row>
    <row r="220" ht="13.5" customHeight="1">
      <c r="A220" s="27"/>
      <c r="B220" s="118" t="s">
        <v>1774</v>
      </c>
      <c r="C220" s="13" t="s">
        <v>1683</v>
      </c>
      <c r="D220" s="14" t="s">
        <v>161</v>
      </c>
      <c r="E220" s="11" t="s">
        <v>1373</v>
      </c>
      <c r="F220" s="11" t="s">
        <v>873</v>
      </c>
      <c r="G220" s="15"/>
      <c r="H220" s="15">
        <v>46234.0</v>
      </c>
      <c r="I220" s="17"/>
      <c r="J220" s="17"/>
      <c r="K220" s="18" t="str">
        <f t="shared" si="4"/>
        <v>WBS: ניידת 57
שם פרויקט: קדם ניידות 
מנה״פ: גולן, לירון
יעד תכנית פיתוח: 30/12/1899
יעד מסתמן: 31/07/2026</v>
      </c>
      <c r="L220" s="18"/>
      <c r="M220" s="30"/>
      <c r="N220" s="36"/>
      <c r="O220" s="37" t="s">
        <v>1769</v>
      </c>
      <c r="P220" s="37" t="s">
        <v>1770</v>
      </c>
      <c r="Q220" s="37" t="s">
        <v>1771</v>
      </c>
      <c r="R220" s="37" t="s">
        <v>1771</v>
      </c>
      <c r="S220" s="37" t="s">
        <v>1772</v>
      </c>
      <c r="T220" s="37" t="s">
        <v>1772</v>
      </c>
      <c r="U220" s="37" t="s">
        <v>1772</v>
      </c>
      <c r="V220" s="37" t="s">
        <v>1772</v>
      </c>
      <c r="W220" s="37" t="s">
        <v>1773</v>
      </c>
      <c r="X220" s="30"/>
      <c r="Y220" s="60"/>
      <c r="Z220" s="27"/>
      <c r="AA220" s="23"/>
      <c r="AB220" s="24"/>
      <c r="AC220" s="24"/>
      <c r="AD220" s="24"/>
      <c r="AE220" s="24"/>
      <c r="AF220" s="24"/>
      <c r="AG220" s="24"/>
      <c r="AH220" s="24"/>
    </row>
    <row r="221" ht="13.5" customHeight="1">
      <c r="A221" s="27"/>
      <c r="B221" s="118" t="s">
        <v>1775</v>
      </c>
      <c r="C221" s="13" t="s">
        <v>1683</v>
      </c>
      <c r="D221" s="14" t="s">
        <v>161</v>
      </c>
      <c r="E221" s="11" t="s">
        <v>1373</v>
      </c>
      <c r="F221" s="11" t="s">
        <v>873</v>
      </c>
      <c r="G221" s="15"/>
      <c r="H221" s="15">
        <v>46265.0</v>
      </c>
      <c r="I221" s="17"/>
      <c r="J221" s="17"/>
      <c r="K221" s="18" t="str">
        <f t="shared" si="4"/>
        <v>WBS: ניידת 58
שם פרויקט: קדם ניידות 
מנה״פ: גולן, לירון
יעד תכנית פיתוח: 30/12/1899
יעד מסתמן: 31/08/2026</v>
      </c>
      <c r="L221" s="18"/>
      <c r="M221" s="30"/>
      <c r="N221" s="36"/>
      <c r="O221" s="37" t="s">
        <v>1769</v>
      </c>
      <c r="P221" s="37" t="s">
        <v>1770</v>
      </c>
      <c r="Q221" s="37" t="s">
        <v>1771</v>
      </c>
      <c r="R221" s="37" t="s">
        <v>1771</v>
      </c>
      <c r="S221" s="37" t="s">
        <v>1776</v>
      </c>
      <c r="T221" s="37" t="s">
        <v>1777</v>
      </c>
      <c r="U221" s="37" t="s">
        <v>1777</v>
      </c>
      <c r="V221" s="37" t="s">
        <v>1777</v>
      </c>
      <c r="W221" s="37" t="s">
        <v>1778</v>
      </c>
      <c r="X221" s="30"/>
      <c r="Y221" s="60"/>
      <c r="Z221" s="27"/>
      <c r="AA221" s="23"/>
      <c r="AB221" s="24"/>
      <c r="AC221" s="24"/>
      <c r="AD221" s="24"/>
      <c r="AE221" s="24"/>
      <c r="AF221" s="24"/>
      <c r="AG221" s="24"/>
      <c r="AH221" s="24"/>
    </row>
    <row r="222" ht="129.0" customHeight="1">
      <c r="A222" s="17"/>
      <c r="B222" s="118" t="s">
        <v>1779</v>
      </c>
      <c r="C222" s="13" t="s">
        <v>1683</v>
      </c>
      <c r="D222" s="14" t="s">
        <v>161</v>
      </c>
      <c r="E222" s="11" t="s">
        <v>1373</v>
      </c>
      <c r="F222" s="11" t="s">
        <v>873</v>
      </c>
      <c r="G222" s="15"/>
      <c r="H222" s="15">
        <v>46265.0</v>
      </c>
      <c r="I222" s="17"/>
      <c r="J222" s="17"/>
      <c r="K222" s="18" t="str">
        <f t="shared" si="4"/>
        <v>WBS: ניידת 59
שם פרויקט: קדם ניידות 
מנה״פ: גולן, לירון
יעד תכנית פיתוח: 30/12/1899
יעד מסתמן: 31/08/2026</v>
      </c>
      <c r="L222" s="18"/>
      <c r="M222" s="20" t="s">
        <v>1748</v>
      </c>
      <c r="N222" s="36"/>
      <c r="O222" s="37" t="s">
        <v>1769</v>
      </c>
      <c r="P222" s="37" t="s">
        <v>1770</v>
      </c>
      <c r="Q222" s="37" t="s">
        <v>1771</v>
      </c>
      <c r="R222" s="37" t="s">
        <v>1771</v>
      </c>
      <c r="S222" s="37" t="s">
        <v>1776</v>
      </c>
      <c r="T222" s="37" t="s">
        <v>1777</v>
      </c>
      <c r="U222" s="37" t="s">
        <v>1777</v>
      </c>
      <c r="V222" s="37" t="s">
        <v>1777</v>
      </c>
      <c r="W222" s="37" t="s">
        <v>1778</v>
      </c>
      <c r="X222" s="30"/>
      <c r="Y222" s="121"/>
      <c r="Z222" s="121"/>
      <c r="AA222" s="23"/>
      <c r="AB222" s="24"/>
      <c r="AC222" s="24"/>
      <c r="AD222" s="24"/>
      <c r="AE222" s="24"/>
      <c r="AF222" s="24"/>
      <c r="AG222" s="24"/>
      <c r="AH222" s="24"/>
    </row>
    <row r="223" ht="149.25" customHeight="1">
      <c r="A223" s="108"/>
      <c r="B223" s="103" t="s">
        <v>1780</v>
      </c>
      <c r="C223" s="104" t="s">
        <v>1781</v>
      </c>
      <c r="D223" s="109" t="s">
        <v>374</v>
      </c>
      <c r="E223" s="110" t="s">
        <v>31</v>
      </c>
      <c r="F223" s="110" t="s">
        <v>32</v>
      </c>
      <c r="G223" s="15">
        <v>46568.0</v>
      </c>
      <c r="H223" s="105">
        <v>46387.0</v>
      </c>
      <c r="I223" s="108"/>
      <c r="J223" s="110" t="s">
        <v>80</v>
      </c>
      <c r="K223" s="108" t="str">
        <f t="shared" si="4"/>
        <v>WBS: WBM-40636
שם פרויקט: הרצליה – הוספת 10 שדות מ"ג בעלי יציאות תת קרקעיות בכבלים
מנה״פ: אוברקוביץ, ענת
יעד תכנית פיתוח: 30/06/2027
יעד מסתמן: 31/12/2026</v>
      </c>
      <c r="L223" s="111"/>
      <c r="M223" s="37" t="s">
        <v>1782</v>
      </c>
      <c r="N223" s="37" t="s">
        <v>1783</v>
      </c>
      <c r="O223" s="37" t="s">
        <v>1784</v>
      </c>
      <c r="P223" s="37" t="s">
        <v>1785</v>
      </c>
      <c r="Q223" s="37" t="s">
        <v>1786</v>
      </c>
      <c r="R223" s="37" t="s">
        <v>1787</v>
      </c>
      <c r="S223" s="37" t="s">
        <v>1787</v>
      </c>
      <c r="T223" s="37" t="s">
        <v>1788</v>
      </c>
      <c r="U223" s="37" t="s">
        <v>1789</v>
      </c>
      <c r="V223" s="37" t="s">
        <v>1790</v>
      </c>
      <c r="W223" s="37" t="s">
        <v>1790</v>
      </c>
      <c r="X223" s="37" t="s">
        <v>1791</v>
      </c>
      <c r="Y223" s="27"/>
      <c r="Z223" s="27"/>
      <c r="AA223" s="23"/>
      <c r="AB223" s="24"/>
      <c r="AC223" s="24"/>
      <c r="AD223" s="24"/>
      <c r="AE223" s="24"/>
      <c r="AF223" s="24"/>
      <c r="AG223" s="24"/>
      <c r="AH223" s="24"/>
    </row>
    <row r="224" ht="168.75" customHeight="1">
      <c r="A224" s="110" t="s">
        <v>27</v>
      </c>
      <c r="B224" s="103" t="s">
        <v>1792</v>
      </c>
      <c r="C224" s="104" t="s">
        <v>1793</v>
      </c>
      <c r="D224" s="109" t="s">
        <v>374</v>
      </c>
      <c r="E224" s="110" t="s">
        <v>31</v>
      </c>
      <c r="F224" s="110" t="s">
        <v>32</v>
      </c>
      <c r="G224" s="15">
        <v>46356.0</v>
      </c>
      <c r="H224" s="105">
        <v>46387.0</v>
      </c>
      <c r="I224" s="108"/>
      <c r="J224" s="110" t="s">
        <v>80</v>
      </c>
      <c r="K224" s="108" t="str">
        <f t="shared" si="4"/>
        <v>WBS: WBM-40287
שם פרויקט: הרצליה -החלפת מ"ז,מנתק, משנק ב: 5,11,7-8
מנה״פ: אוברקוביץ, ענת
יעד תכנית פיתוח: 30/11/2026
יעד מסתמן: 31/12/2026</v>
      </c>
      <c r="L224" s="111"/>
      <c r="M224" s="37" t="s">
        <v>1794</v>
      </c>
      <c r="N224" s="37" t="s">
        <v>1795</v>
      </c>
      <c r="O224" s="37" t="s">
        <v>1795</v>
      </c>
      <c r="P224" s="37" t="s">
        <v>1796</v>
      </c>
      <c r="Q224" s="37" t="s">
        <v>1797</v>
      </c>
      <c r="R224" s="37" t="s">
        <v>1798</v>
      </c>
      <c r="S224" s="37" t="s">
        <v>1798</v>
      </c>
      <c r="T224" s="37" t="s">
        <v>1799</v>
      </c>
      <c r="U224" s="37" t="s">
        <v>1800</v>
      </c>
      <c r="V224" s="37" t="s">
        <v>1801</v>
      </c>
      <c r="W224" s="37" t="s">
        <v>1802</v>
      </c>
      <c r="X224" s="37" t="s">
        <v>1803</v>
      </c>
      <c r="Y224" s="110" t="s">
        <v>77</v>
      </c>
      <c r="Z224" s="108"/>
      <c r="AA224" s="23"/>
      <c r="AB224" s="24"/>
      <c r="AC224" s="24"/>
      <c r="AD224" s="24"/>
      <c r="AE224" s="24"/>
      <c r="AF224" s="24"/>
      <c r="AG224" s="24"/>
      <c r="AH224" s="24"/>
    </row>
    <row r="225" ht="13.5" customHeight="1">
      <c r="A225" s="108"/>
      <c r="B225" s="103" t="s">
        <v>1804</v>
      </c>
      <c r="C225" s="122" t="s">
        <v>1805</v>
      </c>
      <c r="D225" s="109" t="s">
        <v>374</v>
      </c>
      <c r="E225" s="11" t="s">
        <v>954</v>
      </c>
      <c r="F225" s="20" t="s">
        <v>239</v>
      </c>
      <c r="G225" s="15">
        <v>46386.0</v>
      </c>
      <c r="H225" s="123" t="s">
        <v>1806</v>
      </c>
      <c r="I225" s="108"/>
      <c r="J225" s="108"/>
      <c r="K225" s="108" t="str">
        <f t="shared" si="4"/>
        <v>WBS: WBM-40202
שם פרויקט: ירושלים ג'- החל' ציוד בשד' 11
מנה״פ: בן חמו, דביר 
יעד תכנית פיתוח: 30/12/2026
יעד מסתמן: לא ניתן להתייחס כעת</v>
      </c>
      <c r="L225" s="111"/>
      <c r="M225" s="36"/>
      <c r="N225" s="36"/>
      <c r="O225" s="36"/>
      <c r="P225" s="36"/>
      <c r="Q225" s="36"/>
      <c r="R225" s="36"/>
      <c r="S225" s="37" t="s">
        <v>1807</v>
      </c>
      <c r="T225" s="37" t="s">
        <v>1807</v>
      </c>
      <c r="U225" s="37" t="s">
        <v>1808</v>
      </c>
      <c r="V225" s="37" t="s">
        <v>1809</v>
      </c>
      <c r="W225" s="37" t="s">
        <v>1809</v>
      </c>
      <c r="X225" s="36"/>
      <c r="Y225" s="27" t="s">
        <v>129</v>
      </c>
      <c r="Z225" s="108"/>
      <c r="AA225" s="23"/>
      <c r="AB225" s="1"/>
      <c r="AC225" s="1"/>
      <c r="AD225" s="1"/>
      <c r="AE225" s="1"/>
      <c r="AF225" s="1"/>
      <c r="AG225" s="1"/>
      <c r="AH225" s="1"/>
    </row>
    <row r="226" ht="13.5" customHeight="1">
      <c r="A226" s="108"/>
      <c r="B226" s="103" t="s">
        <v>1810</v>
      </c>
      <c r="C226" s="122" t="s">
        <v>1811</v>
      </c>
      <c r="D226" s="109" t="s">
        <v>374</v>
      </c>
      <c r="E226" s="11" t="s">
        <v>954</v>
      </c>
      <c r="F226" s="20" t="s">
        <v>239</v>
      </c>
      <c r="G226" s="15">
        <v>46233.0</v>
      </c>
      <c r="H226" s="123" t="s">
        <v>1806</v>
      </c>
      <c r="I226" s="108"/>
      <c r="J226" s="108"/>
      <c r="K226" s="108" t="str">
        <f t="shared" si="4"/>
        <v>WBS: WBM-40192
שם פרויקט: ראשל"צ-החלפת ציוד בשדות  5,6,10,12
מנה״פ: בן חמו, דביר 
יעד תכנית פיתוח: 30/07/2026
יעד מסתמן: לא ניתן להתייחס כעת</v>
      </c>
      <c r="L226" s="111"/>
      <c r="M226" s="36"/>
      <c r="N226" s="36"/>
      <c r="O226" s="36"/>
      <c r="P226" s="36"/>
      <c r="Q226" s="36"/>
      <c r="R226" s="36"/>
      <c r="S226" s="37" t="s">
        <v>1807</v>
      </c>
      <c r="T226" s="37" t="s">
        <v>1807</v>
      </c>
      <c r="U226" s="37" t="s">
        <v>1808</v>
      </c>
      <c r="V226" s="37" t="s">
        <v>1809</v>
      </c>
      <c r="W226" s="37" t="s">
        <v>1809</v>
      </c>
      <c r="X226" s="36"/>
      <c r="Y226" s="27" t="s">
        <v>129</v>
      </c>
      <c r="Z226" s="108"/>
      <c r="AA226" s="23"/>
      <c r="AB226" s="1"/>
      <c r="AC226" s="1"/>
      <c r="AD226" s="1"/>
      <c r="AE226" s="1"/>
      <c r="AF226" s="1"/>
      <c r="AG226" s="1"/>
      <c r="AH226" s="1"/>
    </row>
    <row r="227" ht="13.5" customHeight="1">
      <c r="A227" s="108"/>
      <c r="B227" s="103" t="s">
        <v>1812</v>
      </c>
      <c r="C227" s="122" t="s">
        <v>1813</v>
      </c>
      <c r="D227" s="109" t="s">
        <v>374</v>
      </c>
      <c r="E227" s="11" t="s">
        <v>954</v>
      </c>
      <c r="F227" s="20" t="s">
        <v>239</v>
      </c>
      <c r="G227" s="15">
        <v>45991.0</v>
      </c>
      <c r="H227" s="123" t="s">
        <v>1806</v>
      </c>
      <c r="I227" s="108"/>
      <c r="J227" s="108"/>
      <c r="K227" s="108" t="str">
        <f t="shared" si="4"/>
        <v>WBS: WBM-10494
שם פרויקט: מנחת-הוספת מכולה מס' 2 לניצול השנאי במלואו
מנה״פ: בן חמו, דביר 
יעד תכנית פיתוח: 30/11/2025
יעד מסתמן: לא ניתן להתייחס כעת</v>
      </c>
      <c r="L227" s="111"/>
      <c r="M227" s="36"/>
      <c r="N227" s="36"/>
      <c r="O227" s="36"/>
      <c r="P227" s="36"/>
      <c r="Q227" s="36"/>
      <c r="R227" s="36"/>
      <c r="S227" s="37" t="s">
        <v>1807</v>
      </c>
      <c r="T227" s="37" t="s">
        <v>1807</v>
      </c>
      <c r="U227" s="37" t="s">
        <v>1808</v>
      </c>
      <c r="V227" s="37" t="s">
        <v>1809</v>
      </c>
      <c r="W227" s="37" t="s">
        <v>1809</v>
      </c>
      <c r="X227" s="36"/>
      <c r="Y227" s="27" t="s">
        <v>129</v>
      </c>
      <c r="Z227" s="108"/>
      <c r="AA227" s="23"/>
      <c r="AB227" s="1"/>
      <c r="AC227" s="1"/>
      <c r="AD227" s="1"/>
      <c r="AE227" s="1"/>
      <c r="AF227" s="1"/>
      <c r="AG227" s="1"/>
      <c r="AH227" s="1"/>
    </row>
    <row r="228" ht="13.5" customHeight="1">
      <c r="A228" s="108"/>
      <c r="B228" s="124" t="s">
        <v>1814</v>
      </c>
      <c r="C228" s="122" t="s">
        <v>1815</v>
      </c>
      <c r="D228" s="109" t="s">
        <v>374</v>
      </c>
      <c r="E228" s="11" t="s">
        <v>954</v>
      </c>
      <c r="F228" s="20" t="s">
        <v>239</v>
      </c>
      <c r="G228" s="15">
        <v>46295.0</v>
      </c>
      <c r="H228" s="123" t="s">
        <v>1806</v>
      </c>
      <c r="I228" s="108"/>
      <c r="J228" s="108"/>
      <c r="K228" s="108" t="str">
        <f t="shared" si="4"/>
        <v>WBS: WBM-40193
שם פרויקט: ראשל"צ-החלפת ציוד בשדות 2,4,8
מנה״פ: בן חמו, דביר 
יעד תכנית פיתוח: 30/09/2026
יעד מסתמן: לא ניתן להתייחס כעת</v>
      </c>
      <c r="L228" s="111"/>
      <c r="M228" s="36"/>
      <c r="N228" s="36"/>
      <c r="O228" s="36"/>
      <c r="P228" s="36"/>
      <c r="Q228" s="36"/>
      <c r="R228" s="36"/>
      <c r="S228" s="37" t="s">
        <v>1807</v>
      </c>
      <c r="T228" s="37" t="s">
        <v>1807</v>
      </c>
      <c r="U228" s="37" t="s">
        <v>1808</v>
      </c>
      <c r="V228" s="37" t="s">
        <v>1809</v>
      </c>
      <c r="W228" s="37" t="s">
        <v>1809</v>
      </c>
      <c r="X228" s="36"/>
      <c r="Y228" s="27" t="s">
        <v>129</v>
      </c>
      <c r="Z228" s="108"/>
      <c r="AA228" s="23"/>
      <c r="AB228" s="1"/>
      <c r="AC228" s="1"/>
      <c r="AD228" s="1"/>
      <c r="AE228" s="1"/>
      <c r="AF228" s="1"/>
      <c r="AG228" s="1"/>
      <c r="AH228" s="1"/>
    </row>
    <row r="229" ht="13.5" customHeight="1">
      <c r="A229" s="108"/>
      <c r="B229" s="103" t="s">
        <v>1816</v>
      </c>
      <c r="C229" s="122" t="s">
        <v>1817</v>
      </c>
      <c r="D229" s="109" t="s">
        <v>374</v>
      </c>
      <c r="E229" s="11" t="s">
        <v>954</v>
      </c>
      <c r="F229" s="20" t="s">
        <v>239</v>
      </c>
      <c r="G229" s="15">
        <v>46295.0</v>
      </c>
      <c r="H229" s="123" t="s">
        <v>1806</v>
      </c>
      <c r="I229" s="108"/>
      <c r="J229" s="108"/>
      <c r="K229" s="108" t="str">
        <f t="shared" si="4"/>
        <v>WBS: WBM-01226
שם פרויקט: ראשון מזרח-התקנת 3 סוללות קבלים מודולריו
מנה״פ: בן חמו, דביר 
יעד תכנית פיתוח: 30/09/2026
יעד מסתמן: לא ניתן להתייחס כעת</v>
      </c>
      <c r="L229" s="111"/>
      <c r="M229" s="36"/>
      <c r="N229" s="36"/>
      <c r="O229" s="36"/>
      <c r="P229" s="36"/>
      <c r="Q229" s="36"/>
      <c r="R229" s="36"/>
      <c r="S229" s="37" t="s">
        <v>1807</v>
      </c>
      <c r="T229" s="37" t="s">
        <v>1807</v>
      </c>
      <c r="U229" s="37" t="s">
        <v>1808</v>
      </c>
      <c r="V229" s="37" t="s">
        <v>1809</v>
      </c>
      <c r="W229" s="37" t="s">
        <v>1809</v>
      </c>
      <c r="X229" s="36"/>
      <c r="Y229" s="27" t="s">
        <v>129</v>
      </c>
      <c r="Z229" s="108"/>
      <c r="AA229" s="23"/>
      <c r="AB229" s="1"/>
      <c r="AC229" s="1"/>
      <c r="AD229" s="1"/>
      <c r="AE229" s="1"/>
      <c r="AF229" s="1"/>
      <c r="AG229" s="1"/>
      <c r="AH229" s="1"/>
    </row>
    <row r="230" ht="13.5" customHeight="1">
      <c r="A230" s="108"/>
      <c r="B230" s="103" t="s">
        <v>1818</v>
      </c>
      <c r="C230" s="122" t="s">
        <v>1819</v>
      </c>
      <c r="D230" s="109" t="s">
        <v>374</v>
      </c>
      <c r="E230" s="11" t="s">
        <v>954</v>
      </c>
      <c r="F230" s="20" t="s">
        <v>239</v>
      </c>
      <c r="G230" s="15">
        <v>46203.0</v>
      </c>
      <c r="H230" s="123" t="s">
        <v>1806</v>
      </c>
      <c r="I230" s="108"/>
      <c r="J230" s="108"/>
      <c r="K230" s="108" t="str">
        <f t="shared" si="4"/>
        <v>WBS: WBM-70025
שם פרויקט: הרטוב - החלפת משנה זרם בשדה 9 משיק wbo-614
מנה״פ: בן חמו, דביר 
יעד תכנית פיתוח: 30/06/2026
יעד מסתמן: לא ניתן להתייחס כעת</v>
      </c>
      <c r="L230" s="111"/>
      <c r="M230" s="36"/>
      <c r="N230" s="36"/>
      <c r="O230" s="36"/>
      <c r="P230" s="36"/>
      <c r="Q230" s="36"/>
      <c r="R230" s="36"/>
      <c r="S230" s="37" t="s">
        <v>1807</v>
      </c>
      <c r="T230" s="37" t="s">
        <v>1807</v>
      </c>
      <c r="U230" s="37" t="s">
        <v>1808</v>
      </c>
      <c r="V230" s="37" t="s">
        <v>1809</v>
      </c>
      <c r="W230" s="37" t="s">
        <v>1809</v>
      </c>
      <c r="X230" s="36"/>
      <c r="Y230" s="27" t="s">
        <v>129</v>
      </c>
      <c r="Z230" s="108"/>
      <c r="AA230" s="23"/>
      <c r="AB230" s="1"/>
      <c r="AC230" s="1"/>
      <c r="AD230" s="1"/>
      <c r="AE230" s="1"/>
      <c r="AF230" s="1"/>
      <c r="AG230" s="1"/>
      <c r="AH230" s="1"/>
    </row>
    <row r="231" ht="13.5" customHeight="1">
      <c r="A231" s="108"/>
      <c r="B231" s="103" t="s">
        <v>1820</v>
      </c>
      <c r="C231" s="122" t="s">
        <v>1821</v>
      </c>
      <c r="D231" s="109" t="s">
        <v>374</v>
      </c>
      <c r="E231" s="11" t="s">
        <v>954</v>
      </c>
      <c r="F231" s="20" t="s">
        <v>239</v>
      </c>
      <c r="G231" s="15">
        <v>46142.0</v>
      </c>
      <c r="H231" s="123" t="s">
        <v>1806</v>
      </c>
      <c r="I231" s="108"/>
      <c r="J231" s="108"/>
      <c r="K231" s="108" t="str">
        <f t="shared" si="4"/>
        <v>WBS: WBM-40067
שם פרויקט: הרטוב -החלפת ציוד בשדות 6,10
מנה״פ: בן חמו, דביר 
יעד תכנית פיתוח: 30/04/2026
יעד מסתמן: לא ניתן להתייחס כעת</v>
      </c>
      <c r="L231" s="111"/>
      <c r="M231" s="36"/>
      <c r="N231" s="36"/>
      <c r="O231" s="36"/>
      <c r="P231" s="36"/>
      <c r="Q231" s="36"/>
      <c r="R231" s="36"/>
      <c r="S231" s="37" t="s">
        <v>1807</v>
      </c>
      <c r="T231" s="37" t="s">
        <v>1807</v>
      </c>
      <c r="U231" s="37" t="s">
        <v>1808</v>
      </c>
      <c r="V231" s="37" t="s">
        <v>1809</v>
      </c>
      <c r="W231" s="37" t="s">
        <v>1809</v>
      </c>
      <c r="X231" s="36"/>
      <c r="Y231" s="27" t="s">
        <v>129</v>
      </c>
      <c r="Z231" s="108"/>
      <c r="AA231" s="23"/>
      <c r="AB231" s="1"/>
      <c r="AC231" s="1"/>
      <c r="AD231" s="1"/>
      <c r="AE231" s="1"/>
      <c r="AF231" s="1"/>
      <c r="AG231" s="1"/>
      <c r="AH231" s="1"/>
    </row>
    <row r="232" ht="13.5" customHeight="1">
      <c r="A232" s="108"/>
      <c r="B232" s="103" t="s">
        <v>1822</v>
      </c>
      <c r="C232" s="122" t="s">
        <v>1823</v>
      </c>
      <c r="D232" s="109" t="s">
        <v>374</v>
      </c>
      <c r="E232" s="11" t="s">
        <v>954</v>
      </c>
      <c r="F232" s="20" t="s">
        <v>239</v>
      </c>
      <c r="G232" s="15">
        <v>46142.0</v>
      </c>
      <c r="H232" s="123" t="s">
        <v>1806</v>
      </c>
      <c r="I232" s="108"/>
      <c r="J232" s="108"/>
      <c r="K232" s="108" t="str">
        <f t="shared" si="4"/>
        <v>WBS: WBM-70002
שם פרויקט: החלפת מ"ז, מנתק ומשנק סשדה 5
מנה״פ: בן חמו, דביר 
יעד תכנית פיתוח: 30/04/2026
יעד מסתמן: לא ניתן להתייחס כעת</v>
      </c>
      <c r="L232" s="111"/>
      <c r="M232" s="36"/>
      <c r="N232" s="36"/>
      <c r="O232" s="36"/>
      <c r="P232" s="36"/>
      <c r="Q232" s="36"/>
      <c r="R232" s="36"/>
      <c r="S232" s="37" t="s">
        <v>1807</v>
      </c>
      <c r="T232" s="37" t="s">
        <v>1807</v>
      </c>
      <c r="U232" s="37" t="s">
        <v>1808</v>
      </c>
      <c r="V232" s="37" t="s">
        <v>1809</v>
      </c>
      <c r="W232" s="37" t="s">
        <v>1809</v>
      </c>
      <c r="X232" s="36"/>
      <c r="Y232" s="27" t="s">
        <v>129</v>
      </c>
      <c r="Z232" s="108"/>
      <c r="AA232" s="23"/>
      <c r="AB232" s="1"/>
      <c r="AC232" s="1"/>
      <c r="AD232" s="1"/>
      <c r="AE232" s="1"/>
      <c r="AF232" s="1"/>
      <c r="AG232" s="1"/>
      <c r="AH232" s="1"/>
    </row>
    <row r="233" ht="13.5" customHeight="1">
      <c r="A233" s="110" t="s">
        <v>27</v>
      </c>
      <c r="B233" s="103" t="s">
        <v>1824</v>
      </c>
      <c r="C233" s="122" t="s">
        <v>1825</v>
      </c>
      <c r="D233" s="109" t="s">
        <v>374</v>
      </c>
      <c r="E233" s="11" t="s">
        <v>954</v>
      </c>
      <c r="F233" s="20" t="s">
        <v>239</v>
      </c>
      <c r="G233" s="15">
        <v>45960.0</v>
      </c>
      <c r="H233" s="123" t="s">
        <v>1806</v>
      </c>
      <c r="I233" s="108"/>
      <c r="J233" s="108"/>
      <c r="K233" s="108" t="str">
        <f t="shared" si="4"/>
        <v>WBS: WBM-01447
שם פרויקט: ירושלים ה-פירוק והתקנת סוללות קבלים עבור שנאים 511, 512, 513
מנה״פ: בן חמו, דביר 
יעד תכנית פיתוח: 30/10/2025
יעד מסתמן: לא ניתן להתייחס כעת</v>
      </c>
      <c r="L233" s="111"/>
      <c r="M233" s="36"/>
      <c r="N233" s="36"/>
      <c r="O233" s="36"/>
      <c r="P233" s="36"/>
      <c r="Q233" s="36"/>
      <c r="R233" s="36"/>
      <c r="S233" s="37" t="s">
        <v>1826</v>
      </c>
      <c r="T233" s="37" t="s">
        <v>1826</v>
      </c>
      <c r="U233" s="37" t="s">
        <v>1826</v>
      </c>
      <c r="V233" s="37" t="s">
        <v>1826</v>
      </c>
      <c r="W233" s="37" t="s">
        <v>1826</v>
      </c>
      <c r="X233" s="36"/>
      <c r="Y233" s="27" t="s">
        <v>129</v>
      </c>
      <c r="Z233" s="108"/>
      <c r="AA233" s="23"/>
      <c r="AB233" s="1"/>
      <c r="AC233" s="1"/>
      <c r="AD233" s="1"/>
      <c r="AE233" s="1"/>
      <c r="AF233" s="1"/>
      <c r="AG233" s="1"/>
      <c r="AH233" s="1"/>
    </row>
    <row r="234" ht="13.5" customHeight="1">
      <c r="A234" s="108"/>
      <c r="B234" s="103" t="s">
        <v>1827</v>
      </c>
      <c r="C234" s="125" t="s">
        <v>1828</v>
      </c>
      <c r="D234" s="109" t="s">
        <v>374</v>
      </c>
      <c r="E234" s="110" t="s">
        <v>954</v>
      </c>
      <c r="F234" s="37" t="s">
        <v>239</v>
      </c>
      <c r="G234" s="15">
        <v>46203.0</v>
      </c>
      <c r="H234" s="105">
        <v>46507.0</v>
      </c>
      <c r="I234" s="108"/>
      <c r="J234" s="108"/>
      <c r="K234" s="108" t="str">
        <f t="shared" si="4"/>
        <v>WBS: WBM-70040
שם פרויקט: תעשיה אדומים – התקנת  12 מודולים של סק
מנה״פ: בן חמו, דביר 
יעד תכנית פיתוח: 30/06/2026
יעד מסתמן: 30/04/2027</v>
      </c>
      <c r="L234" s="111"/>
      <c r="M234" s="36"/>
      <c r="N234" s="36"/>
      <c r="O234" s="36"/>
      <c r="P234" s="36"/>
      <c r="Q234" s="36"/>
      <c r="R234" s="36"/>
      <c r="S234" s="37" t="s">
        <v>1829</v>
      </c>
      <c r="T234" s="37" t="s">
        <v>1829</v>
      </c>
      <c r="U234" s="37" t="s">
        <v>1829</v>
      </c>
      <c r="V234" s="37" t="s">
        <v>1829</v>
      </c>
      <c r="W234" s="37" t="s">
        <v>1829</v>
      </c>
      <c r="X234" s="36"/>
      <c r="Y234" s="108"/>
      <c r="Z234" s="108"/>
      <c r="AA234" s="23"/>
      <c r="AB234" s="1"/>
      <c r="AC234" s="1"/>
      <c r="AD234" s="1"/>
      <c r="AE234" s="1"/>
      <c r="AF234" s="1"/>
      <c r="AG234" s="1"/>
      <c r="AH234" s="1"/>
    </row>
    <row r="235" ht="13.5" customHeight="1">
      <c r="A235" s="108"/>
      <c r="B235" s="103" t="s">
        <v>1830</v>
      </c>
      <c r="C235" s="104" t="s">
        <v>1831</v>
      </c>
      <c r="D235" s="14" t="s">
        <v>30</v>
      </c>
      <c r="E235" s="11" t="s">
        <v>1411</v>
      </c>
      <c r="F235" s="11" t="s">
        <v>557</v>
      </c>
      <c r="G235" s="15">
        <v>47452.0</v>
      </c>
      <c r="H235" s="105"/>
      <c r="I235" s="108"/>
      <c r="J235" s="110" t="s">
        <v>33</v>
      </c>
      <c r="K235" s="108" t="str">
        <f t="shared" si="4"/>
        <v>WBS: WBC-131
שם פרויקט: תחמ"ש רעננה מערב
מנה״פ: מזרחי, סולי
יעד תכנית פיתוח: 30/11/2029
יעד מסתמן: 30/12/1899</v>
      </c>
      <c r="L235" s="111"/>
      <c r="M235" s="36"/>
      <c r="N235" s="36"/>
      <c r="O235" s="36"/>
      <c r="P235" s="36"/>
      <c r="Q235" s="36"/>
      <c r="R235" s="36"/>
      <c r="S235" s="37" t="s">
        <v>1832</v>
      </c>
      <c r="T235" s="37" t="s">
        <v>1832</v>
      </c>
      <c r="U235" s="37" t="s">
        <v>1832</v>
      </c>
      <c r="V235" s="37" t="s">
        <v>1833</v>
      </c>
      <c r="W235" s="37" t="s">
        <v>1833</v>
      </c>
      <c r="X235" s="36"/>
      <c r="Y235" s="108"/>
      <c r="Z235" s="108"/>
      <c r="AA235" s="23"/>
      <c r="AB235" s="1"/>
      <c r="AC235" s="1"/>
      <c r="AD235" s="1"/>
      <c r="AE235" s="1"/>
      <c r="AF235" s="1"/>
      <c r="AG235" s="1"/>
      <c r="AH235" s="1"/>
    </row>
    <row r="236" ht="13.5" customHeight="1">
      <c r="A236" s="1"/>
      <c r="B236" s="1"/>
      <c r="C236" s="3"/>
      <c r="D236" s="1"/>
      <c r="E236" s="1"/>
      <c r="F236" s="1"/>
      <c r="G236" s="1"/>
      <c r="H236" s="1"/>
      <c r="I236" s="1"/>
      <c r="J236" s="1"/>
      <c r="K236" s="2"/>
      <c r="L236" s="1"/>
      <c r="M236" s="3"/>
      <c r="N236" s="3"/>
      <c r="O236" s="4"/>
      <c r="P236" s="4"/>
      <c r="Q236" s="4"/>
      <c r="R236" s="4"/>
      <c r="S236" s="4"/>
      <c r="T236" s="4"/>
      <c r="U236" s="4"/>
      <c r="V236" s="4"/>
      <c r="W236" s="4"/>
      <c r="X236" s="3"/>
      <c r="Y236" s="2"/>
      <c r="Z236" s="2"/>
      <c r="AA236" s="1"/>
      <c r="AB236" s="1"/>
      <c r="AC236" s="1"/>
      <c r="AD236" s="1"/>
      <c r="AE236" s="1"/>
      <c r="AF236" s="1"/>
      <c r="AG236" s="1"/>
      <c r="AH236" s="1"/>
    </row>
    <row r="237" ht="13.5" customHeight="1">
      <c r="A237" s="1"/>
      <c r="B237" s="1"/>
      <c r="C237" s="3"/>
      <c r="D237" s="1"/>
      <c r="E237" s="1"/>
      <c r="F237" s="1"/>
      <c r="G237" s="1"/>
      <c r="H237" s="1"/>
      <c r="I237" s="1"/>
      <c r="J237" s="1"/>
      <c r="K237" s="2"/>
      <c r="L237" s="1"/>
      <c r="M237" s="3"/>
      <c r="N237" s="3"/>
      <c r="O237" s="4"/>
      <c r="P237" s="4"/>
      <c r="Q237" s="4"/>
      <c r="R237" s="4"/>
      <c r="S237" s="4"/>
      <c r="T237" s="4"/>
      <c r="U237" s="4"/>
      <c r="V237" s="4"/>
      <c r="W237" s="4"/>
      <c r="X237" s="3"/>
      <c r="Y237" s="2"/>
      <c r="Z237" s="2"/>
      <c r="AA237" s="1"/>
      <c r="AB237" s="1"/>
      <c r="AC237" s="1"/>
      <c r="AD237" s="1"/>
      <c r="AE237" s="1"/>
      <c r="AF237" s="1"/>
      <c r="AG237" s="1"/>
      <c r="AH237" s="1"/>
    </row>
    <row r="238" ht="13.5" customHeight="1">
      <c r="A238" s="1"/>
      <c r="B238" s="1"/>
      <c r="C238" s="3"/>
      <c r="D238" s="1"/>
      <c r="E238" s="1"/>
      <c r="F238" s="1"/>
      <c r="G238" s="1"/>
      <c r="H238" s="1"/>
      <c r="I238" s="1"/>
      <c r="J238" s="1"/>
      <c r="K238" s="2"/>
      <c r="L238" s="1"/>
      <c r="M238" s="3"/>
      <c r="N238" s="3"/>
      <c r="O238" s="4"/>
      <c r="P238" s="4"/>
      <c r="Q238" s="4"/>
      <c r="R238" s="4"/>
      <c r="S238" s="4"/>
      <c r="T238" s="4"/>
      <c r="U238" s="4"/>
      <c r="V238" s="4"/>
      <c r="W238" s="4"/>
      <c r="X238" s="3"/>
      <c r="Y238" s="2"/>
      <c r="Z238" s="2"/>
      <c r="AA238" s="1"/>
      <c r="AB238" s="1"/>
      <c r="AC238" s="1"/>
      <c r="AD238" s="1"/>
      <c r="AE238" s="1"/>
      <c r="AF238" s="1"/>
      <c r="AG238" s="1"/>
      <c r="AH238" s="1"/>
    </row>
    <row r="239" ht="13.5" customHeight="1">
      <c r="A239" s="1"/>
      <c r="B239" s="1"/>
      <c r="C239" s="3"/>
      <c r="D239" s="1"/>
      <c r="E239" s="1"/>
      <c r="F239" s="1"/>
      <c r="G239" s="1"/>
      <c r="H239" s="1"/>
      <c r="I239" s="1"/>
      <c r="J239" s="1"/>
      <c r="K239" s="2"/>
      <c r="L239" s="1"/>
      <c r="M239" s="3"/>
      <c r="N239" s="3"/>
      <c r="O239" s="4"/>
      <c r="P239" s="4"/>
      <c r="Q239" s="4"/>
      <c r="R239" s="4"/>
      <c r="S239" s="4"/>
      <c r="T239" s="4"/>
      <c r="U239" s="4"/>
      <c r="V239" s="4"/>
      <c r="W239" s="4"/>
      <c r="X239" s="3"/>
      <c r="Y239" s="2"/>
      <c r="Z239" s="2"/>
      <c r="AA239" s="1"/>
      <c r="AB239" s="1"/>
      <c r="AC239" s="1"/>
      <c r="AD239" s="1"/>
      <c r="AE239" s="1"/>
      <c r="AF239" s="1"/>
      <c r="AG239" s="1"/>
      <c r="AH239" s="1"/>
    </row>
    <row r="240" ht="13.5" customHeight="1">
      <c r="A240" s="1"/>
      <c r="B240" s="1"/>
      <c r="C240" s="3"/>
      <c r="D240" s="1"/>
      <c r="E240" s="1"/>
      <c r="F240" s="1"/>
      <c r="G240" s="1"/>
      <c r="H240" s="1"/>
      <c r="I240" s="1"/>
      <c r="J240" s="1"/>
      <c r="K240" s="2"/>
      <c r="L240" s="1"/>
      <c r="M240" s="3"/>
      <c r="N240" s="3"/>
      <c r="O240" s="4"/>
      <c r="P240" s="4"/>
      <c r="Q240" s="4"/>
      <c r="R240" s="4"/>
      <c r="S240" s="4"/>
      <c r="T240" s="4"/>
      <c r="U240" s="4"/>
      <c r="V240" s="4"/>
      <c r="W240" s="4"/>
      <c r="X240" s="3"/>
      <c r="Y240" s="2"/>
      <c r="Z240" s="2"/>
      <c r="AA240" s="1"/>
      <c r="AB240" s="1"/>
      <c r="AC240" s="1"/>
      <c r="AD240" s="1"/>
      <c r="AE240" s="1"/>
      <c r="AF240" s="1"/>
      <c r="AG240" s="1"/>
      <c r="AH240" s="1"/>
    </row>
    <row r="241" ht="13.5" customHeight="1">
      <c r="A241" s="1"/>
      <c r="B241" s="1"/>
      <c r="C241" s="3"/>
      <c r="D241" s="1"/>
      <c r="E241" s="1"/>
      <c r="F241" s="1"/>
      <c r="G241" s="1"/>
      <c r="H241" s="1"/>
      <c r="I241" s="1"/>
      <c r="J241" s="1"/>
      <c r="K241" s="2"/>
      <c r="L241" s="1"/>
      <c r="M241" s="3"/>
      <c r="N241" s="3"/>
      <c r="O241" s="4"/>
      <c r="P241" s="4"/>
      <c r="Q241" s="4"/>
      <c r="R241" s="4"/>
      <c r="S241" s="4"/>
      <c r="T241" s="4"/>
      <c r="U241" s="4"/>
      <c r="V241" s="4"/>
      <c r="W241" s="4"/>
      <c r="X241" s="3"/>
      <c r="Y241" s="2"/>
      <c r="Z241" s="2"/>
      <c r="AA241" s="1"/>
      <c r="AB241" s="1"/>
      <c r="AC241" s="1"/>
      <c r="AD241" s="1"/>
      <c r="AE241" s="1"/>
      <c r="AF241" s="1"/>
      <c r="AG241" s="1"/>
      <c r="AH241" s="1"/>
    </row>
    <row r="242" ht="13.5" customHeight="1">
      <c r="A242" s="1"/>
      <c r="B242" s="1"/>
      <c r="C242" s="3"/>
      <c r="D242" s="1"/>
      <c r="E242" s="1"/>
      <c r="F242" s="1"/>
      <c r="G242" s="1"/>
      <c r="H242" s="1"/>
      <c r="I242" s="1"/>
      <c r="J242" s="1"/>
      <c r="K242" s="2"/>
      <c r="L242" s="1"/>
      <c r="M242" s="3"/>
      <c r="N242" s="3"/>
      <c r="O242" s="4"/>
      <c r="P242" s="4"/>
      <c r="Q242" s="4"/>
      <c r="R242" s="4"/>
      <c r="S242" s="4"/>
      <c r="T242" s="4"/>
      <c r="U242" s="4"/>
      <c r="V242" s="4"/>
      <c r="W242" s="4"/>
      <c r="X242" s="3"/>
      <c r="Y242" s="2"/>
      <c r="Z242" s="2"/>
      <c r="AA242" s="1"/>
      <c r="AB242" s="1"/>
      <c r="AC242" s="1"/>
      <c r="AD242" s="1"/>
      <c r="AE242" s="1"/>
      <c r="AF242" s="1"/>
      <c r="AG242" s="1"/>
      <c r="AH242" s="1"/>
    </row>
    <row r="243" ht="13.5" customHeight="1">
      <c r="A243" s="1"/>
      <c r="B243" s="1"/>
      <c r="C243" s="3"/>
      <c r="D243" s="1"/>
      <c r="E243" s="1"/>
      <c r="F243" s="1"/>
      <c r="G243" s="1"/>
      <c r="H243" s="1"/>
      <c r="I243" s="1"/>
      <c r="J243" s="1"/>
      <c r="K243" s="2"/>
      <c r="L243" s="1"/>
      <c r="M243" s="3"/>
      <c r="N243" s="3"/>
      <c r="O243" s="4"/>
      <c r="P243" s="4"/>
      <c r="Q243" s="4"/>
      <c r="R243" s="4"/>
      <c r="S243" s="4"/>
      <c r="T243" s="4"/>
      <c r="U243" s="4"/>
      <c r="V243" s="4"/>
      <c r="W243" s="4"/>
      <c r="X243" s="3"/>
      <c r="Y243" s="2"/>
      <c r="Z243" s="2"/>
      <c r="AA243" s="1"/>
      <c r="AB243" s="1"/>
      <c r="AC243" s="1"/>
      <c r="AD243" s="1"/>
      <c r="AE243" s="1"/>
      <c r="AF243" s="1"/>
      <c r="AG243" s="1"/>
      <c r="AH243" s="1"/>
    </row>
    <row r="244" ht="13.5" customHeight="1">
      <c r="A244" s="1"/>
      <c r="B244" s="1"/>
      <c r="C244" s="3"/>
      <c r="D244" s="1"/>
      <c r="E244" s="1"/>
      <c r="F244" s="1"/>
      <c r="G244" s="1"/>
      <c r="H244" s="1"/>
      <c r="I244" s="1"/>
      <c r="J244" s="1"/>
      <c r="K244" s="2"/>
      <c r="L244" s="1"/>
      <c r="M244" s="3"/>
      <c r="N244" s="3"/>
      <c r="O244" s="4"/>
      <c r="P244" s="4"/>
      <c r="Q244" s="4"/>
      <c r="R244" s="4"/>
      <c r="S244" s="4"/>
      <c r="T244" s="4"/>
      <c r="U244" s="4"/>
      <c r="V244" s="4"/>
      <c r="W244" s="4"/>
      <c r="X244" s="3"/>
      <c r="Y244" s="2"/>
      <c r="Z244" s="2"/>
      <c r="AA244" s="1"/>
      <c r="AB244" s="1"/>
      <c r="AC244" s="1"/>
      <c r="AD244" s="1"/>
      <c r="AE244" s="1"/>
      <c r="AF244" s="1"/>
      <c r="AG244" s="1"/>
      <c r="AH244" s="1"/>
    </row>
    <row r="245" ht="13.5" customHeight="1">
      <c r="A245" s="1"/>
      <c r="B245" s="1"/>
      <c r="C245" s="3"/>
      <c r="D245" s="1"/>
      <c r="E245" s="1"/>
      <c r="F245" s="1"/>
      <c r="G245" s="1"/>
      <c r="H245" s="1"/>
      <c r="I245" s="1"/>
      <c r="J245" s="1"/>
      <c r="K245" s="2"/>
      <c r="L245" s="1"/>
      <c r="M245" s="3"/>
      <c r="N245" s="3"/>
      <c r="O245" s="4"/>
      <c r="P245" s="4"/>
      <c r="Q245" s="4"/>
      <c r="R245" s="4"/>
      <c r="S245" s="4"/>
      <c r="T245" s="4"/>
      <c r="U245" s="4"/>
      <c r="V245" s="4"/>
      <c r="W245" s="4"/>
      <c r="X245" s="3"/>
      <c r="Y245" s="2"/>
      <c r="Z245" s="2"/>
      <c r="AA245" s="1"/>
      <c r="AB245" s="1"/>
      <c r="AC245" s="1"/>
      <c r="AD245" s="1"/>
      <c r="AE245" s="1"/>
      <c r="AF245" s="1"/>
      <c r="AG245" s="1"/>
      <c r="AH245" s="1"/>
    </row>
    <row r="246" ht="13.5" customHeight="1">
      <c r="A246" s="1"/>
      <c r="B246" s="1"/>
      <c r="C246" s="3"/>
      <c r="D246" s="1"/>
      <c r="E246" s="1"/>
      <c r="F246" s="1"/>
      <c r="G246" s="1"/>
      <c r="H246" s="1"/>
      <c r="I246" s="1"/>
      <c r="J246" s="1"/>
      <c r="K246" s="2"/>
      <c r="L246" s="1"/>
      <c r="M246" s="3"/>
      <c r="N246" s="3"/>
      <c r="O246" s="4"/>
      <c r="P246" s="4"/>
      <c r="Q246" s="4"/>
      <c r="R246" s="4"/>
      <c r="S246" s="4"/>
      <c r="T246" s="4"/>
      <c r="U246" s="4"/>
      <c r="V246" s="4"/>
      <c r="W246" s="4"/>
      <c r="X246" s="3"/>
      <c r="Y246" s="2"/>
      <c r="Z246" s="2"/>
      <c r="AA246" s="1"/>
      <c r="AB246" s="1"/>
      <c r="AC246" s="1"/>
      <c r="AD246" s="1"/>
      <c r="AE246" s="1"/>
      <c r="AF246" s="1"/>
      <c r="AG246" s="1"/>
      <c r="AH246" s="1"/>
    </row>
    <row r="247" ht="13.5" customHeight="1">
      <c r="A247" s="1"/>
      <c r="B247" s="1"/>
      <c r="C247" s="3"/>
      <c r="D247" s="1"/>
      <c r="E247" s="1"/>
      <c r="F247" s="1"/>
      <c r="G247" s="1"/>
      <c r="H247" s="1"/>
      <c r="I247" s="1"/>
      <c r="J247" s="1"/>
      <c r="K247" s="2"/>
      <c r="L247" s="1"/>
      <c r="M247" s="3"/>
      <c r="N247" s="3"/>
      <c r="O247" s="4"/>
      <c r="P247" s="4"/>
      <c r="Q247" s="4"/>
      <c r="R247" s="4"/>
      <c r="S247" s="4"/>
      <c r="T247" s="4"/>
      <c r="U247" s="4"/>
      <c r="V247" s="4"/>
      <c r="W247" s="4"/>
      <c r="X247" s="3"/>
      <c r="Y247" s="2"/>
      <c r="Z247" s="2"/>
      <c r="AA247" s="1"/>
      <c r="AB247" s="1"/>
      <c r="AC247" s="1"/>
      <c r="AD247" s="1"/>
      <c r="AE247" s="1"/>
      <c r="AF247" s="1"/>
      <c r="AG247" s="1"/>
      <c r="AH247" s="1"/>
    </row>
    <row r="248" ht="13.5" customHeight="1">
      <c r="A248" s="1"/>
      <c r="B248" s="1"/>
      <c r="C248" s="3"/>
      <c r="D248" s="1"/>
      <c r="E248" s="1"/>
      <c r="F248" s="1"/>
      <c r="G248" s="1"/>
      <c r="H248" s="1"/>
      <c r="I248" s="1"/>
      <c r="J248" s="1"/>
      <c r="K248" s="2"/>
      <c r="L248" s="1"/>
      <c r="M248" s="3"/>
      <c r="N248" s="3"/>
      <c r="O248" s="4"/>
      <c r="P248" s="4"/>
      <c r="Q248" s="4"/>
      <c r="R248" s="4"/>
      <c r="S248" s="4"/>
      <c r="T248" s="4"/>
      <c r="U248" s="4"/>
      <c r="V248" s="4"/>
      <c r="W248" s="4"/>
      <c r="X248" s="3"/>
      <c r="Y248" s="2"/>
      <c r="Z248" s="2"/>
      <c r="AA248" s="1"/>
      <c r="AB248" s="1"/>
      <c r="AC248" s="1"/>
      <c r="AD248" s="1"/>
      <c r="AE248" s="1"/>
      <c r="AF248" s="1"/>
      <c r="AG248" s="1"/>
      <c r="AH248" s="1"/>
    </row>
    <row r="249" ht="13.5" customHeight="1">
      <c r="A249" s="1"/>
      <c r="B249" s="1"/>
      <c r="C249" s="3"/>
      <c r="D249" s="1"/>
      <c r="E249" s="1"/>
      <c r="F249" s="1"/>
      <c r="G249" s="1"/>
      <c r="H249" s="1"/>
      <c r="I249" s="1"/>
      <c r="J249" s="1"/>
      <c r="K249" s="2"/>
      <c r="L249" s="1"/>
      <c r="M249" s="3"/>
      <c r="N249" s="3"/>
      <c r="O249" s="4"/>
      <c r="P249" s="4"/>
      <c r="Q249" s="4"/>
      <c r="R249" s="4"/>
      <c r="S249" s="4"/>
      <c r="T249" s="4"/>
      <c r="U249" s="4"/>
      <c r="V249" s="4"/>
      <c r="W249" s="4"/>
      <c r="X249" s="3"/>
      <c r="Y249" s="2"/>
      <c r="Z249" s="2"/>
      <c r="AA249" s="1"/>
      <c r="AB249" s="1"/>
      <c r="AC249" s="1"/>
      <c r="AD249" s="1"/>
      <c r="AE249" s="1"/>
      <c r="AF249" s="1"/>
      <c r="AG249" s="1"/>
      <c r="AH249" s="1"/>
    </row>
    <row r="250" ht="13.5" customHeight="1">
      <c r="A250" s="1"/>
      <c r="B250" s="1"/>
      <c r="C250" s="3"/>
      <c r="D250" s="1"/>
      <c r="E250" s="1"/>
      <c r="F250" s="1"/>
      <c r="G250" s="1"/>
      <c r="H250" s="1"/>
      <c r="I250" s="1"/>
      <c r="J250" s="1"/>
      <c r="K250" s="2"/>
      <c r="L250" s="1"/>
      <c r="M250" s="3"/>
      <c r="N250" s="3"/>
      <c r="O250" s="4"/>
      <c r="P250" s="4"/>
      <c r="Q250" s="4"/>
      <c r="R250" s="4"/>
      <c r="S250" s="4"/>
      <c r="T250" s="4"/>
      <c r="U250" s="4"/>
      <c r="V250" s="4"/>
      <c r="W250" s="4"/>
      <c r="X250" s="3"/>
      <c r="Y250" s="2"/>
      <c r="Z250" s="2"/>
      <c r="AA250" s="1"/>
      <c r="AB250" s="1"/>
      <c r="AC250" s="1"/>
      <c r="AD250" s="1"/>
      <c r="AE250" s="1"/>
      <c r="AF250" s="1"/>
      <c r="AG250" s="1"/>
      <c r="AH250" s="1"/>
    </row>
    <row r="251" ht="13.5" customHeight="1">
      <c r="A251" s="1"/>
      <c r="B251" s="1"/>
      <c r="C251" s="3"/>
      <c r="D251" s="1"/>
      <c r="E251" s="1"/>
      <c r="F251" s="1"/>
      <c r="G251" s="1"/>
      <c r="H251" s="1"/>
      <c r="I251" s="1"/>
      <c r="J251" s="1"/>
      <c r="K251" s="2"/>
      <c r="L251" s="1"/>
      <c r="M251" s="3"/>
      <c r="N251" s="3"/>
      <c r="O251" s="4"/>
      <c r="P251" s="4"/>
      <c r="Q251" s="4"/>
      <c r="R251" s="4"/>
      <c r="S251" s="4"/>
      <c r="T251" s="4"/>
      <c r="U251" s="4"/>
      <c r="V251" s="4"/>
      <c r="W251" s="4"/>
      <c r="X251" s="3"/>
      <c r="Y251" s="2"/>
      <c r="Z251" s="2"/>
      <c r="AA251" s="1"/>
      <c r="AB251" s="1"/>
      <c r="AC251" s="1"/>
      <c r="AD251" s="1"/>
      <c r="AE251" s="1"/>
      <c r="AF251" s="1"/>
      <c r="AG251" s="1"/>
      <c r="AH251" s="1"/>
    </row>
    <row r="252" ht="13.5" customHeight="1">
      <c r="A252" s="1"/>
      <c r="B252" s="1"/>
      <c r="C252" s="3"/>
      <c r="D252" s="1"/>
      <c r="E252" s="1"/>
      <c r="F252" s="1"/>
      <c r="G252" s="1"/>
      <c r="H252" s="1"/>
      <c r="I252" s="1"/>
      <c r="J252" s="1"/>
      <c r="K252" s="2"/>
      <c r="L252" s="1"/>
      <c r="M252" s="3"/>
      <c r="N252" s="3"/>
      <c r="O252" s="4"/>
      <c r="P252" s="4"/>
      <c r="Q252" s="4"/>
      <c r="R252" s="4"/>
      <c r="S252" s="4"/>
      <c r="T252" s="4"/>
      <c r="U252" s="4"/>
      <c r="V252" s="4"/>
      <c r="W252" s="4"/>
      <c r="X252" s="3"/>
      <c r="Y252" s="2"/>
      <c r="Z252" s="2"/>
      <c r="AA252" s="1"/>
      <c r="AB252" s="1"/>
      <c r="AC252" s="1"/>
      <c r="AD252" s="1"/>
      <c r="AE252" s="1"/>
      <c r="AF252" s="1"/>
      <c r="AG252" s="1"/>
      <c r="AH252" s="1"/>
    </row>
    <row r="253" ht="13.5" customHeight="1">
      <c r="A253" s="1"/>
      <c r="B253" s="1"/>
      <c r="C253" s="3"/>
      <c r="D253" s="1"/>
      <c r="E253" s="1"/>
      <c r="F253" s="1"/>
      <c r="G253" s="1"/>
      <c r="H253" s="1"/>
      <c r="I253" s="1"/>
      <c r="J253" s="1"/>
      <c r="K253" s="2"/>
      <c r="L253" s="1"/>
      <c r="M253" s="3"/>
      <c r="N253" s="3"/>
      <c r="O253" s="4"/>
      <c r="P253" s="4"/>
      <c r="Q253" s="4"/>
      <c r="R253" s="4"/>
      <c r="S253" s="4"/>
      <c r="T253" s="4"/>
      <c r="U253" s="4"/>
      <c r="V253" s="4"/>
      <c r="W253" s="4"/>
      <c r="X253" s="3"/>
      <c r="Y253" s="2"/>
      <c r="Z253" s="2"/>
      <c r="AA253" s="1"/>
      <c r="AB253" s="1"/>
      <c r="AC253" s="1"/>
      <c r="AD253" s="1"/>
      <c r="AE253" s="1"/>
      <c r="AF253" s="1"/>
      <c r="AG253" s="1"/>
      <c r="AH253" s="1"/>
    </row>
    <row r="254" ht="13.5" customHeight="1">
      <c r="A254" s="1"/>
      <c r="B254" s="1"/>
      <c r="C254" s="3"/>
      <c r="D254" s="1"/>
      <c r="E254" s="1"/>
      <c r="F254" s="1"/>
      <c r="G254" s="1"/>
      <c r="H254" s="1"/>
      <c r="I254" s="1"/>
      <c r="J254" s="1"/>
      <c r="K254" s="2"/>
      <c r="L254" s="1"/>
      <c r="M254" s="3"/>
      <c r="N254" s="3"/>
      <c r="O254" s="4"/>
      <c r="P254" s="4"/>
      <c r="Q254" s="4"/>
      <c r="R254" s="4"/>
      <c r="S254" s="4"/>
      <c r="T254" s="4"/>
      <c r="U254" s="4"/>
      <c r="V254" s="4"/>
      <c r="W254" s="4"/>
      <c r="X254" s="3"/>
      <c r="Y254" s="2"/>
      <c r="Z254" s="2"/>
      <c r="AA254" s="1"/>
      <c r="AB254" s="1"/>
      <c r="AC254" s="1"/>
      <c r="AD254" s="1"/>
      <c r="AE254" s="1"/>
      <c r="AF254" s="1"/>
      <c r="AG254" s="1"/>
      <c r="AH254" s="1"/>
    </row>
    <row r="255" ht="13.5" customHeight="1">
      <c r="A255" s="1"/>
      <c r="B255" s="1"/>
      <c r="C255" s="3"/>
      <c r="D255" s="1"/>
      <c r="E255" s="1"/>
      <c r="F255" s="1"/>
      <c r="G255" s="1"/>
      <c r="H255" s="1"/>
      <c r="I255" s="1"/>
      <c r="J255" s="1"/>
      <c r="K255" s="2"/>
      <c r="L255" s="1"/>
      <c r="M255" s="3"/>
      <c r="N255" s="3"/>
      <c r="O255" s="4"/>
      <c r="P255" s="4"/>
      <c r="Q255" s="4"/>
      <c r="R255" s="4"/>
      <c r="S255" s="4"/>
      <c r="T255" s="4"/>
      <c r="U255" s="4"/>
      <c r="V255" s="4"/>
      <c r="W255" s="4"/>
      <c r="X255" s="3"/>
      <c r="Y255" s="2"/>
      <c r="Z255" s="2"/>
      <c r="AA255" s="1"/>
      <c r="AB255" s="1"/>
      <c r="AC255" s="1"/>
      <c r="AD255" s="1"/>
      <c r="AE255" s="1"/>
      <c r="AF255" s="1"/>
      <c r="AG255" s="1"/>
      <c r="AH255" s="1"/>
    </row>
    <row r="256" ht="13.5" customHeight="1">
      <c r="A256" s="1"/>
      <c r="B256" s="1"/>
      <c r="C256" s="3"/>
      <c r="D256" s="1"/>
      <c r="E256" s="1"/>
      <c r="F256" s="1"/>
      <c r="G256" s="1"/>
      <c r="H256" s="1"/>
      <c r="I256" s="1"/>
      <c r="J256" s="1"/>
      <c r="K256" s="2"/>
      <c r="L256" s="1"/>
      <c r="M256" s="3"/>
      <c r="N256" s="3"/>
      <c r="O256" s="4"/>
      <c r="P256" s="4"/>
      <c r="Q256" s="4"/>
      <c r="R256" s="4"/>
      <c r="S256" s="4"/>
      <c r="T256" s="4"/>
      <c r="U256" s="4"/>
      <c r="V256" s="4"/>
      <c r="W256" s="4"/>
      <c r="X256" s="3"/>
      <c r="Y256" s="2"/>
      <c r="Z256" s="2"/>
      <c r="AA256" s="1"/>
      <c r="AB256" s="1"/>
      <c r="AC256" s="1"/>
      <c r="AD256" s="1"/>
      <c r="AE256" s="1"/>
      <c r="AF256" s="1"/>
      <c r="AG256" s="1"/>
      <c r="AH256" s="1"/>
    </row>
    <row r="257" ht="13.5" customHeight="1">
      <c r="A257" s="1"/>
      <c r="B257" s="1"/>
      <c r="C257" s="3"/>
      <c r="D257" s="1"/>
      <c r="E257" s="1"/>
      <c r="F257" s="1"/>
      <c r="G257" s="1"/>
      <c r="H257" s="1"/>
      <c r="I257" s="1"/>
      <c r="J257" s="1"/>
      <c r="K257" s="2"/>
      <c r="L257" s="1"/>
      <c r="M257" s="3"/>
      <c r="N257" s="3"/>
      <c r="O257" s="4"/>
      <c r="P257" s="4"/>
      <c r="Q257" s="4"/>
      <c r="R257" s="4"/>
      <c r="S257" s="4"/>
      <c r="T257" s="4"/>
      <c r="U257" s="4"/>
      <c r="V257" s="4"/>
      <c r="W257" s="4"/>
      <c r="X257" s="3"/>
      <c r="Y257" s="2"/>
      <c r="Z257" s="2"/>
      <c r="AA257" s="1"/>
      <c r="AB257" s="1"/>
      <c r="AC257" s="1"/>
      <c r="AD257" s="1"/>
      <c r="AE257" s="1"/>
      <c r="AF257" s="1"/>
      <c r="AG257" s="1"/>
      <c r="AH257" s="1"/>
    </row>
    <row r="258" ht="13.5" customHeight="1">
      <c r="A258" s="1"/>
      <c r="B258" s="1"/>
      <c r="C258" s="3"/>
      <c r="D258" s="1"/>
      <c r="E258" s="1"/>
      <c r="F258" s="1"/>
      <c r="G258" s="1"/>
      <c r="H258" s="1"/>
      <c r="I258" s="1"/>
      <c r="J258" s="1"/>
      <c r="K258" s="2"/>
      <c r="L258" s="1"/>
      <c r="M258" s="3"/>
      <c r="N258" s="3"/>
      <c r="O258" s="4"/>
      <c r="P258" s="4"/>
      <c r="Q258" s="4"/>
      <c r="R258" s="4"/>
      <c r="S258" s="4"/>
      <c r="T258" s="4"/>
      <c r="U258" s="4"/>
      <c r="V258" s="4"/>
      <c r="W258" s="4"/>
      <c r="X258" s="3"/>
      <c r="Y258" s="2"/>
      <c r="Z258" s="2"/>
      <c r="AA258" s="1"/>
      <c r="AB258" s="1"/>
      <c r="AC258" s="1"/>
      <c r="AD258" s="1"/>
      <c r="AE258" s="1"/>
      <c r="AF258" s="1"/>
      <c r="AG258" s="1"/>
      <c r="AH258" s="1"/>
    </row>
    <row r="259" ht="13.5" customHeight="1">
      <c r="A259" s="1"/>
      <c r="B259" s="1"/>
      <c r="C259" s="3"/>
      <c r="D259" s="1"/>
      <c r="E259" s="1"/>
      <c r="F259" s="1"/>
      <c r="G259" s="1"/>
      <c r="H259" s="1"/>
      <c r="I259" s="1"/>
      <c r="J259" s="1"/>
      <c r="K259" s="2"/>
      <c r="L259" s="1"/>
      <c r="M259" s="3"/>
      <c r="N259" s="3"/>
      <c r="O259" s="4"/>
      <c r="P259" s="4"/>
      <c r="Q259" s="4"/>
      <c r="R259" s="4"/>
      <c r="S259" s="4"/>
      <c r="T259" s="4"/>
      <c r="U259" s="4"/>
      <c r="V259" s="4"/>
      <c r="W259" s="4"/>
      <c r="X259" s="3"/>
      <c r="Y259" s="2"/>
      <c r="Z259" s="2"/>
      <c r="AA259" s="1"/>
      <c r="AB259" s="1"/>
      <c r="AC259" s="1"/>
      <c r="AD259" s="1"/>
      <c r="AE259" s="1"/>
      <c r="AF259" s="1"/>
      <c r="AG259" s="1"/>
      <c r="AH259" s="1"/>
    </row>
    <row r="260" ht="13.5" customHeight="1">
      <c r="A260" s="1"/>
      <c r="B260" s="1"/>
      <c r="C260" s="3"/>
      <c r="D260" s="1"/>
      <c r="E260" s="1"/>
      <c r="F260" s="1"/>
      <c r="G260" s="1"/>
      <c r="H260" s="1"/>
      <c r="I260" s="1"/>
      <c r="J260" s="1"/>
      <c r="K260" s="2"/>
      <c r="L260" s="1"/>
      <c r="M260" s="3"/>
      <c r="N260" s="3"/>
      <c r="O260" s="4"/>
      <c r="P260" s="4"/>
      <c r="Q260" s="4"/>
      <c r="R260" s="4"/>
      <c r="S260" s="4"/>
      <c r="T260" s="4"/>
      <c r="U260" s="4"/>
      <c r="V260" s="4"/>
      <c r="W260" s="4"/>
      <c r="X260" s="3"/>
      <c r="Y260" s="2"/>
      <c r="Z260" s="2"/>
      <c r="AA260" s="1"/>
      <c r="AB260" s="1"/>
      <c r="AC260" s="1"/>
      <c r="AD260" s="1"/>
      <c r="AE260" s="1"/>
      <c r="AF260" s="1"/>
      <c r="AG260" s="1"/>
      <c r="AH260" s="1"/>
    </row>
    <row r="261" ht="13.5" customHeight="1">
      <c r="A261" s="1"/>
      <c r="B261" s="1"/>
      <c r="C261" s="3"/>
      <c r="D261" s="1"/>
      <c r="E261" s="1"/>
      <c r="F261" s="1"/>
      <c r="G261" s="1"/>
      <c r="H261" s="1"/>
      <c r="I261" s="1"/>
      <c r="J261" s="1"/>
      <c r="K261" s="2"/>
      <c r="L261" s="1"/>
      <c r="M261" s="3"/>
      <c r="N261" s="3"/>
      <c r="O261" s="4"/>
      <c r="P261" s="4"/>
      <c r="Q261" s="4"/>
      <c r="R261" s="4"/>
      <c r="S261" s="4"/>
      <c r="T261" s="4"/>
      <c r="U261" s="4"/>
      <c r="V261" s="4"/>
      <c r="W261" s="4"/>
      <c r="X261" s="3"/>
      <c r="Y261" s="2"/>
      <c r="Z261" s="2"/>
      <c r="AA261" s="1"/>
      <c r="AB261" s="1"/>
      <c r="AC261" s="1"/>
      <c r="AD261" s="1"/>
      <c r="AE261" s="1"/>
      <c r="AF261" s="1"/>
      <c r="AG261" s="1"/>
      <c r="AH261" s="1"/>
    </row>
    <row r="262" ht="13.5" customHeight="1">
      <c r="A262" s="1"/>
      <c r="B262" s="1"/>
      <c r="C262" s="3"/>
      <c r="D262" s="1"/>
      <c r="E262" s="1"/>
      <c r="F262" s="1"/>
      <c r="G262" s="1"/>
      <c r="H262" s="1"/>
      <c r="I262" s="1"/>
      <c r="J262" s="1"/>
      <c r="K262" s="2"/>
      <c r="L262" s="1"/>
      <c r="M262" s="3"/>
      <c r="N262" s="3"/>
      <c r="O262" s="4"/>
      <c r="P262" s="4"/>
      <c r="Q262" s="4"/>
      <c r="R262" s="4"/>
      <c r="S262" s="4"/>
      <c r="T262" s="4"/>
      <c r="U262" s="4"/>
      <c r="V262" s="4"/>
      <c r="W262" s="4"/>
      <c r="X262" s="3"/>
      <c r="Y262" s="2"/>
      <c r="Z262" s="2"/>
      <c r="AA262" s="1"/>
      <c r="AB262" s="1"/>
      <c r="AC262" s="1"/>
      <c r="AD262" s="1"/>
      <c r="AE262" s="1"/>
      <c r="AF262" s="1"/>
      <c r="AG262" s="1"/>
      <c r="AH262" s="1"/>
    </row>
    <row r="263" ht="13.5" customHeight="1">
      <c r="A263" s="1"/>
      <c r="B263" s="1"/>
      <c r="C263" s="3"/>
      <c r="D263" s="1"/>
      <c r="E263" s="1"/>
      <c r="F263" s="1"/>
      <c r="G263" s="1"/>
      <c r="H263" s="1"/>
      <c r="I263" s="1"/>
      <c r="J263" s="1"/>
      <c r="K263" s="2"/>
      <c r="L263" s="1"/>
      <c r="M263" s="3"/>
      <c r="N263" s="3"/>
      <c r="O263" s="4"/>
      <c r="P263" s="4"/>
      <c r="Q263" s="4"/>
      <c r="R263" s="4"/>
      <c r="S263" s="4"/>
      <c r="T263" s="4"/>
      <c r="U263" s="4"/>
      <c r="V263" s="4"/>
      <c r="W263" s="4"/>
      <c r="X263" s="3"/>
      <c r="Y263" s="2"/>
      <c r="Z263" s="2"/>
      <c r="AA263" s="1"/>
      <c r="AB263" s="1"/>
      <c r="AC263" s="1"/>
      <c r="AD263" s="1"/>
      <c r="AE263" s="1"/>
      <c r="AF263" s="1"/>
      <c r="AG263" s="1"/>
      <c r="AH263" s="1"/>
    </row>
    <row r="264" ht="13.5" customHeight="1">
      <c r="A264" s="1"/>
      <c r="B264" s="1"/>
      <c r="C264" s="3"/>
      <c r="D264" s="1"/>
      <c r="E264" s="1"/>
      <c r="F264" s="1"/>
      <c r="G264" s="1"/>
      <c r="H264" s="1"/>
      <c r="I264" s="1"/>
      <c r="J264" s="1"/>
      <c r="K264" s="2"/>
      <c r="L264" s="1"/>
      <c r="M264" s="3"/>
      <c r="N264" s="3"/>
      <c r="O264" s="4"/>
      <c r="P264" s="4"/>
      <c r="Q264" s="4"/>
      <c r="R264" s="4"/>
      <c r="S264" s="4"/>
      <c r="T264" s="4"/>
      <c r="U264" s="4"/>
      <c r="V264" s="4"/>
      <c r="W264" s="4"/>
      <c r="X264" s="3"/>
      <c r="Y264" s="2"/>
      <c r="Z264" s="2"/>
      <c r="AA264" s="1"/>
      <c r="AB264" s="1"/>
      <c r="AC264" s="1"/>
      <c r="AD264" s="1"/>
      <c r="AE264" s="1"/>
      <c r="AF264" s="1"/>
      <c r="AG264" s="1"/>
      <c r="AH264" s="1"/>
    </row>
    <row r="265" ht="13.5" customHeight="1">
      <c r="A265" s="1"/>
      <c r="B265" s="1"/>
      <c r="C265" s="3"/>
      <c r="D265" s="1"/>
      <c r="E265" s="1"/>
      <c r="F265" s="1"/>
      <c r="G265" s="1"/>
      <c r="H265" s="1"/>
      <c r="I265" s="1"/>
      <c r="J265" s="1"/>
      <c r="K265" s="2"/>
      <c r="L265" s="1"/>
      <c r="M265" s="3"/>
      <c r="N265" s="3"/>
      <c r="O265" s="4"/>
      <c r="P265" s="4"/>
      <c r="Q265" s="4"/>
      <c r="R265" s="4"/>
      <c r="S265" s="4"/>
      <c r="T265" s="4"/>
      <c r="U265" s="4"/>
      <c r="V265" s="4"/>
      <c r="W265" s="4"/>
      <c r="X265" s="3"/>
      <c r="Y265" s="2"/>
      <c r="Z265" s="2"/>
      <c r="AA265" s="1"/>
      <c r="AB265" s="1"/>
      <c r="AC265" s="1"/>
      <c r="AD265" s="1"/>
      <c r="AE265" s="1"/>
      <c r="AF265" s="1"/>
      <c r="AG265" s="1"/>
      <c r="AH265" s="1"/>
    </row>
    <row r="266" ht="13.5" customHeight="1">
      <c r="A266" s="1"/>
      <c r="B266" s="1"/>
      <c r="C266" s="3"/>
      <c r="D266" s="1"/>
      <c r="E266" s="1"/>
      <c r="F266" s="1"/>
      <c r="G266" s="1"/>
      <c r="H266" s="1"/>
      <c r="I266" s="1"/>
      <c r="J266" s="1"/>
      <c r="K266" s="2"/>
      <c r="L266" s="1"/>
      <c r="M266" s="3"/>
      <c r="N266" s="3"/>
      <c r="O266" s="4"/>
      <c r="P266" s="4"/>
      <c r="Q266" s="4"/>
      <c r="R266" s="4"/>
      <c r="S266" s="4"/>
      <c r="T266" s="4"/>
      <c r="U266" s="4"/>
      <c r="V266" s="4"/>
      <c r="W266" s="4"/>
      <c r="X266" s="3"/>
      <c r="Y266" s="2"/>
      <c r="Z266" s="2"/>
      <c r="AA266" s="1"/>
      <c r="AB266" s="1"/>
      <c r="AC266" s="1"/>
      <c r="AD266" s="1"/>
      <c r="AE266" s="1"/>
      <c r="AF266" s="1"/>
      <c r="AG266" s="1"/>
      <c r="AH266" s="1"/>
    </row>
    <row r="267" ht="13.5" customHeight="1">
      <c r="A267" s="1"/>
      <c r="B267" s="1"/>
      <c r="C267" s="3"/>
      <c r="D267" s="1"/>
      <c r="E267" s="1"/>
      <c r="F267" s="1"/>
      <c r="G267" s="1"/>
      <c r="H267" s="1"/>
      <c r="I267" s="1"/>
      <c r="J267" s="1"/>
      <c r="K267" s="2"/>
      <c r="L267" s="1"/>
      <c r="M267" s="3"/>
      <c r="N267" s="3"/>
      <c r="O267" s="4"/>
      <c r="P267" s="4"/>
      <c r="Q267" s="4"/>
      <c r="R267" s="4"/>
      <c r="S267" s="4"/>
      <c r="T267" s="4"/>
      <c r="U267" s="4"/>
      <c r="V267" s="4"/>
      <c r="W267" s="4"/>
      <c r="X267" s="3"/>
      <c r="Y267" s="2"/>
      <c r="Z267" s="2"/>
      <c r="AA267" s="1"/>
      <c r="AB267" s="1"/>
      <c r="AC267" s="1"/>
      <c r="AD267" s="1"/>
      <c r="AE267" s="1"/>
      <c r="AF267" s="1"/>
      <c r="AG267" s="1"/>
      <c r="AH267" s="1"/>
    </row>
    <row r="268" ht="13.5" customHeight="1">
      <c r="A268" s="1"/>
      <c r="B268" s="1"/>
      <c r="C268" s="3"/>
      <c r="D268" s="1"/>
      <c r="E268" s="1"/>
      <c r="F268" s="1"/>
      <c r="G268" s="1"/>
      <c r="H268" s="1"/>
      <c r="I268" s="1"/>
      <c r="J268" s="1"/>
      <c r="K268" s="2"/>
      <c r="L268" s="1"/>
      <c r="M268" s="3"/>
      <c r="N268" s="3"/>
      <c r="O268" s="4"/>
      <c r="P268" s="4"/>
      <c r="Q268" s="4"/>
      <c r="R268" s="4"/>
      <c r="S268" s="4"/>
      <c r="T268" s="4"/>
      <c r="U268" s="4"/>
      <c r="V268" s="4"/>
      <c r="W268" s="4"/>
      <c r="X268" s="3"/>
      <c r="Y268" s="2"/>
      <c r="Z268" s="2"/>
      <c r="AA268" s="1"/>
      <c r="AB268" s="1"/>
      <c r="AC268" s="1"/>
      <c r="AD268" s="1"/>
      <c r="AE268" s="1"/>
      <c r="AF268" s="1"/>
      <c r="AG268" s="1"/>
      <c r="AH268" s="1"/>
    </row>
    <row r="269" ht="13.5" customHeight="1">
      <c r="A269" s="1"/>
      <c r="B269" s="1"/>
      <c r="C269" s="3"/>
      <c r="D269" s="1"/>
      <c r="E269" s="1"/>
      <c r="F269" s="1"/>
      <c r="G269" s="1"/>
      <c r="H269" s="1"/>
      <c r="I269" s="1"/>
      <c r="J269" s="1"/>
      <c r="K269" s="2"/>
      <c r="L269" s="1"/>
      <c r="M269" s="3"/>
      <c r="N269" s="3"/>
      <c r="O269" s="4"/>
      <c r="P269" s="4"/>
      <c r="Q269" s="4"/>
      <c r="R269" s="4"/>
      <c r="S269" s="4"/>
      <c r="T269" s="4"/>
      <c r="U269" s="4"/>
      <c r="V269" s="4"/>
      <c r="W269" s="4"/>
      <c r="X269" s="3"/>
      <c r="Y269" s="2"/>
      <c r="Z269" s="2"/>
      <c r="AA269" s="1"/>
      <c r="AB269" s="1"/>
      <c r="AC269" s="1"/>
      <c r="AD269" s="1"/>
      <c r="AE269" s="1"/>
      <c r="AF269" s="1"/>
      <c r="AG269" s="1"/>
      <c r="AH269" s="1"/>
    </row>
    <row r="270" ht="13.5" customHeight="1">
      <c r="A270" s="1"/>
      <c r="B270" s="1"/>
      <c r="C270" s="3"/>
      <c r="D270" s="1"/>
      <c r="E270" s="1"/>
      <c r="F270" s="1"/>
      <c r="G270" s="1"/>
      <c r="H270" s="1"/>
      <c r="I270" s="1"/>
      <c r="J270" s="1"/>
      <c r="K270" s="2"/>
      <c r="L270" s="1"/>
      <c r="M270" s="3"/>
      <c r="N270" s="3"/>
      <c r="O270" s="4"/>
      <c r="P270" s="4"/>
      <c r="Q270" s="4"/>
      <c r="R270" s="4"/>
      <c r="S270" s="4"/>
      <c r="T270" s="4"/>
      <c r="U270" s="4"/>
      <c r="V270" s="4"/>
      <c r="W270" s="4"/>
      <c r="X270" s="3"/>
      <c r="Y270" s="2"/>
      <c r="Z270" s="2"/>
      <c r="AA270" s="1"/>
      <c r="AB270" s="1"/>
      <c r="AC270" s="1"/>
      <c r="AD270" s="1"/>
      <c r="AE270" s="1"/>
      <c r="AF270" s="1"/>
      <c r="AG270" s="1"/>
      <c r="AH270" s="1"/>
    </row>
    <row r="271" ht="13.5" customHeight="1">
      <c r="A271" s="1"/>
      <c r="B271" s="1"/>
      <c r="C271" s="3"/>
      <c r="D271" s="1"/>
      <c r="E271" s="1"/>
      <c r="F271" s="1"/>
      <c r="G271" s="1"/>
      <c r="H271" s="1"/>
      <c r="I271" s="1"/>
      <c r="J271" s="1"/>
      <c r="K271" s="2"/>
      <c r="L271" s="1"/>
      <c r="M271" s="3"/>
      <c r="N271" s="3"/>
      <c r="O271" s="4"/>
      <c r="P271" s="4"/>
      <c r="Q271" s="4"/>
      <c r="R271" s="4"/>
      <c r="S271" s="4"/>
      <c r="T271" s="4"/>
      <c r="U271" s="4"/>
      <c r="V271" s="4"/>
      <c r="W271" s="4"/>
      <c r="X271" s="3"/>
      <c r="Y271" s="2"/>
      <c r="Z271" s="2"/>
      <c r="AA271" s="1"/>
      <c r="AB271" s="1"/>
      <c r="AC271" s="1"/>
      <c r="AD271" s="1"/>
      <c r="AE271" s="1"/>
      <c r="AF271" s="1"/>
      <c r="AG271" s="1"/>
      <c r="AH271" s="1"/>
    </row>
    <row r="272" ht="13.5" customHeight="1">
      <c r="A272" s="1"/>
      <c r="B272" s="1"/>
      <c r="C272" s="3"/>
      <c r="D272" s="1"/>
      <c r="E272" s="1"/>
      <c r="F272" s="1"/>
      <c r="G272" s="1"/>
      <c r="H272" s="1"/>
      <c r="I272" s="1"/>
      <c r="J272" s="1"/>
      <c r="K272" s="2"/>
      <c r="L272" s="1"/>
      <c r="M272" s="3"/>
      <c r="N272" s="3"/>
      <c r="O272" s="4"/>
      <c r="P272" s="4"/>
      <c r="Q272" s="4"/>
      <c r="R272" s="4"/>
      <c r="S272" s="4"/>
      <c r="T272" s="4"/>
      <c r="U272" s="4"/>
      <c r="V272" s="4"/>
      <c r="W272" s="4"/>
      <c r="X272" s="3"/>
      <c r="Y272" s="2"/>
      <c r="Z272" s="2"/>
      <c r="AA272" s="1"/>
      <c r="AB272" s="1"/>
      <c r="AC272" s="1"/>
      <c r="AD272" s="1"/>
      <c r="AE272" s="1"/>
      <c r="AF272" s="1"/>
      <c r="AG272" s="1"/>
      <c r="AH272" s="1"/>
    </row>
    <row r="273" ht="13.5" customHeight="1">
      <c r="A273" s="1"/>
      <c r="B273" s="1"/>
      <c r="C273" s="3"/>
      <c r="D273" s="1"/>
      <c r="E273" s="1"/>
      <c r="F273" s="1"/>
      <c r="G273" s="1"/>
      <c r="H273" s="1"/>
      <c r="I273" s="1"/>
      <c r="J273" s="1"/>
      <c r="K273" s="2"/>
      <c r="L273" s="1"/>
      <c r="M273" s="3"/>
      <c r="N273" s="3"/>
      <c r="O273" s="4"/>
      <c r="P273" s="4"/>
      <c r="Q273" s="4"/>
      <c r="R273" s="4"/>
      <c r="S273" s="4"/>
      <c r="T273" s="4"/>
      <c r="U273" s="4"/>
      <c r="V273" s="4"/>
      <c r="W273" s="4"/>
      <c r="X273" s="3"/>
      <c r="Y273" s="2"/>
      <c r="Z273" s="2"/>
      <c r="AA273" s="1"/>
      <c r="AB273" s="1"/>
      <c r="AC273" s="1"/>
      <c r="AD273" s="1"/>
      <c r="AE273" s="1"/>
      <c r="AF273" s="1"/>
      <c r="AG273" s="1"/>
      <c r="AH273" s="1"/>
    </row>
    <row r="274" ht="13.5" customHeight="1">
      <c r="A274" s="1"/>
      <c r="B274" s="1"/>
      <c r="C274" s="3"/>
      <c r="D274" s="1"/>
      <c r="E274" s="1"/>
      <c r="F274" s="1"/>
      <c r="G274" s="1"/>
      <c r="H274" s="1"/>
      <c r="I274" s="1"/>
      <c r="J274" s="1"/>
      <c r="K274" s="2"/>
      <c r="L274" s="1"/>
      <c r="M274" s="3"/>
      <c r="N274" s="3"/>
      <c r="O274" s="4"/>
      <c r="P274" s="4"/>
      <c r="Q274" s="4"/>
      <c r="R274" s="4"/>
      <c r="S274" s="4"/>
      <c r="T274" s="4"/>
      <c r="U274" s="4"/>
      <c r="V274" s="4"/>
      <c r="W274" s="4"/>
      <c r="X274" s="3"/>
      <c r="Y274" s="2"/>
      <c r="Z274" s="2"/>
      <c r="AA274" s="1"/>
      <c r="AB274" s="1"/>
      <c r="AC274" s="1"/>
      <c r="AD274" s="1"/>
      <c r="AE274" s="1"/>
      <c r="AF274" s="1"/>
      <c r="AG274" s="1"/>
      <c r="AH274" s="1"/>
    </row>
    <row r="275" ht="13.5" customHeight="1">
      <c r="A275" s="1"/>
      <c r="B275" s="1"/>
      <c r="C275" s="3"/>
      <c r="D275" s="1"/>
      <c r="E275" s="1"/>
      <c r="F275" s="1"/>
      <c r="G275" s="1"/>
      <c r="H275" s="1"/>
      <c r="I275" s="1"/>
      <c r="J275" s="1"/>
      <c r="K275" s="2"/>
      <c r="L275" s="1"/>
      <c r="M275" s="3"/>
      <c r="N275" s="3"/>
      <c r="O275" s="4"/>
      <c r="P275" s="4"/>
      <c r="Q275" s="4"/>
      <c r="R275" s="4"/>
      <c r="S275" s="4"/>
      <c r="T275" s="4"/>
      <c r="U275" s="4"/>
      <c r="V275" s="4"/>
      <c r="W275" s="4"/>
      <c r="X275" s="3"/>
      <c r="Y275" s="2"/>
      <c r="Z275" s="2"/>
      <c r="AA275" s="1"/>
      <c r="AB275" s="1"/>
      <c r="AC275" s="1"/>
      <c r="AD275" s="1"/>
      <c r="AE275" s="1"/>
      <c r="AF275" s="1"/>
      <c r="AG275" s="1"/>
      <c r="AH275" s="1"/>
    </row>
    <row r="276" ht="13.5" customHeight="1">
      <c r="A276" s="1"/>
      <c r="B276" s="1"/>
      <c r="C276" s="3"/>
      <c r="D276" s="1"/>
      <c r="E276" s="1"/>
      <c r="F276" s="1"/>
      <c r="G276" s="1"/>
      <c r="H276" s="1"/>
      <c r="I276" s="1"/>
      <c r="J276" s="1"/>
      <c r="K276" s="2"/>
      <c r="L276" s="1"/>
      <c r="M276" s="3"/>
      <c r="N276" s="3"/>
      <c r="O276" s="4"/>
      <c r="P276" s="4"/>
      <c r="Q276" s="4"/>
      <c r="R276" s="4"/>
      <c r="S276" s="4"/>
      <c r="T276" s="4"/>
      <c r="U276" s="4"/>
      <c r="V276" s="4"/>
      <c r="W276" s="4"/>
      <c r="X276" s="3"/>
      <c r="Y276" s="2"/>
      <c r="Z276" s="2"/>
      <c r="AA276" s="1"/>
      <c r="AB276" s="1"/>
      <c r="AC276" s="1"/>
      <c r="AD276" s="1"/>
      <c r="AE276" s="1"/>
      <c r="AF276" s="1"/>
      <c r="AG276" s="1"/>
      <c r="AH276" s="1"/>
    </row>
    <row r="277" ht="13.5" customHeight="1">
      <c r="A277" s="1"/>
      <c r="B277" s="1"/>
      <c r="C277" s="3"/>
      <c r="D277" s="1"/>
      <c r="E277" s="1"/>
      <c r="F277" s="1"/>
      <c r="G277" s="1"/>
      <c r="H277" s="1"/>
      <c r="I277" s="1"/>
      <c r="J277" s="1"/>
      <c r="K277" s="2"/>
      <c r="L277" s="1"/>
      <c r="M277" s="3"/>
      <c r="N277" s="3"/>
      <c r="O277" s="4"/>
      <c r="P277" s="4"/>
      <c r="Q277" s="4"/>
      <c r="R277" s="4"/>
      <c r="S277" s="4"/>
      <c r="T277" s="4"/>
      <c r="U277" s="4"/>
      <c r="V277" s="4"/>
      <c r="W277" s="4"/>
      <c r="X277" s="3"/>
      <c r="Y277" s="2"/>
      <c r="Z277" s="2"/>
      <c r="AA277" s="1"/>
      <c r="AB277" s="1"/>
      <c r="AC277" s="1"/>
      <c r="AD277" s="1"/>
      <c r="AE277" s="1"/>
      <c r="AF277" s="1"/>
      <c r="AG277" s="1"/>
      <c r="AH277" s="1"/>
    </row>
    <row r="278" ht="13.5" customHeight="1">
      <c r="A278" s="1"/>
      <c r="B278" s="1"/>
      <c r="C278" s="3"/>
      <c r="D278" s="1"/>
      <c r="E278" s="1"/>
      <c r="F278" s="1"/>
      <c r="G278" s="1"/>
      <c r="H278" s="1"/>
      <c r="I278" s="1"/>
      <c r="J278" s="1"/>
      <c r="K278" s="2"/>
      <c r="L278" s="1"/>
      <c r="M278" s="3"/>
      <c r="N278" s="3"/>
      <c r="O278" s="4"/>
      <c r="P278" s="4"/>
      <c r="Q278" s="4"/>
      <c r="R278" s="4"/>
      <c r="S278" s="4"/>
      <c r="T278" s="4"/>
      <c r="U278" s="4"/>
      <c r="V278" s="4"/>
      <c r="W278" s="4"/>
      <c r="X278" s="3"/>
      <c r="Y278" s="2"/>
      <c r="Z278" s="2"/>
      <c r="AA278" s="1"/>
      <c r="AB278" s="1"/>
      <c r="AC278" s="1"/>
      <c r="AD278" s="1"/>
      <c r="AE278" s="1"/>
      <c r="AF278" s="1"/>
      <c r="AG278" s="1"/>
      <c r="AH278" s="1"/>
    </row>
    <row r="279" ht="13.5" customHeight="1">
      <c r="A279" s="1"/>
      <c r="B279" s="1"/>
      <c r="C279" s="3"/>
      <c r="D279" s="1"/>
      <c r="E279" s="1"/>
      <c r="F279" s="1"/>
      <c r="G279" s="1"/>
      <c r="H279" s="1"/>
      <c r="I279" s="1"/>
      <c r="J279" s="1"/>
      <c r="K279" s="2"/>
      <c r="L279" s="1"/>
      <c r="M279" s="3"/>
      <c r="N279" s="3"/>
      <c r="O279" s="4"/>
      <c r="P279" s="4"/>
      <c r="Q279" s="4"/>
      <c r="R279" s="4"/>
      <c r="S279" s="4"/>
      <c r="T279" s="4"/>
      <c r="U279" s="4"/>
      <c r="V279" s="4"/>
      <c r="W279" s="4"/>
      <c r="X279" s="3"/>
      <c r="Y279" s="2"/>
      <c r="Z279" s="2"/>
      <c r="AA279" s="1"/>
      <c r="AB279" s="1"/>
      <c r="AC279" s="1"/>
      <c r="AD279" s="1"/>
      <c r="AE279" s="1"/>
      <c r="AF279" s="1"/>
      <c r="AG279" s="1"/>
      <c r="AH279" s="1"/>
    </row>
    <row r="280" ht="13.5" customHeight="1">
      <c r="A280" s="1"/>
      <c r="B280" s="1"/>
      <c r="C280" s="3"/>
      <c r="D280" s="1"/>
      <c r="E280" s="1"/>
      <c r="F280" s="1"/>
      <c r="G280" s="1"/>
      <c r="H280" s="1"/>
      <c r="I280" s="1"/>
      <c r="J280" s="1"/>
      <c r="K280" s="2"/>
      <c r="L280" s="1"/>
      <c r="M280" s="3"/>
      <c r="N280" s="3"/>
      <c r="O280" s="4"/>
      <c r="P280" s="4"/>
      <c r="Q280" s="4"/>
      <c r="R280" s="4"/>
      <c r="S280" s="4"/>
      <c r="T280" s="4"/>
      <c r="U280" s="4"/>
      <c r="V280" s="4"/>
      <c r="W280" s="4"/>
      <c r="X280" s="3"/>
      <c r="Y280" s="2"/>
      <c r="Z280" s="2"/>
      <c r="AA280" s="1"/>
      <c r="AB280" s="1"/>
      <c r="AC280" s="1"/>
      <c r="AD280" s="1"/>
      <c r="AE280" s="1"/>
      <c r="AF280" s="1"/>
      <c r="AG280" s="1"/>
      <c r="AH280" s="1"/>
    </row>
    <row r="281" ht="13.5" customHeight="1">
      <c r="A281" s="1"/>
      <c r="B281" s="1"/>
      <c r="C281" s="3"/>
      <c r="D281" s="1"/>
      <c r="E281" s="1"/>
      <c r="F281" s="1"/>
      <c r="G281" s="1"/>
      <c r="H281" s="1"/>
      <c r="I281" s="1"/>
      <c r="J281" s="1"/>
      <c r="K281" s="2"/>
      <c r="L281" s="1"/>
      <c r="M281" s="3"/>
      <c r="N281" s="3"/>
      <c r="O281" s="4"/>
      <c r="P281" s="4"/>
      <c r="Q281" s="4"/>
      <c r="R281" s="4"/>
      <c r="S281" s="4"/>
      <c r="T281" s="4"/>
      <c r="U281" s="4"/>
      <c r="V281" s="4"/>
      <c r="W281" s="4"/>
      <c r="X281" s="3"/>
      <c r="Y281" s="2"/>
      <c r="Z281" s="2"/>
      <c r="AA281" s="1"/>
      <c r="AB281" s="1"/>
      <c r="AC281" s="1"/>
      <c r="AD281" s="1"/>
      <c r="AE281" s="1"/>
      <c r="AF281" s="1"/>
      <c r="AG281" s="1"/>
      <c r="AH281" s="1"/>
    </row>
    <row r="282" ht="13.5" customHeight="1">
      <c r="A282" s="1"/>
      <c r="B282" s="1"/>
      <c r="C282" s="3"/>
      <c r="D282" s="1"/>
      <c r="E282" s="1"/>
      <c r="F282" s="1"/>
      <c r="G282" s="1"/>
      <c r="H282" s="1"/>
      <c r="I282" s="1"/>
      <c r="J282" s="1"/>
      <c r="K282" s="2"/>
      <c r="L282" s="1"/>
      <c r="M282" s="3"/>
      <c r="N282" s="3"/>
      <c r="O282" s="4"/>
      <c r="P282" s="4"/>
      <c r="Q282" s="4"/>
      <c r="R282" s="4"/>
      <c r="S282" s="4"/>
      <c r="T282" s="4"/>
      <c r="U282" s="4"/>
      <c r="V282" s="4"/>
      <c r="W282" s="4"/>
      <c r="X282" s="3"/>
      <c r="Y282" s="2"/>
      <c r="Z282" s="2"/>
      <c r="AA282" s="1"/>
      <c r="AB282" s="1"/>
      <c r="AC282" s="1"/>
      <c r="AD282" s="1"/>
      <c r="AE282" s="1"/>
      <c r="AF282" s="1"/>
      <c r="AG282" s="1"/>
      <c r="AH282" s="1"/>
    </row>
    <row r="283" ht="13.5" customHeight="1">
      <c r="A283" s="1"/>
      <c r="B283" s="1"/>
      <c r="C283" s="3"/>
      <c r="D283" s="1"/>
      <c r="E283" s="1"/>
      <c r="F283" s="1"/>
      <c r="G283" s="1"/>
      <c r="H283" s="1"/>
      <c r="I283" s="1"/>
      <c r="J283" s="1"/>
      <c r="K283" s="2"/>
      <c r="L283" s="1"/>
      <c r="M283" s="3"/>
      <c r="N283" s="3"/>
      <c r="O283" s="4"/>
      <c r="P283" s="4"/>
      <c r="Q283" s="4"/>
      <c r="R283" s="4"/>
      <c r="S283" s="4"/>
      <c r="T283" s="4"/>
      <c r="U283" s="4"/>
      <c r="V283" s="4"/>
      <c r="W283" s="4"/>
      <c r="X283" s="3"/>
      <c r="Y283" s="2"/>
      <c r="Z283" s="2"/>
      <c r="AA283" s="1"/>
      <c r="AB283" s="1"/>
      <c r="AC283" s="1"/>
      <c r="AD283" s="1"/>
      <c r="AE283" s="1"/>
      <c r="AF283" s="1"/>
      <c r="AG283" s="1"/>
      <c r="AH283" s="1"/>
    </row>
    <row r="284" ht="13.5" customHeight="1">
      <c r="A284" s="1"/>
      <c r="B284" s="1"/>
      <c r="C284" s="3"/>
      <c r="D284" s="1"/>
      <c r="E284" s="1"/>
      <c r="F284" s="1"/>
      <c r="G284" s="1"/>
      <c r="H284" s="1"/>
      <c r="I284" s="1"/>
      <c r="J284" s="1"/>
      <c r="K284" s="2"/>
      <c r="L284" s="1"/>
      <c r="M284" s="3"/>
      <c r="N284" s="3"/>
      <c r="O284" s="4"/>
      <c r="P284" s="4"/>
      <c r="Q284" s="4"/>
      <c r="R284" s="4"/>
      <c r="S284" s="4"/>
      <c r="T284" s="4"/>
      <c r="U284" s="4"/>
      <c r="V284" s="4"/>
      <c r="W284" s="4"/>
      <c r="X284" s="3"/>
      <c r="Y284" s="2"/>
      <c r="Z284" s="2"/>
      <c r="AA284" s="1"/>
      <c r="AB284" s="1"/>
      <c r="AC284" s="1"/>
      <c r="AD284" s="1"/>
      <c r="AE284" s="1"/>
      <c r="AF284" s="1"/>
      <c r="AG284" s="1"/>
      <c r="AH284" s="1"/>
    </row>
    <row r="285" ht="13.5" customHeight="1">
      <c r="A285" s="1"/>
      <c r="B285" s="1"/>
      <c r="C285" s="3"/>
      <c r="D285" s="1"/>
      <c r="E285" s="1"/>
      <c r="F285" s="1"/>
      <c r="G285" s="1"/>
      <c r="H285" s="1"/>
      <c r="I285" s="1"/>
      <c r="J285" s="1"/>
      <c r="K285" s="2"/>
      <c r="L285" s="1"/>
      <c r="M285" s="3"/>
      <c r="N285" s="3"/>
      <c r="O285" s="4"/>
      <c r="P285" s="4"/>
      <c r="Q285" s="4"/>
      <c r="R285" s="4"/>
      <c r="S285" s="4"/>
      <c r="T285" s="4"/>
      <c r="U285" s="4"/>
      <c r="V285" s="4"/>
      <c r="W285" s="4"/>
      <c r="X285" s="3"/>
      <c r="Y285" s="2"/>
      <c r="Z285" s="2"/>
      <c r="AA285" s="1"/>
      <c r="AB285" s="1"/>
      <c r="AC285" s="1"/>
      <c r="AD285" s="1"/>
      <c r="AE285" s="1"/>
      <c r="AF285" s="1"/>
      <c r="AG285" s="1"/>
      <c r="AH285" s="1"/>
    </row>
    <row r="286" ht="13.5" customHeight="1">
      <c r="A286" s="1"/>
      <c r="B286" s="1"/>
      <c r="C286" s="3"/>
      <c r="D286" s="1"/>
      <c r="E286" s="1"/>
      <c r="F286" s="1"/>
      <c r="G286" s="1"/>
      <c r="H286" s="1"/>
      <c r="I286" s="1"/>
      <c r="J286" s="1"/>
      <c r="K286" s="2"/>
      <c r="L286" s="1"/>
      <c r="M286" s="3"/>
      <c r="N286" s="3"/>
      <c r="O286" s="4"/>
      <c r="P286" s="4"/>
      <c r="Q286" s="4"/>
      <c r="R286" s="4"/>
      <c r="S286" s="4"/>
      <c r="T286" s="4"/>
      <c r="U286" s="4"/>
      <c r="V286" s="4"/>
      <c r="W286" s="4"/>
      <c r="X286" s="3"/>
      <c r="Y286" s="2"/>
      <c r="Z286" s="2"/>
      <c r="AA286" s="1"/>
      <c r="AB286" s="1"/>
      <c r="AC286" s="1"/>
      <c r="AD286" s="1"/>
      <c r="AE286" s="1"/>
      <c r="AF286" s="1"/>
      <c r="AG286" s="1"/>
      <c r="AH286" s="1"/>
    </row>
    <row r="287" ht="13.5" customHeight="1">
      <c r="A287" s="1"/>
      <c r="B287" s="1"/>
      <c r="C287" s="3"/>
      <c r="D287" s="1"/>
      <c r="E287" s="1"/>
      <c r="F287" s="1"/>
      <c r="G287" s="1"/>
      <c r="H287" s="1"/>
      <c r="I287" s="1"/>
      <c r="J287" s="1"/>
      <c r="K287" s="2"/>
      <c r="L287" s="1"/>
      <c r="M287" s="3"/>
      <c r="N287" s="3"/>
      <c r="O287" s="4"/>
      <c r="P287" s="4"/>
      <c r="Q287" s="4"/>
      <c r="R287" s="4"/>
      <c r="S287" s="4"/>
      <c r="T287" s="4"/>
      <c r="U287" s="4"/>
      <c r="V287" s="4"/>
      <c r="W287" s="4"/>
      <c r="X287" s="3"/>
      <c r="Y287" s="2"/>
      <c r="Z287" s="2"/>
      <c r="AA287" s="1"/>
      <c r="AB287" s="1"/>
      <c r="AC287" s="1"/>
      <c r="AD287" s="1"/>
      <c r="AE287" s="1"/>
      <c r="AF287" s="1"/>
      <c r="AG287" s="1"/>
      <c r="AH287" s="1"/>
    </row>
    <row r="288" ht="13.5" customHeight="1">
      <c r="A288" s="1"/>
      <c r="B288" s="1"/>
      <c r="C288" s="3"/>
      <c r="D288" s="1"/>
      <c r="E288" s="1"/>
      <c r="F288" s="1"/>
      <c r="G288" s="1"/>
      <c r="H288" s="1"/>
      <c r="I288" s="1"/>
      <c r="J288" s="1"/>
      <c r="K288" s="2"/>
      <c r="L288" s="1"/>
      <c r="M288" s="3"/>
      <c r="N288" s="3"/>
      <c r="O288" s="4"/>
      <c r="P288" s="4"/>
      <c r="Q288" s="4"/>
      <c r="R288" s="4"/>
      <c r="S288" s="4"/>
      <c r="T288" s="4"/>
      <c r="U288" s="4"/>
      <c r="V288" s="4"/>
      <c r="W288" s="4"/>
      <c r="X288" s="3"/>
      <c r="Y288" s="2"/>
      <c r="Z288" s="2"/>
      <c r="AA288" s="1"/>
      <c r="AB288" s="1"/>
      <c r="AC288" s="1"/>
      <c r="AD288" s="1"/>
      <c r="AE288" s="1"/>
      <c r="AF288" s="1"/>
      <c r="AG288" s="1"/>
      <c r="AH288" s="1"/>
    </row>
    <row r="289" ht="13.5" customHeight="1">
      <c r="A289" s="1"/>
      <c r="B289" s="1"/>
      <c r="C289" s="3"/>
      <c r="D289" s="1"/>
      <c r="E289" s="1"/>
      <c r="F289" s="1"/>
      <c r="G289" s="1"/>
      <c r="H289" s="1"/>
      <c r="I289" s="1"/>
      <c r="J289" s="1"/>
      <c r="K289" s="2"/>
      <c r="L289" s="1"/>
      <c r="M289" s="3"/>
      <c r="N289" s="3"/>
      <c r="O289" s="4"/>
      <c r="P289" s="4"/>
      <c r="Q289" s="4"/>
      <c r="R289" s="4"/>
      <c r="S289" s="4"/>
      <c r="T289" s="4"/>
      <c r="U289" s="4"/>
      <c r="V289" s="4"/>
      <c r="W289" s="4"/>
      <c r="X289" s="3"/>
      <c r="Y289" s="2"/>
      <c r="Z289" s="2"/>
      <c r="AA289" s="1"/>
      <c r="AB289" s="1"/>
      <c r="AC289" s="1"/>
      <c r="AD289" s="1"/>
      <c r="AE289" s="1"/>
      <c r="AF289" s="1"/>
      <c r="AG289" s="1"/>
      <c r="AH289" s="1"/>
    </row>
    <row r="290" ht="13.5" customHeight="1">
      <c r="A290" s="1"/>
      <c r="B290" s="1"/>
      <c r="C290" s="3"/>
      <c r="D290" s="1"/>
      <c r="E290" s="1"/>
      <c r="F290" s="1"/>
      <c r="G290" s="1"/>
      <c r="H290" s="1"/>
      <c r="I290" s="1"/>
      <c r="J290" s="1"/>
      <c r="K290" s="2"/>
      <c r="L290" s="1"/>
      <c r="M290" s="3"/>
      <c r="N290" s="3"/>
      <c r="O290" s="4"/>
      <c r="P290" s="4"/>
      <c r="Q290" s="4"/>
      <c r="R290" s="4"/>
      <c r="S290" s="4"/>
      <c r="T290" s="4"/>
      <c r="U290" s="4"/>
      <c r="V290" s="4"/>
      <c r="W290" s="4"/>
      <c r="X290" s="3"/>
      <c r="Y290" s="2"/>
      <c r="Z290" s="2"/>
      <c r="AA290" s="1"/>
      <c r="AB290" s="1"/>
      <c r="AC290" s="1"/>
      <c r="AD290" s="1"/>
      <c r="AE290" s="1"/>
      <c r="AF290" s="1"/>
      <c r="AG290" s="1"/>
      <c r="AH290" s="1"/>
    </row>
    <row r="291" ht="13.5" customHeight="1">
      <c r="A291" s="1"/>
      <c r="B291" s="1"/>
      <c r="C291" s="3"/>
      <c r="D291" s="1"/>
      <c r="E291" s="1"/>
      <c r="F291" s="1"/>
      <c r="G291" s="1"/>
      <c r="H291" s="1"/>
      <c r="I291" s="1"/>
      <c r="J291" s="1"/>
      <c r="K291" s="2"/>
      <c r="L291" s="1"/>
      <c r="M291" s="3"/>
      <c r="N291" s="3"/>
      <c r="O291" s="4"/>
      <c r="P291" s="4"/>
      <c r="Q291" s="4"/>
      <c r="R291" s="4"/>
      <c r="S291" s="4"/>
      <c r="T291" s="4"/>
      <c r="U291" s="4"/>
      <c r="V291" s="4"/>
      <c r="W291" s="4"/>
      <c r="X291" s="3"/>
      <c r="Y291" s="2"/>
      <c r="Z291" s="2"/>
      <c r="AA291" s="1"/>
      <c r="AB291" s="1"/>
      <c r="AC291" s="1"/>
      <c r="AD291" s="1"/>
      <c r="AE291" s="1"/>
      <c r="AF291" s="1"/>
      <c r="AG291" s="1"/>
      <c r="AH291" s="1"/>
    </row>
    <row r="292" ht="13.5" customHeight="1">
      <c r="A292" s="1"/>
      <c r="B292" s="1"/>
      <c r="C292" s="3"/>
      <c r="D292" s="1"/>
      <c r="E292" s="1"/>
      <c r="F292" s="1"/>
      <c r="G292" s="1"/>
      <c r="H292" s="1"/>
      <c r="I292" s="1"/>
      <c r="J292" s="1"/>
      <c r="K292" s="2"/>
      <c r="L292" s="1"/>
      <c r="M292" s="3"/>
      <c r="N292" s="3"/>
      <c r="O292" s="4"/>
      <c r="P292" s="4"/>
      <c r="Q292" s="4"/>
      <c r="R292" s="4"/>
      <c r="S292" s="4"/>
      <c r="T292" s="4"/>
      <c r="U292" s="4"/>
      <c r="V292" s="4"/>
      <c r="W292" s="4"/>
      <c r="X292" s="3"/>
      <c r="Y292" s="2"/>
      <c r="Z292" s="2"/>
      <c r="AA292" s="1"/>
      <c r="AB292" s="1"/>
      <c r="AC292" s="1"/>
      <c r="AD292" s="1"/>
      <c r="AE292" s="1"/>
      <c r="AF292" s="1"/>
      <c r="AG292" s="1"/>
      <c r="AH292" s="1"/>
    </row>
    <row r="293" ht="13.5" customHeight="1">
      <c r="A293" s="1"/>
      <c r="B293" s="1"/>
      <c r="C293" s="3"/>
      <c r="D293" s="1"/>
      <c r="E293" s="1"/>
      <c r="F293" s="1"/>
      <c r="G293" s="1"/>
      <c r="H293" s="1"/>
      <c r="I293" s="1"/>
      <c r="J293" s="1"/>
      <c r="K293" s="2"/>
      <c r="L293" s="1"/>
      <c r="M293" s="3"/>
      <c r="N293" s="3"/>
      <c r="O293" s="4"/>
      <c r="P293" s="4"/>
      <c r="Q293" s="4"/>
      <c r="R293" s="4"/>
      <c r="S293" s="4"/>
      <c r="T293" s="4"/>
      <c r="U293" s="4"/>
      <c r="V293" s="4"/>
      <c r="W293" s="4"/>
      <c r="X293" s="3"/>
      <c r="Y293" s="2"/>
      <c r="Z293" s="2"/>
      <c r="AA293" s="1"/>
      <c r="AB293" s="1"/>
      <c r="AC293" s="1"/>
      <c r="AD293" s="1"/>
      <c r="AE293" s="1"/>
      <c r="AF293" s="1"/>
      <c r="AG293" s="1"/>
      <c r="AH293" s="1"/>
    </row>
    <row r="294" ht="13.5" customHeight="1">
      <c r="A294" s="1"/>
      <c r="B294" s="1"/>
      <c r="C294" s="3"/>
      <c r="D294" s="1"/>
      <c r="E294" s="1"/>
      <c r="F294" s="1"/>
      <c r="G294" s="1"/>
      <c r="H294" s="1"/>
      <c r="I294" s="1"/>
      <c r="J294" s="1"/>
      <c r="K294" s="2"/>
      <c r="L294" s="1"/>
      <c r="M294" s="3"/>
      <c r="N294" s="3"/>
      <c r="O294" s="4"/>
      <c r="P294" s="4"/>
      <c r="Q294" s="4"/>
      <c r="R294" s="4"/>
      <c r="S294" s="4"/>
      <c r="T294" s="4"/>
      <c r="U294" s="4"/>
      <c r="V294" s="4"/>
      <c r="W294" s="4"/>
      <c r="X294" s="3"/>
      <c r="Y294" s="2"/>
      <c r="Z294" s="2"/>
      <c r="AA294" s="1"/>
      <c r="AB294" s="1"/>
      <c r="AC294" s="1"/>
      <c r="AD294" s="1"/>
      <c r="AE294" s="1"/>
      <c r="AF294" s="1"/>
      <c r="AG294" s="1"/>
      <c r="AH294" s="1"/>
    </row>
    <row r="295" ht="13.5" customHeight="1">
      <c r="A295" s="1"/>
      <c r="B295" s="1"/>
      <c r="C295" s="3"/>
      <c r="D295" s="1"/>
      <c r="E295" s="1"/>
      <c r="F295" s="1"/>
      <c r="G295" s="1"/>
      <c r="H295" s="1"/>
      <c r="I295" s="1"/>
      <c r="J295" s="1"/>
      <c r="K295" s="2"/>
      <c r="L295" s="1"/>
      <c r="M295" s="3"/>
      <c r="N295" s="3"/>
      <c r="O295" s="4"/>
      <c r="P295" s="4"/>
      <c r="Q295" s="4"/>
      <c r="R295" s="4"/>
      <c r="S295" s="4"/>
      <c r="T295" s="4"/>
      <c r="U295" s="4"/>
      <c r="V295" s="4"/>
      <c r="W295" s="4"/>
      <c r="X295" s="3"/>
      <c r="Y295" s="2"/>
      <c r="Z295" s="2"/>
      <c r="AA295" s="1"/>
      <c r="AB295" s="1"/>
      <c r="AC295" s="1"/>
      <c r="AD295" s="1"/>
      <c r="AE295" s="1"/>
      <c r="AF295" s="1"/>
      <c r="AG295" s="1"/>
      <c r="AH295" s="1"/>
    </row>
    <row r="296" ht="13.5" customHeight="1">
      <c r="A296" s="1"/>
      <c r="B296" s="1"/>
      <c r="C296" s="3"/>
      <c r="D296" s="1"/>
      <c r="E296" s="1"/>
      <c r="F296" s="1"/>
      <c r="G296" s="1"/>
      <c r="H296" s="1"/>
      <c r="I296" s="1"/>
      <c r="J296" s="1"/>
      <c r="K296" s="2"/>
      <c r="L296" s="1"/>
      <c r="M296" s="3"/>
      <c r="N296" s="3"/>
      <c r="O296" s="4"/>
      <c r="P296" s="4"/>
      <c r="Q296" s="4"/>
      <c r="R296" s="4"/>
      <c r="S296" s="4"/>
      <c r="T296" s="4"/>
      <c r="U296" s="4"/>
      <c r="V296" s="4"/>
      <c r="W296" s="4"/>
      <c r="X296" s="3"/>
      <c r="Y296" s="2"/>
      <c r="Z296" s="2"/>
      <c r="AA296" s="1"/>
      <c r="AB296" s="1"/>
      <c r="AC296" s="1"/>
      <c r="AD296" s="1"/>
      <c r="AE296" s="1"/>
      <c r="AF296" s="1"/>
      <c r="AG296" s="1"/>
      <c r="AH296" s="1"/>
    </row>
    <row r="297" ht="13.5" customHeight="1">
      <c r="A297" s="1"/>
      <c r="B297" s="1"/>
      <c r="C297" s="3"/>
      <c r="D297" s="1"/>
      <c r="E297" s="1"/>
      <c r="F297" s="1"/>
      <c r="G297" s="1"/>
      <c r="H297" s="1"/>
      <c r="I297" s="1"/>
      <c r="J297" s="1"/>
      <c r="K297" s="2"/>
      <c r="L297" s="1"/>
      <c r="M297" s="3"/>
      <c r="N297" s="3"/>
      <c r="O297" s="4"/>
      <c r="P297" s="4"/>
      <c r="Q297" s="4"/>
      <c r="R297" s="4"/>
      <c r="S297" s="4"/>
      <c r="T297" s="4"/>
      <c r="U297" s="4"/>
      <c r="V297" s="4"/>
      <c r="W297" s="4"/>
      <c r="X297" s="3"/>
      <c r="Y297" s="2"/>
      <c r="Z297" s="2"/>
      <c r="AA297" s="1"/>
      <c r="AB297" s="1"/>
      <c r="AC297" s="1"/>
      <c r="AD297" s="1"/>
      <c r="AE297" s="1"/>
      <c r="AF297" s="1"/>
      <c r="AG297" s="1"/>
      <c r="AH297" s="1"/>
    </row>
    <row r="298" ht="13.5" customHeight="1">
      <c r="A298" s="1"/>
      <c r="B298" s="1"/>
      <c r="C298" s="3"/>
      <c r="D298" s="1"/>
      <c r="E298" s="1"/>
      <c r="F298" s="1"/>
      <c r="G298" s="1"/>
      <c r="H298" s="1"/>
      <c r="I298" s="1"/>
      <c r="J298" s="1"/>
      <c r="K298" s="2"/>
      <c r="L298" s="1"/>
      <c r="M298" s="3"/>
      <c r="N298" s="3"/>
      <c r="O298" s="4"/>
      <c r="P298" s="4"/>
      <c r="Q298" s="4"/>
      <c r="R298" s="4"/>
      <c r="S298" s="4"/>
      <c r="T298" s="4"/>
      <c r="U298" s="4"/>
      <c r="V298" s="4"/>
      <c r="W298" s="4"/>
      <c r="X298" s="3"/>
      <c r="Y298" s="2"/>
      <c r="Z298" s="2"/>
      <c r="AA298" s="1"/>
      <c r="AB298" s="1"/>
      <c r="AC298" s="1"/>
      <c r="AD298" s="1"/>
      <c r="AE298" s="1"/>
      <c r="AF298" s="1"/>
      <c r="AG298" s="1"/>
      <c r="AH298" s="1"/>
    </row>
    <row r="299" ht="13.5" customHeight="1">
      <c r="A299" s="1"/>
      <c r="B299" s="1"/>
      <c r="C299" s="3"/>
      <c r="D299" s="1"/>
      <c r="E299" s="1"/>
      <c r="F299" s="1"/>
      <c r="G299" s="1"/>
      <c r="H299" s="1"/>
      <c r="I299" s="1"/>
      <c r="J299" s="1"/>
      <c r="K299" s="2"/>
      <c r="L299" s="1"/>
      <c r="M299" s="3"/>
      <c r="N299" s="3"/>
      <c r="O299" s="4"/>
      <c r="P299" s="4"/>
      <c r="Q299" s="4"/>
      <c r="R299" s="4"/>
      <c r="S299" s="4"/>
      <c r="T299" s="4"/>
      <c r="U299" s="4"/>
      <c r="V299" s="4"/>
      <c r="W299" s="4"/>
      <c r="X299" s="3"/>
      <c r="Y299" s="2"/>
      <c r="Z299" s="2"/>
      <c r="AA299" s="1"/>
      <c r="AB299" s="1"/>
      <c r="AC299" s="1"/>
      <c r="AD299" s="1"/>
      <c r="AE299" s="1"/>
      <c r="AF299" s="1"/>
      <c r="AG299" s="1"/>
      <c r="AH299" s="1"/>
    </row>
    <row r="300" ht="13.5" customHeight="1">
      <c r="A300" s="1"/>
      <c r="B300" s="1"/>
      <c r="C300" s="3"/>
      <c r="D300" s="1"/>
      <c r="E300" s="1"/>
      <c r="F300" s="1"/>
      <c r="G300" s="1"/>
      <c r="H300" s="1"/>
      <c r="I300" s="1"/>
      <c r="J300" s="1"/>
      <c r="K300" s="2"/>
      <c r="L300" s="1"/>
      <c r="M300" s="3"/>
      <c r="N300" s="3"/>
      <c r="O300" s="4"/>
      <c r="P300" s="4"/>
      <c r="Q300" s="4"/>
      <c r="R300" s="4"/>
      <c r="S300" s="4"/>
      <c r="T300" s="4"/>
      <c r="U300" s="4"/>
      <c r="V300" s="4"/>
      <c r="W300" s="4"/>
      <c r="X300" s="3"/>
      <c r="Y300" s="2"/>
      <c r="Z300" s="2"/>
      <c r="AA300" s="1"/>
      <c r="AB300" s="1"/>
      <c r="AC300" s="1"/>
      <c r="AD300" s="1"/>
      <c r="AE300" s="1"/>
      <c r="AF300" s="1"/>
      <c r="AG300" s="1"/>
      <c r="AH300" s="1"/>
    </row>
    <row r="301" ht="13.5" customHeight="1">
      <c r="A301" s="1"/>
      <c r="B301" s="1"/>
      <c r="C301" s="3"/>
      <c r="D301" s="1"/>
      <c r="E301" s="1"/>
      <c r="F301" s="1"/>
      <c r="G301" s="1"/>
      <c r="H301" s="1"/>
      <c r="I301" s="1"/>
      <c r="J301" s="1"/>
      <c r="K301" s="2"/>
      <c r="L301" s="1"/>
      <c r="M301" s="3"/>
      <c r="N301" s="3"/>
      <c r="O301" s="4"/>
      <c r="P301" s="4"/>
      <c r="Q301" s="4"/>
      <c r="R301" s="4"/>
      <c r="S301" s="4"/>
      <c r="T301" s="4"/>
      <c r="U301" s="4"/>
      <c r="V301" s="4"/>
      <c r="W301" s="4"/>
      <c r="X301" s="3"/>
      <c r="Y301" s="2"/>
      <c r="Z301" s="2"/>
      <c r="AA301" s="1"/>
      <c r="AB301" s="1"/>
      <c r="AC301" s="1"/>
      <c r="AD301" s="1"/>
      <c r="AE301" s="1"/>
      <c r="AF301" s="1"/>
      <c r="AG301" s="1"/>
      <c r="AH301" s="1"/>
    </row>
    <row r="302" ht="13.5" customHeight="1">
      <c r="A302" s="1"/>
      <c r="B302" s="1"/>
      <c r="C302" s="3"/>
      <c r="D302" s="1"/>
      <c r="E302" s="1"/>
      <c r="F302" s="1"/>
      <c r="G302" s="1"/>
      <c r="H302" s="1"/>
      <c r="I302" s="1"/>
      <c r="J302" s="1"/>
      <c r="K302" s="2"/>
      <c r="L302" s="1"/>
      <c r="M302" s="3"/>
      <c r="N302" s="3"/>
      <c r="O302" s="4"/>
      <c r="P302" s="4"/>
      <c r="Q302" s="4"/>
      <c r="R302" s="4"/>
      <c r="S302" s="4"/>
      <c r="T302" s="4"/>
      <c r="U302" s="4"/>
      <c r="V302" s="4"/>
      <c r="W302" s="4"/>
      <c r="X302" s="3"/>
      <c r="Y302" s="2"/>
      <c r="Z302" s="2"/>
      <c r="AA302" s="1"/>
      <c r="AB302" s="1"/>
      <c r="AC302" s="1"/>
      <c r="AD302" s="1"/>
      <c r="AE302" s="1"/>
      <c r="AF302" s="1"/>
      <c r="AG302" s="1"/>
      <c r="AH302" s="1"/>
    </row>
    <row r="303" ht="13.5" customHeight="1">
      <c r="A303" s="1"/>
      <c r="B303" s="1"/>
      <c r="C303" s="3"/>
      <c r="D303" s="1"/>
      <c r="E303" s="1"/>
      <c r="F303" s="1"/>
      <c r="G303" s="1"/>
      <c r="H303" s="1"/>
      <c r="I303" s="1"/>
      <c r="J303" s="1"/>
      <c r="K303" s="2"/>
      <c r="L303" s="1"/>
      <c r="M303" s="3"/>
      <c r="N303" s="3"/>
      <c r="O303" s="4"/>
      <c r="P303" s="4"/>
      <c r="Q303" s="4"/>
      <c r="R303" s="4"/>
      <c r="S303" s="4"/>
      <c r="T303" s="4"/>
      <c r="U303" s="4"/>
      <c r="V303" s="4"/>
      <c r="W303" s="4"/>
      <c r="X303" s="3"/>
      <c r="Y303" s="2"/>
      <c r="Z303" s="2"/>
      <c r="AA303" s="1"/>
      <c r="AB303" s="1"/>
      <c r="AC303" s="1"/>
      <c r="AD303" s="1"/>
      <c r="AE303" s="1"/>
      <c r="AF303" s="1"/>
      <c r="AG303" s="1"/>
      <c r="AH303" s="1"/>
    </row>
    <row r="304" ht="13.5" customHeight="1">
      <c r="A304" s="1"/>
      <c r="B304" s="1"/>
      <c r="C304" s="3"/>
      <c r="D304" s="1"/>
      <c r="E304" s="1"/>
      <c r="F304" s="1"/>
      <c r="G304" s="1"/>
      <c r="H304" s="1"/>
      <c r="I304" s="1"/>
      <c r="J304" s="1"/>
      <c r="K304" s="2"/>
      <c r="L304" s="1"/>
      <c r="M304" s="3"/>
      <c r="N304" s="3"/>
      <c r="O304" s="4"/>
      <c r="P304" s="4"/>
      <c r="Q304" s="4"/>
      <c r="R304" s="4"/>
      <c r="S304" s="4"/>
      <c r="T304" s="4"/>
      <c r="U304" s="4"/>
      <c r="V304" s="4"/>
      <c r="W304" s="4"/>
      <c r="X304" s="3"/>
      <c r="Y304" s="2"/>
      <c r="Z304" s="2"/>
      <c r="AA304" s="1"/>
      <c r="AB304" s="1"/>
      <c r="AC304" s="1"/>
      <c r="AD304" s="1"/>
      <c r="AE304" s="1"/>
      <c r="AF304" s="1"/>
      <c r="AG304" s="1"/>
      <c r="AH304" s="1"/>
    </row>
    <row r="305" ht="13.5" customHeight="1">
      <c r="A305" s="1"/>
      <c r="B305" s="1"/>
      <c r="C305" s="3"/>
      <c r="D305" s="1"/>
      <c r="E305" s="1"/>
      <c r="F305" s="1"/>
      <c r="G305" s="1"/>
      <c r="H305" s="1"/>
      <c r="I305" s="1"/>
      <c r="J305" s="1"/>
      <c r="K305" s="2"/>
      <c r="L305" s="1"/>
      <c r="M305" s="3"/>
      <c r="N305" s="3"/>
      <c r="O305" s="4"/>
      <c r="P305" s="4"/>
      <c r="Q305" s="4"/>
      <c r="R305" s="4"/>
      <c r="S305" s="4"/>
      <c r="T305" s="4"/>
      <c r="U305" s="4"/>
      <c r="V305" s="4"/>
      <c r="W305" s="4"/>
      <c r="X305" s="3"/>
      <c r="Y305" s="2"/>
      <c r="Z305" s="2"/>
      <c r="AA305" s="1"/>
      <c r="AB305" s="1"/>
      <c r="AC305" s="1"/>
      <c r="AD305" s="1"/>
      <c r="AE305" s="1"/>
      <c r="AF305" s="1"/>
      <c r="AG305" s="1"/>
      <c r="AH305" s="1"/>
    </row>
    <row r="306" ht="13.5" customHeight="1">
      <c r="A306" s="1"/>
      <c r="B306" s="1"/>
      <c r="C306" s="3"/>
      <c r="D306" s="1"/>
      <c r="E306" s="1"/>
      <c r="F306" s="1"/>
      <c r="G306" s="1"/>
      <c r="H306" s="1"/>
      <c r="I306" s="1"/>
      <c r="J306" s="1"/>
      <c r="K306" s="2"/>
      <c r="L306" s="1"/>
      <c r="M306" s="3"/>
      <c r="N306" s="3"/>
      <c r="O306" s="4"/>
      <c r="P306" s="4"/>
      <c r="Q306" s="4"/>
      <c r="R306" s="4"/>
      <c r="S306" s="4"/>
      <c r="T306" s="4"/>
      <c r="U306" s="4"/>
      <c r="V306" s="4"/>
      <c r="W306" s="4"/>
      <c r="X306" s="3"/>
      <c r="Y306" s="2"/>
      <c r="Z306" s="2"/>
      <c r="AA306" s="1"/>
      <c r="AB306" s="1"/>
      <c r="AC306" s="1"/>
      <c r="AD306" s="1"/>
      <c r="AE306" s="1"/>
      <c r="AF306" s="1"/>
      <c r="AG306" s="1"/>
      <c r="AH306" s="1"/>
    </row>
    <row r="307" ht="13.5" customHeight="1">
      <c r="A307" s="1"/>
      <c r="B307" s="1"/>
      <c r="C307" s="3"/>
      <c r="D307" s="1"/>
      <c r="E307" s="1"/>
      <c r="F307" s="1"/>
      <c r="G307" s="1"/>
      <c r="H307" s="1"/>
      <c r="I307" s="1"/>
      <c r="J307" s="1"/>
      <c r="K307" s="2"/>
      <c r="L307" s="1"/>
      <c r="M307" s="3"/>
      <c r="N307" s="3"/>
      <c r="O307" s="4"/>
      <c r="P307" s="4"/>
      <c r="Q307" s="4"/>
      <c r="R307" s="4"/>
      <c r="S307" s="4"/>
      <c r="T307" s="4"/>
      <c r="U307" s="4"/>
      <c r="V307" s="4"/>
      <c r="W307" s="4"/>
      <c r="X307" s="3"/>
      <c r="Y307" s="2"/>
      <c r="Z307" s="2"/>
      <c r="AA307" s="1"/>
      <c r="AB307" s="1"/>
      <c r="AC307" s="1"/>
      <c r="AD307" s="1"/>
      <c r="AE307" s="1"/>
      <c r="AF307" s="1"/>
      <c r="AG307" s="1"/>
      <c r="AH307" s="1"/>
    </row>
    <row r="308" ht="13.5" customHeight="1">
      <c r="A308" s="1"/>
      <c r="B308" s="1"/>
      <c r="C308" s="3"/>
      <c r="D308" s="1"/>
      <c r="E308" s="1"/>
      <c r="F308" s="1"/>
      <c r="G308" s="1"/>
      <c r="H308" s="1"/>
      <c r="I308" s="1"/>
      <c r="J308" s="1"/>
      <c r="K308" s="2"/>
      <c r="L308" s="1"/>
      <c r="M308" s="3"/>
      <c r="N308" s="3"/>
      <c r="O308" s="4"/>
      <c r="P308" s="4"/>
      <c r="Q308" s="4"/>
      <c r="R308" s="4"/>
      <c r="S308" s="4"/>
      <c r="T308" s="4"/>
      <c r="U308" s="4"/>
      <c r="V308" s="4"/>
      <c r="W308" s="4"/>
      <c r="X308" s="3"/>
      <c r="Y308" s="2"/>
      <c r="Z308" s="2"/>
      <c r="AA308" s="1"/>
      <c r="AB308" s="1"/>
      <c r="AC308" s="1"/>
      <c r="AD308" s="1"/>
      <c r="AE308" s="1"/>
      <c r="AF308" s="1"/>
      <c r="AG308" s="1"/>
      <c r="AH308" s="1"/>
    </row>
    <row r="309" ht="13.5" customHeight="1">
      <c r="A309" s="1"/>
      <c r="B309" s="1"/>
      <c r="C309" s="3"/>
      <c r="D309" s="1"/>
      <c r="E309" s="1"/>
      <c r="F309" s="1"/>
      <c r="G309" s="1"/>
      <c r="H309" s="1"/>
      <c r="I309" s="1"/>
      <c r="J309" s="1"/>
      <c r="K309" s="2"/>
      <c r="L309" s="1"/>
      <c r="M309" s="3"/>
      <c r="N309" s="3"/>
      <c r="O309" s="4"/>
      <c r="P309" s="4"/>
      <c r="Q309" s="4"/>
      <c r="R309" s="4"/>
      <c r="S309" s="4"/>
      <c r="T309" s="4"/>
      <c r="U309" s="4"/>
      <c r="V309" s="4"/>
      <c r="W309" s="4"/>
      <c r="X309" s="3"/>
      <c r="Y309" s="2"/>
      <c r="Z309" s="2"/>
      <c r="AA309" s="1"/>
      <c r="AB309" s="1"/>
      <c r="AC309" s="1"/>
      <c r="AD309" s="1"/>
      <c r="AE309" s="1"/>
      <c r="AF309" s="1"/>
      <c r="AG309" s="1"/>
      <c r="AH309" s="1"/>
    </row>
    <row r="310" ht="13.5" customHeight="1">
      <c r="A310" s="1"/>
      <c r="B310" s="1"/>
      <c r="C310" s="3"/>
      <c r="D310" s="1"/>
      <c r="E310" s="1"/>
      <c r="F310" s="1"/>
      <c r="G310" s="1"/>
      <c r="H310" s="1"/>
      <c r="I310" s="1"/>
      <c r="J310" s="1"/>
      <c r="K310" s="2"/>
      <c r="L310" s="1"/>
      <c r="M310" s="3"/>
      <c r="N310" s="3"/>
      <c r="O310" s="4"/>
      <c r="P310" s="4"/>
      <c r="Q310" s="4"/>
      <c r="R310" s="4"/>
      <c r="S310" s="4"/>
      <c r="T310" s="4"/>
      <c r="U310" s="4"/>
      <c r="V310" s="4"/>
      <c r="W310" s="4"/>
      <c r="X310" s="3"/>
      <c r="Y310" s="2"/>
      <c r="Z310" s="2"/>
      <c r="AA310" s="1"/>
      <c r="AB310" s="1"/>
      <c r="AC310" s="1"/>
      <c r="AD310" s="1"/>
      <c r="AE310" s="1"/>
      <c r="AF310" s="1"/>
      <c r="AG310" s="1"/>
      <c r="AH310" s="1"/>
    </row>
    <row r="311" ht="13.5" customHeight="1">
      <c r="A311" s="1"/>
      <c r="B311" s="1"/>
      <c r="C311" s="3"/>
      <c r="D311" s="1"/>
      <c r="E311" s="1"/>
      <c r="F311" s="1"/>
      <c r="G311" s="1"/>
      <c r="H311" s="1"/>
      <c r="I311" s="1"/>
      <c r="J311" s="1"/>
      <c r="K311" s="2"/>
      <c r="L311" s="1"/>
      <c r="M311" s="3"/>
      <c r="N311" s="3"/>
      <c r="O311" s="4"/>
      <c r="P311" s="4"/>
      <c r="Q311" s="4"/>
      <c r="R311" s="4"/>
      <c r="S311" s="4"/>
      <c r="T311" s="4"/>
      <c r="U311" s="4"/>
      <c r="V311" s="4"/>
      <c r="W311" s="4"/>
      <c r="X311" s="3"/>
      <c r="Y311" s="2"/>
      <c r="Z311" s="2"/>
      <c r="AA311" s="1"/>
      <c r="AB311" s="1"/>
      <c r="AC311" s="1"/>
      <c r="AD311" s="1"/>
      <c r="AE311" s="1"/>
      <c r="AF311" s="1"/>
      <c r="AG311" s="1"/>
      <c r="AH311" s="1"/>
    </row>
    <row r="312" ht="13.5" customHeight="1">
      <c r="A312" s="1"/>
      <c r="B312" s="1"/>
      <c r="C312" s="3"/>
      <c r="D312" s="1"/>
      <c r="E312" s="1"/>
      <c r="F312" s="1"/>
      <c r="G312" s="1"/>
      <c r="H312" s="1"/>
      <c r="I312" s="1"/>
      <c r="J312" s="1"/>
      <c r="K312" s="2"/>
      <c r="L312" s="1"/>
      <c r="M312" s="3"/>
      <c r="N312" s="3"/>
      <c r="O312" s="4"/>
      <c r="P312" s="4"/>
      <c r="Q312" s="4"/>
      <c r="R312" s="4"/>
      <c r="S312" s="4"/>
      <c r="T312" s="4"/>
      <c r="U312" s="4"/>
      <c r="V312" s="4"/>
      <c r="W312" s="4"/>
      <c r="X312" s="3"/>
      <c r="Y312" s="2"/>
      <c r="Z312" s="2"/>
      <c r="AA312" s="1"/>
      <c r="AB312" s="1"/>
      <c r="AC312" s="1"/>
      <c r="AD312" s="1"/>
      <c r="AE312" s="1"/>
      <c r="AF312" s="1"/>
      <c r="AG312" s="1"/>
      <c r="AH312" s="1"/>
    </row>
    <row r="313" ht="13.5" customHeight="1">
      <c r="A313" s="1"/>
      <c r="B313" s="1"/>
      <c r="C313" s="3"/>
      <c r="D313" s="1"/>
      <c r="E313" s="1"/>
      <c r="F313" s="1"/>
      <c r="G313" s="1"/>
      <c r="H313" s="1"/>
      <c r="I313" s="1"/>
      <c r="J313" s="1"/>
      <c r="K313" s="2"/>
      <c r="L313" s="1"/>
      <c r="M313" s="3"/>
      <c r="N313" s="3"/>
      <c r="O313" s="4"/>
      <c r="P313" s="4"/>
      <c r="Q313" s="4"/>
      <c r="R313" s="4"/>
      <c r="S313" s="4"/>
      <c r="T313" s="4"/>
      <c r="U313" s="4"/>
      <c r="V313" s="4"/>
      <c r="W313" s="4"/>
      <c r="X313" s="3"/>
      <c r="Y313" s="2"/>
      <c r="Z313" s="2"/>
      <c r="AA313" s="1"/>
      <c r="AB313" s="1"/>
      <c r="AC313" s="1"/>
      <c r="AD313" s="1"/>
      <c r="AE313" s="1"/>
      <c r="AF313" s="1"/>
      <c r="AG313" s="1"/>
      <c r="AH313" s="1"/>
    </row>
    <row r="314" ht="13.5" customHeight="1">
      <c r="A314" s="1"/>
      <c r="B314" s="1"/>
      <c r="C314" s="3"/>
      <c r="D314" s="1"/>
      <c r="E314" s="1"/>
      <c r="F314" s="1"/>
      <c r="G314" s="1"/>
      <c r="H314" s="1"/>
      <c r="I314" s="1"/>
      <c r="J314" s="1"/>
      <c r="K314" s="2"/>
      <c r="L314" s="1"/>
      <c r="M314" s="3"/>
      <c r="N314" s="3"/>
      <c r="O314" s="4"/>
      <c r="P314" s="4"/>
      <c r="Q314" s="4"/>
      <c r="R314" s="4"/>
      <c r="S314" s="4"/>
      <c r="T314" s="4"/>
      <c r="U314" s="4"/>
      <c r="V314" s="4"/>
      <c r="W314" s="4"/>
      <c r="X314" s="3"/>
      <c r="Y314" s="2"/>
      <c r="Z314" s="2"/>
      <c r="AA314" s="1"/>
      <c r="AB314" s="1"/>
      <c r="AC314" s="1"/>
      <c r="AD314" s="1"/>
      <c r="AE314" s="1"/>
      <c r="AF314" s="1"/>
      <c r="AG314" s="1"/>
      <c r="AH314" s="1"/>
    </row>
    <row r="315" ht="13.5" customHeight="1">
      <c r="A315" s="1"/>
      <c r="B315" s="1"/>
      <c r="C315" s="3"/>
      <c r="D315" s="1"/>
      <c r="E315" s="1"/>
      <c r="F315" s="1"/>
      <c r="G315" s="1"/>
      <c r="H315" s="1"/>
      <c r="I315" s="1"/>
      <c r="J315" s="1"/>
      <c r="K315" s="2"/>
      <c r="L315" s="1"/>
      <c r="M315" s="3"/>
      <c r="N315" s="3"/>
      <c r="O315" s="4"/>
      <c r="P315" s="4"/>
      <c r="Q315" s="4"/>
      <c r="R315" s="4"/>
      <c r="S315" s="4"/>
      <c r="T315" s="4"/>
      <c r="U315" s="4"/>
      <c r="V315" s="4"/>
      <c r="W315" s="4"/>
      <c r="X315" s="3"/>
      <c r="Y315" s="2"/>
      <c r="Z315" s="2"/>
      <c r="AA315" s="1"/>
      <c r="AB315" s="1"/>
      <c r="AC315" s="1"/>
      <c r="AD315" s="1"/>
      <c r="AE315" s="1"/>
      <c r="AF315" s="1"/>
      <c r="AG315" s="1"/>
      <c r="AH315" s="1"/>
    </row>
    <row r="316" ht="13.5" customHeight="1">
      <c r="A316" s="1"/>
      <c r="B316" s="1"/>
      <c r="C316" s="3"/>
      <c r="D316" s="1"/>
      <c r="E316" s="1"/>
      <c r="F316" s="1"/>
      <c r="G316" s="1"/>
      <c r="H316" s="1"/>
      <c r="I316" s="1"/>
      <c r="J316" s="1"/>
      <c r="K316" s="2"/>
      <c r="L316" s="1"/>
      <c r="M316" s="3"/>
      <c r="N316" s="3"/>
      <c r="O316" s="4"/>
      <c r="P316" s="4"/>
      <c r="Q316" s="4"/>
      <c r="R316" s="4"/>
      <c r="S316" s="4"/>
      <c r="T316" s="4"/>
      <c r="U316" s="4"/>
      <c r="V316" s="4"/>
      <c r="W316" s="4"/>
      <c r="X316" s="3"/>
      <c r="Y316" s="2"/>
      <c r="Z316" s="2"/>
      <c r="AA316" s="1"/>
      <c r="AB316" s="1"/>
      <c r="AC316" s="1"/>
      <c r="AD316" s="1"/>
      <c r="AE316" s="1"/>
      <c r="AF316" s="1"/>
      <c r="AG316" s="1"/>
      <c r="AH316" s="1"/>
    </row>
    <row r="317" ht="13.5" customHeight="1">
      <c r="A317" s="1"/>
      <c r="B317" s="1"/>
      <c r="C317" s="3"/>
      <c r="D317" s="1"/>
      <c r="E317" s="1"/>
      <c r="F317" s="1"/>
      <c r="G317" s="1"/>
      <c r="H317" s="1"/>
      <c r="I317" s="1"/>
      <c r="J317" s="1"/>
      <c r="K317" s="2"/>
      <c r="L317" s="1"/>
      <c r="M317" s="3"/>
      <c r="N317" s="3"/>
      <c r="O317" s="4"/>
      <c r="P317" s="4"/>
      <c r="Q317" s="4"/>
      <c r="R317" s="4"/>
      <c r="S317" s="4"/>
      <c r="T317" s="4"/>
      <c r="U317" s="4"/>
      <c r="V317" s="4"/>
      <c r="W317" s="4"/>
      <c r="X317" s="3"/>
      <c r="Y317" s="2"/>
      <c r="Z317" s="2"/>
      <c r="AA317" s="1"/>
      <c r="AB317" s="1"/>
      <c r="AC317" s="1"/>
      <c r="AD317" s="1"/>
      <c r="AE317" s="1"/>
      <c r="AF317" s="1"/>
      <c r="AG317" s="1"/>
      <c r="AH317" s="1"/>
    </row>
    <row r="318" ht="13.5" customHeight="1">
      <c r="A318" s="1"/>
      <c r="B318" s="1"/>
      <c r="C318" s="3"/>
      <c r="D318" s="1"/>
      <c r="E318" s="1"/>
      <c r="F318" s="1"/>
      <c r="G318" s="1"/>
      <c r="H318" s="1"/>
      <c r="I318" s="1"/>
      <c r="J318" s="1"/>
      <c r="K318" s="2"/>
      <c r="L318" s="1"/>
      <c r="M318" s="3"/>
      <c r="N318" s="3"/>
      <c r="O318" s="4"/>
      <c r="P318" s="4"/>
      <c r="Q318" s="4"/>
      <c r="R318" s="4"/>
      <c r="S318" s="4"/>
      <c r="T318" s="4"/>
      <c r="U318" s="4"/>
      <c r="V318" s="4"/>
      <c r="W318" s="4"/>
      <c r="X318" s="3"/>
      <c r="Y318" s="2"/>
      <c r="Z318" s="2"/>
      <c r="AA318" s="1"/>
      <c r="AB318" s="1"/>
      <c r="AC318" s="1"/>
      <c r="AD318" s="1"/>
      <c r="AE318" s="1"/>
      <c r="AF318" s="1"/>
      <c r="AG318" s="1"/>
      <c r="AH318" s="1"/>
    </row>
    <row r="319" ht="13.5" customHeight="1">
      <c r="A319" s="1"/>
      <c r="B319" s="1"/>
      <c r="C319" s="3"/>
      <c r="D319" s="1"/>
      <c r="E319" s="1"/>
      <c r="F319" s="1"/>
      <c r="G319" s="1"/>
      <c r="H319" s="1"/>
      <c r="I319" s="1"/>
      <c r="J319" s="1"/>
      <c r="K319" s="2"/>
      <c r="L319" s="1"/>
      <c r="M319" s="3"/>
      <c r="N319" s="3"/>
      <c r="O319" s="4"/>
      <c r="P319" s="4"/>
      <c r="Q319" s="4"/>
      <c r="R319" s="4"/>
      <c r="S319" s="4"/>
      <c r="T319" s="4"/>
      <c r="U319" s="4"/>
      <c r="V319" s="4"/>
      <c r="W319" s="4"/>
      <c r="X319" s="3"/>
      <c r="Y319" s="2"/>
      <c r="Z319" s="2"/>
      <c r="AA319" s="1"/>
      <c r="AB319" s="1"/>
      <c r="AC319" s="1"/>
      <c r="AD319" s="1"/>
      <c r="AE319" s="1"/>
      <c r="AF319" s="1"/>
      <c r="AG319" s="1"/>
      <c r="AH319" s="1"/>
    </row>
    <row r="320" ht="13.5" customHeight="1">
      <c r="A320" s="1"/>
      <c r="B320" s="1"/>
      <c r="C320" s="3"/>
      <c r="D320" s="1"/>
      <c r="E320" s="1"/>
      <c r="F320" s="1"/>
      <c r="G320" s="1"/>
      <c r="H320" s="1"/>
      <c r="I320" s="1"/>
      <c r="J320" s="1"/>
      <c r="K320" s="2"/>
      <c r="L320" s="1"/>
      <c r="M320" s="3"/>
      <c r="N320" s="3"/>
      <c r="O320" s="4"/>
      <c r="P320" s="4"/>
      <c r="Q320" s="4"/>
      <c r="R320" s="4"/>
      <c r="S320" s="4"/>
      <c r="T320" s="4"/>
      <c r="U320" s="4"/>
      <c r="V320" s="4"/>
      <c r="W320" s="4"/>
      <c r="X320" s="3"/>
      <c r="Y320" s="2"/>
      <c r="Z320" s="2"/>
      <c r="AA320" s="1"/>
      <c r="AB320" s="1"/>
      <c r="AC320" s="1"/>
      <c r="AD320" s="1"/>
      <c r="AE320" s="1"/>
      <c r="AF320" s="1"/>
      <c r="AG320" s="1"/>
      <c r="AH320" s="1"/>
    </row>
    <row r="321" ht="13.5" customHeight="1">
      <c r="A321" s="1"/>
      <c r="B321" s="1"/>
      <c r="C321" s="3"/>
      <c r="D321" s="1"/>
      <c r="E321" s="1"/>
      <c r="F321" s="1"/>
      <c r="G321" s="1"/>
      <c r="H321" s="1"/>
      <c r="I321" s="1"/>
      <c r="J321" s="1"/>
      <c r="K321" s="2"/>
      <c r="L321" s="1"/>
      <c r="M321" s="3"/>
      <c r="N321" s="3"/>
      <c r="O321" s="4"/>
      <c r="P321" s="4"/>
      <c r="Q321" s="4"/>
      <c r="R321" s="4"/>
      <c r="S321" s="4"/>
      <c r="T321" s="4"/>
      <c r="U321" s="4"/>
      <c r="V321" s="4"/>
      <c r="W321" s="4"/>
      <c r="X321" s="3"/>
      <c r="Y321" s="2"/>
      <c r="Z321" s="2"/>
      <c r="AA321" s="1"/>
      <c r="AB321" s="1"/>
      <c r="AC321" s="1"/>
      <c r="AD321" s="1"/>
      <c r="AE321" s="1"/>
      <c r="AF321" s="1"/>
      <c r="AG321" s="1"/>
      <c r="AH321" s="1"/>
    </row>
    <row r="322" ht="13.5" customHeight="1">
      <c r="A322" s="1"/>
      <c r="B322" s="1"/>
      <c r="C322" s="3"/>
      <c r="D322" s="1"/>
      <c r="E322" s="1"/>
      <c r="F322" s="1"/>
      <c r="G322" s="1"/>
      <c r="H322" s="1"/>
      <c r="I322" s="1"/>
      <c r="J322" s="1"/>
      <c r="K322" s="2"/>
      <c r="L322" s="1"/>
      <c r="M322" s="3"/>
      <c r="N322" s="3"/>
      <c r="O322" s="4"/>
      <c r="P322" s="4"/>
      <c r="Q322" s="4"/>
      <c r="R322" s="4"/>
      <c r="S322" s="4"/>
      <c r="T322" s="4"/>
      <c r="U322" s="4"/>
      <c r="V322" s="4"/>
      <c r="W322" s="4"/>
      <c r="X322" s="3"/>
      <c r="Y322" s="2"/>
      <c r="Z322" s="2"/>
      <c r="AA322" s="1"/>
      <c r="AB322" s="1"/>
      <c r="AC322" s="1"/>
      <c r="AD322" s="1"/>
      <c r="AE322" s="1"/>
      <c r="AF322" s="1"/>
      <c r="AG322" s="1"/>
      <c r="AH322" s="1"/>
    </row>
    <row r="323" ht="13.5" customHeight="1">
      <c r="A323" s="1"/>
      <c r="B323" s="1"/>
      <c r="C323" s="3"/>
      <c r="D323" s="1"/>
      <c r="E323" s="1"/>
      <c r="F323" s="1"/>
      <c r="G323" s="1"/>
      <c r="H323" s="1"/>
      <c r="I323" s="1"/>
      <c r="J323" s="1"/>
      <c r="K323" s="2"/>
      <c r="L323" s="1"/>
      <c r="M323" s="3"/>
      <c r="N323" s="3"/>
      <c r="O323" s="4"/>
      <c r="P323" s="4"/>
      <c r="Q323" s="4"/>
      <c r="R323" s="4"/>
      <c r="S323" s="4"/>
      <c r="T323" s="4"/>
      <c r="U323" s="4"/>
      <c r="V323" s="4"/>
      <c r="W323" s="4"/>
      <c r="X323" s="3"/>
      <c r="Y323" s="2"/>
      <c r="Z323" s="2"/>
      <c r="AA323" s="1"/>
      <c r="AB323" s="1"/>
      <c r="AC323" s="1"/>
      <c r="AD323" s="1"/>
      <c r="AE323" s="1"/>
      <c r="AF323" s="1"/>
      <c r="AG323" s="1"/>
      <c r="AH323" s="1"/>
    </row>
    <row r="324" ht="13.5" customHeight="1">
      <c r="A324" s="1"/>
      <c r="B324" s="1"/>
      <c r="C324" s="3"/>
      <c r="D324" s="1"/>
      <c r="E324" s="1"/>
      <c r="F324" s="1"/>
      <c r="G324" s="1"/>
      <c r="H324" s="1"/>
      <c r="I324" s="1"/>
      <c r="J324" s="1"/>
      <c r="K324" s="2"/>
      <c r="L324" s="1"/>
      <c r="M324" s="3"/>
      <c r="N324" s="3"/>
      <c r="O324" s="4"/>
      <c r="P324" s="4"/>
      <c r="Q324" s="4"/>
      <c r="R324" s="4"/>
      <c r="S324" s="4"/>
      <c r="T324" s="4"/>
      <c r="U324" s="4"/>
      <c r="V324" s="4"/>
      <c r="W324" s="4"/>
      <c r="X324" s="3"/>
      <c r="Y324" s="2"/>
      <c r="Z324" s="2"/>
      <c r="AA324" s="1"/>
      <c r="AB324" s="1"/>
      <c r="AC324" s="1"/>
      <c r="AD324" s="1"/>
      <c r="AE324" s="1"/>
      <c r="AF324" s="1"/>
      <c r="AG324" s="1"/>
      <c r="AH324" s="1"/>
    </row>
    <row r="325" ht="13.5" customHeight="1">
      <c r="A325" s="1"/>
      <c r="B325" s="1"/>
      <c r="C325" s="3"/>
      <c r="D325" s="1"/>
      <c r="E325" s="1"/>
      <c r="F325" s="1"/>
      <c r="G325" s="1"/>
      <c r="H325" s="1"/>
      <c r="I325" s="1"/>
      <c r="J325" s="1"/>
      <c r="K325" s="2"/>
      <c r="L325" s="1"/>
      <c r="M325" s="3"/>
      <c r="N325" s="3"/>
      <c r="O325" s="4"/>
      <c r="P325" s="4"/>
      <c r="Q325" s="4"/>
      <c r="R325" s="4"/>
      <c r="S325" s="4"/>
      <c r="T325" s="4"/>
      <c r="U325" s="4"/>
      <c r="V325" s="4"/>
      <c r="W325" s="4"/>
      <c r="X325" s="3"/>
      <c r="Y325" s="2"/>
      <c r="Z325" s="2"/>
      <c r="AA325" s="1"/>
      <c r="AB325" s="1"/>
      <c r="AC325" s="1"/>
      <c r="AD325" s="1"/>
      <c r="AE325" s="1"/>
      <c r="AF325" s="1"/>
      <c r="AG325" s="1"/>
      <c r="AH325" s="1"/>
    </row>
    <row r="326" ht="13.5" customHeight="1">
      <c r="A326" s="1"/>
      <c r="B326" s="1"/>
      <c r="C326" s="3"/>
      <c r="D326" s="1"/>
      <c r="E326" s="1"/>
      <c r="F326" s="1"/>
      <c r="G326" s="1"/>
      <c r="H326" s="1"/>
      <c r="I326" s="1"/>
      <c r="J326" s="1"/>
      <c r="K326" s="2"/>
      <c r="L326" s="1"/>
      <c r="M326" s="3"/>
      <c r="N326" s="3"/>
      <c r="O326" s="4"/>
      <c r="P326" s="4"/>
      <c r="Q326" s="4"/>
      <c r="R326" s="4"/>
      <c r="S326" s="4"/>
      <c r="T326" s="4"/>
      <c r="U326" s="4"/>
      <c r="V326" s="4"/>
      <c r="W326" s="4"/>
      <c r="X326" s="3"/>
      <c r="Y326" s="2"/>
      <c r="Z326" s="2"/>
      <c r="AA326" s="1"/>
      <c r="AB326" s="1"/>
      <c r="AC326" s="1"/>
      <c r="AD326" s="1"/>
      <c r="AE326" s="1"/>
      <c r="AF326" s="1"/>
      <c r="AG326" s="1"/>
      <c r="AH326" s="1"/>
    </row>
    <row r="327" ht="13.5" customHeight="1">
      <c r="A327" s="1"/>
      <c r="B327" s="1"/>
      <c r="C327" s="3"/>
      <c r="D327" s="1"/>
      <c r="E327" s="1"/>
      <c r="F327" s="1"/>
      <c r="G327" s="1"/>
      <c r="H327" s="1"/>
      <c r="I327" s="1"/>
      <c r="J327" s="1"/>
      <c r="K327" s="2"/>
      <c r="L327" s="1"/>
      <c r="M327" s="3"/>
      <c r="N327" s="3"/>
      <c r="O327" s="4"/>
      <c r="P327" s="4"/>
      <c r="Q327" s="4"/>
      <c r="R327" s="4"/>
      <c r="S327" s="4"/>
      <c r="T327" s="4"/>
      <c r="U327" s="4"/>
      <c r="V327" s="4"/>
      <c r="W327" s="4"/>
      <c r="X327" s="3"/>
      <c r="Y327" s="2"/>
      <c r="Z327" s="2"/>
      <c r="AA327" s="1"/>
      <c r="AB327" s="1"/>
      <c r="AC327" s="1"/>
      <c r="AD327" s="1"/>
      <c r="AE327" s="1"/>
      <c r="AF327" s="1"/>
      <c r="AG327" s="1"/>
      <c r="AH327" s="1"/>
    </row>
    <row r="328" ht="13.5" customHeight="1">
      <c r="A328" s="1"/>
      <c r="B328" s="1"/>
      <c r="C328" s="3"/>
      <c r="D328" s="1"/>
      <c r="E328" s="1"/>
      <c r="F328" s="1"/>
      <c r="G328" s="1"/>
      <c r="H328" s="1"/>
      <c r="I328" s="1"/>
      <c r="J328" s="1"/>
      <c r="K328" s="2"/>
      <c r="L328" s="1"/>
      <c r="M328" s="3"/>
      <c r="N328" s="3"/>
      <c r="O328" s="4"/>
      <c r="P328" s="4"/>
      <c r="Q328" s="4"/>
      <c r="R328" s="4"/>
      <c r="S328" s="4"/>
      <c r="T328" s="4"/>
      <c r="U328" s="4"/>
      <c r="V328" s="4"/>
      <c r="W328" s="4"/>
      <c r="X328" s="3"/>
      <c r="Y328" s="2"/>
      <c r="Z328" s="2"/>
      <c r="AA328" s="1"/>
      <c r="AB328" s="1"/>
      <c r="AC328" s="1"/>
      <c r="AD328" s="1"/>
      <c r="AE328" s="1"/>
      <c r="AF328" s="1"/>
      <c r="AG328" s="1"/>
      <c r="AH328" s="1"/>
    </row>
    <row r="329" ht="13.5" customHeight="1">
      <c r="A329" s="1"/>
      <c r="B329" s="1"/>
      <c r="C329" s="3"/>
      <c r="D329" s="1"/>
      <c r="E329" s="1"/>
      <c r="F329" s="1"/>
      <c r="G329" s="1"/>
      <c r="H329" s="1"/>
      <c r="I329" s="1"/>
      <c r="J329" s="1"/>
      <c r="K329" s="2"/>
      <c r="L329" s="1"/>
      <c r="M329" s="3"/>
      <c r="N329" s="3"/>
      <c r="O329" s="4"/>
      <c r="P329" s="4"/>
      <c r="Q329" s="4"/>
      <c r="R329" s="4"/>
      <c r="S329" s="4"/>
      <c r="T329" s="4"/>
      <c r="U329" s="4"/>
      <c r="V329" s="4"/>
      <c r="W329" s="4"/>
      <c r="X329" s="3"/>
      <c r="Y329" s="2"/>
      <c r="Z329" s="2"/>
      <c r="AA329" s="1"/>
      <c r="AB329" s="1"/>
      <c r="AC329" s="1"/>
      <c r="AD329" s="1"/>
      <c r="AE329" s="1"/>
      <c r="AF329" s="1"/>
      <c r="AG329" s="1"/>
      <c r="AH329" s="1"/>
    </row>
    <row r="330" ht="13.5" customHeight="1">
      <c r="A330" s="1"/>
      <c r="B330" s="1"/>
      <c r="C330" s="3"/>
      <c r="D330" s="1"/>
      <c r="E330" s="1"/>
      <c r="F330" s="1"/>
      <c r="G330" s="1"/>
      <c r="H330" s="1"/>
      <c r="I330" s="1"/>
      <c r="J330" s="1"/>
      <c r="K330" s="2"/>
      <c r="L330" s="1"/>
      <c r="M330" s="3"/>
      <c r="N330" s="3"/>
      <c r="O330" s="4"/>
      <c r="P330" s="4"/>
      <c r="Q330" s="4"/>
      <c r="R330" s="4"/>
      <c r="S330" s="4"/>
      <c r="T330" s="4"/>
      <c r="U330" s="4"/>
      <c r="V330" s="4"/>
      <c r="W330" s="4"/>
      <c r="X330" s="3"/>
      <c r="Y330" s="2"/>
      <c r="Z330" s="2"/>
      <c r="AA330" s="1"/>
      <c r="AB330" s="1"/>
      <c r="AC330" s="1"/>
      <c r="AD330" s="1"/>
      <c r="AE330" s="1"/>
      <c r="AF330" s="1"/>
      <c r="AG330" s="1"/>
      <c r="AH330" s="1"/>
    </row>
    <row r="331" ht="13.5" customHeight="1">
      <c r="A331" s="1"/>
      <c r="B331" s="1"/>
      <c r="C331" s="3"/>
      <c r="D331" s="1"/>
      <c r="E331" s="1"/>
      <c r="F331" s="1"/>
      <c r="G331" s="1"/>
      <c r="H331" s="1"/>
      <c r="I331" s="1"/>
      <c r="J331" s="1"/>
      <c r="K331" s="2"/>
      <c r="L331" s="1"/>
      <c r="M331" s="3"/>
      <c r="N331" s="3"/>
      <c r="O331" s="4"/>
      <c r="P331" s="4"/>
      <c r="Q331" s="4"/>
      <c r="R331" s="4"/>
      <c r="S331" s="4"/>
      <c r="T331" s="4"/>
      <c r="U331" s="4"/>
      <c r="V331" s="4"/>
      <c r="W331" s="4"/>
      <c r="X331" s="3"/>
      <c r="Y331" s="2"/>
      <c r="Z331" s="2"/>
      <c r="AA331" s="1"/>
      <c r="AB331" s="1"/>
      <c r="AC331" s="1"/>
      <c r="AD331" s="1"/>
      <c r="AE331" s="1"/>
      <c r="AF331" s="1"/>
      <c r="AG331" s="1"/>
      <c r="AH331" s="1"/>
    </row>
    <row r="332" ht="13.5" customHeight="1">
      <c r="A332" s="1"/>
      <c r="B332" s="1"/>
      <c r="C332" s="3"/>
      <c r="D332" s="1"/>
      <c r="E332" s="1"/>
      <c r="F332" s="1"/>
      <c r="G332" s="1"/>
      <c r="H332" s="1"/>
      <c r="I332" s="1"/>
      <c r="J332" s="1"/>
      <c r="K332" s="2"/>
      <c r="L332" s="1"/>
      <c r="M332" s="3"/>
      <c r="N332" s="3"/>
      <c r="O332" s="4"/>
      <c r="P332" s="4"/>
      <c r="Q332" s="4"/>
      <c r="R332" s="4"/>
      <c r="S332" s="4"/>
      <c r="T332" s="4"/>
      <c r="U332" s="4"/>
      <c r="V332" s="4"/>
      <c r="W332" s="4"/>
      <c r="X332" s="3"/>
      <c r="Y332" s="2"/>
      <c r="Z332" s="2"/>
      <c r="AA332" s="1"/>
      <c r="AB332" s="1"/>
      <c r="AC332" s="1"/>
      <c r="AD332" s="1"/>
      <c r="AE332" s="1"/>
      <c r="AF332" s="1"/>
      <c r="AG332" s="1"/>
      <c r="AH332" s="1"/>
    </row>
    <row r="333" ht="13.5" customHeight="1">
      <c r="A333" s="1"/>
      <c r="B333" s="1"/>
      <c r="C333" s="3"/>
      <c r="D333" s="1"/>
      <c r="E333" s="1"/>
      <c r="F333" s="1"/>
      <c r="G333" s="1"/>
      <c r="H333" s="1"/>
      <c r="I333" s="1"/>
      <c r="J333" s="1"/>
      <c r="K333" s="2"/>
      <c r="L333" s="1"/>
      <c r="M333" s="3"/>
      <c r="N333" s="3"/>
      <c r="O333" s="4"/>
      <c r="P333" s="4"/>
      <c r="Q333" s="4"/>
      <c r="R333" s="4"/>
      <c r="S333" s="4"/>
      <c r="T333" s="4"/>
      <c r="U333" s="4"/>
      <c r="V333" s="4"/>
      <c r="W333" s="4"/>
      <c r="X333" s="3"/>
      <c r="Y333" s="2"/>
      <c r="Z333" s="2"/>
      <c r="AA333" s="1"/>
      <c r="AB333" s="1"/>
      <c r="AC333" s="1"/>
      <c r="AD333" s="1"/>
      <c r="AE333" s="1"/>
      <c r="AF333" s="1"/>
      <c r="AG333" s="1"/>
      <c r="AH333" s="1"/>
    </row>
    <row r="334" ht="13.5" customHeight="1">
      <c r="A334" s="1"/>
      <c r="B334" s="1"/>
      <c r="C334" s="3"/>
      <c r="D334" s="1"/>
      <c r="E334" s="1"/>
      <c r="F334" s="1"/>
      <c r="G334" s="1"/>
      <c r="H334" s="1"/>
      <c r="I334" s="1"/>
      <c r="J334" s="1"/>
      <c r="K334" s="2"/>
      <c r="L334" s="1"/>
      <c r="M334" s="3"/>
      <c r="N334" s="3"/>
      <c r="O334" s="4"/>
      <c r="P334" s="4"/>
      <c r="Q334" s="4"/>
      <c r="R334" s="4"/>
      <c r="S334" s="4"/>
      <c r="T334" s="4"/>
      <c r="U334" s="4"/>
      <c r="V334" s="4"/>
      <c r="W334" s="4"/>
      <c r="X334" s="3"/>
      <c r="Y334" s="2"/>
      <c r="Z334" s="2"/>
      <c r="AA334" s="1"/>
      <c r="AB334" s="1"/>
      <c r="AC334" s="1"/>
      <c r="AD334" s="1"/>
      <c r="AE334" s="1"/>
      <c r="AF334" s="1"/>
      <c r="AG334" s="1"/>
      <c r="AH334" s="1"/>
    </row>
    <row r="335" ht="13.5" customHeight="1">
      <c r="A335" s="1"/>
      <c r="B335" s="1"/>
      <c r="C335" s="3"/>
      <c r="D335" s="1"/>
      <c r="E335" s="1"/>
      <c r="F335" s="1"/>
      <c r="G335" s="1"/>
      <c r="H335" s="1"/>
      <c r="I335" s="1"/>
      <c r="J335" s="1"/>
      <c r="K335" s="2"/>
      <c r="L335" s="1"/>
      <c r="M335" s="3"/>
      <c r="N335" s="3"/>
      <c r="O335" s="4"/>
      <c r="P335" s="4"/>
      <c r="Q335" s="4"/>
      <c r="R335" s="4"/>
      <c r="S335" s="4"/>
      <c r="T335" s="4"/>
      <c r="U335" s="4"/>
      <c r="V335" s="4"/>
      <c r="W335" s="4"/>
      <c r="X335" s="3"/>
      <c r="Y335" s="2"/>
      <c r="Z335" s="2"/>
      <c r="AA335" s="1"/>
      <c r="AB335" s="1"/>
      <c r="AC335" s="1"/>
      <c r="AD335" s="1"/>
      <c r="AE335" s="1"/>
      <c r="AF335" s="1"/>
      <c r="AG335" s="1"/>
      <c r="AH335" s="1"/>
    </row>
    <row r="336" ht="13.5" customHeight="1">
      <c r="A336" s="1"/>
      <c r="B336" s="1"/>
      <c r="C336" s="3"/>
      <c r="D336" s="1"/>
      <c r="E336" s="1"/>
      <c r="F336" s="1"/>
      <c r="G336" s="1"/>
      <c r="H336" s="1"/>
      <c r="I336" s="1"/>
      <c r="J336" s="1"/>
      <c r="K336" s="2"/>
      <c r="L336" s="1"/>
      <c r="M336" s="3"/>
      <c r="N336" s="3"/>
      <c r="O336" s="4"/>
      <c r="P336" s="4"/>
      <c r="Q336" s="4"/>
      <c r="R336" s="4"/>
      <c r="S336" s="4"/>
      <c r="T336" s="4"/>
      <c r="U336" s="4"/>
      <c r="V336" s="4"/>
      <c r="W336" s="4"/>
      <c r="X336" s="3"/>
      <c r="Y336" s="2"/>
      <c r="Z336" s="2"/>
      <c r="AA336" s="1"/>
      <c r="AB336" s="1"/>
      <c r="AC336" s="1"/>
      <c r="AD336" s="1"/>
      <c r="AE336" s="1"/>
      <c r="AF336" s="1"/>
      <c r="AG336" s="1"/>
      <c r="AH336" s="1"/>
    </row>
    <row r="337" ht="13.5" customHeight="1">
      <c r="A337" s="1"/>
      <c r="B337" s="1"/>
      <c r="C337" s="3"/>
      <c r="D337" s="1"/>
      <c r="E337" s="1"/>
      <c r="F337" s="1"/>
      <c r="G337" s="1"/>
      <c r="H337" s="1"/>
      <c r="I337" s="1"/>
      <c r="J337" s="1"/>
      <c r="K337" s="2"/>
      <c r="L337" s="1"/>
      <c r="M337" s="3"/>
      <c r="N337" s="3"/>
      <c r="O337" s="4"/>
      <c r="P337" s="4"/>
      <c r="Q337" s="4"/>
      <c r="R337" s="4"/>
      <c r="S337" s="4"/>
      <c r="T337" s="4"/>
      <c r="U337" s="4"/>
      <c r="V337" s="4"/>
      <c r="W337" s="4"/>
      <c r="X337" s="3"/>
      <c r="Y337" s="2"/>
      <c r="Z337" s="2"/>
      <c r="AA337" s="1"/>
      <c r="AB337" s="1"/>
      <c r="AC337" s="1"/>
      <c r="AD337" s="1"/>
      <c r="AE337" s="1"/>
      <c r="AF337" s="1"/>
      <c r="AG337" s="1"/>
      <c r="AH337" s="1"/>
    </row>
    <row r="338" ht="13.5" customHeight="1">
      <c r="A338" s="1"/>
      <c r="B338" s="1"/>
      <c r="C338" s="3"/>
      <c r="D338" s="1"/>
      <c r="E338" s="1"/>
      <c r="F338" s="1"/>
      <c r="G338" s="1"/>
      <c r="H338" s="1"/>
      <c r="I338" s="1"/>
      <c r="J338" s="1"/>
      <c r="K338" s="2"/>
      <c r="L338" s="1"/>
      <c r="M338" s="3"/>
      <c r="N338" s="3"/>
      <c r="O338" s="4"/>
      <c r="P338" s="4"/>
      <c r="Q338" s="4"/>
      <c r="R338" s="4"/>
      <c r="S338" s="4"/>
      <c r="T338" s="4"/>
      <c r="U338" s="4"/>
      <c r="V338" s="4"/>
      <c r="W338" s="4"/>
      <c r="X338" s="3"/>
      <c r="Y338" s="2"/>
      <c r="Z338" s="2"/>
      <c r="AA338" s="1"/>
      <c r="AB338" s="1"/>
      <c r="AC338" s="1"/>
      <c r="AD338" s="1"/>
      <c r="AE338" s="1"/>
      <c r="AF338" s="1"/>
      <c r="AG338" s="1"/>
      <c r="AH338" s="1"/>
    </row>
    <row r="339" ht="13.5" customHeight="1">
      <c r="A339" s="1"/>
      <c r="B339" s="1"/>
      <c r="C339" s="3"/>
      <c r="D339" s="1"/>
      <c r="E339" s="1"/>
      <c r="F339" s="1"/>
      <c r="G339" s="1"/>
      <c r="H339" s="1"/>
      <c r="I339" s="1"/>
      <c r="J339" s="1"/>
      <c r="K339" s="2"/>
      <c r="L339" s="1"/>
      <c r="M339" s="3"/>
      <c r="N339" s="3"/>
      <c r="O339" s="4"/>
      <c r="P339" s="4"/>
      <c r="Q339" s="4"/>
      <c r="R339" s="4"/>
      <c r="S339" s="4"/>
      <c r="T339" s="4"/>
      <c r="U339" s="4"/>
      <c r="V339" s="4"/>
      <c r="W339" s="4"/>
      <c r="X339" s="3"/>
      <c r="Y339" s="2"/>
      <c r="Z339" s="2"/>
      <c r="AA339" s="1"/>
      <c r="AB339" s="1"/>
      <c r="AC339" s="1"/>
      <c r="AD339" s="1"/>
      <c r="AE339" s="1"/>
      <c r="AF339" s="1"/>
      <c r="AG339" s="1"/>
      <c r="AH339" s="1"/>
    </row>
    <row r="340" ht="13.5" customHeight="1">
      <c r="A340" s="1"/>
      <c r="B340" s="1"/>
      <c r="C340" s="3"/>
      <c r="D340" s="1"/>
      <c r="E340" s="1"/>
      <c r="F340" s="1"/>
      <c r="G340" s="1"/>
      <c r="H340" s="1"/>
      <c r="I340" s="1"/>
      <c r="J340" s="1"/>
      <c r="K340" s="2"/>
      <c r="L340" s="1"/>
      <c r="M340" s="3"/>
      <c r="N340" s="3"/>
      <c r="O340" s="4"/>
      <c r="P340" s="4"/>
      <c r="Q340" s="4"/>
      <c r="R340" s="4"/>
      <c r="S340" s="4"/>
      <c r="T340" s="4"/>
      <c r="U340" s="4"/>
      <c r="V340" s="4"/>
      <c r="W340" s="4"/>
      <c r="X340" s="3"/>
      <c r="Y340" s="2"/>
      <c r="Z340" s="2"/>
      <c r="AA340" s="1"/>
      <c r="AB340" s="1"/>
      <c r="AC340" s="1"/>
      <c r="AD340" s="1"/>
      <c r="AE340" s="1"/>
      <c r="AF340" s="1"/>
      <c r="AG340" s="1"/>
      <c r="AH340" s="1"/>
    </row>
    <row r="341" ht="13.5" customHeight="1">
      <c r="A341" s="1"/>
      <c r="B341" s="1"/>
      <c r="C341" s="3"/>
      <c r="D341" s="1"/>
      <c r="E341" s="1"/>
      <c r="F341" s="1"/>
      <c r="G341" s="1"/>
      <c r="H341" s="1"/>
      <c r="I341" s="1"/>
      <c r="J341" s="1"/>
      <c r="K341" s="2"/>
      <c r="L341" s="1"/>
      <c r="M341" s="3"/>
      <c r="N341" s="3"/>
      <c r="O341" s="4"/>
      <c r="P341" s="4"/>
      <c r="Q341" s="4"/>
      <c r="R341" s="4"/>
      <c r="S341" s="4"/>
      <c r="T341" s="4"/>
      <c r="U341" s="4"/>
      <c r="V341" s="4"/>
      <c r="W341" s="4"/>
      <c r="X341" s="3"/>
      <c r="Y341" s="2"/>
      <c r="Z341" s="2"/>
      <c r="AA341" s="1"/>
      <c r="AB341" s="1"/>
      <c r="AC341" s="1"/>
      <c r="AD341" s="1"/>
      <c r="AE341" s="1"/>
      <c r="AF341" s="1"/>
      <c r="AG341" s="1"/>
      <c r="AH341" s="1"/>
    </row>
    <row r="342" ht="13.5" customHeight="1">
      <c r="A342" s="1"/>
      <c r="B342" s="1"/>
      <c r="C342" s="3"/>
      <c r="D342" s="1"/>
      <c r="E342" s="1"/>
      <c r="F342" s="1"/>
      <c r="G342" s="1"/>
      <c r="H342" s="1"/>
      <c r="I342" s="1"/>
      <c r="J342" s="1"/>
      <c r="K342" s="2"/>
      <c r="L342" s="1"/>
      <c r="M342" s="3"/>
      <c r="N342" s="3"/>
      <c r="O342" s="4"/>
      <c r="P342" s="4"/>
      <c r="Q342" s="4"/>
      <c r="R342" s="4"/>
      <c r="S342" s="4"/>
      <c r="T342" s="4"/>
      <c r="U342" s="4"/>
      <c r="V342" s="4"/>
      <c r="W342" s="4"/>
      <c r="X342" s="3"/>
      <c r="Y342" s="2"/>
      <c r="Z342" s="2"/>
      <c r="AA342" s="1"/>
      <c r="AB342" s="1"/>
      <c r="AC342" s="1"/>
      <c r="AD342" s="1"/>
      <c r="AE342" s="1"/>
      <c r="AF342" s="1"/>
      <c r="AG342" s="1"/>
      <c r="AH342" s="1"/>
    </row>
    <row r="343" ht="13.5" customHeight="1">
      <c r="A343" s="1"/>
      <c r="B343" s="1"/>
      <c r="C343" s="3"/>
      <c r="D343" s="1"/>
      <c r="E343" s="1"/>
      <c r="F343" s="1"/>
      <c r="G343" s="1"/>
      <c r="H343" s="1"/>
      <c r="I343" s="1"/>
      <c r="J343" s="1"/>
      <c r="K343" s="2"/>
      <c r="L343" s="1"/>
      <c r="M343" s="3"/>
      <c r="N343" s="3"/>
      <c r="O343" s="4"/>
      <c r="P343" s="4"/>
      <c r="Q343" s="4"/>
      <c r="R343" s="4"/>
      <c r="S343" s="4"/>
      <c r="T343" s="4"/>
      <c r="U343" s="4"/>
      <c r="V343" s="4"/>
      <c r="W343" s="4"/>
      <c r="X343" s="3"/>
      <c r="Y343" s="2"/>
      <c r="Z343" s="2"/>
      <c r="AA343" s="1"/>
      <c r="AB343" s="1"/>
      <c r="AC343" s="1"/>
      <c r="AD343" s="1"/>
      <c r="AE343" s="1"/>
      <c r="AF343" s="1"/>
      <c r="AG343" s="1"/>
      <c r="AH343" s="1"/>
    </row>
    <row r="344" ht="13.5" customHeight="1">
      <c r="A344" s="1"/>
      <c r="B344" s="1"/>
      <c r="C344" s="3"/>
      <c r="D344" s="1"/>
      <c r="E344" s="1"/>
      <c r="F344" s="1"/>
      <c r="G344" s="1"/>
      <c r="H344" s="1"/>
      <c r="I344" s="1"/>
      <c r="J344" s="1"/>
      <c r="K344" s="2"/>
      <c r="L344" s="1"/>
      <c r="M344" s="3"/>
      <c r="N344" s="3"/>
      <c r="O344" s="4"/>
      <c r="P344" s="4"/>
      <c r="Q344" s="4"/>
      <c r="R344" s="4"/>
      <c r="S344" s="4"/>
      <c r="T344" s="4"/>
      <c r="U344" s="4"/>
      <c r="V344" s="4"/>
      <c r="W344" s="4"/>
      <c r="X344" s="3"/>
      <c r="Y344" s="2"/>
      <c r="Z344" s="2"/>
      <c r="AA344" s="1"/>
      <c r="AB344" s="1"/>
      <c r="AC344" s="1"/>
      <c r="AD344" s="1"/>
      <c r="AE344" s="1"/>
      <c r="AF344" s="1"/>
      <c r="AG344" s="1"/>
      <c r="AH344" s="1"/>
    </row>
    <row r="345" ht="13.5" customHeight="1">
      <c r="A345" s="1"/>
      <c r="B345" s="1"/>
      <c r="C345" s="3"/>
      <c r="D345" s="1"/>
      <c r="E345" s="1"/>
      <c r="F345" s="1"/>
      <c r="G345" s="1"/>
      <c r="H345" s="1"/>
      <c r="I345" s="1"/>
      <c r="J345" s="1"/>
      <c r="K345" s="2"/>
      <c r="L345" s="1"/>
      <c r="M345" s="3"/>
      <c r="N345" s="3"/>
      <c r="O345" s="4"/>
      <c r="P345" s="4"/>
      <c r="Q345" s="4"/>
      <c r="R345" s="4"/>
      <c r="S345" s="4"/>
      <c r="T345" s="4"/>
      <c r="U345" s="4"/>
      <c r="V345" s="4"/>
      <c r="W345" s="4"/>
      <c r="X345" s="3"/>
      <c r="Y345" s="2"/>
      <c r="Z345" s="2"/>
      <c r="AA345" s="1"/>
      <c r="AB345" s="1"/>
      <c r="AC345" s="1"/>
      <c r="AD345" s="1"/>
      <c r="AE345" s="1"/>
      <c r="AF345" s="1"/>
      <c r="AG345" s="1"/>
      <c r="AH345" s="1"/>
    </row>
    <row r="346" ht="13.5" customHeight="1">
      <c r="A346" s="1"/>
      <c r="B346" s="1"/>
      <c r="C346" s="3"/>
      <c r="D346" s="1"/>
      <c r="E346" s="1"/>
      <c r="F346" s="1"/>
      <c r="G346" s="1"/>
      <c r="H346" s="1"/>
      <c r="I346" s="1"/>
      <c r="J346" s="1"/>
      <c r="K346" s="2"/>
      <c r="L346" s="1"/>
      <c r="M346" s="3"/>
      <c r="N346" s="3"/>
      <c r="O346" s="4"/>
      <c r="P346" s="4"/>
      <c r="Q346" s="4"/>
      <c r="R346" s="4"/>
      <c r="S346" s="4"/>
      <c r="T346" s="4"/>
      <c r="U346" s="4"/>
      <c r="V346" s="4"/>
      <c r="W346" s="4"/>
      <c r="X346" s="3"/>
      <c r="Y346" s="2"/>
      <c r="Z346" s="2"/>
      <c r="AA346" s="1"/>
      <c r="AB346" s="1"/>
      <c r="AC346" s="1"/>
      <c r="AD346" s="1"/>
      <c r="AE346" s="1"/>
      <c r="AF346" s="1"/>
      <c r="AG346" s="1"/>
      <c r="AH346" s="1"/>
    </row>
    <row r="347" ht="13.5" customHeight="1">
      <c r="A347" s="1"/>
      <c r="B347" s="1"/>
      <c r="C347" s="3"/>
      <c r="D347" s="1"/>
      <c r="E347" s="1"/>
      <c r="F347" s="1"/>
      <c r="G347" s="1"/>
      <c r="H347" s="1"/>
      <c r="I347" s="1"/>
      <c r="J347" s="1"/>
      <c r="K347" s="2"/>
      <c r="L347" s="1"/>
      <c r="M347" s="3"/>
      <c r="N347" s="3"/>
      <c r="O347" s="4"/>
      <c r="P347" s="4"/>
      <c r="Q347" s="4"/>
      <c r="R347" s="4"/>
      <c r="S347" s="4"/>
      <c r="T347" s="4"/>
      <c r="U347" s="4"/>
      <c r="V347" s="4"/>
      <c r="W347" s="4"/>
      <c r="X347" s="3"/>
      <c r="Y347" s="2"/>
      <c r="Z347" s="2"/>
      <c r="AA347" s="1"/>
      <c r="AB347" s="1"/>
      <c r="AC347" s="1"/>
      <c r="AD347" s="1"/>
      <c r="AE347" s="1"/>
      <c r="AF347" s="1"/>
      <c r="AG347" s="1"/>
      <c r="AH347" s="1"/>
    </row>
    <row r="348" ht="13.5" customHeight="1">
      <c r="A348" s="1"/>
      <c r="B348" s="1"/>
      <c r="C348" s="3"/>
      <c r="D348" s="1"/>
      <c r="E348" s="1"/>
      <c r="F348" s="1"/>
      <c r="G348" s="1"/>
      <c r="H348" s="1"/>
      <c r="I348" s="1"/>
      <c r="J348" s="1"/>
      <c r="K348" s="2"/>
      <c r="L348" s="1"/>
      <c r="M348" s="3"/>
      <c r="N348" s="3"/>
      <c r="O348" s="4"/>
      <c r="P348" s="4"/>
      <c r="Q348" s="4"/>
      <c r="R348" s="4"/>
      <c r="S348" s="4"/>
      <c r="T348" s="4"/>
      <c r="U348" s="4"/>
      <c r="V348" s="4"/>
      <c r="W348" s="4"/>
      <c r="X348" s="3"/>
      <c r="Y348" s="2"/>
      <c r="Z348" s="2"/>
      <c r="AA348" s="1"/>
      <c r="AB348" s="1"/>
      <c r="AC348" s="1"/>
      <c r="AD348" s="1"/>
      <c r="AE348" s="1"/>
      <c r="AF348" s="1"/>
      <c r="AG348" s="1"/>
      <c r="AH348" s="1"/>
    </row>
    <row r="349" ht="13.5" customHeight="1">
      <c r="A349" s="1"/>
      <c r="B349" s="1"/>
      <c r="C349" s="3"/>
      <c r="D349" s="1"/>
      <c r="E349" s="1"/>
      <c r="F349" s="1"/>
      <c r="G349" s="1"/>
      <c r="H349" s="1"/>
      <c r="I349" s="1"/>
      <c r="J349" s="1"/>
      <c r="K349" s="2"/>
      <c r="L349" s="1"/>
      <c r="M349" s="3"/>
      <c r="N349" s="3"/>
      <c r="O349" s="4"/>
      <c r="P349" s="4"/>
      <c r="Q349" s="4"/>
      <c r="R349" s="4"/>
      <c r="S349" s="4"/>
      <c r="T349" s="4"/>
      <c r="U349" s="4"/>
      <c r="V349" s="4"/>
      <c r="W349" s="4"/>
      <c r="X349" s="3"/>
      <c r="Y349" s="2"/>
      <c r="Z349" s="2"/>
      <c r="AA349" s="1"/>
      <c r="AB349" s="1"/>
      <c r="AC349" s="1"/>
      <c r="AD349" s="1"/>
      <c r="AE349" s="1"/>
      <c r="AF349" s="1"/>
      <c r="AG349" s="1"/>
      <c r="AH349" s="1"/>
    </row>
    <row r="350" ht="13.5" customHeight="1">
      <c r="A350" s="1"/>
      <c r="B350" s="1"/>
      <c r="C350" s="3"/>
      <c r="D350" s="1"/>
      <c r="E350" s="1"/>
      <c r="F350" s="1"/>
      <c r="G350" s="1"/>
      <c r="H350" s="1"/>
      <c r="I350" s="1"/>
      <c r="J350" s="1"/>
      <c r="K350" s="2"/>
      <c r="L350" s="1"/>
      <c r="M350" s="3"/>
      <c r="N350" s="3"/>
      <c r="O350" s="4"/>
      <c r="P350" s="4"/>
      <c r="Q350" s="4"/>
      <c r="R350" s="4"/>
      <c r="S350" s="4"/>
      <c r="T350" s="4"/>
      <c r="U350" s="4"/>
      <c r="V350" s="4"/>
      <c r="W350" s="4"/>
      <c r="X350" s="3"/>
      <c r="Y350" s="2"/>
      <c r="Z350" s="2"/>
      <c r="AA350" s="1"/>
      <c r="AB350" s="1"/>
      <c r="AC350" s="1"/>
      <c r="AD350" s="1"/>
      <c r="AE350" s="1"/>
      <c r="AF350" s="1"/>
      <c r="AG350" s="1"/>
      <c r="AH350" s="1"/>
    </row>
    <row r="351" ht="13.5" customHeight="1">
      <c r="A351" s="1"/>
      <c r="B351" s="1"/>
      <c r="C351" s="3"/>
      <c r="D351" s="1"/>
      <c r="E351" s="1"/>
      <c r="F351" s="1"/>
      <c r="G351" s="1"/>
      <c r="H351" s="1"/>
      <c r="I351" s="1"/>
      <c r="J351" s="1"/>
      <c r="K351" s="2"/>
      <c r="L351" s="1"/>
      <c r="M351" s="3"/>
      <c r="N351" s="3"/>
      <c r="O351" s="4"/>
      <c r="P351" s="4"/>
      <c r="Q351" s="4"/>
      <c r="R351" s="4"/>
      <c r="S351" s="4"/>
      <c r="T351" s="4"/>
      <c r="U351" s="4"/>
      <c r="V351" s="4"/>
      <c r="W351" s="4"/>
      <c r="X351" s="3"/>
      <c r="Y351" s="2"/>
      <c r="Z351" s="2"/>
      <c r="AA351" s="1"/>
      <c r="AB351" s="1"/>
      <c r="AC351" s="1"/>
      <c r="AD351" s="1"/>
      <c r="AE351" s="1"/>
      <c r="AF351" s="1"/>
      <c r="AG351" s="1"/>
      <c r="AH351" s="1"/>
    </row>
    <row r="352" ht="13.5" customHeight="1">
      <c r="A352" s="1"/>
      <c r="B352" s="1"/>
      <c r="C352" s="3"/>
      <c r="D352" s="1"/>
      <c r="E352" s="1"/>
      <c r="F352" s="1"/>
      <c r="G352" s="1"/>
      <c r="H352" s="1"/>
      <c r="I352" s="1"/>
      <c r="J352" s="1"/>
      <c r="K352" s="2"/>
      <c r="L352" s="1"/>
      <c r="M352" s="3"/>
      <c r="N352" s="3"/>
      <c r="O352" s="4"/>
      <c r="P352" s="4"/>
      <c r="Q352" s="4"/>
      <c r="R352" s="4"/>
      <c r="S352" s="4"/>
      <c r="T352" s="4"/>
      <c r="U352" s="4"/>
      <c r="V352" s="4"/>
      <c r="W352" s="4"/>
      <c r="X352" s="3"/>
      <c r="Y352" s="2"/>
      <c r="Z352" s="2"/>
      <c r="AA352" s="1"/>
      <c r="AB352" s="1"/>
      <c r="AC352" s="1"/>
      <c r="AD352" s="1"/>
      <c r="AE352" s="1"/>
      <c r="AF352" s="1"/>
      <c r="AG352" s="1"/>
      <c r="AH352" s="1"/>
    </row>
    <row r="353" ht="13.5" customHeight="1">
      <c r="A353" s="1"/>
      <c r="B353" s="1"/>
      <c r="C353" s="3"/>
      <c r="D353" s="1"/>
      <c r="E353" s="1"/>
      <c r="F353" s="1"/>
      <c r="G353" s="1"/>
      <c r="H353" s="1"/>
      <c r="I353" s="1"/>
      <c r="J353" s="1"/>
      <c r="K353" s="2"/>
      <c r="L353" s="1"/>
      <c r="M353" s="3"/>
      <c r="N353" s="3"/>
      <c r="O353" s="4"/>
      <c r="P353" s="4"/>
      <c r="Q353" s="4"/>
      <c r="R353" s="4"/>
      <c r="S353" s="4"/>
      <c r="T353" s="4"/>
      <c r="U353" s="4"/>
      <c r="V353" s="4"/>
      <c r="W353" s="4"/>
      <c r="X353" s="3"/>
      <c r="Y353" s="2"/>
      <c r="Z353" s="2"/>
      <c r="AA353" s="1"/>
      <c r="AB353" s="1"/>
      <c r="AC353" s="1"/>
      <c r="AD353" s="1"/>
      <c r="AE353" s="1"/>
      <c r="AF353" s="1"/>
      <c r="AG353" s="1"/>
      <c r="AH353" s="1"/>
    </row>
    <row r="354" ht="13.5" customHeight="1">
      <c r="A354" s="1"/>
      <c r="B354" s="1"/>
      <c r="C354" s="3"/>
      <c r="D354" s="1"/>
      <c r="E354" s="1"/>
      <c r="F354" s="1"/>
      <c r="G354" s="1"/>
      <c r="H354" s="1"/>
      <c r="I354" s="1"/>
      <c r="J354" s="1"/>
      <c r="K354" s="2"/>
      <c r="L354" s="1"/>
      <c r="M354" s="3"/>
      <c r="N354" s="3"/>
      <c r="O354" s="4"/>
      <c r="P354" s="4"/>
      <c r="Q354" s="4"/>
      <c r="R354" s="4"/>
      <c r="S354" s="4"/>
      <c r="T354" s="4"/>
      <c r="U354" s="4"/>
      <c r="V354" s="4"/>
      <c r="W354" s="4"/>
      <c r="X354" s="3"/>
      <c r="Y354" s="2"/>
      <c r="Z354" s="2"/>
      <c r="AA354" s="1"/>
      <c r="AB354" s="1"/>
      <c r="AC354" s="1"/>
      <c r="AD354" s="1"/>
      <c r="AE354" s="1"/>
      <c r="AF354" s="1"/>
      <c r="AG354" s="1"/>
      <c r="AH354" s="1"/>
    </row>
    <row r="355" ht="13.5" customHeight="1">
      <c r="A355" s="1"/>
      <c r="B355" s="1"/>
      <c r="C355" s="3"/>
      <c r="D355" s="1"/>
      <c r="E355" s="1"/>
      <c r="F355" s="1"/>
      <c r="G355" s="1"/>
      <c r="H355" s="1"/>
      <c r="I355" s="1"/>
      <c r="J355" s="1"/>
      <c r="K355" s="2"/>
      <c r="L355" s="1"/>
      <c r="M355" s="3"/>
      <c r="N355" s="3"/>
      <c r="O355" s="4"/>
      <c r="P355" s="4"/>
      <c r="Q355" s="4"/>
      <c r="R355" s="4"/>
      <c r="S355" s="4"/>
      <c r="T355" s="4"/>
      <c r="U355" s="4"/>
      <c r="V355" s="4"/>
      <c r="W355" s="4"/>
      <c r="X355" s="3"/>
      <c r="Y355" s="2"/>
      <c r="Z355" s="2"/>
      <c r="AA355" s="1"/>
      <c r="AB355" s="1"/>
      <c r="AC355" s="1"/>
      <c r="AD355" s="1"/>
      <c r="AE355" s="1"/>
      <c r="AF355" s="1"/>
      <c r="AG355" s="1"/>
      <c r="AH355" s="1"/>
    </row>
    <row r="356" ht="13.5" customHeight="1">
      <c r="A356" s="1"/>
      <c r="B356" s="1"/>
      <c r="C356" s="3"/>
      <c r="D356" s="1"/>
      <c r="E356" s="1"/>
      <c r="F356" s="1"/>
      <c r="G356" s="1"/>
      <c r="H356" s="1"/>
      <c r="I356" s="1"/>
      <c r="J356" s="1"/>
      <c r="K356" s="2"/>
      <c r="L356" s="1"/>
      <c r="M356" s="3"/>
      <c r="N356" s="3"/>
      <c r="O356" s="4"/>
      <c r="P356" s="4"/>
      <c r="Q356" s="4"/>
      <c r="R356" s="4"/>
      <c r="S356" s="4"/>
      <c r="T356" s="4"/>
      <c r="U356" s="4"/>
      <c r="V356" s="4"/>
      <c r="W356" s="4"/>
      <c r="X356" s="3"/>
      <c r="Y356" s="2"/>
      <c r="Z356" s="2"/>
      <c r="AA356" s="1"/>
      <c r="AB356" s="1"/>
      <c r="AC356" s="1"/>
      <c r="AD356" s="1"/>
      <c r="AE356" s="1"/>
      <c r="AF356" s="1"/>
      <c r="AG356" s="1"/>
      <c r="AH356" s="1"/>
    </row>
    <row r="357" ht="13.5" customHeight="1">
      <c r="A357" s="1"/>
      <c r="B357" s="1"/>
      <c r="C357" s="3"/>
      <c r="D357" s="1"/>
      <c r="E357" s="1"/>
      <c r="F357" s="1"/>
      <c r="G357" s="1"/>
      <c r="H357" s="1"/>
      <c r="I357" s="1"/>
      <c r="J357" s="1"/>
      <c r="K357" s="2"/>
      <c r="L357" s="1"/>
      <c r="M357" s="3"/>
      <c r="N357" s="3"/>
      <c r="O357" s="4"/>
      <c r="P357" s="4"/>
      <c r="Q357" s="4"/>
      <c r="R357" s="4"/>
      <c r="S357" s="4"/>
      <c r="T357" s="4"/>
      <c r="U357" s="4"/>
      <c r="V357" s="4"/>
      <c r="W357" s="4"/>
      <c r="X357" s="3"/>
      <c r="Y357" s="2"/>
      <c r="Z357" s="2"/>
      <c r="AA357" s="1"/>
      <c r="AB357" s="1"/>
      <c r="AC357" s="1"/>
      <c r="AD357" s="1"/>
      <c r="AE357" s="1"/>
      <c r="AF357" s="1"/>
      <c r="AG357" s="1"/>
      <c r="AH357" s="1"/>
    </row>
    <row r="358" ht="13.5" customHeight="1">
      <c r="A358" s="1"/>
      <c r="B358" s="1"/>
      <c r="C358" s="3"/>
      <c r="D358" s="1"/>
      <c r="E358" s="1"/>
      <c r="F358" s="1"/>
      <c r="G358" s="1"/>
      <c r="H358" s="1"/>
      <c r="I358" s="1"/>
      <c r="J358" s="1"/>
      <c r="K358" s="2"/>
      <c r="L358" s="1"/>
      <c r="M358" s="3"/>
      <c r="N358" s="3"/>
      <c r="O358" s="4"/>
      <c r="P358" s="4"/>
      <c r="Q358" s="4"/>
      <c r="R358" s="4"/>
      <c r="S358" s="4"/>
      <c r="T358" s="4"/>
      <c r="U358" s="4"/>
      <c r="V358" s="4"/>
      <c r="W358" s="4"/>
      <c r="X358" s="3"/>
      <c r="Y358" s="2"/>
      <c r="Z358" s="2"/>
      <c r="AA358" s="1"/>
      <c r="AB358" s="1"/>
      <c r="AC358" s="1"/>
      <c r="AD358" s="1"/>
      <c r="AE358" s="1"/>
      <c r="AF358" s="1"/>
      <c r="AG358" s="1"/>
      <c r="AH358" s="1"/>
    </row>
    <row r="359" ht="13.5" customHeight="1">
      <c r="A359" s="1"/>
      <c r="B359" s="1"/>
      <c r="C359" s="3"/>
      <c r="D359" s="1"/>
      <c r="E359" s="1"/>
      <c r="F359" s="1"/>
      <c r="G359" s="1"/>
      <c r="H359" s="1"/>
      <c r="I359" s="1"/>
      <c r="J359" s="1"/>
      <c r="K359" s="2"/>
      <c r="L359" s="1"/>
      <c r="M359" s="3"/>
      <c r="N359" s="3"/>
      <c r="O359" s="4"/>
      <c r="P359" s="4"/>
      <c r="Q359" s="4"/>
      <c r="R359" s="4"/>
      <c r="S359" s="4"/>
      <c r="T359" s="4"/>
      <c r="U359" s="4"/>
      <c r="V359" s="4"/>
      <c r="W359" s="4"/>
      <c r="X359" s="3"/>
      <c r="Y359" s="2"/>
      <c r="Z359" s="2"/>
      <c r="AA359" s="1"/>
      <c r="AB359" s="1"/>
      <c r="AC359" s="1"/>
      <c r="AD359" s="1"/>
      <c r="AE359" s="1"/>
      <c r="AF359" s="1"/>
      <c r="AG359" s="1"/>
      <c r="AH359" s="1"/>
    </row>
    <row r="360" ht="13.5" customHeight="1">
      <c r="A360" s="1"/>
      <c r="B360" s="1"/>
      <c r="C360" s="3"/>
      <c r="D360" s="1"/>
      <c r="E360" s="1"/>
      <c r="F360" s="1"/>
      <c r="G360" s="1"/>
      <c r="H360" s="1"/>
      <c r="I360" s="1"/>
      <c r="J360" s="1"/>
      <c r="K360" s="2"/>
      <c r="L360" s="1"/>
      <c r="M360" s="3"/>
      <c r="N360" s="3"/>
      <c r="O360" s="4"/>
      <c r="P360" s="4"/>
      <c r="Q360" s="4"/>
      <c r="R360" s="4"/>
      <c r="S360" s="4"/>
      <c r="T360" s="4"/>
      <c r="U360" s="4"/>
      <c r="V360" s="4"/>
      <c r="W360" s="4"/>
      <c r="X360" s="3"/>
      <c r="Y360" s="2"/>
      <c r="Z360" s="2"/>
      <c r="AA360" s="1"/>
      <c r="AB360" s="1"/>
      <c r="AC360" s="1"/>
      <c r="AD360" s="1"/>
      <c r="AE360" s="1"/>
      <c r="AF360" s="1"/>
      <c r="AG360" s="1"/>
      <c r="AH360" s="1"/>
    </row>
    <row r="361" ht="13.5" customHeight="1">
      <c r="A361" s="1"/>
      <c r="B361" s="1"/>
      <c r="C361" s="3"/>
      <c r="D361" s="1"/>
      <c r="E361" s="1"/>
      <c r="F361" s="1"/>
      <c r="G361" s="1"/>
      <c r="H361" s="1"/>
      <c r="I361" s="1"/>
      <c r="J361" s="1"/>
      <c r="K361" s="2"/>
      <c r="L361" s="1"/>
      <c r="M361" s="3"/>
      <c r="N361" s="3"/>
      <c r="O361" s="4"/>
      <c r="P361" s="4"/>
      <c r="Q361" s="4"/>
      <c r="R361" s="4"/>
      <c r="S361" s="4"/>
      <c r="T361" s="4"/>
      <c r="U361" s="4"/>
      <c r="V361" s="4"/>
      <c r="W361" s="4"/>
      <c r="X361" s="3"/>
      <c r="Y361" s="2"/>
      <c r="Z361" s="2"/>
      <c r="AA361" s="1"/>
      <c r="AB361" s="1"/>
      <c r="AC361" s="1"/>
      <c r="AD361" s="1"/>
      <c r="AE361" s="1"/>
      <c r="AF361" s="1"/>
      <c r="AG361" s="1"/>
      <c r="AH361" s="1"/>
    </row>
    <row r="362" ht="13.5" customHeight="1">
      <c r="A362" s="1"/>
      <c r="B362" s="1"/>
      <c r="C362" s="3"/>
      <c r="D362" s="1"/>
      <c r="E362" s="1"/>
      <c r="F362" s="1"/>
      <c r="G362" s="1"/>
      <c r="H362" s="1"/>
      <c r="I362" s="1"/>
      <c r="J362" s="1"/>
      <c r="K362" s="2"/>
      <c r="L362" s="1"/>
      <c r="M362" s="3"/>
      <c r="N362" s="3"/>
      <c r="O362" s="4"/>
      <c r="P362" s="4"/>
      <c r="Q362" s="4"/>
      <c r="R362" s="4"/>
      <c r="S362" s="4"/>
      <c r="T362" s="4"/>
      <c r="U362" s="4"/>
      <c r="V362" s="4"/>
      <c r="W362" s="4"/>
      <c r="X362" s="3"/>
      <c r="Y362" s="2"/>
      <c r="Z362" s="2"/>
      <c r="AA362" s="1"/>
      <c r="AB362" s="1"/>
      <c r="AC362" s="1"/>
      <c r="AD362" s="1"/>
      <c r="AE362" s="1"/>
      <c r="AF362" s="1"/>
      <c r="AG362" s="1"/>
      <c r="AH362" s="1"/>
    </row>
    <row r="363" ht="13.5" customHeight="1">
      <c r="A363" s="1"/>
      <c r="B363" s="1"/>
      <c r="C363" s="3"/>
      <c r="D363" s="1"/>
      <c r="E363" s="1"/>
      <c r="F363" s="1"/>
      <c r="G363" s="1"/>
      <c r="H363" s="1"/>
      <c r="I363" s="1"/>
      <c r="J363" s="1"/>
      <c r="K363" s="2"/>
      <c r="L363" s="1"/>
      <c r="M363" s="3"/>
      <c r="N363" s="3"/>
      <c r="O363" s="4"/>
      <c r="P363" s="4"/>
      <c r="Q363" s="4"/>
      <c r="R363" s="4"/>
      <c r="S363" s="4"/>
      <c r="T363" s="4"/>
      <c r="U363" s="4"/>
      <c r="V363" s="4"/>
      <c r="W363" s="4"/>
      <c r="X363" s="3"/>
      <c r="Y363" s="2"/>
      <c r="Z363" s="2"/>
      <c r="AA363" s="1"/>
      <c r="AB363" s="1"/>
      <c r="AC363" s="1"/>
      <c r="AD363" s="1"/>
      <c r="AE363" s="1"/>
      <c r="AF363" s="1"/>
      <c r="AG363" s="1"/>
      <c r="AH363" s="1"/>
    </row>
    <row r="364" ht="13.5" customHeight="1">
      <c r="A364" s="1"/>
      <c r="B364" s="1"/>
      <c r="C364" s="3"/>
      <c r="D364" s="1"/>
      <c r="E364" s="1"/>
      <c r="F364" s="1"/>
      <c r="G364" s="1"/>
      <c r="H364" s="1"/>
      <c r="I364" s="1"/>
      <c r="J364" s="1"/>
      <c r="K364" s="2"/>
      <c r="L364" s="1"/>
      <c r="M364" s="3"/>
      <c r="N364" s="3"/>
      <c r="O364" s="4"/>
      <c r="P364" s="4"/>
      <c r="Q364" s="4"/>
      <c r="R364" s="4"/>
      <c r="S364" s="4"/>
      <c r="T364" s="4"/>
      <c r="U364" s="4"/>
      <c r="V364" s="4"/>
      <c r="W364" s="4"/>
      <c r="X364" s="3"/>
      <c r="Y364" s="2"/>
      <c r="Z364" s="2"/>
      <c r="AA364" s="1"/>
      <c r="AB364" s="1"/>
      <c r="AC364" s="1"/>
      <c r="AD364" s="1"/>
      <c r="AE364" s="1"/>
      <c r="AF364" s="1"/>
      <c r="AG364" s="1"/>
      <c r="AH364" s="1"/>
    </row>
    <row r="365" ht="13.5" customHeight="1">
      <c r="A365" s="1"/>
      <c r="B365" s="1"/>
      <c r="C365" s="3"/>
      <c r="D365" s="1"/>
      <c r="E365" s="1"/>
      <c r="F365" s="1"/>
      <c r="G365" s="1"/>
      <c r="H365" s="1"/>
      <c r="I365" s="1"/>
      <c r="J365" s="1"/>
      <c r="K365" s="2"/>
      <c r="L365" s="1"/>
      <c r="M365" s="3"/>
      <c r="N365" s="3"/>
      <c r="O365" s="4"/>
      <c r="P365" s="4"/>
      <c r="Q365" s="4"/>
      <c r="R365" s="4"/>
      <c r="S365" s="4"/>
      <c r="T365" s="4"/>
      <c r="U365" s="4"/>
      <c r="V365" s="4"/>
      <c r="W365" s="4"/>
      <c r="X365" s="3"/>
      <c r="Y365" s="2"/>
      <c r="Z365" s="2"/>
      <c r="AA365" s="1"/>
      <c r="AB365" s="1"/>
      <c r="AC365" s="1"/>
      <c r="AD365" s="1"/>
      <c r="AE365" s="1"/>
      <c r="AF365" s="1"/>
      <c r="AG365" s="1"/>
      <c r="AH365" s="1"/>
    </row>
    <row r="366" ht="13.5" customHeight="1">
      <c r="A366" s="1"/>
      <c r="B366" s="1"/>
      <c r="C366" s="3"/>
      <c r="D366" s="1"/>
      <c r="E366" s="1"/>
      <c r="F366" s="1"/>
      <c r="G366" s="1"/>
      <c r="H366" s="1"/>
      <c r="I366" s="1"/>
      <c r="J366" s="1"/>
      <c r="K366" s="2"/>
      <c r="L366" s="1"/>
      <c r="M366" s="3"/>
      <c r="N366" s="3"/>
      <c r="O366" s="4"/>
      <c r="P366" s="4"/>
      <c r="Q366" s="4"/>
      <c r="R366" s="4"/>
      <c r="S366" s="4"/>
      <c r="T366" s="4"/>
      <c r="U366" s="4"/>
      <c r="V366" s="4"/>
      <c r="W366" s="4"/>
      <c r="X366" s="3"/>
      <c r="Y366" s="2"/>
      <c r="Z366" s="2"/>
      <c r="AA366" s="1"/>
      <c r="AB366" s="1"/>
      <c r="AC366" s="1"/>
      <c r="AD366" s="1"/>
      <c r="AE366" s="1"/>
      <c r="AF366" s="1"/>
      <c r="AG366" s="1"/>
      <c r="AH366" s="1"/>
    </row>
    <row r="367" ht="13.5" customHeight="1">
      <c r="A367" s="1"/>
      <c r="B367" s="1"/>
      <c r="C367" s="3"/>
      <c r="D367" s="1"/>
      <c r="E367" s="1"/>
      <c r="F367" s="1"/>
      <c r="G367" s="1"/>
      <c r="H367" s="1"/>
      <c r="I367" s="1"/>
      <c r="J367" s="1"/>
      <c r="K367" s="2"/>
      <c r="L367" s="1"/>
      <c r="M367" s="3"/>
      <c r="N367" s="3"/>
      <c r="O367" s="4"/>
      <c r="P367" s="4"/>
      <c r="Q367" s="4"/>
      <c r="R367" s="4"/>
      <c r="S367" s="4"/>
      <c r="T367" s="4"/>
      <c r="U367" s="4"/>
      <c r="V367" s="4"/>
      <c r="W367" s="4"/>
      <c r="X367" s="3"/>
      <c r="Y367" s="2"/>
      <c r="Z367" s="2"/>
      <c r="AA367" s="1"/>
      <c r="AB367" s="1"/>
      <c r="AC367" s="1"/>
      <c r="AD367" s="1"/>
      <c r="AE367" s="1"/>
      <c r="AF367" s="1"/>
      <c r="AG367" s="1"/>
      <c r="AH367" s="1"/>
    </row>
    <row r="368" ht="13.5" customHeight="1">
      <c r="A368" s="1"/>
      <c r="B368" s="1"/>
      <c r="C368" s="3"/>
      <c r="D368" s="1"/>
      <c r="E368" s="1"/>
      <c r="F368" s="1"/>
      <c r="G368" s="1"/>
      <c r="H368" s="1"/>
      <c r="I368" s="1"/>
      <c r="J368" s="1"/>
      <c r="K368" s="2"/>
      <c r="L368" s="1"/>
      <c r="M368" s="3"/>
      <c r="N368" s="3"/>
      <c r="O368" s="4"/>
      <c r="P368" s="4"/>
      <c r="Q368" s="4"/>
      <c r="R368" s="4"/>
      <c r="S368" s="4"/>
      <c r="T368" s="4"/>
      <c r="U368" s="4"/>
      <c r="V368" s="4"/>
      <c r="W368" s="4"/>
      <c r="X368" s="3"/>
      <c r="Y368" s="2"/>
      <c r="Z368" s="2"/>
      <c r="AA368" s="1"/>
      <c r="AB368" s="1"/>
      <c r="AC368" s="1"/>
      <c r="AD368" s="1"/>
      <c r="AE368" s="1"/>
      <c r="AF368" s="1"/>
      <c r="AG368" s="1"/>
      <c r="AH368" s="1"/>
    </row>
    <row r="369" ht="13.5" customHeight="1">
      <c r="A369" s="1"/>
      <c r="B369" s="1"/>
      <c r="C369" s="3"/>
      <c r="D369" s="1"/>
      <c r="E369" s="1"/>
      <c r="F369" s="1"/>
      <c r="G369" s="1"/>
      <c r="H369" s="1"/>
      <c r="I369" s="1"/>
      <c r="J369" s="1"/>
      <c r="K369" s="2"/>
      <c r="L369" s="1"/>
      <c r="M369" s="3"/>
      <c r="N369" s="3"/>
      <c r="O369" s="4"/>
      <c r="P369" s="4"/>
      <c r="Q369" s="4"/>
      <c r="R369" s="4"/>
      <c r="S369" s="4"/>
      <c r="T369" s="4"/>
      <c r="U369" s="4"/>
      <c r="V369" s="4"/>
      <c r="W369" s="4"/>
      <c r="X369" s="3"/>
      <c r="Y369" s="2"/>
      <c r="Z369" s="2"/>
      <c r="AA369" s="1"/>
      <c r="AB369" s="1"/>
      <c r="AC369" s="1"/>
      <c r="AD369" s="1"/>
      <c r="AE369" s="1"/>
      <c r="AF369" s="1"/>
      <c r="AG369" s="1"/>
      <c r="AH369" s="1"/>
    </row>
    <row r="370" ht="13.5" customHeight="1">
      <c r="A370" s="1"/>
      <c r="B370" s="1"/>
      <c r="C370" s="3"/>
      <c r="D370" s="1"/>
      <c r="E370" s="1"/>
      <c r="F370" s="1"/>
      <c r="G370" s="1"/>
      <c r="H370" s="1"/>
      <c r="I370" s="1"/>
      <c r="J370" s="1"/>
      <c r="K370" s="2"/>
      <c r="L370" s="1"/>
      <c r="M370" s="3"/>
      <c r="N370" s="3"/>
      <c r="O370" s="4"/>
      <c r="P370" s="4"/>
      <c r="Q370" s="4"/>
      <c r="R370" s="4"/>
      <c r="S370" s="4"/>
      <c r="T370" s="4"/>
      <c r="U370" s="4"/>
      <c r="V370" s="4"/>
      <c r="W370" s="4"/>
      <c r="X370" s="3"/>
      <c r="Y370" s="2"/>
      <c r="Z370" s="2"/>
      <c r="AA370" s="1"/>
      <c r="AB370" s="1"/>
      <c r="AC370" s="1"/>
      <c r="AD370" s="1"/>
      <c r="AE370" s="1"/>
      <c r="AF370" s="1"/>
      <c r="AG370" s="1"/>
      <c r="AH370" s="1"/>
    </row>
    <row r="371" ht="13.5" customHeight="1">
      <c r="A371" s="1"/>
      <c r="B371" s="1"/>
      <c r="C371" s="3"/>
      <c r="D371" s="1"/>
      <c r="E371" s="1"/>
      <c r="F371" s="1"/>
      <c r="G371" s="1"/>
      <c r="H371" s="1"/>
      <c r="I371" s="1"/>
      <c r="J371" s="1"/>
      <c r="K371" s="2"/>
      <c r="L371" s="1"/>
      <c r="M371" s="3"/>
      <c r="N371" s="3"/>
      <c r="O371" s="4"/>
      <c r="P371" s="4"/>
      <c r="Q371" s="4"/>
      <c r="R371" s="4"/>
      <c r="S371" s="4"/>
      <c r="T371" s="4"/>
      <c r="U371" s="4"/>
      <c r="V371" s="4"/>
      <c r="W371" s="4"/>
      <c r="X371" s="3"/>
      <c r="Y371" s="2"/>
      <c r="Z371" s="2"/>
      <c r="AA371" s="1"/>
      <c r="AB371" s="1"/>
      <c r="AC371" s="1"/>
      <c r="AD371" s="1"/>
      <c r="AE371" s="1"/>
      <c r="AF371" s="1"/>
      <c r="AG371" s="1"/>
      <c r="AH371" s="1"/>
    </row>
    <row r="372" ht="13.5" customHeight="1">
      <c r="A372" s="1"/>
      <c r="B372" s="1"/>
      <c r="C372" s="3"/>
      <c r="D372" s="1"/>
      <c r="E372" s="1"/>
      <c r="F372" s="1"/>
      <c r="G372" s="1"/>
      <c r="H372" s="1"/>
      <c r="I372" s="1"/>
      <c r="J372" s="1"/>
      <c r="K372" s="2"/>
      <c r="L372" s="1"/>
      <c r="M372" s="3"/>
      <c r="N372" s="3"/>
      <c r="O372" s="4"/>
      <c r="P372" s="4"/>
      <c r="Q372" s="4"/>
      <c r="R372" s="4"/>
      <c r="S372" s="4"/>
      <c r="T372" s="4"/>
      <c r="U372" s="4"/>
      <c r="V372" s="4"/>
      <c r="W372" s="4"/>
      <c r="X372" s="3"/>
      <c r="Y372" s="2"/>
      <c r="Z372" s="2"/>
      <c r="AA372" s="1"/>
      <c r="AB372" s="1"/>
      <c r="AC372" s="1"/>
      <c r="AD372" s="1"/>
      <c r="AE372" s="1"/>
      <c r="AF372" s="1"/>
      <c r="AG372" s="1"/>
      <c r="AH372" s="1"/>
    </row>
    <row r="373" ht="13.5" customHeight="1">
      <c r="A373" s="1"/>
      <c r="B373" s="1"/>
      <c r="C373" s="3"/>
      <c r="D373" s="1"/>
      <c r="E373" s="1"/>
      <c r="F373" s="1"/>
      <c r="G373" s="1"/>
      <c r="H373" s="1"/>
      <c r="I373" s="1"/>
      <c r="J373" s="1"/>
      <c r="K373" s="2"/>
      <c r="L373" s="1"/>
      <c r="M373" s="3"/>
      <c r="N373" s="3"/>
      <c r="O373" s="4"/>
      <c r="P373" s="4"/>
      <c r="Q373" s="4"/>
      <c r="R373" s="4"/>
      <c r="S373" s="4"/>
      <c r="T373" s="4"/>
      <c r="U373" s="4"/>
      <c r="V373" s="4"/>
      <c r="W373" s="4"/>
      <c r="X373" s="3"/>
      <c r="Y373" s="2"/>
      <c r="Z373" s="2"/>
      <c r="AA373" s="1"/>
      <c r="AB373" s="1"/>
      <c r="AC373" s="1"/>
      <c r="AD373" s="1"/>
      <c r="AE373" s="1"/>
      <c r="AF373" s="1"/>
      <c r="AG373" s="1"/>
      <c r="AH373" s="1"/>
    </row>
    <row r="374" ht="13.5" customHeight="1">
      <c r="A374" s="1"/>
      <c r="B374" s="1"/>
      <c r="C374" s="3"/>
      <c r="D374" s="1"/>
      <c r="E374" s="1"/>
      <c r="F374" s="1"/>
      <c r="G374" s="1"/>
      <c r="H374" s="1"/>
      <c r="I374" s="1"/>
      <c r="J374" s="1"/>
      <c r="K374" s="2"/>
      <c r="L374" s="1"/>
      <c r="M374" s="3"/>
      <c r="N374" s="3"/>
      <c r="O374" s="4"/>
      <c r="P374" s="4"/>
      <c r="Q374" s="4"/>
      <c r="R374" s="4"/>
      <c r="S374" s="4"/>
      <c r="T374" s="4"/>
      <c r="U374" s="4"/>
      <c r="V374" s="4"/>
      <c r="W374" s="4"/>
      <c r="X374" s="3"/>
      <c r="Y374" s="2"/>
      <c r="Z374" s="2"/>
      <c r="AA374" s="1"/>
      <c r="AB374" s="1"/>
      <c r="AC374" s="1"/>
      <c r="AD374" s="1"/>
      <c r="AE374" s="1"/>
      <c r="AF374" s="1"/>
      <c r="AG374" s="1"/>
      <c r="AH374" s="1"/>
    </row>
    <row r="375" ht="13.5" customHeight="1">
      <c r="A375" s="1"/>
      <c r="B375" s="1"/>
      <c r="C375" s="3"/>
      <c r="D375" s="1"/>
      <c r="E375" s="1"/>
      <c r="F375" s="1"/>
      <c r="G375" s="1"/>
      <c r="H375" s="1"/>
      <c r="I375" s="1"/>
      <c r="J375" s="1"/>
      <c r="K375" s="2"/>
      <c r="L375" s="1"/>
      <c r="M375" s="3"/>
      <c r="N375" s="3"/>
      <c r="O375" s="4"/>
      <c r="P375" s="4"/>
      <c r="Q375" s="4"/>
      <c r="R375" s="4"/>
      <c r="S375" s="4"/>
      <c r="T375" s="4"/>
      <c r="U375" s="4"/>
      <c r="V375" s="4"/>
      <c r="W375" s="4"/>
      <c r="X375" s="3"/>
      <c r="Y375" s="2"/>
      <c r="Z375" s="2"/>
      <c r="AA375" s="1"/>
      <c r="AB375" s="1"/>
      <c r="AC375" s="1"/>
      <c r="AD375" s="1"/>
      <c r="AE375" s="1"/>
      <c r="AF375" s="1"/>
      <c r="AG375" s="1"/>
      <c r="AH375" s="1"/>
    </row>
    <row r="376" ht="13.5" customHeight="1">
      <c r="A376" s="1"/>
      <c r="B376" s="1"/>
      <c r="C376" s="3"/>
      <c r="D376" s="1"/>
      <c r="E376" s="1"/>
      <c r="F376" s="1"/>
      <c r="G376" s="1"/>
      <c r="H376" s="1"/>
      <c r="I376" s="1"/>
      <c r="J376" s="1"/>
      <c r="K376" s="2"/>
      <c r="L376" s="1"/>
      <c r="M376" s="3"/>
      <c r="N376" s="3"/>
      <c r="O376" s="4"/>
      <c r="P376" s="4"/>
      <c r="Q376" s="4"/>
      <c r="R376" s="4"/>
      <c r="S376" s="4"/>
      <c r="T376" s="4"/>
      <c r="U376" s="4"/>
      <c r="V376" s="4"/>
      <c r="W376" s="4"/>
      <c r="X376" s="3"/>
      <c r="Y376" s="2"/>
      <c r="Z376" s="2"/>
      <c r="AA376" s="1"/>
      <c r="AB376" s="1"/>
      <c r="AC376" s="1"/>
      <c r="AD376" s="1"/>
      <c r="AE376" s="1"/>
      <c r="AF376" s="1"/>
      <c r="AG376" s="1"/>
      <c r="AH376" s="1"/>
    </row>
    <row r="377" ht="13.5" customHeight="1">
      <c r="A377" s="1"/>
      <c r="B377" s="1"/>
      <c r="C377" s="3"/>
      <c r="D377" s="1"/>
      <c r="E377" s="1"/>
      <c r="F377" s="1"/>
      <c r="G377" s="1"/>
      <c r="H377" s="1"/>
      <c r="I377" s="1"/>
      <c r="J377" s="1"/>
      <c r="K377" s="2"/>
      <c r="L377" s="1"/>
      <c r="M377" s="3"/>
      <c r="N377" s="3"/>
      <c r="O377" s="4"/>
      <c r="P377" s="4"/>
      <c r="Q377" s="4"/>
      <c r="R377" s="4"/>
      <c r="S377" s="4"/>
      <c r="T377" s="4"/>
      <c r="U377" s="4"/>
      <c r="V377" s="4"/>
      <c r="W377" s="4"/>
      <c r="X377" s="3"/>
      <c r="Y377" s="2"/>
      <c r="Z377" s="2"/>
      <c r="AA377" s="1"/>
      <c r="AB377" s="1"/>
      <c r="AC377" s="1"/>
      <c r="AD377" s="1"/>
      <c r="AE377" s="1"/>
      <c r="AF377" s="1"/>
      <c r="AG377" s="1"/>
      <c r="AH377" s="1"/>
    </row>
    <row r="378" ht="13.5" customHeight="1">
      <c r="A378" s="1"/>
      <c r="B378" s="1"/>
      <c r="C378" s="3"/>
      <c r="D378" s="1"/>
      <c r="E378" s="1"/>
      <c r="F378" s="1"/>
      <c r="G378" s="1"/>
      <c r="H378" s="1"/>
      <c r="I378" s="1"/>
      <c r="J378" s="1"/>
      <c r="K378" s="2"/>
      <c r="L378" s="1"/>
      <c r="M378" s="3"/>
      <c r="N378" s="3"/>
      <c r="O378" s="4"/>
      <c r="P378" s="4"/>
      <c r="Q378" s="4"/>
      <c r="R378" s="4"/>
      <c r="S378" s="4"/>
      <c r="T378" s="4"/>
      <c r="U378" s="4"/>
      <c r="V378" s="4"/>
      <c r="W378" s="4"/>
      <c r="X378" s="3"/>
      <c r="Y378" s="2"/>
      <c r="Z378" s="2"/>
      <c r="AA378" s="1"/>
      <c r="AB378" s="1"/>
      <c r="AC378" s="1"/>
      <c r="AD378" s="1"/>
      <c r="AE378" s="1"/>
      <c r="AF378" s="1"/>
      <c r="AG378" s="1"/>
      <c r="AH378" s="1"/>
    </row>
    <row r="379" ht="13.5" customHeight="1">
      <c r="A379" s="1"/>
      <c r="B379" s="1"/>
      <c r="C379" s="3"/>
      <c r="D379" s="1"/>
      <c r="E379" s="1"/>
      <c r="F379" s="1"/>
      <c r="G379" s="1"/>
      <c r="H379" s="1"/>
      <c r="I379" s="1"/>
      <c r="J379" s="1"/>
      <c r="K379" s="2"/>
      <c r="L379" s="1"/>
      <c r="M379" s="3"/>
      <c r="N379" s="3"/>
      <c r="O379" s="4"/>
      <c r="P379" s="4"/>
      <c r="Q379" s="4"/>
      <c r="R379" s="4"/>
      <c r="S379" s="4"/>
      <c r="T379" s="4"/>
      <c r="U379" s="4"/>
      <c r="V379" s="4"/>
      <c r="W379" s="4"/>
      <c r="X379" s="3"/>
      <c r="Y379" s="2"/>
      <c r="Z379" s="2"/>
      <c r="AA379" s="1"/>
      <c r="AB379" s="1"/>
      <c r="AC379" s="1"/>
      <c r="AD379" s="1"/>
      <c r="AE379" s="1"/>
      <c r="AF379" s="1"/>
      <c r="AG379" s="1"/>
      <c r="AH379" s="1"/>
    </row>
    <row r="380" ht="13.5" customHeight="1">
      <c r="A380" s="1"/>
      <c r="B380" s="1"/>
      <c r="C380" s="3"/>
      <c r="D380" s="1"/>
      <c r="E380" s="1"/>
      <c r="F380" s="1"/>
      <c r="G380" s="1"/>
      <c r="H380" s="1"/>
      <c r="I380" s="1"/>
      <c r="J380" s="1"/>
      <c r="K380" s="2"/>
      <c r="L380" s="1"/>
      <c r="M380" s="3"/>
      <c r="N380" s="3"/>
      <c r="O380" s="4"/>
      <c r="P380" s="4"/>
      <c r="Q380" s="4"/>
      <c r="R380" s="4"/>
      <c r="S380" s="4"/>
      <c r="T380" s="4"/>
      <c r="U380" s="4"/>
      <c r="V380" s="4"/>
      <c r="W380" s="4"/>
      <c r="X380" s="3"/>
      <c r="Y380" s="2"/>
      <c r="Z380" s="2"/>
      <c r="AA380" s="1"/>
      <c r="AB380" s="1"/>
      <c r="AC380" s="1"/>
      <c r="AD380" s="1"/>
      <c r="AE380" s="1"/>
      <c r="AF380" s="1"/>
      <c r="AG380" s="1"/>
      <c r="AH380" s="1"/>
    </row>
    <row r="381" ht="13.5" customHeight="1">
      <c r="A381" s="1"/>
      <c r="B381" s="1"/>
      <c r="C381" s="3"/>
      <c r="D381" s="1"/>
      <c r="E381" s="1"/>
      <c r="F381" s="1"/>
      <c r="G381" s="1"/>
      <c r="H381" s="1"/>
      <c r="I381" s="1"/>
      <c r="J381" s="1"/>
      <c r="K381" s="2"/>
      <c r="L381" s="1"/>
      <c r="M381" s="3"/>
      <c r="N381" s="3"/>
      <c r="O381" s="4"/>
      <c r="P381" s="4"/>
      <c r="Q381" s="4"/>
      <c r="R381" s="4"/>
      <c r="S381" s="4"/>
      <c r="T381" s="4"/>
      <c r="U381" s="4"/>
      <c r="V381" s="4"/>
      <c r="W381" s="4"/>
      <c r="X381" s="3"/>
      <c r="Y381" s="2"/>
      <c r="Z381" s="2"/>
      <c r="AA381" s="1"/>
      <c r="AB381" s="1"/>
      <c r="AC381" s="1"/>
      <c r="AD381" s="1"/>
      <c r="AE381" s="1"/>
      <c r="AF381" s="1"/>
      <c r="AG381" s="1"/>
      <c r="AH381" s="1"/>
    </row>
    <row r="382" ht="13.5" customHeight="1">
      <c r="A382" s="1"/>
      <c r="B382" s="1"/>
      <c r="C382" s="3"/>
      <c r="D382" s="1"/>
      <c r="E382" s="1"/>
      <c r="F382" s="1"/>
      <c r="G382" s="1"/>
      <c r="H382" s="1"/>
      <c r="I382" s="1"/>
      <c r="J382" s="1"/>
      <c r="K382" s="2"/>
      <c r="L382" s="1"/>
      <c r="M382" s="3"/>
      <c r="N382" s="3"/>
      <c r="O382" s="4"/>
      <c r="P382" s="4"/>
      <c r="Q382" s="4"/>
      <c r="R382" s="4"/>
      <c r="S382" s="4"/>
      <c r="T382" s="4"/>
      <c r="U382" s="4"/>
      <c r="V382" s="4"/>
      <c r="W382" s="4"/>
      <c r="X382" s="3"/>
      <c r="Y382" s="2"/>
      <c r="Z382" s="2"/>
      <c r="AA382" s="1"/>
      <c r="AB382" s="1"/>
      <c r="AC382" s="1"/>
      <c r="AD382" s="1"/>
      <c r="AE382" s="1"/>
      <c r="AF382" s="1"/>
      <c r="AG382" s="1"/>
      <c r="AH382" s="1"/>
    </row>
    <row r="383" ht="13.5" customHeight="1">
      <c r="A383" s="1"/>
      <c r="B383" s="1"/>
      <c r="C383" s="3"/>
      <c r="D383" s="1"/>
      <c r="E383" s="1"/>
      <c r="F383" s="1"/>
      <c r="G383" s="1"/>
      <c r="H383" s="1"/>
      <c r="I383" s="1"/>
      <c r="J383" s="1"/>
      <c r="K383" s="2"/>
      <c r="L383" s="1"/>
      <c r="M383" s="3"/>
      <c r="N383" s="3"/>
      <c r="O383" s="4"/>
      <c r="P383" s="4"/>
      <c r="Q383" s="4"/>
      <c r="R383" s="4"/>
      <c r="S383" s="4"/>
      <c r="T383" s="4"/>
      <c r="U383" s="4"/>
      <c r="V383" s="4"/>
      <c r="W383" s="4"/>
      <c r="X383" s="3"/>
      <c r="Y383" s="2"/>
      <c r="Z383" s="2"/>
      <c r="AA383" s="1"/>
      <c r="AB383" s="1"/>
      <c r="AC383" s="1"/>
      <c r="AD383" s="1"/>
      <c r="AE383" s="1"/>
      <c r="AF383" s="1"/>
      <c r="AG383" s="1"/>
      <c r="AH383" s="1"/>
    </row>
    <row r="384" ht="13.5" customHeight="1">
      <c r="A384" s="1"/>
      <c r="B384" s="1"/>
      <c r="C384" s="3"/>
      <c r="D384" s="1"/>
      <c r="E384" s="1"/>
      <c r="F384" s="1"/>
      <c r="G384" s="1"/>
      <c r="H384" s="1"/>
      <c r="I384" s="1"/>
      <c r="J384" s="1"/>
      <c r="K384" s="2"/>
      <c r="L384" s="1"/>
      <c r="M384" s="3"/>
      <c r="N384" s="3"/>
      <c r="O384" s="4"/>
      <c r="P384" s="4"/>
      <c r="Q384" s="4"/>
      <c r="R384" s="4"/>
      <c r="S384" s="4"/>
      <c r="T384" s="4"/>
      <c r="U384" s="4"/>
      <c r="V384" s="4"/>
      <c r="W384" s="4"/>
      <c r="X384" s="3"/>
      <c r="Y384" s="2"/>
      <c r="Z384" s="2"/>
      <c r="AA384" s="1"/>
      <c r="AB384" s="1"/>
      <c r="AC384" s="1"/>
      <c r="AD384" s="1"/>
      <c r="AE384" s="1"/>
      <c r="AF384" s="1"/>
      <c r="AG384" s="1"/>
      <c r="AH384" s="1"/>
    </row>
    <row r="385" ht="13.5" customHeight="1">
      <c r="A385" s="1"/>
      <c r="B385" s="1"/>
      <c r="C385" s="3"/>
      <c r="D385" s="1"/>
      <c r="E385" s="1"/>
      <c r="F385" s="1"/>
      <c r="G385" s="1"/>
      <c r="H385" s="1"/>
      <c r="I385" s="1"/>
      <c r="J385" s="1"/>
      <c r="K385" s="2"/>
      <c r="L385" s="1"/>
      <c r="M385" s="3"/>
      <c r="N385" s="3"/>
      <c r="O385" s="4"/>
      <c r="P385" s="4"/>
      <c r="Q385" s="4"/>
      <c r="R385" s="4"/>
      <c r="S385" s="4"/>
      <c r="T385" s="4"/>
      <c r="U385" s="4"/>
      <c r="V385" s="4"/>
      <c r="W385" s="4"/>
      <c r="X385" s="3"/>
      <c r="Y385" s="2"/>
      <c r="Z385" s="2"/>
      <c r="AA385" s="1"/>
      <c r="AB385" s="1"/>
      <c r="AC385" s="1"/>
      <c r="AD385" s="1"/>
      <c r="AE385" s="1"/>
      <c r="AF385" s="1"/>
      <c r="AG385" s="1"/>
      <c r="AH385" s="1"/>
    </row>
    <row r="386" ht="13.5" customHeight="1">
      <c r="A386" s="1"/>
      <c r="B386" s="1"/>
      <c r="C386" s="3"/>
      <c r="D386" s="1"/>
      <c r="E386" s="1"/>
      <c r="F386" s="1"/>
      <c r="G386" s="1"/>
      <c r="H386" s="1"/>
      <c r="I386" s="1"/>
      <c r="J386" s="1"/>
      <c r="K386" s="2"/>
      <c r="L386" s="1"/>
      <c r="M386" s="3"/>
      <c r="N386" s="3"/>
      <c r="O386" s="4"/>
      <c r="P386" s="4"/>
      <c r="Q386" s="4"/>
      <c r="R386" s="4"/>
      <c r="S386" s="4"/>
      <c r="T386" s="4"/>
      <c r="U386" s="4"/>
      <c r="V386" s="4"/>
      <c r="W386" s="4"/>
      <c r="X386" s="3"/>
      <c r="Y386" s="2"/>
      <c r="Z386" s="2"/>
      <c r="AA386" s="1"/>
      <c r="AB386" s="1"/>
      <c r="AC386" s="1"/>
      <c r="AD386" s="1"/>
      <c r="AE386" s="1"/>
      <c r="AF386" s="1"/>
      <c r="AG386" s="1"/>
      <c r="AH386" s="1"/>
    </row>
    <row r="387" ht="13.5" customHeight="1">
      <c r="A387" s="1"/>
      <c r="B387" s="1"/>
      <c r="C387" s="3"/>
      <c r="D387" s="1"/>
      <c r="E387" s="1"/>
      <c r="F387" s="1"/>
      <c r="G387" s="1"/>
      <c r="H387" s="1"/>
      <c r="I387" s="1"/>
      <c r="J387" s="1"/>
      <c r="K387" s="2"/>
      <c r="L387" s="1"/>
      <c r="M387" s="3"/>
      <c r="N387" s="3"/>
      <c r="O387" s="4"/>
      <c r="P387" s="4"/>
      <c r="Q387" s="4"/>
      <c r="R387" s="4"/>
      <c r="S387" s="4"/>
      <c r="T387" s="4"/>
      <c r="U387" s="4"/>
      <c r="V387" s="4"/>
      <c r="W387" s="4"/>
      <c r="X387" s="3"/>
      <c r="Y387" s="2"/>
      <c r="Z387" s="2"/>
      <c r="AA387" s="1"/>
      <c r="AB387" s="1"/>
      <c r="AC387" s="1"/>
      <c r="AD387" s="1"/>
      <c r="AE387" s="1"/>
      <c r="AF387" s="1"/>
      <c r="AG387" s="1"/>
      <c r="AH387" s="1"/>
    </row>
    <row r="388" ht="13.5" customHeight="1">
      <c r="A388" s="1"/>
      <c r="B388" s="1"/>
      <c r="C388" s="3"/>
      <c r="D388" s="1"/>
      <c r="E388" s="1"/>
      <c r="F388" s="1"/>
      <c r="G388" s="1"/>
      <c r="H388" s="1"/>
      <c r="I388" s="1"/>
      <c r="J388" s="1"/>
      <c r="K388" s="2"/>
      <c r="L388" s="1"/>
      <c r="M388" s="3"/>
      <c r="N388" s="3"/>
      <c r="O388" s="4"/>
      <c r="P388" s="4"/>
      <c r="Q388" s="4"/>
      <c r="R388" s="4"/>
      <c r="S388" s="4"/>
      <c r="T388" s="4"/>
      <c r="U388" s="4"/>
      <c r="V388" s="4"/>
      <c r="W388" s="4"/>
      <c r="X388" s="3"/>
      <c r="Y388" s="2"/>
      <c r="Z388" s="2"/>
      <c r="AA388" s="1"/>
      <c r="AB388" s="1"/>
      <c r="AC388" s="1"/>
      <c r="AD388" s="1"/>
      <c r="AE388" s="1"/>
      <c r="AF388" s="1"/>
      <c r="AG388" s="1"/>
      <c r="AH388" s="1"/>
    </row>
    <row r="389" ht="13.5" customHeight="1">
      <c r="A389" s="1"/>
      <c r="B389" s="1"/>
      <c r="C389" s="3"/>
      <c r="D389" s="1"/>
      <c r="E389" s="1"/>
      <c r="F389" s="1"/>
      <c r="G389" s="1"/>
      <c r="H389" s="1"/>
      <c r="I389" s="1"/>
      <c r="J389" s="1"/>
      <c r="K389" s="2"/>
      <c r="L389" s="1"/>
      <c r="M389" s="3"/>
      <c r="N389" s="3"/>
      <c r="O389" s="4"/>
      <c r="P389" s="4"/>
      <c r="Q389" s="4"/>
      <c r="R389" s="4"/>
      <c r="S389" s="4"/>
      <c r="T389" s="4"/>
      <c r="U389" s="4"/>
      <c r="V389" s="4"/>
      <c r="W389" s="4"/>
      <c r="X389" s="3"/>
      <c r="Y389" s="2"/>
      <c r="Z389" s="2"/>
      <c r="AA389" s="1"/>
      <c r="AB389" s="1"/>
      <c r="AC389" s="1"/>
      <c r="AD389" s="1"/>
      <c r="AE389" s="1"/>
      <c r="AF389" s="1"/>
      <c r="AG389" s="1"/>
      <c r="AH389" s="1"/>
    </row>
    <row r="390" ht="13.5" customHeight="1">
      <c r="A390" s="1"/>
      <c r="B390" s="1"/>
      <c r="C390" s="3"/>
      <c r="D390" s="1"/>
      <c r="E390" s="1"/>
      <c r="F390" s="1"/>
      <c r="G390" s="1"/>
      <c r="H390" s="1"/>
      <c r="I390" s="1"/>
      <c r="J390" s="1"/>
      <c r="K390" s="2"/>
      <c r="L390" s="1"/>
      <c r="M390" s="3"/>
      <c r="N390" s="3"/>
      <c r="O390" s="4"/>
      <c r="P390" s="4"/>
      <c r="Q390" s="4"/>
      <c r="R390" s="4"/>
      <c r="S390" s="4"/>
      <c r="T390" s="4"/>
      <c r="U390" s="4"/>
      <c r="V390" s="4"/>
      <c r="W390" s="4"/>
      <c r="X390" s="3"/>
      <c r="Y390" s="2"/>
      <c r="Z390" s="2"/>
      <c r="AA390" s="1"/>
      <c r="AB390" s="1"/>
      <c r="AC390" s="1"/>
      <c r="AD390" s="1"/>
      <c r="AE390" s="1"/>
      <c r="AF390" s="1"/>
      <c r="AG390" s="1"/>
      <c r="AH390" s="1"/>
    </row>
    <row r="391" ht="13.5" customHeight="1">
      <c r="A391" s="1"/>
      <c r="B391" s="1"/>
      <c r="C391" s="3"/>
      <c r="D391" s="1"/>
      <c r="E391" s="1"/>
      <c r="F391" s="1"/>
      <c r="G391" s="1"/>
      <c r="H391" s="1"/>
      <c r="I391" s="1"/>
      <c r="J391" s="1"/>
      <c r="K391" s="2"/>
      <c r="L391" s="1"/>
      <c r="M391" s="3"/>
      <c r="N391" s="3"/>
      <c r="O391" s="4"/>
      <c r="P391" s="4"/>
      <c r="Q391" s="4"/>
      <c r="R391" s="4"/>
      <c r="S391" s="4"/>
      <c r="T391" s="4"/>
      <c r="U391" s="4"/>
      <c r="V391" s="4"/>
      <c r="W391" s="4"/>
      <c r="X391" s="3"/>
      <c r="Y391" s="2"/>
      <c r="Z391" s="2"/>
      <c r="AA391" s="1"/>
      <c r="AB391" s="1"/>
      <c r="AC391" s="1"/>
      <c r="AD391" s="1"/>
      <c r="AE391" s="1"/>
      <c r="AF391" s="1"/>
      <c r="AG391" s="1"/>
      <c r="AH391" s="1"/>
    </row>
    <row r="392" ht="13.5" customHeight="1">
      <c r="A392" s="1"/>
      <c r="B392" s="1"/>
      <c r="C392" s="3"/>
      <c r="D392" s="1"/>
      <c r="E392" s="1"/>
      <c r="F392" s="1"/>
      <c r="G392" s="1"/>
      <c r="H392" s="1"/>
      <c r="I392" s="1"/>
      <c r="J392" s="1"/>
      <c r="K392" s="2"/>
      <c r="L392" s="1"/>
      <c r="M392" s="3"/>
      <c r="N392" s="3"/>
      <c r="O392" s="4"/>
      <c r="P392" s="4"/>
      <c r="Q392" s="4"/>
      <c r="R392" s="4"/>
      <c r="S392" s="4"/>
      <c r="T392" s="4"/>
      <c r="U392" s="4"/>
      <c r="V392" s="4"/>
      <c r="W392" s="4"/>
      <c r="X392" s="3"/>
      <c r="Y392" s="2"/>
      <c r="Z392" s="2"/>
      <c r="AA392" s="1"/>
      <c r="AB392" s="1"/>
      <c r="AC392" s="1"/>
      <c r="AD392" s="1"/>
      <c r="AE392" s="1"/>
      <c r="AF392" s="1"/>
      <c r="AG392" s="1"/>
      <c r="AH392" s="1"/>
    </row>
    <row r="393" ht="13.5" customHeight="1">
      <c r="A393" s="1"/>
      <c r="B393" s="1"/>
      <c r="C393" s="3"/>
      <c r="D393" s="1"/>
      <c r="E393" s="1"/>
      <c r="F393" s="1"/>
      <c r="G393" s="1"/>
      <c r="H393" s="1"/>
      <c r="I393" s="1"/>
      <c r="J393" s="1"/>
      <c r="K393" s="2"/>
      <c r="L393" s="1"/>
      <c r="M393" s="3"/>
      <c r="N393" s="3"/>
      <c r="O393" s="4"/>
      <c r="P393" s="4"/>
      <c r="Q393" s="4"/>
      <c r="R393" s="4"/>
      <c r="S393" s="4"/>
      <c r="T393" s="4"/>
      <c r="U393" s="4"/>
      <c r="V393" s="4"/>
      <c r="W393" s="4"/>
      <c r="X393" s="3"/>
      <c r="Y393" s="2"/>
      <c r="Z393" s="2"/>
      <c r="AA393" s="1"/>
      <c r="AB393" s="1"/>
      <c r="AC393" s="1"/>
      <c r="AD393" s="1"/>
      <c r="AE393" s="1"/>
      <c r="AF393" s="1"/>
      <c r="AG393" s="1"/>
      <c r="AH393" s="1"/>
    </row>
    <row r="394" ht="13.5" customHeight="1">
      <c r="A394" s="1"/>
      <c r="B394" s="1"/>
      <c r="C394" s="3"/>
      <c r="D394" s="1"/>
      <c r="E394" s="1"/>
      <c r="F394" s="1"/>
      <c r="G394" s="1"/>
      <c r="H394" s="1"/>
      <c r="I394" s="1"/>
      <c r="J394" s="1"/>
      <c r="K394" s="2"/>
      <c r="L394" s="1"/>
      <c r="M394" s="3"/>
      <c r="N394" s="3"/>
      <c r="O394" s="4"/>
      <c r="P394" s="4"/>
      <c r="Q394" s="4"/>
      <c r="R394" s="4"/>
      <c r="S394" s="4"/>
      <c r="T394" s="4"/>
      <c r="U394" s="4"/>
      <c r="V394" s="4"/>
      <c r="W394" s="4"/>
      <c r="X394" s="3"/>
      <c r="Y394" s="2"/>
      <c r="Z394" s="2"/>
      <c r="AA394" s="1"/>
      <c r="AB394" s="1"/>
      <c r="AC394" s="1"/>
      <c r="AD394" s="1"/>
      <c r="AE394" s="1"/>
      <c r="AF394" s="1"/>
      <c r="AG394" s="1"/>
      <c r="AH394" s="1"/>
    </row>
    <row r="395" ht="13.5" customHeight="1">
      <c r="A395" s="1"/>
      <c r="B395" s="1"/>
      <c r="C395" s="3"/>
      <c r="D395" s="1"/>
      <c r="E395" s="1"/>
      <c r="F395" s="1"/>
      <c r="G395" s="1"/>
      <c r="H395" s="1"/>
      <c r="I395" s="1"/>
      <c r="J395" s="1"/>
      <c r="K395" s="2"/>
      <c r="L395" s="1"/>
      <c r="M395" s="3"/>
      <c r="N395" s="3"/>
      <c r="O395" s="4"/>
      <c r="P395" s="4"/>
      <c r="Q395" s="4"/>
      <c r="R395" s="4"/>
      <c r="S395" s="4"/>
      <c r="T395" s="4"/>
      <c r="U395" s="4"/>
      <c r="V395" s="4"/>
      <c r="W395" s="4"/>
      <c r="X395" s="3"/>
      <c r="Y395" s="2"/>
      <c r="Z395" s="2"/>
      <c r="AA395" s="1"/>
      <c r="AB395" s="1"/>
      <c r="AC395" s="1"/>
      <c r="AD395" s="1"/>
      <c r="AE395" s="1"/>
      <c r="AF395" s="1"/>
      <c r="AG395" s="1"/>
      <c r="AH395" s="1"/>
    </row>
    <row r="396" ht="13.5" customHeight="1">
      <c r="A396" s="1"/>
      <c r="B396" s="1"/>
      <c r="C396" s="3"/>
      <c r="D396" s="1"/>
      <c r="E396" s="1"/>
      <c r="F396" s="1"/>
      <c r="G396" s="1"/>
      <c r="H396" s="1"/>
      <c r="I396" s="1"/>
      <c r="J396" s="1"/>
      <c r="K396" s="2"/>
      <c r="L396" s="1"/>
      <c r="M396" s="3"/>
      <c r="N396" s="3"/>
      <c r="O396" s="4"/>
      <c r="P396" s="4"/>
      <c r="Q396" s="4"/>
      <c r="R396" s="4"/>
      <c r="S396" s="4"/>
      <c r="T396" s="4"/>
      <c r="U396" s="4"/>
      <c r="V396" s="4"/>
      <c r="W396" s="4"/>
      <c r="X396" s="3"/>
      <c r="Y396" s="2"/>
      <c r="Z396" s="2"/>
      <c r="AA396" s="1"/>
      <c r="AB396" s="1"/>
      <c r="AC396" s="1"/>
      <c r="AD396" s="1"/>
      <c r="AE396" s="1"/>
      <c r="AF396" s="1"/>
      <c r="AG396" s="1"/>
      <c r="AH396" s="1"/>
    </row>
    <row r="397" ht="13.5" customHeight="1">
      <c r="A397" s="1"/>
      <c r="B397" s="1"/>
      <c r="C397" s="3"/>
      <c r="D397" s="1"/>
      <c r="E397" s="1"/>
      <c r="F397" s="1"/>
      <c r="G397" s="1"/>
      <c r="H397" s="1"/>
      <c r="I397" s="1"/>
      <c r="J397" s="1"/>
      <c r="K397" s="2"/>
      <c r="L397" s="1"/>
      <c r="M397" s="3"/>
      <c r="N397" s="3"/>
      <c r="O397" s="4"/>
      <c r="P397" s="4"/>
      <c r="Q397" s="4"/>
      <c r="R397" s="4"/>
      <c r="S397" s="4"/>
      <c r="T397" s="4"/>
      <c r="U397" s="4"/>
      <c r="V397" s="4"/>
      <c r="W397" s="4"/>
      <c r="X397" s="3"/>
      <c r="Y397" s="2"/>
      <c r="Z397" s="2"/>
      <c r="AA397" s="1"/>
      <c r="AB397" s="1"/>
      <c r="AC397" s="1"/>
      <c r="AD397" s="1"/>
      <c r="AE397" s="1"/>
      <c r="AF397" s="1"/>
      <c r="AG397" s="1"/>
      <c r="AH397" s="1"/>
    </row>
    <row r="398" ht="13.5" customHeight="1">
      <c r="A398" s="1"/>
      <c r="B398" s="1"/>
      <c r="C398" s="3"/>
      <c r="D398" s="1"/>
      <c r="E398" s="1"/>
      <c r="F398" s="1"/>
      <c r="G398" s="1"/>
      <c r="H398" s="1"/>
      <c r="I398" s="1"/>
      <c r="J398" s="1"/>
      <c r="K398" s="2"/>
      <c r="L398" s="1"/>
      <c r="M398" s="3"/>
      <c r="N398" s="3"/>
      <c r="O398" s="4"/>
      <c r="P398" s="4"/>
      <c r="Q398" s="4"/>
      <c r="R398" s="4"/>
      <c r="S398" s="4"/>
      <c r="T398" s="4"/>
      <c r="U398" s="4"/>
      <c r="V398" s="4"/>
      <c r="W398" s="4"/>
      <c r="X398" s="3"/>
      <c r="Y398" s="2"/>
      <c r="Z398" s="2"/>
      <c r="AA398" s="1"/>
      <c r="AB398" s="1"/>
      <c r="AC398" s="1"/>
      <c r="AD398" s="1"/>
      <c r="AE398" s="1"/>
      <c r="AF398" s="1"/>
      <c r="AG398" s="1"/>
      <c r="AH398" s="1"/>
    </row>
    <row r="399" ht="13.5" customHeight="1">
      <c r="A399" s="1"/>
      <c r="B399" s="1"/>
      <c r="C399" s="3"/>
      <c r="D399" s="1"/>
      <c r="E399" s="1"/>
      <c r="F399" s="1"/>
      <c r="G399" s="1"/>
      <c r="H399" s="1"/>
      <c r="I399" s="1"/>
      <c r="J399" s="1"/>
      <c r="K399" s="2"/>
      <c r="L399" s="1"/>
      <c r="M399" s="3"/>
      <c r="N399" s="3"/>
      <c r="O399" s="4"/>
      <c r="P399" s="4"/>
      <c r="Q399" s="4"/>
      <c r="R399" s="4"/>
      <c r="S399" s="4"/>
      <c r="T399" s="4"/>
      <c r="U399" s="4"/>
      <c r="V399" s="4"/>
      <c r="W399" s="4"/>
      <c r="X399" s="3"/>
      <c r="Y399" s="2"/>
      <c r="Z399" s="2"/>
      <c r="AA399" s="1"/>
      <c r="AB399" s="1"/>
      <c r="AC399" s="1"/>
      <c r="AD399" s="1"/>
      <c r="AE399" s="1"/>
      <c r="AF399" s="1"/>
      <c r="AG399" s="1"/>
      <c r="AH399" s="1"/>
    </row>
    <row r="400" ht="13.5" customHeight="1">
      <c r="A400" s="1"/>
      <c r="B400" s="1"/>
      <c r="C400" s="3"/>
      <c r="D400" s="1"/>
      <c r="E400" s="1"/>
      <c r="F400" s="1"/>
      <c r="G400" s="1"/>
      <c r="H400" s="1"/>
      <c r="I400" s="1"/>
      <c r="J400" s="1"/>
      <c r="K400" s="2"/>
      <c r="L400" s="1"/>
      <c r="M400" s="3"/>
      <c r="N400" s="3"/>
      <c r="O400" s="4"/>
      <c r="P400" s="4"/>
      <c r="Q400" s="4"/>
      <c r="R400" s="4"/>
      <c r="S400" s="4"/>
      <c r="T400" s="4"/>
      <c r="U400" s="4"/>
      <c r="V400" s="4"/>
      <c r="W400" s="4"/>
      <c r="X400" s="3"/>
      <c r="Y400" s="2"/>
      <c r="Z400" s="2"/>
      <c r="AA400" s="1"/>
      <c r="AB400" s="1"/>
      <c r="AC400" s="1"/>
      <c r="AD400" s="1"/>
      <c r="AE400" s="1"/>
      <c r="AF400" s="1"/>
      <c r="AG400" s="1"/>
      <c r="AH400" s="1"/>
    </row>
    <row r="401" ht="13.5" customHeight="1">
      <c r="A401" s="1"/>
      <c r="B401" s="1"/>
      <c r="C401" s="3"/>
      <c r="D401" s="1"/>
      <c r="E401" s="1"/>
      <c r="F401" s="1"/>
      <c r="G401" s="1"/>
      <c r="H401" s="1"/>
      <c r="I401" s="1"/>
      <c r="J401" s="1"/>
      <c r="K401" s="2"/>
      <c r="L401" s="1"/>
      <c r="M401" s="3"/>
      <c r="N401" s="3"/>
      <c r="O401" s="4"/>
      <c r="P401" s="4"/>
      <c r="Q401" s="4"/>
      <c r="R401" s="4"/>
      <c r="S401" s="4"/>
      <c r="T401" s="4"/>
      <c r="U401" s="4"/>
      <c r="V401" s="4"/>
      <c r="W401" s="4"/>
      <c r="X401" s="3"/>
      <c r="Y401" s="2"/>
      <c r="Z401" s="2"/>
      <c r="AA401" s="1"/>
      <c r="AB401" s="1"/>
      <c r="AC401" s="1"/>
      <c r="AD401" s="1"/>
      <c r="AE401" s="1"/>
      <c r="AF401" s="1"/>
      <c r="AG401" s="1"/>
      <c r="AH401" s="1"/>
    </row>
    <row r="402" ht="13.5" customHeight="1">
      <c r="A402" s="1"/>
      <c r="B402" s="1"/>
      <c r="C402" s="3"/>
      <c r="D402" s="1"/>
      <c r="E402" s="1"/>
      <c r="F402" s="1"/>
      <c r="G402" s="1"/>
      <c r="H402" s="1"/>
      <c r="I402" s="1"/>
      <c r="J402" s="1"/>
      <c r="K402" s="2"/>
      <c r="L402" s="1"/>
      <c r="M402" s="3"/>
      <c r="N402" s="3"/>
      <c r="O402" s="4"/>
      <c r="P402" s="4"/>
      <c r="Q402" s="4"/>
      <c r="R402" s="4"/>
      <c r="S402" s="4"/>
      <c r="T402" s="4"/>
      <c r="U402" s="4"/>
      <c r="V402" s="4"/>
      <c r="W402" s="4"/>
      <c r="X402" s="3"/>
      <c r="Y402" s="2"/>
      <c r="Z402" s="2"/>
      <c r="AA402" s="1"/>
      <c r="AB402" s="1"/>
      <c r="AC402" s="1"/>
      <c r="AD402" s="1"/>
      <c r="AE402" s="1"/>
      <c r="AF402" s="1"/>
      <c r="AG402" s="1"/>
      <c r="AH402" s="1"/>
    </row>
    <row r="403" ht="13.5" customHeight="1">
      <c r="A403" s="1"/>
      <c r="B403" s="1"/>
      <c r="C403" s="3"/>
      <c r="D403" s="1"/>
      <c r="E403" s="1"/>
      <c r="F403" s="1"/>
      <c r="G403" s="1"/>
      <c r="H403" s="1"/>
      <c r="I403" s="1"/>
      <c r="J403" s="1"/>
      <c r="K403" s="2"/>
      <c r="L403" s="1"/>
      <c r="M403" s="3"/>
      <c r="N403" s="3"/>
      <c r="O403" s="4"/>
      <c r="P403" s="4"/>
      <c r="Q403" s="4"/>
      <c r="R403" s="4"/>
      <c r="S403" s="4"/>
      <c r="T403" s="4"/>
      <c r="U403" s="4"/>
      <c r="V403" s="4"/>
      <c r="W403" s="4"/>
      <c r="X403" s="3"/>
      <c r="Y403" s="2"/>
      <c r="Z403" s="2"/>
      <c r="AA403" s="1"/>
      <c r="AB403" s="1"/>
      <c r="AC403" s="1"/>
      <c r="AD403" s="1"/>
      <c r="AE403" s="1"/>
      <c r="AF403" s="1"/>
      <c r="AG403" s="1"/>
      <c r="AH403" s="1"/>
    </row>
    <row r="404" ht="13.5" customHeight="1">
      <c r="A404" s="1"/>
      <c r="B404" s="1"/>
      <c r="C404" s="3"/>
      <c r="D404" s="1"/>
      <c r="E404" s="1"/>
      <c r="F404" s="1"/>
      <c r="G404" s="1"/>
      <c r="H404" s="1"/>
      <c r="I404" s="1"/>
      <c r="J404" s="1"/>
      <c r="K404" s="2"/>
      <c r="L404" s="1"/>
      <c r="M404" s="3"/>
      <c r="N404" s="3"/>
      <c r="O404" s="4"/>
      <c r="P404" s="4"/>
      <c r="Q404" s="4"/>
      <c r="R404" s="4"/>
      <c r="S404" s="4"/>
      <c r="T404" s="4"/>
      <c r="U404" s="4"/>
      <c r="V404" s="4"/>
      <c r="W404" s="4"/>
      <c r="X404" s="3"/>
      <c r="Y404" s="2"/>
      <c r="Z404" s="2"/>
      <c r="AA404" s="1"/>
      <c r="AB404" s="1"/>
      <c r="AC404" s="1"/>
      <c r="AD404" s="1"/>
      <c r="AE404" s="1"/>
      <c r="AF404" s="1"/>
      <c r="AG404" s="1"/>
      <c r="AH404" s="1"/>
    </row>
    <row r="405" ht="13.5" customHeight="1">
      <c r="A405" s="1"/>
      <c r="B405" s="1"/>
      <c r="C405" s="3"/>
      <c r="D405" s="1"/>
      <c r="E405" s="1"/>
      <c r="F405" s="1"/>
      <c r="G405" s="1"/>
      <c r="H405" s="1"/>
      <c r="I405" s="1"/>
      <c r="J405" s="1"/>
      <c r="K405" s="2"/>
      <c r="L405" s="1"/>
      <c r="M405" s="3"/>
      <c r="N405" s="3"/>
      <c r="O405" s="4"/>
      <c r="P405" s="4"/>
      <c r="Q405" s="4"/>
      <c r="R405" s="4"/>
      <c r="S405" s="4"/>
      <c r="T405" s="4"/>
      <c r="U405" s="4"/>
      <c r="V405" s="4"/>
      <c r="W405" s="4"/>
      <c r="X405" s="3"/>
      <c r="Y405" s="2"/>
      <c r="Z405" s="2"/>
      <c r="AA405" s="1"/>
      <c r="AB405" s="1"/>
      <c r="AC405" s="1"/>
      <c r="AD405" s="1"/>
      <c r="AE405" s="1"/>
      <c r="AF405" s="1"/>
      <c r="AG405" s="1"/>
      <c r="AH405" s="1"/>
    </row>
    <row r="406" ht="13.5" customHeight="1">
      <c r="A406" s="1"/>
      <c r="B406" s="1"/>
      <c r="C406" s="3"/>
      <c r="D406" s="1"/>
      <c r="E406" s="1"/>
      <c r="F406" s="1"/>
      <c r="G406" s="1"/>
      <c r="H406" s="1"/>
      <c r="I406" s="1"/>
      <c r="J406" s="1"/>
      <c r="K406" s="2"/>
      <c r="L406" s="1"/>
      <c r="M406" s="3"/>
      <c r="N406" s="3"/>
      <c r="O406" s="4"/>
      <c r="P406" s="4"/>
      <c r="Q406" s="4"/>
      <c r="R406" s="4"/>
      <c r="S406" s="4"/>
      <c r="T406" s="4"/>
      <c r="U406" s="4"/>
      <c r="V406" s="4"/>
      <c r="W406" s="4"/>
      <c r="X406" s="3"/>
      <c r="Y406" s="2"/>
      <c r="Z406" s="2"/>
      <c r="AA406" s="1"/>
      <c r="AB406" s="1"/>
      <c r="AC406" s="1"/>
      <c r="AD406" s="1"/>
      <c r="AE406" s="1"/>
      <c r="AF406" s="1"/>
      <c r="AG406" s="1"/>
      <c r="AH406" s="1"/>
    </row>
    <row r="407" ht="13.5" customHeight="1">
      <c r="A407" s="1"/>
      <c r="B407" s="1"/>
      <c r="C407" s="3"/>
      <c r="D407" s="1"/>
      <c r="E407" s="1"/>
      <c r="F407" s="1"/>
      <c r="G407" s="1"/>
      <c r="H407" s="1"/>
      <c r="I407" s="1"/>
      <c r="J407" s="1"/>
      <c r="K407" s="2"/>
      <c r="L407" s="1"/>
      <c r="M407" s="3"/>
      <c r="N407" s="3"/>
      <c r="O407" s="4"/>
      <c r="P407" s="4"/>
      <c r="Q407" s="4"/>
      <c r="R407" s="4"/>
      <c r="S407" s="4"/>
      <c r="T407" s="4"/>
      <c r="U407" s="4"/>
      <c r="V407" s="4"/>
      <c r="W407" s="4"/>
      <c r="X407" s="3"/>
      <c r="Y407" s="2"/>
      <c r="Z407" s="2"/>
      <c r="AA407" s="1"/>
      <c r="AB407" s="1"/>
      <c r="AC407" s="1"/>
      <c r="AD407" s="1"/>
      <c r="AE407" s="1"/>
      <c r="AF407" s="1"/>
      <c r="AG407" s="1"/>
      <c r="AH407" s="1"/>
    </row>
    <row r="408" ht="13.5" customHeight="1">
      <c r="A408" s="1"/>
      <c r="B408" s="1"/>
      <c r="C408" s="3"/>
      <c r="D408" s="1"/>
      <c r="E408" s="1"/>
      <c r="F408" s="1"/>
      <c r="G408" s="1"/>
      <c r="H408" s="1"/>
      <c r="I408" s="1"/>
      <c r="J408" s="1"/>
      <c r="K408" s="2"/>
      <c r="L408" s="1"/>
      <c r="M408" s="3"/>
      <c r="N408" s="3"/>
      <c r="O408" s="4"/>
      <c r="P408" s="4"/>
      <c r="Q408" s="4"/>
      <c r="R408" s="4"/>
      <c r="S408" s="4"/>
      <c r="T408" s="4"/>
      <c r="U408" s="4"/>
      <c r="V408" s="4"/>
      <c r="W408" s="4"/>
      <c r="X408" s="3"/>
      <c r="Y408" s="2"/>
      <c r="Z408" s="2"/>
      <c r="AA408" s="1"/>
      <c r="AB408" s="1"/>
      <c r="AC408" s="1"/>
      <c r="AD408" s="1"/>
      <c r="AE408" s="1"/>
      <c r="AF408" s="1"/>
      <c r="AG408" s="1"/>
      <c r="AH408" s="1"/>
    </row>
    <row r="409" ht="13.5" customHeight="1">
      <c r="A409" s="1"/>
      <c r="B409" s="1"/>
      <c r="C409" s="3"/>
      <c r="D409" s="1"/>
      <c r="E409" s="1"/>
      <c r="F409" s="1"/>
      <c r="G409" s="1"/>
      <c r="H409" s="1"/>
      <c r="I409" s="1"/>
      <c r="J409" s="1"/>
      <c r="K409" s="2"/>
      <c r="L409" s="1"/>
      <c r="M409" s="3"/>
      <c r="N409" s="3"/>
      <c r="O409" s="4"/>
      <c r="P409" s="4"/>
      <c r="Q409" s="4"/>
      <c r="R409" s="4"/>
      <c r="S409" s="4"/>
      <c r="T409" s="4"/>
      <c r="U409" s="4"/>
      <c r="V409" s="4"/>
      <c r="W409" s="4"/>
      <c r="X409" s="3"/>
      <c r="Y409" s="2"/>
      <c r="Z409" s="2"/>
      <c r="AA409" s="1"/>
      <c r="AB409" s="1"/>
      <c r="AC409" s="1"/>
      <c r="AD409" s="1"/>
      <c r="AE409" s="1"/>
      <c r="AF409" s="1"/>
      <c r="AG409" s="1"/>
      <c r="AH409" s="1"/>
    </row>
    <row r="410" ht="13.5" customHeight="1">
      <c r="A410" s="1"/>
      <c r="B410" s="1"/>
      <c r="C410" s="3"/>
      <c r="D410" s="1"/>
      <c r="E410" s="1"/>
      <c r="F410" s="1"/>
      <c r="G410" s="1"/>
      <c r="H410" s="1"/>
      <c r="I410" s="1"/>
      <c r="J410" s="1"/>
      <c r="K410" s="2"/>
      <c r="L410" s="1"/>
      <c r="M410" s="3"/>
      <c r="N410" s="3"/>
      <c r="O410" s="4"/>
      <c r="P410" s="4"/>
      <c r="Q410" s="4"/>
      <c r="R410" s="4"/>
      <c r="S410" s="4"/>
      <c r="T410" s="4"/>
      <c r="U410" s="4"/>
      <c r="V410" s="4"/>
      <c r="W410" s="4"/>
      <c r="X410" s="3"/>
      <c r="Y410" s="2"/>
      <c r="Z410" s="2"/>
      <c r="AA410" s="1"/>
      <c r="AB410" s="1"/>
      <c r="AC410" s="1"/>
      <c r="AD410" s="1"/>
      <c r="AE410" s="1"/>
      <c r="AF410" s="1"/>
      <c r="AG410" s="1"/>
      <c r="AH410" s="1"/>
    </row>
    <row r="411" ht="13.5" customHeight="1">
      <c r="A411" s="1"/>
      <c r="B411" s="1"/>
      <c r="C411" s="3"/>
      <c r="D411" s="1"/>
      <c r="E411" s="1"/>
      <c r="F411" s="1"/>
      <c r="G411" s="1"/>
      <c r="H411" s="1"/>
      <c r="I411" s="1"/>
      <c r="J411" s="1"/>
      <c r="K411" s="2"/>
      <c r="L411" s="1"/>
      <c r="M411" s="3"/>
      <c r="N411" s="3"/>
      <c r="O411" s="4"/>
      <c r="P411" s="4"/>
      <c r="Q411" s="4"/>
      <c r="R411" s="4"/>
      <c r="S411" s="4"/>
      <c r="T411" s="4"/>
      <c r="U411" s="4"/>
      <c r="V411" s="4"/>
      <c r="W411" s="4"/>
      <c r="X411" s="3"/>
      <c r="Y411" s="2"/>
      <c r="Z411" s="2"/>
      <c r="AA411" s="1"/>
      <c r="AB411" s="1"/>
      <c r="AC411" s="1"/>
      <c r="AD411" s="1"/>
      <c r="AE411" s="1"/>
      <c r="AF411" s="1"/>
      <c r="AG411" s="1"/>
      <c r="AH411" s="1"/>
    </row>
    <row r="412" ht="13.5" customHeight="1">
      <c r="A412" s="1"/>
      <c r="B412" s="1"/>
      <c r="C412" s="3"/>
      <c r="D412" s="1"/>
      <c r="E412" s="1"/>
      <c r="F412" s="1"/>
      <c r="G412" s="1"/>
      <c r="H412" s="1"/>
      <c r="I412" s="1"/>
      <c r="J412" s="1"/>
      <c r="K412" s="2"/>
      <c r="L412" s="1"/>
      <c r="M412" s="3"/>
      <c r="N412" s="3"/>
      <c r="O412" s="4"/>
      <c r="P412" s="4"/>
      <c r="Q412" s="4"/>
      <c r="R412" s="4"/>
      <c r="S412" s="4"/>
      <c r="T412" s="4"/>
      <c r="U412" s="4"/>
      <c r="V412" s="4"/>
      <c r="W412" s="4"/>
      <c r="X412" s="3"/>
      <c r="Y412" s="2"/>
      <c r="Z412" s="2"/>
      <c r="AA412" s="1"/>
      <c r="AB412" s="1"/>
      <c r="AC412" s="1"/>
      <c r="AD412" s="1"/>
      <c r="AE412" s="1"/>
      <c r="AF412" s="1"/>
      <c r="AG412" s="1"/>
      <c r="AH412" s="1"/>
    </row>
    <row r="413" ht="13.5" customHeight="1">
      <c r="A413" s="1"/>
      <c r="B413" s="1"/>
      <c r="C413" s="3"/>
      <c r="D413" s="1"/>
      <c r="E413" s="1"/>
      <c r="F413" s="1"/>
      <c r="G413" s="1"/>
      <c r="H413" s="1"/>
      <c r="I413" s="1"/>
      <c r="J413" s="1"/>
      <c r="K413" s="2"/>
      <c r="L413" s="1"/>
      <c r="M413" s="3"/>
      <c r="N413" s="3"/>
      <c r="O413" s="4"/>
      <c r="P413" s="4"/>
      <c r="Q413" s="4"/>
      <c r="R413" s="4"/>
      <c r="S413" s="4"/>
      <c r="T413" s="4"/>
      <c r="U413" s="4"/>
      <c r="V413" s="4"/>
      <c r="W413" s="4"/>
      <c r="X413" s="3"/>
      <c r="Y413" s="2"/>
      <c r="Z413" s="2"/>
      <c r="AA413" s="1"/>
      <c r="AB413" s="1"/>
      <c r="AC413" s="1"/>
      <c r="AD413" s="1"/>
      <c r="AE413" s="1"/>
      <c r="AF413" s="1"/>
      <c r="AG413" s="1"/>
      <c r="AH413" s="1"/>
    </row>
    <row r="414" ht="13.5" customHeight="1">
      <c r="A414" s="1"/>
      <c r="B414" s="1"/>
      <c r="C414" s="3"/>
      <c r="D414" s="1"/>
      <c r="E414" s="1"/>
      <c r="F414" s="1"/>
      <c r="G414" s="1"/>
      <c r="H414" s="1"/>
      <c r="I414" s="1"/>
      <c r="J414" s="1"/>
      <c r="K414" s="2"/>
      <c r="L414" s="1"/>
      <c r="M414" s="3"/>
      <c r="N414" s="3"/>
      <c r="O414" s="4"/>
      <c r="P414" s="4"/>
      <c r="Q414" s="4"/>
      <c r="R414" s="4"/>
      <c r="S414" s="4"/>
      <c r="T414" s="4"/>
      <c r="U414" s="4"/>
      <c r="V414" s="4"/>
      <c r="W414" s="4"/>
      <c r="X414" s="3"/>
      <c r="Y414" s="2"/>
      <c r="Z414" s="2"/>
      <c r="AA414" s="1"/>
      <c r="AB414" s="1"/>
      <c r="AC414" s="1"/>
      <c r="AD414" s="1"/>
      <c r="AE414" s="1"/>
      <c r="AF414" s="1"/>
      <c r="AG414" s="1"/>
      <c r="AH414" s="1"/>
    </row>
    <row r="415" ht="13.5" customHeight="1">
      <c r="A415" s="1"/>
      <c r="B415" s="1"/>
      <c r="C415" s="3"/>
      <c r="D415" s="1"/>
      <c r="E415" s="1"/>
      <c r="F415" s="1"/>
      <c r="G415" s="1"/>
      <c r="H415" s="1"/>
      <c r="I415" s="1"/>
      <c r="J415" s="1"/>
      <c r="K415" s="2"/>
      <c r="L415" s="1"/>
      <c r="M415" s="3"/>
      <c r="N415" s="3"/>
      <c r="O415" s="4"/>
      <c r="P415" s="4"/>
      <c r="Q415" s="4"/>
      <c r="R415" s="4"/>
      <c r="S415" s="4"/>
      <c r="T415" s="4"/>
      <c r="U415" s="4"/>
      <c r="V415" s="4"/>
      <c r="W415" s="4"/>
      <c r="X415" s="3"/>
      <c r="Y415" s="2"/>
      <c r="Z415" s="2"/>
      <c r="AA415" s="1"/>
      <c r="AB415" s="1"/>
      <c r="AC415" s="1"/>
      <c r="AD415" s="1"/>
      <c r="AE415" s="1"/>
      <c r="AF415" s="1"/>
      <c r="AG415" s="1"/>
      <c r="AH415" s="1"/>
    </row>
    <row r="416" ht="13.5" customHeight="1">
      <c r="A416" s="1"/>
      <c r="B416" s="1"/>
      <c r="C416" s="3"/>
      <c r="D416" s="1"/>
      <c r="E416" s="1"/>
      <c r="F416" s="1"/>
      <c r="G416" s="1"/>
      <c r="H416" s="1"/>
      <c r="I416" s="1"/>
      <c r="J416" s="1"/>
      <c r="K416" s="2"/>
      <c r="L416" s="1"/>
      <c r="M416" s="3"/>
      <c r="N416" s="3"/>
      <c r="O416" s="4"/>
      <c r="P416" s="4"/>
      <c r="Q416" s="4"/>
      <c r="R416" s="4"/>
      <c r="S416" s="4"/>
      <c r="T416" s="4"/>
      <c r="U416" s="4"/>
      <c r="V416" s="4"/>
      <c r="W416" s="4"/>
      <c r="X416" s="3"/>
      <c r="Y416" s="2"/>
      <c r="Z416" s="2"/>
      <c r="AA416" s="1"/>
      <c r="AB416" s="1"/>
      <c r="AC416" s="1"/>
      <c r="AD416" s="1"/>
      <c r="AE416" s="1"/>
      <c r="AF416" s="1"/>
      <c r="AG416" s="1"/>
      <c r="AH416" s="1"/>
    </row>
    <row r="417" ht="13.5" customHeight="1">
      <c r="A417" s="1"/>
      <c r="B417" s="1"/>
      <c r="C417" s="3"/>
      <c r="D417" s="1"/>
      <c r="E417" s="1"/>
      <c r="F417" s="1"/>
      <c r="G417" s="1"/>
      <c r="H417" s="1"/>
      <c r="I417" s="1"/>
      <c r="J417" s="1"/>
      <c r="K417" s="2"/>
      <c r="L417" s="1"/>
      <c r="M417" s="3"/>
      <c r="N417" s="3"/>
      <c r="O417" s="4"/>
      <c r="P417" s="4"/>
      <c r="Q417" s="4"/>
      <c r="R417" s="4"/>
      <c r="S417" s="4"/>
      <c r="T417" s="4"/>
      <c r="U417" s="4"/>
      <c r="V417" s="4"/>
      <c r="W417" s="4"/>
      <c r="X417" s="3"/>
      <c r="Y417" s="2"/>
      <c r="Z417" s="2"/>
      <c r="AA417" s="1"/>
      <c r="AB417" s="1"/>
      <c r="AC417" s="1"/>
      <c r="AD417" s="1"/>
      <c r="AE417" s="1"/>
      <c r="AF417" s="1"/>
      <c r="AG417" s="1"/>
      <c r="AH417" s="1"/>
    </row>
    <row r="418" ht="13.5" customHeight="1">
      <c r="A418" s="1"/>
      <c r="B418" s="1"/>
      <c r="C418" s="3"/>
      <c r="D418" s="1"/>
      <c r="E418" s="1"/>
      <c r="F418" s="1"/>
      <c r="G418" s="1"/>
      <c r="H418" s="1"/>
      <c r="I418" s="1"/>
      <c r="J418" s="1"/>
      <c r="K418" s="2"/>
      <c r="L418" s="1"/>
      <c r="M418" s="3"/>
      <c r="N418" s="3"/>
      <c r="O418" s="4"/>
      <c r="P418" s="4"/>
      <c r="Q418" s="4"/>
      <c r="R418" s="4"/>
      <c r="S418" s="4"/>
      <c r="T418" s="4"/>
      <c r="U418" s="4"/>
      <c r="V418" s="4"/>
      <c r="W418" s="4"/>
      <c r="X418" s="3"/>
      <c r="Y418" s="2"/>
      <c r="Z418" s="2"/>
      <c r="AA418" s="1"/>
      <c r="AB418" s="1"/>
      <c r="AC418" s="1"/>
      <c r="AD418" s="1"/>
      <c r="AE418" s="1"/>
      <c r="AF418" s="1"/>
      <c r="AG418" s="1"/>
      <c r="AH418" s="1"/>
    </row>
    <row r="419" ht="13.5" customHeight="1">
      <c r="A419" s="1"/>
      <c r="B419" s="1"/>
      <c r="C419" s="3"/>
      <c r="D419" s="1"/>
      <c r="E419" s="1"/>
      <c r="F419" s="1"/>
      <c r="G419" s="1"/>
      <c r="H419" s="1"/>
      <c r="I419" s="1"/>
      <c r="J419" s="1"/>
      <c r="K419" s="2"/>
      <c r="L419" s="1"/>
      <c r="M419" s="3"/>
      <c r="N419" s="3"/>
      <c r="O419" s="4"/>
      <c r="P419" s="4"/>
      <c r="Q419" s="4"/>
      <c r="R419" s="4"/>
      <c r="S419" s="4"/>
      <c r="T419" s="4"/>
      <c r="U419" s="4"/>
      <c r="V419" s="4"/>
      <c r="W419" s="4"/>
      <c r="X419" s="3"/>
      <c r="Y419" s="2"/>
      <c r="Z419" s="2"/>
      <c r="AA419" s="1"/>
      <c r="AB419" s="1"/>
      <c r="AC419" s="1"/>
      <c r="AD419" s="1"/>
      <c r="AE419" s="1"/>
      <c r="AF419" s="1"/>
      <c r="AG419" s="1"/>
      <c r="AH419" s="1"/>
    </row>
    <row r="420" ht="13.5" customHeight="1">
      <c r="A420" s="1"/>
      <c r="B420" s="1"/>
      <c r="C420" s="3"/>
      <c r="D420" s="1"/>
      <c r="E420" s="1"/>
      <c r="F420" s="1"/>
      <c r="G420" s="1"/>
      <c r="H420" s="1"/>
      <c r="I420" s="1"/>
      <c r="J420" s="1"/>
      <c r="K420" s="2"/>
      <c r="L420" s="1"/>
      <c r="M420" s="3"/>
      <c r="N420" s="3"/>
      <c r="O420" s="4"/>
      <c r="P420" s="4"/>
      <c r="Q420" s="4"/>
      <c r="R420" s="4"/>
      <c r="S420" s="4"/>
      <c r="T420" s="4"/>
      <c r="U420" s="4"/>
      <c r="V420" s="4"/>
      <c r="W420" s="4"/>
      <c r="X420" s="3"/>
      <c r="Y420" s="2"/>
      <c r="Z420" s="2"/>
      <c r="AA420" s="1"/>
      <c r="AB420" s="1"/>
      <c r="AC420" s="1"/>
      <c r="AD420" s="1"/>
      <c r="AE420" s="1"/>
      <c r="AF420" s="1"/>
      <c r="AG420" s="1"/>
      <c r="AH420" s="1"/>
    </row>
    <row r="421" ht="13.5" customHeight="1">
      <c r="A421" s="1"/>
      <c r="B421" s="1"/>
      <c r="C421" s="3"/>
      <c r="D421" s="1"/>
      <c r="E421" s="1"/>
      <c r="F421" s="1"/>
      <c r="G421" s="1"/>
      <c r="H421" s="1"/>
      <c r="I421" s="1"/>
      <c r="J421" s="1"/>
      <c r="K421" s="2"/>
      <c r="L421" s="1"/>
      <c r="M421" s="3"/>
      <c r="N421" s="3"/>
      <c r="O421" s="4"/>
      <c r="P421" s="4"/>
      <c r="Q421" s="4"/>
      <c r="R421" s="4"/>
      <c r="S421" s="4"/>
      <c r="T421" s="4"/>
      <c r="U421" s="4"/>
      <c r="V421" s="4"/>
      <c r="W421" s="4"/>
      <c r="X421" s="3"/>
      <c r="Y421" s="2"/>
      <c r="Z421" s="2"/>
      <c r="AA421" s="1"/>
      <c r="AB421" s="1"/>
      <c r="AC421" s="1"/>
      <c r="AD421" s="1"/>
      <c r="AE421" s="1"/>
      <c r="AF421" s="1"/>
      <c r="AG421" s="1"/>
      <c r="AH421" s="1"/>
    </row>
    <row r="422" ht="13.5" customHeight="1">
      <c r="A422" s="1"/>
      <c r="B422" s="1"/>
      <c r="C422" s="3"/>
      <c r="D422" s="1"/>
      <c r="E422" s="1"/>
      <c r="F422" s="1"/>
      <c r="G422" s="1"/>
      <c r="H422" s="1"/>
      <c r="I422" s="1"/>
      <c r="J422" s="1"/>
      <c r="K422" s="2"/>
      <c r="L422" s="1"/>
      <c r="M422" s="3"/>
      <c r="N422" s="3"/>
      <c r="O422" s="4"/>
      <c r="P422" s="4"/>
      <c r="Q422" s="4"/>
      <c r="R422" s="4"/>
      <c r="S422" s="4"/>
      <c r="T422" s="4"/>
      <c r="U422" s="4"/>
      <c r="V422" s="4"/>
      <c r="W422" s="4"/>
      <c r="X422" s="3"/>
      <c r="Y422" s="2"/>
      <c r="Z422" s="2"/>
      <c r="AA422" s="1"/>
      <c r="AB422" s="1"/>
      <c r="AC422" s="1"/>
      <c r="AD422" s="1"/>
      <c r="AE422" s="1"/>
      <c r="AF422" s="1"/>
      <c r="AG422" s="1"/>
      <c r="AH422" s="1"/>
    </row>
    <row r="423" ht="13.5" customHeight="1">
      <c r="A423" s="1"/>
      <c r="B423" s="1"/>
      <c r="C423" s="3"/>
      <c r="D423" s="1"/>
      <c r="E423" s="1"/>
      <c r="F423" s="1"/>
      <c r="G423" s="1"/>
      <c r="H423" s="1"/>
      <c r="I423" s="1"/>
      <c r="J423" s="1"/>
      <c r="K423" s="2"/>
      <c r="L423" s="1"/>
      <c r="M423" s="3"/>
      <c r="N423" s="3"/>
      <c r="O423" s="4"/>
      <c r="P423" s="4"/>
      <c r="Q423" s="4"/>
      <c r="R423" s="4"/>
      <c r="S423" s="4"/>
      <c r="T423" s="4"/>
      <c r="U423" s="4"/>
      <c r="V423" s="4"/>
      <c r="W423" s="4"/>
      <c r="X423" s="3"/>
      <c r="Y423" s="2"/>
      <c r="Z423" s="2"/>
      <c r="AA423" s="1"/>
      <c r="AB423" s="1"/>
      <c r="AC423" s="1"/>
      <c r="AD423" s="1"/>
      <c r="AE423" s="1"/>
      <c r="AF423" s="1"/>
      <c r="AG423" s="1"/>
      <c r="AH423" s="1"/>
    </row>
    <row r="424" ht="13.5" customHeight="1">
      <c r="A424" s="1"/>
      <c r="B424" s="1"/>
      <c r="C424" s="3"/>
      <c r="D424" s="1"/>
      <c r="E424" s="1"/>
      <c r="F424" s="1"/>
      <c r="G424" s="1"/>
      <c r="H424" s="1"/>
      <c r="I424" s="1"/>
      <c r="J424" s="1"/>
      <c r="K424" s="2"/>
      <c r="L424" s="1"/>
      <c r="M424" s="3"/>
      <c r="N424" s="3"/>
      <c r="O424" s="4"/>
      <c r="P424" s="4"/>
      <c r="Q424" s="4"/>
      <c r="R424" s="4"/>
      <c r="S424" s="4"/>
      <c r="T424" s="4"/>
      <c r="U424" s="4"/>
      <c r="V424" s="4"/>
      <c r="W424" s="4"/>
      <c r="X424" s="3"/>
      <c r="Y424" s="2"/>
      <c r="Z424" s="2"/>
      <c r="AA424" s="1"/>
      <c r="AB424" s="1"/>
      <c r="AC424" s="1"/>
      <c r="AD424" s="1"/>
      <c r="AE424" s="1"/>
      <c r="AF424" s="1"/>
      <c r="AG424" s="1"/>
      <c r="AH424" s="1"/>
    </row>
    <row r="425" ht="13.5" customHeight="1">
      <c r="A425" s="1"/>
      <c r="B425" s="1"/>
      <c r="C425" s="3"/>
      <c r="D425" s="1"/>
      <c r="E425" s="1"/>
      <c r="F425" s="1"/>
      <c r="G425" s="1"/>
      <c r="H425" s="1"/>
      <c r="I425" s="1"/>
      <c r="J425" s="1"/>
      <c r="K425" s="2"/>
      <c r="L425" s="1"/>
      <c r="M425" s="3"/>
      <c r="N425" s="3"/>
      <c r="O425" s="4"/>
      <c r="P425" s="4"/>
      <c r="Q425" s="4"/>
      <c r="R425" s="4"/>
      <c r="S425" s="4"/>
      <c r="T425" s="4"/>
      <c r="U425" s="4"/>
      <c r="V425" s="4"/>
      <c r="W425" s="4"/>
      <c r="X425" s="3"/>
      <c r="Y425" s="2"/>
      <c r="Z425" s="2"/>
      <c r="AA425" s="1"/>
      <c r="AB425" s="1"/>
      <c r="AC425" s="1"/>
      <c r="AD425" s="1"/>
      <c r="AE425" s="1"/>
      <c r="AF425" s="1"/>
      <c r="AG425" s="1"/>
      <c r="AH425" s="1"/>
    </row>
    <row r="426" ht="13.5" customHeight="1">
      <c r="A426" s="1"/>
      <c r="B426" s="1"/>
      <c r="C426" s="3"/>
      <c r="D426" s="1"/>
      <c r="E426" s="1"/>
      <c r="F426" s="1"/>
      <c r="G426" s="1"/>
      <c r="H426" s="1"/>
      <c r="I426" s="1"/>
      <c r="J426" s="1"/>
      <c r="K426" s="2"/>
      <c r="L426" s="1"/>
      <c r="M426" s="3"/>
      <c r="N426" s="3"/>
      <c r="O426" s="4"/>
      <c r="P426" s="4"/>
      <c r="Q426" s="4"/>
      <c r="R426" s="4"/>
      <c r="S426" s="4"/>
      <c r="T426" s="4"/>
      <c r="U426" s="4"/>
      <c r="V426" s="4"/>
      <c r="W426" s="4"/>
      <c r="X426" s="3"/>
      <c r="Y426" s="2"/>
      <c r="Z426" s="2"/>
      <c r="AA426" s="1"/>
      <c r="AB426" s="1"/>
      <c r="AC426" s="1"/>
      <c r="AD426" s="1"/>
      <c r="AE426" s="1"/>
      <c r="AF426" s="1"/>
      <c r="AG426" s="1"/>
      <c r="AH426" s="1"/>
    </row>
    <row r="427" ht="13.5" customHeight="1">
      <c r="A427" s="1"/>
      <c r="B427" s="1"/>
      <c r="C427" s="3"/>
      <c r="D427" s="1"/>
      <c r="E427" s="1"/>
      <c r="F427" s="1"/>
      <c r="G427" s="1"/>
      <c r="H427" s="1"/>
      <c r="I427" s="1"/>
      <c r="J427" s="1"/>
      <c r="K427" s="2"/>
      <c r="L427" s="1"/>
      <c r="M427" s="3"/>
      <c r="N427" s="3"/>
      <c r="O427" s="4"/>
      <c r="P427" s="4"/>
      <c r="Q427" s="4"/>
      <c r="R427" s="4"/>
      <c r="S427" s="4"/>
      <c r="T427" s="4"/>
      <c r="U427" s="4"/>
      <c r="V427" s="4"/>
      <c r="W427" s="4"/>
      <c r="X427" s="3"/>
      <c r="Y427" s="2"/>
      <c r="Z427" s="2"/>
      <c r="AA427" s="1"/>
      <c r="AB427" s="1"/>
      <c r="AC427" s="1"/>
      <c r="AD427" s="1"/>
      <c r="AE427" s="1"/>
      <c r="AF427" s="1"/>
      <c r="AG427" s="1"/>
      <c r="AH427" s="1"/>
    </row>
    <row r="428" ht="13.5" customHeight="1">
      <c r="A428" s="1"/>
      <c r="B428" s="1"/>
      <c r="C428" s="3"/>
      <c r="D428" s="1"/>
      <c r="E428" s="1"/>
      <c r="F428" s="1"/>
      <c r="G428" s="1"/>
      <c r="H428" s="1"/>
      <c r="I428" s="1"/>
      <c r="J428" s="1"/>
      <c r="K428" s="2"/>
      <c r="L428" s="1"/>
      <c r="M428" s="3"/>
      <c r="N428" s="3"/>
      <c r="O428" s="4"/>
      <c r="P428" s="4"/>
      <c r="Q428" s="4"/>
      <c r="R428" s="4"/>
      <c r="S428" s="4"/>
      <c r="T428" s="4"/>
      <c r="U428" s="4"/>
      <c r="V428" s="4"/>
      <c r="W428" s="4"/>
      <c r="X428" s="3"/>
      <c r="Y428" s="2"/>
      <c r="Z428" s="2"/>
      <c r="AA428" s="1"/>
      <c r="AB428" s="1"/>
      <c r="AC428" s="1"/>
      <c r="AD428" s="1"/>
      <c r="AE428" s="1"/>
      <c r="AF428" s="1"/>
      <c r="AG428" s="1"/>
      <c r="AH428" s="1"/>
    </row>
    <row r="429" ht="13.5" customHeight="1">
      <c r="A429" s="1"/>
      <c r="B429" s="1"/>
      <c r="C429" s="3"/>
      <c r="D429" s="1"/>
      <c r="E429" s="1"/>
      <c r="F429" s="1"/>
      <c r="G429" s="1"/>
      <c r="H429" s="1"/>
      <c r="I429" s="1"/>
      <c r="J429" s="1"/>
      <c r="K429" s="2"/>
      <c r="L429" s="1"/>
      <c r="M429" s="3"/>
      <c r="N429" s="3"/>
      <c r="O429" s="4"/>
      <c r="P429" s="4"/>
      <c r="Q429" s="4"/>
      <c r="R429" s="4"/>
      <c r="S429" s="4"/>
      <c r="T429" s="4"/>
      <c r="U429" s="4"/>
      <c r="V429" s="4"/>
      <c r="W429" s="4"/>
      <c r="X429" s="3"/>
      <c r="Y429" s="2"/>
      <c r="Z429" s="2"/>
      <c r="AA429" s="1"/>
      <c r="AB429" s="1"/>
      <c r="AC429" s="1"/>
      <c r="AD429" s="1"/>
      <c r="AE429" s="1"/>
      <c r="AF429" s="1"/>
      <c r="AG429" s="1"/>
      <c r="AH429" s="1"/>
    </row>
    <row r="430" ht="13.5" customHeight="1">
      <c r="A430" s="1"/>
      <c r="B430" s="1"/>
      <c r="C430" s="3"/>
      <c r="D430" s="1"/>
      <c r="E430" s="1"/>
      <c r="F430" s="1"/>
      <c r="G430" s="1"/>
      <c r="H430" s="1"/>
      <c r="I430" s="1"/>
      <c r="J430" s="1"/>
      <c r="K430" s="2"/>
      <c r="L430" s="1"/>
      <c r="M430" s="3"/>
      <c r="N430" s="3"/>
      <c r="O430" s="4"/>
      <c r="P430" s="4"/>
      <c r="Q430" s="4"/>
      <c r="R430" s="4"/>
      <c r="S430" s="4"/>
      <c r="T430" s="4"/>
      <c r="U430" s="4"/>
      <c r="V430" s="4"/>
      <c r="W430" s="4"/>
      <c r="X430" s="3"/>
      <c r="Y430" s="2"/>
      <c r="Z430" s="2"/>
      <c r="AA430" s="1"/>
      <c r="AB430" s="1"/>
      <c r="AC430" s="1"/>
      <c r="AD430" s="1"/>
      <c r="AE430" s="1"/>
      <c r="AF430" s="1"/>
      <c r="AG430" s="1"/>
      <c r="AH430" s="1"/>
    </row>
    <row r="431" ht="13.5" customHeight="1">
      <c r="A431" s="1"/>
      <c r="B431" s="1"/>
      <c r="C431" s="3"/>
      <c r="D431" s="1"/>
      <c r="E431" s="1"/>
      <c r="F431" s="1"/>
      <c r="G431" s="1"/>
      <c r="H431" s="1"/>
      <c r="I431" s="1"/>
      <c r="J431" s="1"/>
      <c r="K431" s="2"/>
      <c r="L431" s="1"/>
      <c r="M431" s="3"/>
      <c r="N431" s="3"/>
      <c r="O431" s="4"/>
      <c r="P431" s="4"/>
      <c r="Q431" s="4"/>
      <c r="R431" s="4"/>
      <c r="S431" s="4"/>
      <c r="T431" s="4"/>
      <c r="U431" s="4"/>
      <c r="V431" s="4"/>
      <c r="W431" s="4"/>
      <c r="X431" s="3"/>
      <c r="Y431" s="2"/>
      <c r="Z431" s="2"/>
      <c r="AA431" s="1"/>
      <c r="AB431" s="1"/>
      <c r="AC431" s="1"/>
      <c r="AD431" s="1"/>
      <c r="AE431" s="1"/>
      <c r="AF431" s="1"/>
      <c r="AG431" s="1"/>
      <c r="AH431" s="1"/>
    </row>
    <row r="432" ht="13.5" customHeight="1">
      <c r="A432" s="1"/>
      <c r="B432" s="1"/>
      <c r="C432" s="3"/>
      <c r="D432" s="1"/>
      <c r="E432" s="1"/>
      <c r="F432" s="1"/>
      <c r="G432" s="1"/>
      <c r="H432" s="1"/>
      <c r="I432" s="1"/>
      <c r="J432" s="1"/>
      <c r="K432" s="2"/>
      <c r="L432" s="1"/>
      <c r="M432" s="3"/>
      <c r="N432" s="3"/>
      <c r="O432" s="4"/>
      <c r="P432" s="4"/>
      <c r="Q432" s="4"/>
      <c r="R432" s="4"/>
      <c r="S432" s="4"/>
      <c r="T432" s="4"/>
      <c r="U432" s="4"/>
      <c r="V432" s="4"/>
      <c r="W432" s="4"/>
      <c r="X432" s="3"/>
      <c r="Y432" s="2"/>
      <c r="Z432" s="2"/>
      <c r="AA432" s="1"/>
      <c r="AB432" s="1"/>
      <c r="AC432" s="1"/>
      <c r="AD432" s="1"/>
      <c r="AE432" s="1"/>
      <c r="AF432" s="1"/>
      <c r="AG432" s="1"/>
      <c r="AH432" s="1"/>
    </row>
    <row r="433" ht="13.5" customHeight="1">
      <c r="A433" s="1"/>
      <c r="B433" s="1"/>
      <c r="C433" s="3"/>
      <c r="D433" s="1"/>
      <c r="E433" s="1"/>
      <c r="F433" s="1"/>
      <c r="G433" s="1"/>
      <c r="H433" s="1"/>
      <c r="I433" s="1"/>
      <c r="J433" s="1"/>
      <c r="K433" s="2"/>
      <c r="L433" s="1"/>
      <c r="M433" s="3"/>
      <c r="N433" s="3"/>
      <c r="O433" s="4"/>
      <c r="P433" s="4"/>
      <c r="Q433" s="4"/>
      <c r="R433" s="4"/>
      <c r="S433" s="4"/>
      <c r="T433" s="4"/>
      <c r="U433" s="4"/>
      <c r="V433" s="4"/>
      <c r="W433" s="4"/>
      <c r="X433" s="3"/>
      <c r="Y433" s="2"/>
      <c r="Z433" s="2"/>
      <c r="AA433" s="1"/>
      <c r="AB433" s="1"/>
      <c r="AC433" s="1"/>
      <c r="AD433" s="1"/>
      <c r="AE433" s="1"/>
      <c r="AF433" s="1"/>
      <c r="AG433" s="1"/>
      <c r="AH433" s="1"/>
    </row>
    <row r="434" ht="13.5" customHeight="1">
      <c r="A434" s="1"/>
      <c r="B434" s="1"/>
      <c r="C434" s="3"/>
      <c r="D434" s="1"/>
      <c r="E434" s="1"/>
      <c r="F434" s="1"/>
      <c r="G434" s="1"/>
      <c r="H434" s="1"/>
      <c r="I434" s="1"/>
      <c r="J434" s="1"/>
      <c r="K434" s="2"/>
      <c r="L434" s="1"/>
      <c r="M434" s="3"/>
      <c r="N434" s="3"/>
      <c r="O434" s="4"/>
      <c r="P434" s="4"/>
      <c r="Q434" s="4"/>
      <c r="R434" s="4"/>
      <c r="S434" s="4"/>
      <c r="T434" s="4"/>
      <c r="U434" s="4"/>
      <c r="V434" s="4"/>
      <c r="W434" s="4"/>
      <c r="X434" s="3"/>
      <c r="Y434" s="2"/>
      <c r="Z434" s="2"/>
      <c r="AA434" s="1"/>
      <c r="AB434" s="1"/>
      <c r="AC434" s="1"/>
      <c r="AD434" s="1"/>
      <c r="AE434" s="1"/>
      <c r="AF434" s="1"/>
      <c r="AG434" s="1"/>
      <c r="AH434" s="1"/>
    </row>
    <row r="435" ht="13.5" customHeight="1">
      <c r="A435" s="1"/>
      <c r="B435" s="1"/>
      <c r="C435" s="3"/>
      <c r="D435" s="1"/>
      <c r="E435" s="1"/>
      <c r="F435" s="1"/>
      <c r="G435" s="1"/>
      <c r="H435" s="1"/>
      <c r="I435" s="1"/>
      <c r="J435" s="1"/>
      <c r="K435" s="2"/>
      <c r="L435" s="1"/>
      <c r="M435" s="3"/>
      <c r="N435" s="3"/>
      <c r="O435" s="4"/>
      <c r="P435" s="4"/>
      <c r="Q435" s="4"/>
      <c r="R435" s="4"/>
      <c r="S435" s="4"/>
      <c r="T435" s="4"/>
      <c r="U435" s="4"/>
      <c r="V435" s="4"/>
      <c r="W435" s="4"/>
      <c r="X435" s="3"/>
      <c r="Y435" s="2"/>
      <c r="Z435" s="2"/>
      <c r="AA435" s="1"/>
      <c r="AB435" s="1"/>
      <c r="AC435" s="1"/>
      <c r="AD435" s="1"/>
      <c r="AE435" s="1"/>
      <c r="AF435" s="1"/>
      <c r="AG435" s="1"/>
      <c r="AH435" s="1"/>
    </row>
    <row r="436" ht="13.5" customHeight="1">
      <c r="A436" s="1"/>
      <c r="B436" s="1"/>
      <c r="C436" s="3"/>
      <c r="D436" s="1"/>
      <c r="E436" s="1"/>
      <c r="F436" s="1"/>
      <c r="G436" s="1"/>
      <c r="H436" s="1"/>
      <c r="I436" s="1"/>
      <c r="J436" s="1"/>
      <c r="K436" s="2"/>
      <c r="L436" s="1"/>
      <c r="M436" s="3"/>
      <c r="N436" s="3"/>
      <c r="O436" s="4"/>
      <c r="P436" s="4"/>
      <c r="Q436" s="4"/>
      <c r="R436" s="4"/>
      <c r="S436" s="4"/>
      <c r="T436" s="4"/>
      <c r="U436" s="4"/>
      <c r="V436" s="4"/>
      <c r="W436" s="4"/>
      <c r="X436" s="3"/>
      <c r="Y436" s="2"/>
      <c r="Z436" s="2"/>
      <c r="AA436" s="1"/>
      <c r="AB436" s="1"/>
      <c r="AC436" s="1"/>
      <c r="AD436" s="1"/>
      <c r="AE436" s="1"/>
      <c r="AF436" s="1"/>
      <c r="AG436" s="1"/>
      <c r="AH436" s="1"/>
    </row>
    <row r="437" ht="13.5" customHeight="1">
      <c r="A437" s="1"/>
      <c r="B437" s="1"/>
      <c r="C437" s="3"/>
      <c r="D437" s="1"/>
      <c r="E437" s="1"/>
      <c r="F437" s="1"/>
      <c r="G437" s="1"/>
      <c r="H437" s="1"/>
      <c r="I437" s="1"/>
      <c r="J437" s="1"/>
      <c r="K437" s="2"/>
      <c r="L437" s="1"/>
      <c r="M437" s="3"/>
      <c r="N437" s="3"/>
      <c r="O437" s="4"/>
      <c r="P437" s="4"/>
      <c r="Q437" s="4"/>
      <c r="R437" s="4"/>
      <c r="S437" s="4"/>
      <c r="T437" s="4"/>
      <c r="U437" s="4"/>
      <c r="V437" s="4"/>
      <c r="W437" s="4"/>
      <c r="X437" s="3"/>
      <c r="Y437" s="2"/>
      <c r="Z437" s="2"/>
      <c r="AA437" s="1"/>
      <c r="AB437" s="1"/>
      <c r="AC437" s="1"/>
      <c r="AD437" s="1"/>
      <c r="AE437" s="1"/>
      <c r="AF437" s="1"/>
      <c r="AG437" s="1"/>
      <c r="AH437" s="1"/>
    </row>
    <row r="438" ht="13.5" customHeight="1">
      <c r="A438" s="1"/>
      <c r="B438" s="1"/>
      <c r="C438" s="3"/>
      <c r="D438" s="1"/>
      <c r="E438" s="1"/>
      <c r="F438" s="1"/>
      <c r="G438" s="1"/>
      <c r="H438" s="1"/>
      <c r="I438" s="1"/>
      <c r="J438" s="1"/>
      <c r="K438" s="2"/>
      <c r="L438" s="1"/>
      <c r="M438" s="3"/>
      <c r="N438" s="3"/>
      <c r="O438" s="4"/>
      <c r="P438" s="4"/>
      <c r="Q438" s="4"/>
      <c r="R438" s="4"/>
      <c r="S438" s="4"/>
      <c r="T438" s="4"/>
      <c r="U438" s="4"/>
      <c r="V438" s="4"/>
      <c r="W438" s="4"/>
      <c r="X438" s="3"/>
      <c r="Y438" s="2"/>
      <c r="Z438" s="2"/>
      <c r="AA438" s="1"/>
      <c r="AB438" s="1"/>
      <c r="AC438" s="1"/>
      <c r="AD438" s="1"/>
      <c r="AE438" s="1"/>
      <c r="AF438" s="1"/>
      <c r="AG438" s="1"/>
      <c r="AH438" s="1"/>
    </row>
    <row r="439" ht="13.5" customHeight="1">
      <c r="A439" s="1"/>
      <c r="B439" s="1"/>
      <c r="C439" s="3"/>
      <c r="D439" s="1"/>
      <c r="E439" s="1"/>
      <c r="F439" s="1"/>
      <c r="G439" s="1"/>
      <c r="H439" s="1"/>
      <c r="I439" s="1"/>
      <c r="J439" s="1"/>
      <c r="K439" s="2"/>
      <c r="L439" s="1"/>
      <c r="M439" s="3"/>
      <c r="N439" s="3"/>
      <c r="O439" s="4"/>
      <c r="P439" s="4"/>
      <c r="Q439" s="4"/>
      <c r="R439" s="4"/>
      <c r="S439" s="4"/>
      <c r="T439" s="4"/>
      <c r="U439" s="4"/>
      <c r="V439" s="4"/>
      <c r="W439" s="4"/>
      <c r="X439" s="3"/>
      <c r="Y439" s="2"/>
      <c r="Z439" s="2"/>
      <c r="AA439" s="1"/>
      <c r="AB439" s="1"/>
      <c r="AC439" s="1"/>
      <c r="AD439" s="1"/>
      <c r="AE439" s="1"/>
      <c r="AF439" s="1"/>
      <c r="AG439" s="1"/>
      <c r="AH439" s="1"/>
    </row>
    <row r="440" ht="13.5" customHeight="1">
      <c r="A440" s="1"/>
      <c r="B440" s="1"/>
      <c r="C440" s="3"/>
      <c r="D440" s="1"/>
      <c r="E440" s="1"/>
      <c r="F440" s="1"/>
      <c r="G440" s="1"/>
      <c r="H440" s="1"/>
      <c r="I440" s="1"/>
      <c r="J440" s="1"/>
      <c r="K440" s="2"/>
      <c r="L440" s="1"/>
      <c r="M440" s="3"/>
      <c r="N440" s="3"/>
      <c r="O440" s="4"/>
      <c r="P440" s="4"/>
      <c r="Q440" s="4"/>
      <c r="R440" s="4"/>
      <c r="S440" s="4"/>
      <c r="T440" s="4"/>
      <c r="U440" s="4"/>
      <c r="V440" s="4"/>
      <c r="W440" s="4"/>
      <c r="X440" s="3"/>
      <c r="Y440" s="2"/>
      <c r="Z440" s="2"/>
      <c r="AA440" s="1"/>
      <c r="AB440" s="1"/>
      <c r="AC440" s="1"/>
      <c r="AD440" s="1"/>
      <c r="AE440" s="1"/>
      <c r="AF440" s="1"/>
      <c r="AG440" s="1"/>
      <c r="AH440" s="1"/>
    </row>
    <row r="441" ht="13.5" customHeight="1">
      <c r="A441" s="1"/>
      <c r="B441" s="1"/>
      <c r="C441" s="3"/>
      <c r="D441" s="1"/>
      <c r="E441" s="1"/>
      <c r="F441" s="1"/>
      <c r="G441" s="1"/>
      <c r="H441" s="1"/>
      <c r="I441" s="1"/>
      <c r="J441" s="1"/>
      <c r="K441" s="2"/>
      <c r="L441" s="1"/>
      <c r="M441" s="3"/>
      <c r="N441" s="3"/>
      <c r="O441" s="4"/>
      <c r="P441" s="4"/>
      <c r="Q441" s="4"/>
      <c r="R441" s="4"/>
      <c r="S441" s="4"/>
      <c r="T441" s="4"/>
      <c r="U441" s="4"/>
      <c r="V441" s="4"/>
      <c r="W441" s="4"/>
      <c r="X441" s="3"/>
      <c r="Y441" s="2"/>
      <c r="Z441" s="2"/>
      <c r="AA441" s="1"/>
      <c r="AB441" s="1"/>
      <c r="AC441" s="1"/>
      <c r="AD441" s="1"/>
      <c r="AE441" s="1"/>
      <c r="AF441" s="1"/>
      <c r="AG441" s="1"/>
      <c r="AH441" s="1"/>
    </row>
    <row r="442" ht="13.5" customHeight="1">
      <c r="A442" s="1"/>
      <c r="B442" s="1"/>
      <c r="C442" s="3"/>
      <c r="D442" s="1"/>
      <c r="E442" s="1"/>
      <c r="F442" s="1"/>
      <c r="G442" s="1"/>
      <c r="H442" s="1"/>
      <c r="I442" s="1"/>
      <c r="J442" s="1"/>
      <c r="K442" s="2"/>
      <c r="L442" s="1"/>
      <c r="M442" s="3"/>
      <c r="N442" s="3"/>
      <c r="O442" s="4"/>
      <c r="P442" s="4"/>
      <c r="Q442" s="4"/>
      <c r="R442" s="4"/>
      <c r="S442" s="4"/>
      <c r="T442" s="4"/>
      <c r="U442" s="4"/>
      <c r="V442" s="4"/>
      <c r="W442" s="4"/>
      <c r="X442" s="3"/>
      <c r="Y442" s="2"/>
      <c r="Z442" s="2"/>
      <c r="AA442" s="1"/>
      <c r="AB442" s="1"/>
      <c r="AC442" s="1"/>
      <c r="AD442" s="1"/>
      <c r="AE442" s="1"/>
      <c r="AF442" s="1"/>
      <c r="AG442" s="1"/>
      <c r="AH442" s="1"/>
    </row>
    <row r="443" ht="13.5" customHeight="1">
      <c r="A443" s="1"/>
      <c r="B443" s="1"/>
      <c r="C443" s="3"/>
      <c r="D443" s="1"/>
      <c r="E443" s="1"/>
      <c r="F443" s="1"/>
      <c r="G443" s="1"/>
      <c r="H443" s="1"/>
      <c r="I443" s="1"/>
      <c r="J443" s="1"/>
      <c r="K443" s="2"/>
      <c r="L443" s="1"/>
      <c r="M443" s="3"/>
      <c r="N443" s="3"/>
      <c r="O443" s="4"/>
      <c r="P443" s="4"/>
      <c r="Q443" s="4"/>
      <c r="R443" s="4"/>
      <c r="S443" s="4"/>
      <c r="T443" s="4"/>
      <c r="U443" s="4"/>
      <c r="V443" s="4"/>
      <c r="W443" s="4"/>
      <c r="X443" s="3"/>
      <c r="Y443" s="2"/>
      <c r="Z443" s="2"/>
      <c r="AA443" s="1"/>
      <c r="AB443" s="1"/>
      <c r="AC443" s="1"/>
      <c r="AD443" s="1"/>
      <c r="AE443" s="1"/>
      <c r="AF443" s="1"/>
      <c r="AG443" s="1"/>
      <c r="AH443" s="1"/>
    </row>
    <row r="444" ht="13.5" customHeight="1">
      <c r="A444" s="1"/>
      <c r="B444" s="1"/>
      <c r="C444" s="3"/>
      <c r="D444" s="1"/>
      <c r="E444" s="1"/>
      <c r="F444" s="1"/>
      <c r="G444" s="1"/>
      <c r="H444" s="1"/>
      <c r="I444" s="1"/>
      <c r="J444" s="1"/>
      <c r="K444" s="2"/>
      <c r="L444" s="1"/>
      <c r="M444" s="3"/>
      <c r="N444" s="3"/>
      <c r="O444" s="4"/>
      <c r="P444" s="4"/>
      <c r="Q444" s="4"/>
      <c r="R444" s="4"/>
      <c r="S444" s="4"/>
      <c r="T444" s="4"/>
      <c r="U444" s="4"/>
      <c r="V444" s="4"/>
      <c r="W444" s="4"/>
      <c r="X444" s="3"/>
      <c r="Y444" s="2"/>
      <c r="Z444" s="2"/>
      <c r="AA444" s="1"/>
      <c r="AB444" s="1"/>
      <c r="AC444" s="1"/>
      <c r="AD444" s="1"/>
      <c r="AE444" s="1"/>
      <c r="AF444" s="1"/>
      <c r="AG444" s="1"/>
      <c r="AH444" s="1"/>
    </row>
    <row r="445" ht="13.5" customHeight="1">
      <c r="A445" s="1"/>
      <c r="B445" s="1"/>
      <c r="C445" s="3"/>
      <c r="D445" s="1"/>
      <c r="E445" s="1"/>
      <c r="F445" s="1"/>
      <c r="G445" s="1"/>
      <c r="H445" s="1"/>
      <c r="I445" s="1"/>
      <c r="J445" s="1"/>
      <c r="K445" s="2"/>
      <c r="L445" s="1"/>
      <c r="M445" s="3"/>
      <c r="N445" s="3"/>
      <c r="O445" s="4"/>
      <c r="P445" s="4"/>
      <c r="Q445" s="4"/>
      <c r="R445" s="4"/>
      <c r="S445" s="4"/>
      <c r="T445" s="4"/>
      <c r="U445" s="4"/>
      <c r="V445" s="4"/>
      <c r="W445" s="4"/>
      <c r="X445" s="3"/>
      <c r="Y445" s="2"/>
      <c r="Z445" s="2"/>
      <c r="AA445" s="1"/>
      <c r="AB445" s="1"/>
      <c r="AC445" s="1"/>
      <c r="AD445" s="1"/>
      <c r="AE445" s="1"/>
      <c r="AF445" s="1"/>
      <c r="AG445" s="1"/>
      <c r="AH445" s="1"/>
    </row>
    <row r="446" ht="13.5" customHeight="1">
      <c r="A446" s="1"/>
      <c r="B446" s="1"/>
      <c r="C446" s="3"/>
      <c r="D446" s="1"/>
      <c r="E446" s="1"/>
      <c r="F446" s="1"/>
      <c r="G446" s="1"/>
      <c r="H446" s="1"/>
      <c r="I446" s="1"/>
      <c r="J446" s="1"/>
      <c r="K446" s="2"/>
      <c r="L446" s="1"/>
      <c r="M446" s="3"/>
      <c r="N446" s="3"/>
      <c r="O446" s="4"/>
      <c r="P446" s="4"/>
      <c r="Q446" s="4"/>
      <c r="R446" s="4"/>
      <c r="S446" s="4"/>
      <c r="T446" s="4"/>
      <c r="U446" s="4"/>
      <c r="V446" s="4"/>
      <c r="W446" s="4"/>
      <c r="X446" s="3"/>
      <c r="Y446" s="2"/>
      <c r="Z446" s="2"/>
      <c r="AA446" s="1"/>
      <c r="AB446" s="1"/>
      <c r="AC446" s="1"/>
      <c r="AD446" s="1"/>
      <c r="AE446" s="1"/>
      <c r="AF446" s="1"/>
      <c r="AG446" s="1"/>
      <c r="AH446" s="1"/>
    </row>
    <row r="447" ht="13.5" customHeight="1">
      <c r="A447" s="1"/>
      <c r="B447" s="1"/>
      <c r="C447" s="3"/>
      <c r="D447" s="1"/>
      <c r="E447" s="1"/>
      <c r="F447" s="1"/>
      <c r="G447" s="1"/>
      <c r="H447" s="1"/>
      <c r="I447" s="1"/>
      <c r="J447" s="1"/>
      <c r="K447" s="2"/>
      <c r="L447" s="1"/>
      <c r="M447" s="3"/>
      <c r="N447" s="3"/>
      <c r="O447" s="4"/>
      <c r="P447" s="4"/>
      <c r="Q447" s="4"/>
      <c r="R447" s="4"/>
      <c r="S447" s="4"/>
      <c r="T447" s="4"/>
      <c r="U447" s="4"/>
      <c r="V447" s="4"/>
      <c r="W447" s="4"/>
      <c r="X447" s="3"/>
      <c r="Y447" s="2"/>
      <c r="Z447" s="2"/>
      <c r="AA447" s="1"/>
      <c r="AB447" s="1"/>
      <c r="AC447" s="1"/>
      <c r="AD447" s="1"/>
      <c r="AE447" s="1"/>
      <c r="AF447" s="1"/>
      <c r="AG447" s="1"/>
      <c r="AH447" s="1"/>
    </row>
    <row r="448" ht="13.5" customHeight="1">
      <c r="A448" s="1"/>
      <c r="B448" s="1"/>
      <c r="C448" s="3"/>
      <c r="D448" s="1"/>
      <c r="E448" s="1"/>
      <c r="F448" s="1"/>
      <c r="G448" s="1"/>
      <c r="H448" s="1"/>
      <c r="I448" s="1"/>
      <c r="J448" s="1"/>
      <c r="K448" s="2"/>
      <c r="L448" s="1"/>
      <c r="M448" s="3"/>
      <c r="N448" s="3"/>
      <c r="O448" s="4"/>
      <c r="P448" s="4"/>
      <c r="Q448" s="4"/>
      <c r="R448" s="4"/>
      <c r="S448" s="4"/>
      <c r="T448" s="4"/>
      <c r="U448" s="4"/>
      <c r="V448" s="4"/>
      <c r="W448" s="4"/>
      <c r="X448" s="3"/>
      <c r="Y448" s="2"/>
      <c r="Z448" s="2"/>
      <c r="AA448" s="1"/>
      <c r="AB448" s="1"/>
      <c r="AC448" s="1"/>
      <c r="AD448" s="1"/>
      <c r="AE448" s="1"/>
      <c r="AF448" s="1"/>
      <c r="AG448" s="1"/>
      <c r="AH448" s="1"/>
    </row>
    <row r="449" ht="13.5" customHeight="1">
      <c r="A449" s="1"/>
      <c r="B449" s="1"/>
      <c r="C449" s="3"/>
      <c r="D449" s="1"/>
      <c r="E449" s="1"/>
      <c r="F449" s="1"/>
      <c r="G449" s="1"/>
      <c r="H449" s="1"/>
      <c r="I449" s="1"/>
      <c r="J449" s="1"/>
      <c r="K449" s="2"/>
      <c r="L449" s="1"/>
      <c r="M449" s="3"/>
      <c r="N449" s="3"/>
      <c r="O449" s="4"/>
      <c r="P449" s="4"/>
      <c r="Q449" s="4"/>
      <c r="R449" s="4"/>
      <c r="S449" s="4"/>
      <c r="T449" s="4"/>
      <c r="U449" s="4"/>
      <c r="V449" s="4"/>
      <c r="W449" s="4"/>
      <c r="X449" s="3"/>
      <c r="Y449" s="2"/>
      <c r="Z449" s="2"/>
      <c r="AA449" s="1"/>
      <c r="AB449" s="1"/>
      <c r="AC449" s="1"/>
      <c r="AD449" s="1"/>
      <c r="AE449" s="1"/>
      <c r="AF449" s="1"/>
      <c r="AG449" s="1"/>
      <c r="AH449" s="1"/>
    </row>
    <row r="450" ht="13.5" customHeight="1">
      <c r="A450" s="1"/>
      <c r="B450" s="1"/>
      <c r="C450" s="3"/>
      <c r="D450" s="1"/>
      <c r="E450" s="1"/>
      <c r="F450" s="1"/>
      <c r="G450" s="1"/>
      <c r="H450" s="1"/>
      <c r="I450" s="1"/>
      <c r="J450" s="1"/>
      <c r="K450" s="2"/>
      <c r="L450" s="1"/>
      <c r="M450" s="3"/>
      <c r="N450" s="3"/>
      <c r="O450" s="4"/>
      <c r="P450" s="4"/>
      <c r="Q450" s="4"/>
      <c r="R450" s="4"/>
      <c r="S450" s="4"/>
      <c r="T450" s="4"/>
      <c r="U450" s="4"/>
      <c r="V450" s="4"/>
      <c r="W450" s="4"/>
      <c r="X450" s="3"/>
      <c r="Y450" s="2"/>
      <c r="Z450" s="2"/>
      <c r="AA450" s="1"/>
      <c r="AB450" s="1"/>
      <c r="AC450" s="1"/>
      <c r="AD450" s="1"/>
      <c r="AE450" s="1"/>
      <c r="AF450" s="1"/>
      <c r="AG450" s="1"/>
      <c r="AH450" s="1"/>
    </row>
    <row r="451" ht="13.5" customHeight="1">
      <c r="A451" s="1"/>
      <c r="B451" s="1"/>
      <c r="C451" s="3"/>
      <c r="D451" s="1"/>
      <c r="E451" s="1"/>
      <c r="F451" s="1"/>
      <c r="G451" s="1"/>
      <c r="H451" s="1"/>
      <c r="I451" s="1"/>
      <c r="J451" s="1"/>
      <c r="K451" s="2"/>
      <c r="L451" s="1"/>
      <c r="M451" s="3"/>
      <c r="N451" s="3"/>
      <c r="O451" s="4"/>
      <c r="P451" s="4"/>
      <c r="Q451" s="4"/>
      <c r="R451" s="4"/>
      <c r="S451" s="4"/>
      <c r="T451" s="4"/>
      <c r="U451" s="4"/>
      <c r="V451" s="4"/>
      <c r="W451" s="4"/>
      <c r="X451" s="3"/>
      <c r="Y451" s="2"/>
      <c r="Z451" s="2"/>
      <c r="AA451" s="1"/>
      <c r="AB451" s="1"/>
      <c r="AC451" s="1"/>
      <c r="AD451" s="1"/>
      <c r="AE451" s="1"/>
      <c r="AF451" s="1"/>
      <c r="AG451" s="1"/>
      <c r="AH451" s="1"/>
    </row>
    <row r="452" ht="13.5" customHeight="1">
      <c r="A452" s="1"/>
      <c r="B452" s="1"/>
      <c r="C452" s="3"/>
      <c r="D452" s="1"/>
      <c r="E452" s="1"/>
      <c r="F452" s="1"/>
      <c r="G452" s="1"/>
      <c r="H452" s="1"/>
      <c r="I452" s="1"/>
      <c r="J452" s="1"/>
      <c r="K452" s="2"/>
      <c r="L452" s="1"/>
      <c r="M452" s="3"/>
      <c r="N452" s="3"/>
      <c r="O452" s="4"/>
      <c r="P452" s="4"/>
      <c r="Q452" s="4"/>
      <c r="R452" s="4"/>
      <c r="S452" s="4"/>
      <c r="T452" s="4"/>
      <c r="U452" s="4"/>
      <c r="V452" s="4"/>
      <c r="W452" s="4"/>
      <c r="X452" s="3"/>
      <c r="Y452" s="2"/>
      <c r="Z452" s="2"/>
      <c r="AA452" s="1"/>
      <c r="AB452" s="1"/>
      <c r="AC452" s="1"/>
      <c r="AD452" s="1"/>
      <c r="AE452" s="1"/>
      <c r="AF452" s="1"/>
      <c r="AG452" s="1"/>
      <c r="AH452" s="1"/>
    </row>
    <row r="453" ht="13.5" customHeight="1">
      <c r="A453" s="1"/>
      <c r="B453" s="1"/>
      <c r="C453" s="3"/>
      <c r="D453" s="1"/>
      <c r="E453" s="1"/>
      <c r="F453" s="1"/>
      <c r="G453" s="1"/>
      <c r="H453" s="1"/>
      <c r="I453" s="1"/>
      <c r="J453" s="1"/>
      <c r="K453" s="2"/>
      <c r="L453" s="1"/>
      <c r="M453" s="3"/>
      <c r="N453" s="3"/>
      <c r="O453" s="4"/>
      <c r="P453" s="4"/>
      <c r="Q453" s="4"/>
      <c r="R453" s="4"/>
      <c r="S453" s="4"/>
      <c r="T453" s="4"/>
      <c r="U453" s="4"/>
      <c r="V453" s="4"/>
      <c r="W453" s="4"/>
      <c r="X453" s="3"/>
      <c r="Y453" s="2"/>
      <c r="Z453" s="2"/>
      <c r="AA453" s="1"/>
      <c r="AB453" s="1"/>
      <c r="AC453" s="1"/>
      <c r="AD453" s="1"/>
      <c r="AE453" s="1"/>
      <c r="AF453" s="1"/>
      <c r="AG453" s="1"/>
      <c r="AH453" s="1"/>
    </row>
    <row r="454" ht="13.5" customHeight="1">
      <c r="A454" s="1"/>
      <c r="B454" s="1"/>
      <c r="C454" s="3"/>
      <c r="D454" s="1"/>
      <c r="E454" s="1"/>
      <c r="F454" s="1"/>
      <c r="G454" s="1"/>
      <c r="H454" s="1"/>
      <c r="I454" s="1"/>
      <c r="J454" s="1"/>
      <c r="K454" s="2"/>
      <c r="L454" s="1"/>
      <c r="M454" s="3"/>
      <c r="N454" s="3"/>
      <c r="O454" s="4"/>
      <c r="P454" s="4"/>
      <c r="Q454" s="4"/>
      <c r="R454" s="4"/>
      <c r="S454" s="4"/>
      <c r="T454" s="4"/>
      <c r="U454" s="4"/>
      <c r="V454" s="4"/>
      <c r="W454" s="4"/>
      <c r="X454" s="3"/>
      <c r="Y454" s="2"/>
      <c r="Z454" s="2"/>
      <c r="AA454" s="1"/>
      <c r="AB454" s="1"/>
      <c r="AC454" s="1"/>
      <c r="AD454" s="1"/>
      <c r="AE454" s="1"/>
      <c r="AF454" s="1"/>
      <c r="AG454" s="1"/>
      <c r="AH454" s="1"/>
    </row>
    <row r="455" ht="13.5" customHeight="1">
      <c r="A455" s="1"/>
      <c r="B455" s="1"/>
      <c r="C455" s="3"/>
      <c r="D455" s="1"/>
      <c r="E455" s="1"/>
      <c r="F455" s="1"/>
      <c r="G455" s="1"/>
      <c r="H455" s="1"/>
      <c r="I455" s="1"/>
      <c r="J455" s="1"/>
      <c r="K455" s="2"/>
      <c r="L455" s="1"/>
      <c r="M455" s="3"/>
      <c r="N455" s="3"/>
      <c r="O455" s="4"/>
      <c r="P455" s="4"/>
      <c r="Q455" s="4"/>
      <c r="R455" s="4"/>
      <c r="S455" s="4"/>
      <c r="T455" s="4"/>
      <c r="U455" s="4"/>
      <c r="V455" s="4"/>
      <c r="W455" s="4"/>
      <c r="X455" s="3"/>
      <c r="Y455" s="2"/>
      <c r="Z455" s="2"/>
      <c r="AA455" s="1"/>
      <c r="AB455" s="1"/>
      <c r="AC455" s="1"/>
      <c r="AD455" s="1"/>
      <c r="AE455" s="1"/>
      <c r="AF455" s="1"/>
      <c r="AG455" s="1"/>
      <c r="AH455" s="1"/>
    </row>
    <row r="456" ht="13.5" customHeight="1">
      <c r="A456" s="1"/>
      <c r="B456" s="1"/>
      <c r="C456" s="3"/>
      <c r="D456" s="1"/>
      <c r="E456" s="1"/>
      <c r="F456" s="1"/>
      <c r="G456" s="1"/>
      <c r="H456" s="1"/>
      <c r="I456" s="1"/>
      <c r="J456" s="1"/>
      <c r="K456" s="2"/>
      <c r="L456" s="1"/>
      <c r="M456" s="3"/>
      <c r="N456" s="3"/>
      <c r="O456" s="4"/>
      <c r="P456" s="4"/>
      <c r="Q456" s="4"/>
      <c r="R456" s="4"/>
      <c r="S456" s="4"/>
      <c r="T456" s="4"/>
      <c r="U456" s="4"/>
      <c r="V456" s="4"/>
      <c r="W456" s="4"/>
      <c r="X456" s="3"/>
      <c r="Y456" s="2"/>
      <c r="Z456" s="2"/>
      <c r="AA456" s="1"/>
      <c r="AB456" s="1"/>
      <c r="AC456" s="1"/>
      <c r="AD456" s="1"/>
      <c r="AE456" s="1"/>
      <c r="AF456" s="1"/>
      <c r="AG456" s="1"/>
      <c r="AH456" s="1"/>
    </row>
    <row r="457" ht="13.5" customHeight="1">
      <c r="A457" s="1"/>
      <c r="B457" s="1"/>
      <c r="C457" s="3"/>
      <c r="D457" s="1"/>
      <c r="E457" s="1"/>
      <c r="F457" s="1"/>
      <c r="G457" s="1"/>
      <c r="H457" s="1"/>
      <c r="I457" s="1"/>
      <c r="J457" s="1"/>
      <c r="K457" s="2"/>
      <c r="L457" s="1"/>
      <c r="M457" s="3"/>
      <c r="N457" s="3"/>
      <c r="O457" s="4"/>
      <c r="P457" s="4"/>
      <c r="Q457" s="4"/>
      <c r="R457" s="4"/>
      <c r="S457" s="4"/>
      <c r="T457" s="4"/>
      <c r="U457" s="4"/>
      <c r="V457" s="4"/>
      <c r="W457" s="4"/>
      <c r="X457" s="3"/>
      <c r="Y457" s="2"/>
      <c r="Z457" s="2"/>
      <c r="AA457" s="1"/>
      <c r="AB457" s="1"/>
      <c r="AC457" s="1"/>
      <c r="AD457" s="1"/>
      <c r="AE457" s="1"/>
      <c r="AF457" s="1"/>
      <c r="AG457" s="1"/>
      <c r="AH457" s="1"/>
    </row>
    <row r="458" ht="13.5" customHeight="1">
      <c r="A458" s="1"/>
      <c r="B458" s="1"/>
      <c r="C458" s="3"/>
      <c r="D458" s="1"/>
      <c r="E458" s="1"/>
      <c r="F458" s="1"/>
      <c r="G458" s="1"/>
      <c r="H458" s="1"/>
      <c r="I458" s="1"/>
      <c r="J458" s="1"/>
      <c r="K458" s="2"/>
      <c r="L458" s="1"/>
      <c r="M458" s="3"/>
      <c r="N458" s="3"/>
      <c r="O458" s="4"/>
      <c r="P458" s="4"/>
      <c r="Q458" s="4"/>
      <c r="R458" s="4"/>
      <c r="S458" s="4"/>
      <c r="T458" s="4"/>
      <c r="U458" s="4"/>
      <c r="V458" s="4"/>
      <c r="W458" s="4"/>
      <c r="X458" s="3"/>
      <c r="Y458" s="2"/>
      <c r="Z458" s="2"/>
      <c r="AA458" s="1"/>
      <c r="AB458" s="1"/>
      <c r="AC458" s="1"/>
      <c r="AD458" s="1"/>
      <c r="AE458" s="1"/>
      <c r="AF458" s="1"/>
      <c r="AG458" s="1"/>
      <c r="AH458" s="1"/>
    </row>
    <row r="459" ht="13.5" customHeight="1">
      <c r="A459" s="1"/>
      <c r="B459" s="1"/>
      <c r="C459" s="3"/>
      <c r="D459" s="1"/>
      <c r="E459" s="1"/>
      <c r="F459" s="1"/>
      <c r="G459" s="1"/>
      <c r="H459" s="1"/>
      <c r="I459" s="1"/>
      <c r="J459" s="1"/>
      <c r="K459" s="2"/>
      <c r="L459" s="1"/>
      <c r="M459" s="3"/>
      <c r="N459" s="3"/>
      <c r="O459" s="4"/>
      <c r="P459" s="4"/>
      <c r="Q459" s="4"/>
      <c r="R459" s="4"/>
      <c r="S459" s="4"/>
      <c r="T459" s="4"/>
      <c r="U459" s="4"/>
      <c r="V459" s="4"/>
      <c r="W459" s="4"/>
      <c r="X459" s="3"/>
      <c r="Y459" s="2"/>
      <c r="Z459" s="2"/>
      <c r="AA459" s="1"/>
      <c r="AB459" s="1"/>
      <c r="AC459" s="1"/>
      <c r="AD459" s="1"/>
      <c r="AE459" s="1"/>
      <c r="AF459" s="1"/>
      <c r="AG459" s="1"/>
      <c r="AH459" s="1"/>
    </row>
    <row r="460" ht="13.5" customHeight="1">
      <c r="A460" s="1"/>
      <c r="B460" s="1"/>
      <c r="C460" s="3"/>
      <c r="D460" s="1"/>
      <c r="E460" s="1"/>
      <c r="F460" s="1"/>
      <c r="G460" s="1"/>
      <c r="H460" s="1"/>
      <c r="I460" s="1"/>
      <c r="J460" s="1"/>
      <c r="K460" s="2"/>
      <c r="L460" s="1"/>
      <c r="M460" s="3"/>
      <c r="N460" s="3"/>
      <c r="O460" s="4"/>
      <c r="P460" s="4"/>
      <c r="Q460" s="4"/>
      <c r="R460" s="4"/>
      <c r="S460" s="4"/>
      <c r="T460" s="4"/>
      <c r="U460" s="4"/>
      <c r="V460" s="4"/>
      <c r="W460" s="4"/>
      <c r="X460" s="3"/>
      <c r="Y460" s="2"/>
      <c r="Z460" s="2"/>
      <c r="AA460" s="1"/>
      <c r="AB460" s="1"/>
      <c r="AC460" s="1"/>
      <c r="AD460" s="1"/>
      <c r="AE460" s="1"/>
      <c r="AF460" s="1"/>
      <c r="AG460" s="1"/>
      <c r="AH460" s="1"/>
    </row>
    <row r="461" ht="13.5" customHeight="1">
      <c r="A461" s="1"/>
      <c r="B461" s="1"/>
      <c r="C461" s="3"/>
      <c r="D461" s="1"/>
      <c r="E461" s="1"/>
      <c r="F461" s="1"/>
      <c r="G461" s="1"/>
      <c r="H461" s="1"/>
      <c r="I461" s="1"/>
      <c r="J461" s="1"/>
      <c r="K461" s="2"/>
      <c r="L461" s="1"/>
      <c r="M461" s="3"/>
      <c r="N461" s="3"/>
      <c r="O461" s="4"/>
      <c r="P461" s="4"/>
      <c r="Q461" s="4"/>
      <c r="R461" s="4"/>
      <c r="S461" s="4"/>
      <c r="T461" s="4"/>
      <c r="U461" s="4"/>
      <c r="V461" s="4"/>
      <c r="W461" s="4"/>
      <c r="X461" s="3"/>
      <c r="Y461" s="2"/>
      <c r="Z461" s="2"/>
      <c r="AA461" s="1"/>
      <c r="AB461" s="1"/>
      <c r="AC461" s="1"/>
      <c r="AD461" s="1"/>
      <c r="AE461" s="1"/>
      <c r="AF461" s="1"/>
      <c r="AG461" s="1"/>
      <c r="AH461" s="1"/>
    </row>
    <row r="462" ht="13.5" customHeight="1">
      <c r="A462" s="1"/>
      <c r="B462" s="1"/>
      <c r="C462" s="3"/>
      <c r="D462" s="1"/>
      <c r="E462" s="1"/>
      <c r="F462" s="1"/>
      <c r="G462" s="1"/>
      <c r="H462" s="1"/>
      <c r="I462" s="1"/>
      <c r="J462" s="1"/>
      <c r="K462" s="2"/>
      <c r="L462" s="1"/>
      <c r="M462" s="3"/>
      <c r="N462" s="3"/>
      <c r="O462" s="4"/>
      <c r="P462" s="4"/>
      <c r="Q462" s="4"/>
      <c r="R462" s="4"/>
      <c r="S462" s="4"/>
      <c r="T462" s="4"/>
      <c r="U462" s="4"/>
      <c r="V462" s="4"/>
      <c r="W462" s="4"/>
      <c r="X462" s="3"/>
      <c r="Y462" s="2"/>
      <c r="Z462" s="2"/>
      <c r="AA462" s="1"/>
      <c r="AB462" s="1"/>
      <c r="AC462" s="1"/>
      <c r="AD462" s="1"/>
      <c r="AE462" s="1"/>
      <c r="AF462" s="1"/>
      <c r="AG462" s="1"/>
      <c r="AH462" s="1"/>
    </row>
    <row r="463" ht="13.5" customHeight="1">
      <c r="A463" s="1"/>
      <c r="B463" s="1"/>
      <c r="C463" s="3"/>
      <c r="D463" s="1"/>
      <c r="E463" s="1"/>
      <c r="F463" s="1"/>
      <c r="G463" s="1"/>
      <c r="H463" s="1"/>
      <c r="I463" s="1"/>
      <c r="J463" s="1"/>
      <c r="K463" s="2"/>
      <c r="L463" s="1"/>
      <c r="M463" s="3"/>
      <c r="N463" s="3"/>
      <c r="O463" s="4"/>
      <c r="P463" s="4"/>
      <c r="Q463" s="4"/>
      <c r="R463" s="4"/>
      <c r="S463" s="4"/>
      <c r="T463" s="4"/>
      <c r="U463" s="4"/>
      <c r="V463" s="4"/>
      <c r="W463" s="4"/>
      <c r="X463" s="3"/>
      <c r="Y463" s="2"/>
      <c r="Z463" s="2"/>
      <c r="AA463" s="1"/>
      <c r="AB463" s="1"/>
      <c r="AC463" s="1"/>
      <c r="AD463" s="1"/>
      <c r="AE463" s="1"/>
      <c r="AF463" s="1"/>
      <c r="AG463" s="1"/>
      <c r="AH463" s="1"/>
    </row>
    <row r="464" ht="13.5" customHeight="1">
      <c r="A464" s="1"/>
      <c r="B464" s="1"/>
      <c r="C464" s="3"/>
      <c r="D464" s="1"/>
      <c r="E464" s="1"/>
      <c r="F464" s="1"/>
      <c r="G464" s="1"/>
      <c r="H464" s="1"/>
      <c r="I464" s="1"/>
      <c r="J464" s="1"/>
      <c r="K464" s="2"/>
      <c r="L464" s="1"/>
      <c r="M464" s="3"/>
      <c r="N464" s="3"/>
      <c r="O464" s="4"/>
      <c r="P464" s="4"/>
      <c r="Q464" s="4"/>
      <c r="R464" s="4"/>
      <c r="S464" s="4"/>
      <c r="T464" s="4"/>
      <c r="U464" s="4"/>
      <c r="V464" s="4"/>
      <c r="W464" s="4"/>
      <c r="X464" s="3"/>
      <c r="Y464" s="2"/>
      <c r="Z464" s="2"/>
      <c r="AA464" s="1"/>
      <c r="AB464" s="1"/>
      <c r="AC464" s="1"/>
      <c r="AD464" s="1"/>
      <c r="AE464" s="1"/>
      <c r="AF464" s="1"/>
      <c r="AG464" s="1"/>
      <c r="AH464" s="1"/>
    </row>
    <row r="465" ht="13.5" customHeight="1">
      <c r="A465" s="1"/>
      <c r="B465" s="1"/>
      <c r="C465" s="3"/>
      <c r="D465" s="1"/>
      <c r="E465" s="1"/>
      <c r="F465" s="1"/>
      <c r="G465" s="1"/>
      <c r="H465" s="1"/>
      <c r="I465" s="1"/>
      <c r="J465" s="1"/>
      <c r="K465" s="2"/>
      <c r="L465" s="1"/>
      <c r="M465" s="3"/>
      <c r="N465" s="3"/>
      <c r="O465" s="4"/>
      <c r="P465" s="4"/>
      <c r="Q465" s="4"/>
      <c r="R465" s="4"/>
      <c r="S465" s="4"/>
      <c r="T465" s="4"/>
      <c r="U465" s="4"/>
      <c r="V465" s="4"/>
      <c r="W465" s="4"/>
      <c r="X465" s="3"/>
      <c r="Y465" s="2"/>
      <c r="Z465" s="2"/>
      <c r="AA465" s="1"/>
      <c r="AB465" s="1"/>
      <c r="AC465" s="1"/>
      <c r="AD465" s="1"/>
      <c r="AE465" s="1"/>
      <c r="AF465" s="1"/>
      <c r="AG465" s="1"/>
      <c r="AH465" s="1"/>
    </row>
    <row r="466" ht="13.5" customHeight="1">
      <c r="A466" s="1"/>
      <c r="B466" s="1"/>
      <c r="C466" s="3"/>
      <c r="D466" s="1"/>
      <c r="E466" s="1"/>
      <c r="F466" s="1"/>
      <c r="G466" s="1"/>
      <c r="H466" s="1"/>
      <c r="I466" s="1"/>
      <c r="J466" s="1"/>
      <c r="K466" s="2"/>
      <c r="L466" s="1"/>
      <c r="M466" s="3"/>
      <c r="N466" s="3"/>
      <c r="O466" s="4"/>
      <c r="P466" s="4"/>
      <c r="Q466" s="4"/>
      <c r="R466" s="4"/>
      <c r="S466" s="4"/>
      <c r="T466" s="4"/>
      <c r="U466" s="4"/>
      <c r="V466" s="4"/>
      <c r="W466" s="4"/>
      <c r="X466" s="3"/>
      <c r="Y466" s="2"/>
      <c r="Z466" s="2"/>
      <c r="AA466" s="1"/>
      <c r="AB466" s="1"/>
      <c r="AC466" s="1"/>
      <c r="AD466" s="1"/>
      <c r="AE466" s="1"/>
      <c r="AF466" s="1"/>
      <c r="AG466" s="1"/>
      <c r="AH466" s="1"/>
    </row>
    <row r="467" ht="13.5" customHeight="1">
      <c r="A467" s="1"/>
      <c r="B467" s="1"/>
      <c r="C467" s="3"/>
      <c r="D467" s="1"/>
      <c r="E467" s="1"/>
      <c r="F467" s="1"/>
      <c r="G467" s="1"/>
      <c r="H467" s="1"/>
      <c r="I467" s="1"/>
      <c r="J467" s="1"/>
      <c r="K467" s="2"/>
      <c r="L467" s="1"/>
      <c r="M467" s="3"/>
      <c r="N467" s="3"/>
      <c r="O467" s="4"/>
      <c r="P467" s="4"/>
      <c r="Q467" s="4"/>
      <c r="R467" s="4"/>
      <c r="S467" s="4"/>
      <c r="T467" s="4"/>
      <c r="U467" s="4"/>
      <c r="V467" s="4"/>
      <c r="W467" s="4"/>
      <c r="X467" s="3"/>
      <c r="Y467" s="2"/>
      <c r="Z467" s="2"/>
      <c r="AA467" s="1"/>
      <c r="AB467" s="1"/>
      <c r="AC467" s="1"/>
      <c r="AD467" s="1"/>
      <c r="AE467" s="1"/>
      <c r="AF467" s="1"/>
      <c r="AG467" s="1"/>
      <c r="AH467" s="1"/>
    </row>
    <row r="468" ht="13.5" customHeight="1">
      <c r="A468" s="1"/>
      <c r="B468" s="1"/>
      <c r="C468" s="3"/>
      <c r="D468" s="1"/>
      <c r="E468" s="1"/>
      <c r="F468" s="1"/>
      <c r="G468" s="1"/>
      <c r="H468" s="1"/>
      <c r="I468" s="1"/>
      <c r="J468" s="1"/>
      <c r="K468" s="2"/>
      <c r="L468" s="1"/>
      <c r="M468" s="3"/>
      <c r="N468" s="3"/>
      <c r="O468" s="4"/>
      <c r="P468" s="4"/>
      <c r="Q468" s="4"/>
      <c r="R468" s="4"/>
      <c r="S468" s="4"/>
      <c r="T468" s="4"/>
      <c r="U468" s="4"/>
      <c r="V468" s="4"/>
      <c r="W468" s="4"/>
      <c r="X468" s="3"/>
      <c r="Y468" s="2"/>
      <c r="Z468" s="2"/>
      <c r="AA468" s="1"/>
      <c r="AB468" s="1"/>
      <c r="AC468" s="1"/>
      <c r="AD468" s="1"/>
      <c r="AE468" s="1"/>
      <c r="AF468" s="1"/>
      <c r="AG468" s="1"/>
      <c r="AH468" s="1"/>
    </row>
    <row r="469" ht="13.5" customHeight="1">
      <c r="A469" s="1"/>
      <c r="B469" s="1"/>
      <c r="C469" s="3"/>
      <c r="D469" s="1"/>
      <c r="E469" s="1"/>
      <c r="F469" s="1"/>
      <c r="G469" s="1"/>
      <c r="H469" s="1"/>
      <c r="I469" s="1"/>
      <c r="J469" s="1"/>
      <c r="K469" s="2"/>
      <c r="L469" s="1"/>
      <c r="M469" s="3"/>
      <c r="N469" s="3"/>
      <c r="O469" s="4"/>
      <c r="P469" s="4"/>
      <c r="Q469" s="4"/>
      <c r="R469" s="4"/>
      <c r="S469" s="4"/>
      <c r="T469" s="4"/>
      <c r="U469" s="4"/>
      <c r="V469" s="4"/>
      <c r="W469" s="4"/>
      <c r="X469" s="3"/>
      <c r="Y469" s="2"/>
      <c r="Z469" s="2"/>
      <c r="AA469" s="1"/>
      <c r="AB469" s="1"/>
      <c r="AC469" s="1"/>
      <c r="AD469" s="1"/>
      <c r="AE469" s="1"/>
      <c r="AF469" s="1"/>
      <c r="AG469" s="1"/>
      <c r="AH469" s="1"/>
    </row>
    <row r="470" ht="13.5" customHeight="1">
      <c r="A470" s="1"/>
      <c r="B470" s="1"/>
      <c r="C470" s="3"/>
      <c r="D470" s="1"/>
      <c r="E470" s="1"/>
      <c r="F470" s="1"/>
      <c r="G470" s="1"/>
      <c r="H470" s="1"/>
      <c r="I470" s="1"/>
      <c r="J470" s="1"/>
      <c r="K470" s="2"/>
      <c r="L470" s="1"/>
      <c r="M470" s="3"/>
      <c r="N470" s="3"/>
      <c r="O470" s="4"/>
      <c r="P470" s="4"/>
      <c r="Q470" s="4"/>
      <c r="R470" s="4"/>
      <c r="S470" s="4"/>
      <c r="T470" s="4"/>
      <c r="U470" s="4"/>
      <c r="V470" s="4"/>
      <c r="W470" s="4"/>
      <c r="X470" s="3"/>
      <c r="Y470" s="2"/>
      <c r="Z470" s="2"/>
      <c r="AA470" s="1"/>
      <c r="AB470" s="1"/>
      <c r="AC470" s="1"/>
      <c r="AD470" s="1"/>
      <c r="AE470" s="1"/>
      <c r="AF470" s="1"/>
      <c r="AG470" s="1"/>
      <c r="AH470" s="1"/>
    </row>
    <row r="471" ht="13.5" customHeight="1">
      <c r="A471" s="1"/>
      <c r="B471" s="1"/>
      <c r="C471" s="3"/>
      <c r="D471" s="1"/>
      <c r="E471" s="1"/>
      <c r="F471" s="1"/>
      <c r="G471" s="1"/>
      <c r="H471" s="1"/>
      <c r="I471" s="1"/>
      <c r="J471" s="1"/>
      <c r="K471" s="2"/>
      <c r="L471" s="1"/>
      <c r="M471" s="3"/>
      <c r="N471" s="3"/>
      <c r="O471" s="4"/>
      <c r="P471" s="4"/>
      <c r="Q471" s="4"/>
      <c r="R471" s="4"/>
      <c r="S471" s="4"/>
      <c r="T471" s="4"/>
      <c r="U471" s="4"/>
      <c r="V471" s="4"/>
      <c r="W471" s="4"/>
      <c r="X471" s="3"/>
      <c r="Y471" s="2"/>
      <c r="Z471" s="2"/>
      <c r="AA471" s="1"/>
      <c r="AB471" s="1"/>
      <c r="AC471" s="1"/>
      <c r="AD471" s="1"/>
      <c r="AE471" s="1"/>
      <c r="AF471" s="1"/>
      <c r="AG471" s="1"/>
      <c r="AH471" s="1"/>
    </row>
    <row r="472" ht="13.5" customHeight="1">
      <c r="A472" s="1"/>
      <c r="B472" s="1"/>
      <c r="C472" s="3"/>
      <c r="D472" s="1"/>
      <c r="E472" s="1"/>
      <c r="F472" s="1"/>
      <c r="G472" s="1"/>
      <c r="H472" s="1"/>
      <c r="I472" s="1"/>
      <c r="J472" s="1"/>
      <c r="K472" s="2"/>
      <c r="L472" s="1"/>
      <c r="M472" s="3"/>
      <c r="N472" s="3"/>
      <c r="O472" s="4"/>
      <c r="P472" s="4"/>
      <c r="Q472" s="4"/>
      <c r="R472" s="4"/>
      <c r="S472" s="4"/>
      <c r="T472" s="4"/>
      <c r="U472" s="4"/>
      <c r="V472" s="4"/>
      <c r="W472" s="4"/>
      <c r="X472" s="3"/>
      <c r="Y472" s="2"/>
      <c r="Z472" s="2"/>
      <c r="AA472" s="1"/>
      <c r="AB472" s="1"/>
      <c r="AC472" s="1"/>
      <c r="AD472" s="1"/>
      <c r="AE472" s="1"/>
      <c r="AF472" s="1"/>
      <c r="AG472" s="1"/>
      <c r="AH472" s="1"/>
    </row>
    <row r="473" ht="13.5" customHeight="1">
      <c r="A473" s="1"/>
      <c r="B473" s="1"/>
      <c r="C473" s="3"/>
      <c r="D473" s="1"/>
      <c r="E473" s="1"/>
      <c r="F473" s="1"/>
      <c r="G473" s="1"/>
      <c r="H473" s="1"/>
      <c r="I473" s="1"/>
      <c r="J473" s="1"/>
      <c r="K473" s="2"/>
      <c r="L473" s="1"/>
      <c r="M473" s="3"/>
      <c r="N473" s="3"/>
      <c r="O473" s="4"/>
      <c r="P473" s="4"/>
      <c r="Q473" s="4"/>
      <c r="R473" s="4"/>
      <c r="S473" s="4"/>
      <c r="T473" s="4"/>
      <c r="U473" s="4"/>
      <c r="V473" s="4"/>
      <c r="W473" s="4"/>
      <c r="X473" s="3"/>
      <c r="Y473" s="2"/>
      <c r="Z473" s="2"/>
      <c r="AA473" s="1"/>
      <c r="AB473" s="1"/>
      <c r="AC473" s="1"/>
      <c r="AD473" s="1"/>
      <c r="AE473" s="1"/>
      <c r="AF473" s="1"/>
      <c r="AG473" s="1"/>
      <c r="AH473" s="1"/>
    </row>
    <row r="474" ht="13.5" customHeight="1">
      <c r="A474" s="1"/>
      <c r="B474" s="1"/>
      <c r="C474" s="3"/>
      <c r="D474" s="1"/>
      <c r="E474" s="1"/>
      <c r="F474" s="1"/>
      <c r="G474" s="1"/>
      <c r="H474" s="1"/>
      <c r="I474" s="1"/>
      <c r="J474" s="1"/>
      <c r="K474" s="2"/>
      <c r="L474" s="1"/>
      <c r="M474" s="3"/>
      <c r="N474" s="3"/>
      <c r="O474" s="4"/>
      <c r="P474" s="4"/>
      <c r="Q474" s="4"/>
      <c r="R474" s="4"/>
      <c r="S474" s="4"/>
      <c r="T474" s="4"/>
      <c r="U474" s="4"/>
      <c r="V474" s="4"/>
      <c r="W474" s="4"/>
      <c r="X474" s="3"/>
      <c r="Y474" s="2"/>
      <c r="Z474" s="2"/>
      <c r="AA474" s="1"/>
      <c r="AB474" s="1"/>
      <c r="AC474" s="1"/>
      <c r="AD474" s="1"/>
      <c r="AE474" s="1"/>
      <c r="AF474" s="1"/>
      <c r="AG474" s="1"/>
      <c r="AH474" s="1"/>
    </row>
    <row r="475" ht="13.5" customHeight="1">
      <c r="A475" s="1"/>
      <c r="B475" s="1"/>
      <c r="C475" s="3"/>
      <c r="D475" s="1"/>
      <c r="E475" s="1"/>
      <c r="F475" s="1"/>
      <c r="G475" s="1"/>
      <c r="H475" s="1"/>
      <c r="I475" s="1"/>
      <c r="J475" s="1"/>
      <c r="K475" s="2"/>
      <c r="L475" s="1"/>
      <c r="M475" s="3"/>
      <c r="N475" s="3"/>
      <c r="O475" s="4"/>
      <c r="P475" s="4"/>
      <c r="Q475" s="4"/>
      <c r="R475" s="4"/>
      <c r="S475" s="4"/>
      <c r="T475" s="4"/>
      <c r="U475" s="4"/>
      <c r="V475" s="4"/>
      <c r="W475" s="4"/>
      <c r="X475" s="3"/>
      <c r="Y475" s="2"/>
      <c r="Z475" s="2"/>
      <c r="AA475" s="1"/>
      <c r="AB475" s="1"/>
      <c r="AC475" s="1"/>
      <c r="AD475" s="1"/>
      <c r="AE475" s="1"/>
      <c r="AF475" s="1"/>
      <c r="AG475" s="1"/>
      <c r="AH475" s="1"/>
    </row>
    <row r="476" ht="13.5" customHeight="1">
      <c r="A476" s="1"/>
      <c r="B476" s="1"/>
      <c r="C476" s="3"/>
      <c r="D476" s="1"/>
      <c r="E476" s="1"/>
      <c r="F476" s="1"/>
      <c r="G476" s="1"/>
      <c r="H476" s="1"/>
      <c r="I476" s="1"/>
      <c r="J476" s="1"/>
      <c r="K476" s="2"/>
      <c r="L476" s="1"/>
      <c r="M476" s="3"/>
      <c r="N476" s="3"/>
      <c r="O476" s="4"/>
      <c r="P476" s="4"/>
      <c r="Q476" s="4"/>
      <c r="R476" s="4"/>
      <c r="S476" s="4"/>
      <c r="T476" s="4"/>
      <c r="U476" s="4"/>
      <c r="V476" s="4"/>
      <c r="W476" s="4"/>
      <c r="X476" s="3"/>
      <c r="Y476" s="2"/>
      <c r="Z476" s="2"/>
      <c r="AA476" s="1"/>
      <c r="AB476" s="1"/>
      <c r="AC476" s="1"/>
      <c r="AD476" s="1"/>
      <c r="AE476" s="1"/>
      <c r="AF476" s="1"/>
      <c r="AG476" s="1"/>
      <c r="AH476" s="1"/>
    </row>
    <row r="477" ht="13.5" customHeight="1">
      <c r="A477" s="1"/>
      <c r="B477" s="1"/>
      <c r="C477" s="3"/>
      <c r="D477" s="1"/>
      <c r="E477" s="1"/>
      <c r="F477" s="1"/>
      <c r="G477" s="1"/>
      <c r="H477" s="1"/>
      <c r="I477" s="1"/>
      <c r="J477" s="1"/>
      <c r="K477" s="2"/>
      <c r="L477" s="1"/>
      <c r="M477" s="3"/>
      <c r="N477" s="3"/>
      <c r="O477" s="4"/>
      <c r="P477" s="4"/>
      <c r="Q477" s="4"/>
      <c r="R477" s="4"/>
      <c r="S477" s="4"/>
      <c r="T477" s="4"/>
      <c r="U477" s="4"/>
      <c r="V477" s="4"/>
      <c r="W477" s="4"/>
      <c r="X477" s="3"/>
      <c r="Y477" s="2"/>
      <c r="Z477" s="2"/>
      <c r="AA477" s="1"/>
      <c r="AB477" s="1"/>
      <c r="AC477" s="1"/>
      <c r="AD477" s="1"/>
      <c r="AE477" s="1"/>
      <c r="AF477" s="1"/>
      <c r="AG477" s="1"/>
      <c r="AH477" s="1"/>
    </row>
    <row r="478" ht="13.5" customHeight="1">
      <c r="A478" s="1"/>
      <c r="B478" s="1"/>
      <c r="C478" s="3"/>
      <c r="D478" s="1"/>
      <c r="E478" s="1"/>
      <c r="F478" s="1"/>
      <c r="G478" s="1"/>
      <c r="H478" s="1"/>
      <c r="I478" s="1"/>
      <c r="J478" s="1"/>
      <c r="K478" s="2"/>
      <c r="L478" s="1"/>
      <c r="M478" s="3"/>
      <c r="N478" s="3"/>
      <c r="O478" s="4"/>
      <c r="P478" s="4"/>
      <c r="Q478" s="4"/>
      <c r="R478" s="4"/>
      <c r="S478" s="4"/>
      <c r="T478" s="4"/>
      <c r="U478" s="4"/>
      <c r="V478" s="4"/>
      <c r="W478" s="4"/>
      <c r="X478" s="3"/>
      <c r="Y478" s="2"/>
      <c r="Z478" s="2"/>
      <c r="AA478" s="1"/>
      <c r="AB478" s="1"/>
      <c r="AC478" s="1"/>
      <c r="AD478" s="1"/>
      <c r="AE478" s="1"/>
      <c r="AF478" s="1"/>
      <c r="AG478" s="1"/>
      <c r="AH478" s="1"/>
    </row>
    <row r="479" ht="13.5" customHeight="1">
      <c r="A479" s="1"/>
      <c r="B479" s="1"/>
      <c r="C479" s="3"/>
      <c r="D479" s="1"/>
      <c r="E479" s="1"/>
      <c r="F479" s="1"/>
      <c r="G479" s="1"/>
      <c r="H479" s="1"/>
      <c r="I479" s="1"/>
      <c r="J479" s="1"/>
      <c r="K479" s="2"/>
      <c r="L479" s="1"/>
      <c r="M479" s="3"/>
      <c r="N479" s="3"/>
      <c r="O479" s="4"/>
      <c r="P479" s="4"/>
      <c r="Q479" s="4"/>
      <c r="R479" s="4"/>
      <c r="S479" s="4"/>
      <c r="T479" s="4"/>
      <c r="U479" s="4"/>
      <c r="V479" s="4"/>
      <c r="W479" s="4"/>
      <c r="X479" s="3"/>
      <c r="Y479" s="2"/>
      <c r="Z479" s="2"/>
      <c r="AA479" s="1"/>
      <c r="AB479" s="1"/>
      <c r="AC479" s="1"/>
      <c r="AD479" s="1"/>
      <c r="AE479" s="1"/>
      <c r="AF479" s="1"/>
      <c r="AG479" s="1"/>
      <c r="AH479" s="1"/>
    </row>
    <row r="480" ht="13.5" customHeight="1">
      <c r="A480" s="1"/>
      <c r="B480" s="1"/>
      <c r="C480" s="3"/>
      <c r="D480" s="1"/>
      <c r="E480" s="1"/>
      <c r="F480" s="1"/>
      <c r="G480" s="1"/>
      <c r="H480" s="1"/>
      <c r="I480" s="1"/>
      <c r="J480" s="1"/>
      <c r="K480" s="2"/>
      <c r="L480" s="1"/>
      <c r="M480" s="3"/>
      <c r="N480" s="3"/>
      <c r="O480" s="4"/>
      <c r="P480" s="4"/>
      <c r="Q480" s="4"/>
      <c r="R480" s="4"/>
      <c r="S480" s="4"/>
      <c r="T480" s="4"/>
      <c r="U480" s="4"/>
      <c r="V480" s="4"/>
      <c r="W480" s="4"/>
      <c r="X480" s="3"/>
      <c r="Y480" s="2"/>
      <c r="Z480" s="2"/>
      <c r="AA480" s="1"/>
      <c r="AB480" s="1"/>
      <c r="AC480" s="1"/>
      <c r="AD480" s="1"/>
      <c r="AE480" s="1"/>
      <c r="AF480" s="1"/>
      <c r="AG480" s="1"/>
      <c r="AH480" s="1"/>
    </row>
    <row r="481" ht="13.5" customHeight="1">
      <c r="A481" s="1"/>
      <c r="B481" s="1"/>
      <c r="C481" s="3"/>
      <c r="D481" s="1"/>
      <c r="E481" s="1"/>
      <c r="F481" s="1"/>
      <c r="G481" s="1"/>
      <c r="H481" s="1"/>
      <c r="I481" s="1"/>
      <c r="J481" s="1"/>
      <c r="K481" s="2"/>
      <c r="L481" s="1"/>
      <c r="M481" s="3"/>
      <c r="N481" s="3"/>
      <c r="O481" s="4"/>
      <c r="P481" s="4"/>
      <c r="Q481" s="4"/>
      <c r="R481" s="4"/>
      <c r="S481" s="4"/>
      <c r="T481" s="4"/>
      <c r="U481" s="4"/>
      <c r="V481" s="4"/>
      <c r="W481" s="4"/>
      <c r="X481" s="3"/>
      <c r="Y481" s="2"/>
      <c r="Z481" s="2"/>
      <c r="AA481" s="1"/>
      <c r="AB481" s="1"/>
      <c r="AC481" s="1"/>
      <c r="AD481" s="1"/>
      <c r="AE481" s="1"/>
      <c r="AF481" s="1"/>
      <c r="AG481" s="1"/>
      <c r="AH481" s="1"/>
    </row>
    <row r="482" ht="13.5" customHeight="1">
      <c r="A482" s="1"/>
      <c r="B482" s="1"/>
      <c r="C482" s="3"/>
      <c r="D482" s="1"/>
      <c r="E482" s="1"/>
      <c r="F482" s="1"/>
      <c r="G482" s="1"/>
      <c r="H482" s="1"/>
      <c r="I482" s="1"/>
      <c r="J482" s="1"/>
      <c r="K482" s="2"/>
      <c r="L482" s="1"/>
      <c r="M482" s="3"/>
      <c r="N482" s="3"/>
      <c r="O482" s="4"/>
      <c r="P482" s="4"/>
      <c r="Q482" s="4"/>
      <c r="R482" s="4"/>
      <c r="S482" s="4"/>
      <c r="T482" s="4"/>
      <c r="U482" s="4"/>
      <c r="V482" s="4"/>
      <c r="W482" s="4"/>
      <c r="X482" s="3"/>
      <c r="Y482" s="2"/>
      <c r="Z482" s="2"/>
      <c r="AA482" s="1"/>
      <c r="AB482" s="1"/>
      <c r="AC482" s="1"/>
      <c r="AD482" s="1"/>
      <c r="AE482" s="1"/>
      <c r="AF482" s="1"/>
      <c r="AG482" s="1"/>
      <c r="AH482" s="1"/>
    </row>
    <row r="483" ht="13.5" customHeight="1">
      <c r="A483" s="1"/>
      <c r="B483" s="1"/>
      <c r="C483" s="3"/>
      <c r="D483" s="1"/>
      <c r="E483" s="1"/>
      <c r="F483" s="1"/>
      <c r="G483" s="1"/>
      <c r="H483" s="1"/>
      <c r="I483" s="1"/>
      <c r="J483" s="1"/>
      <c r="K483" s="2"/>
      <c r="L483" s="1"/>
      <c r="M483" s="3"/>
      <c r="N483" s="3"/>
      <c r="O483" s="4"/>
      <c r="P483" s="4"/>
      <c r="Q483" s="4"/>
      <c r="R483" s="4"/>
      <c r="S483" s="4"/>
      <c r="T483" s="4"/>
      <c r="U483" s="4"/>
      <c r="V483" s="4"/>
      <c r="W483" s="4"/>
      <c r="X483" s="3"/>
      <c r="Y483" s="2"/>
      <c r="Z483" s="2"/>
      <c r="AA483" s="1"/>
      <c r="AB483" s="1"/>
      <c r="AC483" s="1"/>
      <c r="AD483" s="1"/>
      <c r="AE483" s="1"/>
      <c r="AF483" s="1"/>
      <c r="AG483" s="1"/>
      <c r="AH483" s="1"/>
    </row>
    <row r="484" ht="13.5" customHeight="1">
      <c r="A484" s="1"/>
      <c r="B484" s="1"/>
      <c r="C484" s="3"/>
      <c r="D484" s="1"/>
      <c r="E484" s="1"/>
      <c r="F484" s="1"/>
      <c r="G484" s="1"/>
      <c r="H484" s="1"/>
      <c r="I484" s="1"/>
      <c r="J484" s="1"/>
      <c r="K484" s="2"/>
      <c r="L484" s="1"/>
      <c r="M484" s="3"/>
      <c r="N484" s="3"/>
      <c r="O484" s="4"/>
      <c r="P484" s="4"/>
      <c r="Q484" s="4"/>
      <c r="R484" s="4"/>
      <c r="S484" s="4"/>
      <c r="T484" s="4"/>
      <c r="U484" s="4"/>
      <c r="V484" s="4"/>
      <c r="W484" s="4"/>
      <c r="X484" s="3"/>
      <c r="Y484" s="2"/>
      <c r="Z484" s="2"/>
      <c r="AA484" s="1"/>
      <c r="AB484" s="1"/>
      <c r="AC484" s="1"/>
      <c r="AD484" s="1"/>
      <c r="AE484" s="1"/>
      <c r="AF484" s="1"/>
      <c r="AG484" s="1"/>
      <c r="AH484" s="1"/>
    </row>
    <row r="485" ht="13.5" customHeight="1">
      <c r="A485" s="1"/>
      <c r="B485" s="1"/>
      <c r="C485" s="3"/>
      <c r="D485" s="1"/>
      <c r="E485" s="1"/>
      <c r="F485" s="1"/>
      <c r="G485" s="1"/>
      <c r="H485" s="1"/>
      <c r="I485" s="1"/>
      <c r="J485" s="1"/>
      <c r="K485" s="2"/>
      <c r="L485" s="1"/>
      <c r="M485" s="3"/>
      <c r="N485" s="3"/>
      <c r="O485" s="4"/>
      <c r="P485" s="4"/>
      <c r="Q485" s="4"/>
      <c r="R485" s="4"/>
      <c r="S485" s="4"/>
      <c r="T485" s="4"/>
      <c r="U485" s="4"/>
      <c r="V485" s="4"/>
      <c r="W485" s="4"/>
      <c r="X485" s="3"/>
      <c r="Y485" s="2"/>
      <c r="Z485" s="2"/>
      <c r="AA485" s="1"/>
      <c r="AB485" s="1"/>
      <c r="AC485" s="1"/>
      <c r="AD485" s="1"/>
      <c r="AE485" s="1"/>
      <c r="AF485" s="1"/>
      <c r="AG485" s="1"/>
      <c r="AH485" s="1"/>
    </row>
    <row r="486" ht="13.5" customHeight="1">
      <c r="A486" s="1"/>
      <c r="B486" s="1"/>
      <c r="C486" s="3"/>
      <c r="D486" s="1"/>
      <c r="E486" s="1"/>
      <c r="F486" s="1"/>
      <c r="G486" s="1"/>
      <c r="H486" s="1"/>
      <c r="I486" s="1"/>
      <c r="J486" s="1"/>
      <c r="K486" s="2"/>
      <c r="L486" s="1"/>
      <c r="M486" s="3"/>
      <c r="N486" s="3"/>
      <c r="O486" s="4"/>
      <c r="P486" s="4"/>
      <c r="Q486" s="4"/>
      <c r="R486" s="4"/>
      <c r="S486" s="4"/>
      <c r="T486" s="4"/>
      <c r="U486" s="4"/>
      <c r="V486" s="4"/>
      <c r="W486" s="4"/>
      <c r="X486" s="3"/>
      <c r="Y486" s="2"/>
      <c r="Z486" s="2"/>
      <c r="AA486" s="1"/>
      <c r="AB486" s="1"/>
      <c r="AC486" s="1"/>
      <c r="AD486" s="1"/>
      <c r="AE486" s="1"/>
      <c r="AF486" s="1"/>
      <c r="AG486" s="1"/>
      <c r="AH486" s="1"/>
    </row>
    <row r="487" ht="13.5" customHeight="1">
      <c r="A487" s="1"/>
      <c r="B487" s="1"/>
      <c r="C487" s="3"/>
      <c r="D487" s="1"/>
      <c r="E487" s="1"/>
      <c r="F487" s="1"/>
      <c r="G487" s="1"/>
      <c r="H487" s="1"/>
      <c r="I487" s="1"/>
      <c r="J487" s="1"/>
      <c r="K487" s="2"/>
      <c r="L487" s="1"/>
      <c r="M487" s="3"/>
      <c r="N487" s="3"/>
      <c r="O487" s="4"/>
      <c r="P487" s="4"/>
      <c r="Q487" s="4"/>
      <c r="R487" s="4"/>
      <c r="S487" s="4"/>
      <c r="T487" s="4"/>
      <c r="U487" s="4"/>
      <c r="V487" s="4"/>
      <c r="W487" s="4"/>
      <c r="X487" s="3"/>
      <c r="Y487" s="2"/>
      <c r="Z487" s="2"/>
      <c r="AA487" s="1"/>
      <c r="AB487" s="1"/>
      <c r="AC487" s="1"/>
      <c r="AD487" s="1"/>
      <c r="AE487" s="1"/>
      <c r="AF487" s="1"/>
      <c r="AG487" s="1"/>
      <c r="AH487" s="1"/>
    </row>
    <row r="488" ht="13.5" customHeight="1">
      <c r="A488" s="1"/>
      <c r="B488" s="1"/>
      <c r="C488" s="3"/>
      <c r="D488" s="1"/>
      <c r="E488" s="1"/>
      <c r="F488" s="1"/>
      <c r="G488" s="1"/>
      <c r="H488" s="1"/>
      <c r="I488" s="1"/>
      <c r="J488" s="1"/>
      <c r="K488" s="2"/>
      <c r="L488" s="1"/>
      <c r="M488" s="3"/>
      <c r="N488" s="3"/>
      <c r="O488" s="4"/>
      <c r="P488" s="4"/>
      <c r="Q488" s="4"/>
      <c r="R488" s="4"/>
      <c r="S488" s="4"/>
      <c r="T488" s="4"/>
      <c r="U488" s="4"/>
      <c r="V488" s="4"/>
      <c r="W488" s="4"/>
      <c r="X488" s="3"/>
      <c r="Y488" s="2"/>
      <c r="Z488" s="2"/>
      <c r="AA488" s="1"/>
      <c r="AB488" s="1"/>
      <c r="AC488" s="1"/>
      <c r="AD488" s="1"/>
      <c r="AE488" s="1"/>
      <c r="AF488" s="1"/>
      <c r="AG488" s="1"/>
      <c r="AH488" s="1"/>
    </row>
    <row r="489" ht="13.5" customHeight="1">
      <c r="A489" s="1"/>
      <c r="B489" s="1"/>
      <c r="C489" s="3"/>
      <c r="D489" s="1"/>
      <c r="E489" s="1"/>
      <c r="F489" s="1"/>
      <c r="G489" s="1"/>
      <c r="H489" s="1"/>
      <c r="I489" s="1"/>
      <c r="J489" s="1"/>
      <c r="K489" s="2"/>
      <c r="L489" s="1"/>
      <c r="M489" s="3"/>
      <c r="N489" s="3"/>
      <c r="O489" s="4"/>
      <c r="P489" s="4"/>
      <c r="Q489" s="4"/>
      <c r="R489" s="4"/>
      <c r="S489" s="4"/>
      <c r="T489" s="4"/>
      <c r="U489" s="4"/>
      <c r="V489" s="4"/>
      <c r="W489" s="4"/>
      <c r="X489" s="3"/>
      <c r="Y489" s="2"/>
      <c r="Z489" s="2"/>
      <c r="AA489" s="1"/>
      <c r="AB489" s="1"/>
      <c r="AC489" s="1"/>
      <c r="AD489" s="1"/>
      <c r="AE489" s="1"/>
      <c r="AF489" s="1"/>
      <c r="AG489" s="1"/>
      <c r="AH489" s="1"/>
    </row>
    <row r="490" ht="13.5" customHeight="1">
      <c r="A490" s="1"/>
      <c r="B490" s="1"/>
      <c r="C490" s="3"/>
      <c r="D490" s="1"/>
      <c r="E490" s="1"/>
      <c r="F490" s="1"/>
      <c r="G490" s="1"/>
      <c r="H490" s="1"/>
      <c r="I490" s="1"/>
      <c r="J490" s="1"/>
      <c r="K490" s="2"/>
      <c r="L490" s="1"/>
      <c r="M490" s="3"/>
      <c r="N490" s="3"/>
      <c r="O490" s="4"/>
      <c r="P490" s="4"/>
      <c r="Q490" s="4"/>
      <c r="R490" s="4"/>
      <c r="S490" s="4"/>
      <c r="T490" s="4"/>
      <c r="U490" s="4"/>
      <c r="V490" s="4"/>
      <c r="W490" s="4"/>
      <c r="X490" s="3"/>
      <c r="Y490" s="2"/>
      <c r="Z490" s="2"/>
      <c r="AA490" s="1"/>
      <c r="AB490" s="1"/>
      <c r="AC490" s="1"/>
      <c r="AD490" s="1"/>
      <c r="AE490" s="1"/>
      <c r="AF490" s="1"/>
      <c r="AG490" s="1"/>
      <c r="AH490" s="1"/>
    </row>
    <row r="491" ht="13.5" customHeight="1">
      <c r="A491" s="1"/>
      <c r="B491" s="1"/>
      <c r="C491" s="3"/>
      <c r="D491" s="1"/>
      <c r="E491" s="1"/>
      <c r="F491" s="1"/>
      <c r="G491" s="1"/>
      <c r="H491" s="1"/>
      <c r="I491" s="1"/>
      <c r="J491" s="1"/>
      <c r="K491" s="2"/>
      <c r="L491" s="1"/>
      <c r="M491" s="3"/>
      <c r="N491" s="3"/>
      <c r="O491" s="4"/>
      <c r="P491" s="4"/>
      <c r="Q491" s="4"/>
      <c r="R491" s="4"/>
      <c r="S491" s="4"/>
      <c r="T491" s="4"/>
      <c r="U491" s="4"/>
      <c r="V491" s="4"/>
      <c r="W491" s="4"/>
      <c r="X491" s="3"/>
      <c r="Y491" s="2"/>
      <c r="Z491" s="2"/>
      <c r="AA491" s="1"/>
      <c r="AB491" s="1"/>
      <c r="AC491" s="1"/>
      <c r="AD491" s="1"/>
      <c r="AE491" s="1"/>
      <c r="AF491" s="1"/>
      <c r="AG491" s="1"/>
      <c r="AH491" s="1"/>
    </row>
    <row r="492" ht="13.5" customHeight="1">
      <c r="A492" s="1"/>
      <c r="B492" s="1"/>
      <c r="C492" s="3"/>
      <c r="D492" s="1"/>
      <c r="E492" s="1"/>
      <c r="F492" s="1"/>
      <c r="G492" s="1"/>
      <c r="H492" s="1"/>
      <c r="I492" s="1"/>
      <c r="J492" s="1"/>
      <c r="K492" s="2"/>
      <c r="L492" s="1"/>
      <c r="M492" s="3"/>
      <c r="N492" s="3"/>
      <c r="O492" s="4"/>
      <c r="P492" s="4"/>
      <c r="Q492" s="4"/>
      <c r="R492" s="4"/>
      <c r="S492" s="4"/>
      <c r="T492" s="4"/>
      <c r="U492" s="4"/>
      <c r="V492" s="4"/>
      <c r="W492" s="4"/>
      <c r="X492" s="3"/>
      <c r="Y492" s="2"/>
      <c r="Z492" s="2"/>
      <c r="AA492" s="1"/>
      <c r="AB492" s="1"/>
      <c r="AC492" s="1"/>
      <c r="AD492" s="1"/>
      <c r="AE492" s="1"/>
      <c r="AF492" s="1"/>
      <c r="AG492" s="1"/>
      <c r="AH492" s="1"/>
    </row>
    <row r="493" ht="13.5" customHeight="1">
      <c r="A493" s="1"/>
      <c r="B493" s="1"/>
      <c r="C493" s="3"/>
      <c r="D493" s="1"/>
      <c r="E493" s="1"/>
      <c r="F493" s="1"/>
      <c r="G493" s="1"/>
      <c r="H493" s="1"/>
      <c r="I493" s="1"/>
      <c r="J493" s="1"/>
      <c r="K493" s="2"/>
      <c r="L493" s="1"/>
      <c r="M493" s="3"/>
      <c r="N493" s="3"/>
      <c r="O493" s="4"/>
      <c r="P493" s="4"/>
      <c r="Q493" s="4"/>
      <c r="R493" s="4"/>
      <c r="S493" s="4"/>
      <c r="T493" s="4"/>
      <c r="U493" s="4"/>
      <c r="V493" s="4"/>
      <c r="W493" s="4"/>
      <c r="X493" s="3"/>
      <c r="Y493" s="2"/>
      <c r="Z493" s="2"/>
      <c r="AA493" s="1"/>
      <c r="AB493" s="1"/>
      <c r="AC493" s="1"/>
      <c r="AD493" s="1"/>
      <c r="AE493" s="1"/>
      <c r="AF493" s="1"/>
      <c r="AG493" s="1"/>
      <c r="AH493" s="1"/>
    </row>
    <row r="494" ht="13.5" customHeight="1">
      <c r="A494" s="1"/>
      <c r="B494" s="1"/>
      <c r="C494" s="3"/>
      <c r="D494" s="1"/>
      <c r="E494" s="1"/>
      <c r="F494" s="1"/>
      <c r="G494" s="1"/>
      <c r="H494" s="1"/>
      <c r="I494" s="1"/>
      <c r="J494" s="1"/>
      <c r="K494" s="2"/>
      <c r="L494" s="1"/>
      <c r="M494" s="3"/>
      <c r="N494" s="3"/>
      <c r="O494" s="4"/>
      <c r="P494" s="4"/>
      <c r="Q494" s="4"/>
      <c r="R494" s="4"/>
      <c r="S494" s="4"/>
      <c r="T494" s="4"/>
      <c r="U494" s="4"/>
      <c r="V494" s="4"/>
      <c r="W494" s="4"/>
      <c r="X494" s="3"/>
      <c r="Y494" s="2"/>
      <c r="Z494" s="2"/>
      <c r="AA494" s="1"/>
      <c r="AB494" s="1"/>
      <c r="AC494" s="1"/>
      <c r="AD494" s="1"/>
      <c r="AE494" s="1"/>
      <c r="AF494" s="1"/>
      <c r="AG494" s="1"/>
      <c r="AH494" s="1"/>
    </row>
    <row r="495" ht="13.5" customHeight="1">
      <c r="A495" s="1"/>
      <c r="B495" s="1"/>
      <c r="C495" s="3"/>
      <c r="D495" s="1"/>
      <c r="E495" s="1"/>
      <c r="F495" s="1"/>
      <c r="G495" s="1"/>
      <c r="H495" s="1"/>
      <c r="I495" s="1"/>
      <c r="J495" s="1"/>
      <c r="K495" s="2"/>
      <c r="L495" s="1"/>
      <c r="M495" s="3"/>
      <c r="N495" s="3"/>
      <c r="O495" s="4"/>
      <c r="P495" s="4"/>
      <c r="Q495" s="4"/>
      <c r="R495" s="4"/>
      <c r="S495" s="4"/>
      <c r="T495" s="4"/>
      <c r="U495" s="4"/>
      <c r="V495" s="4"/>
      <c r="W495" s="4"/>
      <c r="X495" s="3"/>
      <c r="Y495" s="2"/>
      <c r="Z495" s="2"/>
      <c r="AA495" s="1"/>
      <c r="AB495" s="1"/>
      <c r="AC495" s="1"/>
      <c r="AD495" s="1"/>
      <c r="AE495" s="1"/>
      <c r="AF495" s="1"/>
      <c r="AG495" s="1"/>
      <c r="AH495" s="1"/>
    </row>
    <row r="496" ht="13.5" customHeight="1">
      <c r="A496" s="1"/>
      <c r="B496" s="1"/>
      <c r="C496" s="3"/>
      <c r="D496" s="1"/>
      <c r="E496" s="1"/>
      <c r="F496" s="1"/>
      <c r="G496" s="1"/>
      <c r="H496" s="1"/>
      <c r="I496" s="1"/>
      <c r="J496" s="1"/>
      <c r="K496" s="2"/>
      <c r="L496" s="1"/>
      <c r="M496" s="3"/>
      <c r="N496" s="3"/>
      <c r="O496" s="4"/>
      <c r="P496" s="4"/>
      <c r="Q496" s="4"/>
      <c r="R496" s="4"/>
      <c r="S496" s="4"/>
      <c r="T496" s="4"/>
      <c r="U496" s="4"/>
      <c r="V496" s="4"/>
      <c r="W496" s="4"/>
      <c r="X496" s="3"/>
      <c r="Y496" s="2"/>
      <c r="Z496" s="2"/>
      <c r="AA496" s="1"/>
      <c r="AB496" s="1"/>
      <c r="AC496" s="1"/>
      <c r="AD496" s="1"/>
      <c r="AE496" s="1"/>
      <c r="AF496" s="1"/>
      <c r="AG496" s="1"/>
      <c r="AH496" s="1"/>
    </row>
    <row r="497" ht="13.5" customHeight="1">
      <c r="A497" s="1"/>
      <c r="B497" s="1"/>
      <c r="C497" s="3"/>
      <c r="D497" s="1"/>
      <c r="E497" s="1"/>
      <c r="F497" s="1"/>
      <c r="G497" s="1"/>
      <c r="H497" s="1"/>
      <c r="I497" s="1"/>
      <c r="J497" s="1"/>
      <c r="K497" s="2"/>
      <c r="L497" s="1"/>
      <c r="M497" s="3"/>
      <c r="N497" s="3"/>
      <c r="O497" s="4"/>
      <c r="P497" s="4"/>
      <c r="Q497" s="4"/>
      <c r="R497" s="4"/>
      <c r="S497" s="4"/>
      <c r="T497" s="4"/>
      <c r="U497" s="4"/>
      <c r="V497" s="4"/>
      <c r="W497" s="4"/>
      <c r="X497" s="3"/>
      <c r="Y497" s="2"/>
      <c r="Z497" s="2"/>
      <c r="AA497" s="1"/>
      <c r="AB497" s="1"/>
      <c r="AC497" s="1"/>
      <c r="AD497" s="1"/>
      <c r="AE497" s="1"/>
      <c r="AF497" s="1"/>
      <c r="AG497" s="1"/>
      <c r="AH497" s="1"/>
    </row>
    <row r="498" ht="13.5" customHeight="1">
      <c r="A498" s="1"/>
      <c r="B498" s="1"/>
      <c r="C498" s="3"/>
      <c r="D498" s="1"/>
      <c r="E498" s="1"/>
      <c r="F498" s="1"/>
      <c r="G498" s="1"/>
      <c r="H498" s="1"/>
      <c r="I498" s="1"/>
      <c r="J498" s="1"/>
      <c r="K498" s="2"/>
      <c r="L498" s="1"/>
      <c r="M498" s="3"/>
      <c r="N498" s="3"/>
      <c r="O498" s="4"/>
      <c r="P498" s="4"/>
      <c r="Q498" s="4"/>
      <c r="R498" s="4"/>
      <c r="S498" s="4"/>
      <c r="T498" s="4"/>
      <c r="U498" s="4"/>
      <c r="V498" s="4"/>
      <c r="W498" s="4"/>
      <c r="X498" s="3"/>
      <c r="Y498" s="2"/>
      <c r="Z498" s="2"/>
      <c r="AA498" s="1"/>
      <c r="AB498" s="1"/>
      <c r="AC498" s="1"/>
      <c r="AD498" s="1"/>
      <c r="AE498" s="1"/>
      <c r="AF498" s="1"/>
      <c r="AG498" s="1"/>
      <c r="AH498" s="1"/>
    </row>
    <row r="499" ht="13.5" customHeight="1">
      <c r="A499" s="1"/>
      <c r="B499" s="1"/>
      <c r="C499" s="3"/>
      <c r="D499" s="1"/>
      <c r="E499" s="1"/>
      <c r="F499" s="1"/>
      <c r="G499" s="1"/>
      <c r="H499" s="1"/>
      <c r="I499" s="1"/>
      <c r="J499" s="1"/>
      <c r="K499" s="2"/>
      <c r="L499" s="1"/>
      <c r="M499" s="3"/>
      <c r="N499" s="3"/>
      <c r="O499" s="4"/>
      <c r="P499" s="4"/>
      <c r="Q499" s="4"/>
      <c r="R499" s="4"/>
      <c r="S499" s="4"/>
      <c r="T499" s="4"/>
      <c r="U499" s="4"/>
      <c r="V499" s="4"/>
      <c r="W499" s="4"/>
      <c r="X499" s="3"/>
      <c r="Y499" s="2"/>
      <c r="Z499" s="2"/>
      <c r="AA499" s="1"/>
      <c r="AB499" s="1"/>
      <c r="AC499" s="1"/>
      <c r="AD499" s="1"/>
      <c r="AE499" s="1"/>
      <c r="AF499" s="1"/>
      <c r="AG499" s="1"/>
      <c r="AH499" s="1"/>
    </row>
    <row r="500" ht="13.5" customHeight="1">
      <c r="A500" s="1"/>
      <c r="B500" s="1"/>
      <c r="C500" s="3"/>
      <c r="D500" s="1"/>
      <c r="E500" s="1"/>
      <c r="F500" s="1"/>
      <c r="G500" s="1"/>
      <c r="H500" s="1"/>
      <c r="I500" s="1"/>
      <c r="J500" s="1"/>
      <c r="K500" s="2"/>
      <c r="L500" s="1"/>
      <c r="M500" s="3"/>
      <c r="N500" s="3"/>
      <c r="O500" s="4"/>
      <c r="P500" s="4"/>
      <c r="Q500" s="4"/>
      <c r="R500" s="4"/>
      <c r="S500" s="4"/>
      <c r="T500" s="4"/>
      <c r="U500" s="4"/>
      <c r="V500" s="4"/>
      <c r="W500" s="4"/>
      <c r="X500" s="3"/>
      <c r="Y500" s="2"/>
      <c r="Z500" s="2"/>
      <c r="AA500" s="1"/>
      <c r="AB500" s="1"/>
      <c r="AC500" s="1"/>
      <c r="AD500" s="1"/>
      <c r="AE500" s="1"/>
      <c r="AF500" s="1"/>
      <c r="AG500" s="1"/>
      <c r="AH500" s="1"/>
    </row>
    <row r="501" ht="13.5" customHeight="1">
      <c r="A501" s="1"/>
      <c r="B501" s="1"/>
      <c r="C501" s="3"/>
      <c r="D501" s="1"/>
      <c r="E501" s="1"/>
      <c r="F501" s="1"/>
      <c r="G501" s="1"/>
      <c r="H501" s="1"/>
      <c r="I501" s="1"/>
      <c r="J501" s="1"/>
      <c r="K501" s="2"/>
      <c r="L501" s="1"/>
      <c r="M501" s="3"/>
      <c r="N501" s="3"/>
      <c r="O501" s="4"/>
      <c r="P501" s="4"/>
      <c r="Q501" s="4"/>
      <c r="R501" s="4"/>
      <c r="S501" s="4"/>
      <c r="T501" s="4"/>
      <c r="U501" s="4"/>
      <c r="V501" s="4"/>
      <c r="W501" s="4"/>
      <c r="X501" s="3"/>
      <c r="Y501" s="2"/>
      <c r="Z501" s="2"/>
      <c r="AA501" s="1"/>
      <c r="AB501" s="1"/>
      <c r="AC501" s="1"/>
      <c r="AD501" s="1"/>
      <c r="AE501" s="1"/>
      <c r="AF501" s="1"/>
      <c r="AG501" s="1"/>
      <c r="AH501" s="1"/>
    </row>
    <row r="502" ht="13.5" customHeight="1">
      <c r="A502" s="1"/>
      <c r="B502" s="1"/>
      <c r="C502" s="3"/>
      <c r="D502" s="1"/>
      <c r="E502" s="1"/>
      <c r="F502" s="1"/>
      <c r="G502" s="1"/>
      <c r="H502" s="1"/>
      <c r="I502" s="1"/>
      <c r="J502" s="1"/>
      <c r="K502" s="2"/>
      <c r="L502" s="1"/>
      <c r="M502" s="3"/>
      <c r="N502" s="3"/>
      <c r="O502" s="4"/>
      <c r="P502" s="4"/>
      <c r="Q502" s="4"/>
      <c r="R502" s="4"/>
      <c r="S502" s="4"/>
      <c r="T502" s="4"/>
      <c r="U502" s="4"/>
      <c r="V502" s="4"/>
      <c r="W502" s="4"/>
      <c r="X502" s="3"/>
      <c r="Y502" s="2"/>
      <c r="Z502" s="2"/>
      <c r="AA502" s="1"/>
      <c r="AB502" s="1"/>
      <c r="AC502" s="1"/>
      <c r="AD502" s="1"/>
      <c r="AE502" s="1"/>
      <c r="AF502" s="1"/>
      <c r="AG502" s="1"/>
      <c r="AH502" s="1"/>
    </row>
    <row r="503" ht="13.5" customHeight="1">
      <c r="A503" s="1"/>
      <c r="B503" s="1"/>
      <c r="C503" s="3"/>
      <c r="D503" s="1"/>
      <c r="E503" s="1"/>
      <c r="F503" s="1"/>
      <c r="G503" s="1"/>
      <c r="H503" s="1"/>
      <c r="I503" s="1"/>
      <c r="J503" s="1"/>
      <c r="K503" s="2"/>
      <c r="L503" s="1"/>
      <c r="M503" s="3"/>
      <c r="N503" s="3"/>
      <c r="O503" s="4"/>
      <c r="P503" s="4"/>
      <c r="Q503" s="4"/>
      <c r="R503" s="4"/>
      <c r="S503" s="4"/>
      <c r="T503" s="4"/>
      <c r="U503" s="4"/>
      <c r="V503" s="4"/>
      <c r="W503" s="4"/>
      <c r="X503" s="3"/>
      <c r="Y503" s="2"/>
      <c r="Z503" s="2"/>
      <c r="AA503" s="1"/>
      <c r="AB503" s="1"/>
      <c r="AC503" s="1"/>
      <c r="AD503" s="1"/>
      <c r="AE503" s="1"/>
      <c r="AF503" s="1"/>
      <c r="AG503" s="1"/>
      <c r="AH503" s="1"/>
    </row>
    <row r="504" ht="13.5" customHeight="1">
      <c r="A504" s="1"/>
      <c r="B504" s="1"/>
      <c r="C504" s="3"/>
      <c r="D504" s="1"/>
      <c r="E504" s="1"/>
      <c r="F504" s="1"/>
      <c r="G504" s="1"/>
      <c r="H504" s="1"/>
      <c r="I504" s="1"/>
      <c r="J504" s="1"/>
      <c r="K504" s="2"/>
      <c r="L504" s="1"/>
      <c r="M504" s="3"/>
      <c r="N504" s="3"/>
      <c r="O504" s="4"/>
      <c r="P504" s="4"/>
      <c r="Q504" s="4"/>
      <c r="R504" s="4"/>
      <c r="S504" s="4"/>
      <c r="T504" s="4"/>
      <c r="U504" s="4"/>
      <c r="V504" s="4"/>
      <c r="W504" s="4"/>
      <c r="X504" s="3"/>
      <c r="Y504" s="2"/>
      <c r="Z504" s="2"/>
      <c r="AA504" s="1"/>
      <c r="AB504" s="1"/>
      <c r="AC504" s="1"/>
      <c r="AD504" s="1"/>
      <c r="AE504" s="1"/>
      <c r="AF504" s="1"/>
      <c r="AG504" s="1"/>
      <c r="AH504" s="1"/>
    </row>
    <row r="505" ht="13.5" customHeight="1">
      <c r="A505" s="1"/>
      <c r="B505" s="1"/>
      <c r="C505" s="3"/>
      <c r="D505" s="1"/>
      <c r="E505" s="1"/>
      <c r="F505" s="1"/>
      <c r="G505" s="1"/>
      <c r="H505" s="1"/>
      <c r="I505" s="1"/>
      <c r="J505" s="1"/>
      <c r="K505" s="2"/>
      <c r="L505" s="1"/>
      <c r="M505" s="3"/>
      <c r="N505" s="3"/>
      <c r="O505" s="4"/>
      <c r="P505" s="4"/>
      <c r="Q505" s="4"/>
      <c r="R505" s="4"/>
      <c r="S505" s="4"/>
      <c r="T505" s="4"/>
      <c r="U505" s="4"/>
      <c r="V505" s="4"/>
      <c r="W505" s="4"/>
      <c r="X505" s="3"/>
      <c r="Y505" s="2"/>
      <c r="Z505" s="2"/>
      <c r="AA505" s="1"/>
      <c r="AB505" s="1"/>
      <c r="AC505" s="1"/>
      <c r="AD505" s="1"/>
      <c r="AE505" s="1"/>
      <c r="AF505" s="1"/>
      <c r="AG505" s="1"/>
      <c r="AH505" s="1"/>
    </row>
    <row r="506" ht="13.5" customHeight="1">
      <c r="A506" s="1"/>
      <c r="B506" s="1"/>
      <c r="C506" s="3"/>
      <c r="D506" s="1"/>
      <c r="E506" s="1"/>
      <c r="F506" s="1"/>
      <c r="G506" s="1"/>
      <c r="H506" s="1"/>
      <c r="I506" s="1"/>
      <c r="J506" s="1"/>
      <c r="K506" s="2"/>
      <c r="L506" s="1"/>
      <c r="M506" s="3"/>
      <c r="N506" s="3"/>
      <c r="O506" s="4"/>
      <c r="P506" s="4"/>
      <c r="Q506" s="4"/>
      <c r="R506" s="4"/>
      <c r="S506" s="4"/>
      <c r="T506" s="4"/>
      <c r="U506" s="4"/>
      <c r="V506" s="4"/>
      <c r="W506" s="4"/>
      <c r="X506" s="3"/>
      <c r="Y506" s="2"/>
      <c r="Z506" s="2"/>
      <c r="AA506" s="1"/>
      <c r="AB506" s="1"/>
      <c r="AC506" s="1"/>
      <c r="AD506" s="1"/>
      <c r="AE506" s="1"/>
      <c r="AF506" s="1"/>
      <c r="AG506" s="1"/>
      <c r="AH506" s="1"/>
    </row>
    <row r="507" ht="13.5" customHeight="1">
      <c r="A507" s="1"/>
      <c r="B507" s="1"/>
      <c r="C507" s="3"/>
      <c r="D507" s="1"/>
      <c r="E507" s="1"/>
      <c r="F507" s="1"/>
      <c r="G507" s="1"/>
      <c r="H507" s="1"/>
      <c r="I507" s="1"/>
      <c r="J507" s="1"/>
      <c r="K507" s="2"/>
      <c r="L507" s="1"/>
      <c r="M507" s="3"/>
      <c r="N507" s="3"/>
      <c r="O507" s="4"/>
      <c r="P507" s="4"/>
      <c r="Q507" s="4"/>
      <c r="R507" s="4"/>
      <c r="S507" s="4"/>
      <c r="T507" s="4"/>
      <c r="U507" s="4"/>
      <c r="V507" s="4"/>
      <c r="W507" s="4"/>
      <c r="X507" s="3"/>
      <c r="Y507" s="2"/>
      <c r="Z507" s="2"/>
      <c r="AA507" s="1"/>
      <c r="AB507" s="1"/>
      <c r="AC507" s="1"/>
      <c r="AD507" s="1"/>
      <c r="AE507" s="1"/>
      <c r="AF507" s="1"/>
      <c r="AG507" s="1"/>
      <c r="AH507" s="1"/>
    </row>
    <row r="508" ht="13.5" customHeight="1">
      <c r="A508" s="1"/>
      <c r="B508" s="1"/>
      <c r="C508" s="3"/>
      <c r="D508" s="1"/>
      <c r="E508" s="1"/>
      <c r="F508" s="1"/>
      <c r="G508" s="1"/>
      <c r="H508" s="1"/>
      <c r="I508" s="1"/>
      <c r="J508" s="1"/>
      <c r="K508" s="2"/>
      <c r="L508" s="1"/>
      <c r="M508" s="3"/>
      <c r="N508" s="3"/>
      <c r="O508" s="4"/>
      <c r="P508" s="4"/>
      <c r="Q508" s="4"/>
      <c r="R508" s="4"/>
      <c r="S508" s="4"/>
      <c r="T508" s="4"/>
      <c r="U508" s="4"/>
      <c r="V508" s="4"/>
      <c r="W508" s="4"/>
      <c r="X508" s="3"/>
      <c r="Y508" s="2"/>
      <c r="Z508" s="2"/>
      <c r="AA508" s="1"/>
      <c r="AB508" s="1"/>
      <c r="AC508" s="1"/>
      <c r="AD508" s="1"/>
      <c r="AE508" s="1"/>
      <c r="AF508" s="1"/>
      <c r="AG508" s="1"/>
      <c r="AH508" s="1"/>
    </row>
    <row r="509" ht="13.5" customHeight="1">
      <c r="A509" s="1"/>
      <c r="B509" s="1"/>
      <c r="C509" s="3"/>
      <c r="D509" s="1"/>
      <c r="E509" s="1"/>
      <c r="F509" s="1"/>
      <c r="G509" s="1"/>
      <c r="H509" s="1"/>
      <c r="I509" s="1"/>
      <c r="J509" s="1"/>
      <c r="K509" s="2"/>
      <c r="L509" s="1"/>
      <c r="M509" s="3"/>
      <c r="N509" s="3"/>
      <c r="O509" s="4"/>
      <c r="P509" s="4"/>
      <c r="Q509" s="4"/>
      <c r="R509" s="4"/>
      <c r="S509" s="4"/>
      <c r="T509" s="4"/>
      <c r="U509" s="4"/>
      <c r="V509" s="4"/>
      <c r="W509" s="4"/>
      <c r="X509" s="3"/>
      <c r="Y509" s="2"/>
      <c r="Z509" s="2"/>
      <c r="AA509" s="1"/>
      <c r="AB509" s="1"/>
      <c r="AC509" s="1"/>
      <c r="AD509" s="1"/>
      <c r="AE509" s="1"/>
      <c r="AF509" s="1"/>
      <c r="AG509" s="1"/>
      <c r="AH509" s="1"/>
    </row>
    <row r="510" ht="13.5" customHeight="1">
      <c r="A510" s="1"/>
      <c r="B510" s="1"/>
      <c r="C510" s="3"/>
      <c r="D510" s="1"/>
      <c r="E510" s="1"/>
      <c r="F510" s="1"/>
      <c r="G510" s="1"/>
      <c r="H510" s="1"/>
      <c r="I510" s="1"/>
      <c r="J510" s="1"/>
      <c r="K510" s="2"/>
      <c r="L510" s="1"/>
      <c r="M510" s="3"/>
      <c r="N510" s="3"/>
      <c r="O510" s="4"/>
      <c r="P510" s="4"/>
      <c r="Q510" s="4"/>
      <c r="R510" s="4"/>
      <c r="S510" s="4"/>
      <c r="T510" s="4"/>
      <c r="U510" s="4"/>
      <c r="V510" s="4"/>
      <c r="W510" s="4"/>
      <c r="X510" s="3"/>
      <c r="Y510" s="2"/>
      <c r="Z510" s="2"/>
      <c r="AA510" s="1"/>
      <c r="AB510" s="1"/>
      <c r="AC510" s="1"/>
      <c r="AD510" s="1"/>
      <c r="AE510" s="1"/>
      <c r="AF510" s="1"/>
      <c r="AG510" s="1"/>
      <c r="AH510" s="1"/>
    </row>
    <row r="511" ht="13.5" customHeight="1">
      <c r="A511" s="1"/>
      <c r="B511" s="1"/>
      <c r="C511" s="3"/>
      <c r="D511" s="1"/>
      <c r="E511" s="1"/>
      <c r="F511" s="1"/>
      <c r="G511" s="1"/>
      <c r="H511" s="1"/>
      <c r="I511" s="1"/>
      <c r="J511" s="1"/>
      <c r="K511" s="2"/>
      <c r="L511" s="1"/>
      <c r="M511" s="3"/>
      <c r="N511" s="3"/>
      <c r="O511" s="4"/>
      <c r="P511" s="4"/>
      <c r="Q511" s="4"/>
      <c r="R511" s="4"/>
      <c r="S511" s="4"/>
      <c r="T511" s="4"/>
      <c r="U511" s="4"/>
      <c r="V511" s="4"/>
      <c r="W511" s="4"/>
      <c r="X511" s="3"/>
      <c r="Y511" s="2"/>
      <c r="Z511" s="2"/>
      <c r="AA511" s="1"/>
      <c r="AB511" s="1"/>
      <c r="AC511" s="1"/>
      <c r="AD511" s="1"/>
      <c r="AE511" s="1"/>
      <c r="AF511" s="1"/>
      <c r="AG511" s="1"/>
      <c r="AH511" s="1"/>
    </row>
    <row r="512" ht="13.5" customHeight="1">
      <c r="A512" s="1"/>
      <c r="B512" s="1"/>
      <c r="C512" s="3"/>
      <c r="D512" s="1"/>
      <c r="E512" s="1"/>
      <c r="F512" s="1"/>
      <c r="G512" s="1"/>
      <c r="H512" s="1"/>
      <c r="I512" s="1"/>
      <c r="J512" s="1"/>
      <c r="K512" s="2"/>
      <c r="L512" s="1"/>
      <c r="M512" s="3"/>
      <c r="N512" s="3"/>
      <c r="O512" s="4"/>
      <c r="P512" s="4"/>
      <c r="Q512" s="4"/>
      <c r="R512" s="4"/>
      <c r="S512" s="4"/>
      <c r="T512" s="4"/>
      <c r="U512" s="4"/>
      <c r="V512" s="4"/>
      <c r="W512" s="4"/>
      <c r="X512" s="3"/>
      <c r="Y512" s="2"/>
      <c r="Z512" s="2"/>
      <c r="AA512" s="1"/>
      <c r="AB512" s="1"/>
      <c r="AC512" s="1"/>
      <c r="AD512" s="1"/>
      <c r="AE512" s="1"/>
      <c r="AF512" s="1"/>
      <c r="AG512" s="1"/>
      <c r="AH512" s="1"/>
    </row>
    <row r="513" ht="13.5" customHeight="1">
      <c r="A513" s="1"/>
      <c r="B513" s="1"/>
      <c r="C513" s="3"/>
      <c r="D513" s="1"/>
      <c r="E513" s="1"/>
      <c r="F513" s="1"/>
      <c r="G513" s="1"/>
      <c r="H513" s="1"/>
      <c r="I513" s="1"/>
      <c r="J513" s="1"/>
      <c r="K513" s="2"/>
      <c r="L513" s="1"/>
      <c r="M513" s="3"/>
      <c r="N513" s="3"/>
      <c r="O513" s="4"/>
      <c r="P513" s="4"/>
      <c r="Q513" s="4"/>
      <c r="R513" s="4"/>
      <c r="S513" s="4"/>
      <c r="T513" s="4"/>
      <c r="U513" s="4"/>
      <c r="V513" s="4"/>
      <c r="W513" s="4"/>
      <c r="X513" s="3"/>
      <c r="Y513" s="2"/>
      <c r="Z513" s="2"/>
      <c r="AA513" s="1"/>
      <c r="AB513" s="1"/>
      <c r="AC513" s="1"/>
      <c r="AD513" s="1"/>
      <c r="AE513" s="1"/>
      <c r="AF513" s="1"/>
      <c r="AG513" s="1"/>
      <c r="AH513" s="1"/>
    </row>
    <row r="514" ht="13.5" customHeight="1">
      <c r="A514" s="1"/>
      <c r="B514" s="1"/>
      <c r="C514" s="3"/>
      <c r="D514" s="1"/>
      <c r="E514" s="1"/>
      <c r="F514" s="1"/>
      <c r="G514" s="1"/>
      <c r="H514" s="1"/>
      <c r="I514" s="1"/>
      <c r="J514" s="1"/>
      <c r="K514" s="2"/>
      <c r="L514" s="1"/>
      <c r="M514" s="3"/>
      <c r="N514" s="3"/>
      <c r="O514" s="4"/>
      <c r="P514" s="4"/>
      <c r="Q514" s="4"/>
      <c r="R514" s="4"/>
      <c r="S514" s="4"/>
      <c r="T514" s="4"/>
      <c r="U514" s="4"/>
      <c r="V514" s="4"/>
      <c r="W514" s="4"/>
      <c r="X514" s="3"/>
      <c r="Y514" s="2"/>
      <c r="Z514" s="2"/>
      <c r="AA514" s="1"/>
      <c r="AB514" s="1"/>
      <c r="AC514" s="1"/>
      <c r="AD514" s="1"/>
      <c r="AE514" s="1"/>
      <c r="AF514" s="1"/>
      <c r="AG514" s="1"/>
      <c r="AH514" s="1"/>
    </row>
    <row r="515" ht="13.5" customHeight="1">
      <c r="A515" s="1"/>
      <c r="B515" s="1"/>
      <c r="C515" s="3"/>
      <c r="D515" s="1"/>
      <c r="E515" s="1"/>
      <c r="F515" s="1"/>
      <c r="G515" s="1"/>
      <c r="H515" s="1"/>
      <c r="I515" s="1"/>
      <c r="J515" s="1"/>
      <c r="K515" s="2"/>
      <c r="L515" s="1"/>
      <c r="M515" s="3"/>
      <c r="N515" s="3"/>
      <c r="O515" s="4"/>
      <c r="P515" s="4"/>
      <c r="Q515" s="4"/>
      <c r="R515" s="4"/>
      <c r="S515" s="4"/>
      <c r="T515" s="4"/>
      <c r="U515" s="4"/>
      <c r="V515" s="4"/>
      <c r="W515" s="4"/>
      <c r="X515" s="3"/>
      <c r="Y515" s="2"/>
      <c r="Z515" s="2"/>
      <c r="AA515" s="1"/>
      <c r="AB515" s="1"/>
      <c r="AC515" s="1"/>
      <c r="AD515" s="1"/>
      <c r="AE515" s="1"/>
      <c r="AF515" s="1"/>
      <c r="AG515" s="1"/>
      <c r="AH515" s="1"/>
    </row>
    <row r="516" ht="13.5" customHeight="1">
      <c r="A516" s="1"/>
      <c r="B516" s="1"/>
      <c r="C516" s="3"/>
      <c r="D516" s="1"/>
      <c r="E516" s="1"/>
      <c r="F516" s="1"/>
      <c r="G516" s="1"/>
      <c r="H516" s="1"/>
      <c r="I516" s="1"/>
      <c r="J516" s="1"/>
      <c r="K516" s="2"/>
      <c r="L516" s="1"/>
      <c r="M516" s="3"/>
      <c r="N516" s="3"/>
      <c r="O516" s="4"/>
      <c r="P516" s="4"/>
      <c r="Q516" s="4"/>
      <c r="R516" s="4"/>
      <c r="S516" s="4"/>
      <c r="T516" s="4"/>
      <c r="U516" s="4"/>
      <c r="V516" s="4"/>
      <c r="W516" s="4"/>
      <c r="X516" s="3"/>
      <c r="Y516" s="2"/>
      <c r="Z516" s="2"/>
      <c r="AA516" s="1"/>
      <c r="AB516" s="1"/>
      <c r="AC516" s="1"/>
      <c r="AD516" s="1"/>
      <c r="AE516" s="1"/>
      <c r="AF516" s="1"/>
      <c r="AG516" s="1"/>
      <c r="AH516" s="1"/>
    </row>
    <row r="517" ht="13.5" customHeight="1">
      <c r="A517" s="1"/>
      <c r="B517" s="1"/>
      <c r="C517" s="3"/>
      <c r="D517" s="1"/>
      <c r="E517" s="1"/>
      <c r="F517" s="1"/>
      <c r="G517" s="1"/>
      <c r="H517" s="1"/>
      <c r="I517" s="1"/>
      <c r="J517" s="1"/>
      <c r="K517" s="2"/>
      <c r="L517" s="1"/>
      <c r="M517" s="3"/>
      <c r="N517" s="3"/>
      <c r="O517" s="4"/>
      <c r="P517" s="4"/>
      <c r="Q517" s="4"/>
      <c r="R517" s="4"/>
      <c r="S517" s="4"/>
      <c r="T517" s="4"/>
      <c r="U517" s="4"/>
      <c r="V517" s="4"/>
      <c r="W517" s="4"/>
      <c r="X517" s="3"/>
      <c r="Y517" s="2"/>
      <c r="Z517" s="2"/>
      <c r="AA517" s="1"/>
      <c r="AB517" s="1"/>
      <c r="AC517" s="1"/>
      <c r="AD517" s="1"/>
      <c r="AE517" s="1"/>
      <c r="AF517" s="1"/>
      <c r="AG517" s="1"/>
      <c r="AH517" s="1"/>
    </row>
    <row r="518" ht="13.5" customHeight="1">
      <c r="A518" s="1"/>
      <c r="B518" s="1"/>
      <c r="C518" s="3"/>
      <c r="D518" s="1"/>
      <c r="E518" s="1"/>
      <c r="F518" s="1"/>
      <c r="G518" s="1"/>
      <c r="H518" s="1"/>
      <c r="I518" s="1"/>
      <c r="J518" s="1"/>
      <c r="K518" s="2"/>
      <c r="L518" s="1"/>
      <c r="M518" s="3"/>
      <c r="N518" s="3"/>
      <c r="O518" s="4"/>
      <c r="P518" s="4"/>
      <c r="Q518" s="4"/>
      <c r="R518" s="4"/>
      <c r="S518" s="4"/>
      <c r="T518" s="4"/>
      <c r="U518" s="4"/>
      <c r="V518" s="4"/>
      <c r="W518" s="4"/>
      <c r="X518" s="3"/>
      <c r="Y518" s="2"/>
      <c r="Z518" s="2"/>
      <c r="AA518" s="1"/>
      <c r="AB518" s="1"/>
      <c r="AC518" s="1"/>
      <c r="AD518" s="1"/>
      <c r="AE518" s="1"/>
      <c r="AF518" s="1"/>
      <c r="AG518" s="1"/>
      <c r="AH518" s="1"/>
    </row>
    <row r="519" ht="13.5" customHeight="1">
      <c r="A519" s="1"/>
      <c r="B519" s="1"/>
      <c r="C519" s="3"/>
      <c r="D519" s="1"/>
      <c r="E519" s="1"/>
      <c r="F519" s="1"/>
      <c r="G519" s="1"/>
      <c r="H519" s="1"/>
      <c r="I519" s="1"/>
      <c r="J519" s="1"/>
      <c r="K519" s="2"/>
      <c r="L519" s="1"/>
      <c r="M519" s="3"/>
      <c r="N519" s="3"/>
      <c r="O519" s="4"/>
      <c r="P519" s="4"/>
      <c r="Q519" s="4"/>
      <c r="R519" s="4"/>
      <c r="S519" s="4"/>
      <c r="T519" s="4"/>
      <c r="U519" s="4"/>
      <c r="V519" s="4"/>
      <c r="W519" s="4"/>
      <c r="X519" s="3"/>
      <c r="Y519" s="2"/>
      <c r="Z519" s="2"/>
      <c r="AA519" s="1"/>
      <c r="AB519" s="1"/>
      <c r="AC519" s="1"/>
      <c r="AD519" s="1"/>
      <c r="AE519" s="1"/>
      <c r="AF519" s="1"/>
      <c r="AG519" s="1"/>
      <c r="AH519" s="1"/>
    </row>
    <row r="520" ht="13.5" customHeight="1">
      <c r="A520" s="1"/>
      <c r="B520" s="1"/>
      <c r="C520" s="3"/>
      <c r="D520" s="1"/>
      <c r="E520" s="1"/>
      <c r="F520" s="1"/>
      <c r="G520" s="1"/>
      <c r="H520" s="1"/>
      <c r="I520" s="1"/>
      <c r="J520" s="1"/>
      <c r="K520" s="2"/>
      <c r="L520" s="1"/>
      <c r="M520" s="3"/>
      <c r="N520" s="3"/>
      <c r="O520" s="4"/>
      <c r="P520" s="4"/>
      <c r="Q520" s="4"/>
      <c r="R520" s="4"/>
      <c r="S520" s="4"/>
      <c r="T520" s="4"/>
      <c r="U520" s="4"/>
      <c r="V520" s="4"/>
      <c r="W520" s="4"/>
      <c r="X520" s="3"/>
      <c r="Y520" s="2"/>
      <c r="Z520" s="2"/>
      <c r="AA520" s="1"/>
      <c r="AB520" s="1"/>
      <c r="AC520" s="1"/>
      <c r="AD520" s="1"/>
      <c r="AE520" s="1"/>
      <c r="AF520" s="1"/>
      <c r="AG520" s="1"/>
      <c r="AH520" s="1"/>
    </row>
    <row r="521" ht="13.5" customHeight="1">
      <c r="A521" s="1"/>
      <c r="B521" s="1"/>
      <c r="C521" s="3"/>
      <c r="D521" s="1"/>
      <c r="E521" s="1"/>
      <c r="F521" s="1"/>
      <c r="G521" s="1"/>
      <c r="H521" s="1"/>
      <c r="I521" s="1"/>
      <c r="J521" s="1"/>
      <c r="K521" s="2"/>
      <c r="L521" s="1"/>
      <c r="M521" s="3"/>
      <c r="N521" s="3"/>
      <c r="O521" s="4"/>
      <c r="P521" s="4"/>
      <c r="Q521" s="4"/>
      <c r="R521" s="4"/>
      <c r="S521" s="4"/>
      <c r="T521" s="4"/>
      <c r="U521" s="4"/>
      <c r="V521" s="4"/>
      <c r="W521" s="4"/>
      <c r="X521" s="3"/>
      <c r="Y521" s="2"/>
      <c r="Z521" s="2"/>
      <c r="AA521" s="1"/>
      <c r="AB521" s="1"/>
      <c r="AC521" s="1"/>
      <c r="AD521" s="1"/>
      <c r="AE521" s="1"/>
      <c r="AF521" s="1"/>
      <c r="AG521" s="1"/>
      <c r="AH521" s="1"/>
    </row>
    <row r="522" ht="13.5" customHeight="1">
      <c r="A522" s="1"/>
      <c r="B522" s="1"/>
      <c r="C522" s="3"/>
      <c r="D522" s="1"/>
      <c r="E522" s="1"/>
      <c r="F522" s="1"/>
      <c r="G522" s="1"/>
      <c r="H522" s="1"/>
      <c r="I522" s="1"/>
      <c r="J522" s="1"/>
      <c r="K522" s="2"/>
      <c r="L522" s="1"/>
      <c r="M522" s="3"/>
      <c r="N522" s="3"/>
      <c r="O522" s="4"/>
      <c r="P522" s="4"/>
      <c r="Q522" s="4"/>
      <c r="R522" s="4"/>
      <c r="S522" s="4"/>
      <c r="T522" s="4"/>
      <c r="U522" s="4"/>
      <c r="V522" s="4"/>
      <c r="W522" s="4"/>
      <c r="X522" s="3"/>
      <c r="Y522" s="2"/>
      <c r="Z522" s="2"/>
      <c r="AA522" s="1"/>
      <c r="AB522" s="1"/>
      <c r="AC522" s="1"/>
      <c r="AD522" s="1"/>
      <c r="AE522" s="1"/>
      <c r="AF522" s="1"/>
      <c r="AG522" s="1"/>
      <c r="AH522" s="1"/>
    </row>
    <row r="523" ht="13.5" customHeight="1">
      <c r="A523" s="1"/>
      <c r="B523" s="1"/>
      <c r="C523" s="3"/>
      <c r="D523" s="1"/>
      <c r="E523" s="1"/>
      <c r="F523" s="1"/>
      <c r="G523" s="1"/>
      <c r="H523" s="1"/>
      <c r="I523" s="1"/>
      <c r="J523" s="1"/>
      <c r="K523" s="2"/>
      <c r="L523" s="1"/>
      <c r="M523" s="3"/>
      <c r="N523" s="3"/>
      <c r="O523" s="4"/>
      <c r="P523" s="4"/>
      <c r="Q523" s="4"/>
      <c r="R523" s="4"/>
      <c r="S523" s="4"/>
      <c r="T523" s="4"/>
      <c r="U523" s="4"/>
      <c r="V523" s="4"/>
      <c r="W523" s="4"/>
      <c r="X523" s="3"/>
      <c r="Y523" s="2"/>
      <c r="Z523" s="2"/>
      <c r="AA523" s="1"/>
      <c r="AB523" s="1"/>
      <c r="AC523" s="1"/>
      <c r="AD523" s="1"/>
      <c r="AE523" s="1"/>
      <c r="AF523" s="1"/>
      <c r="AG523" s="1"/>
      <c r="AH523" s="1"/>
    </row>
    <row r="524" ht="13.5" customHeight="1">
      <c r="A524" s="1"/>
      <c r="B524" s="1"/>
      <c r="C524" s="3"/>
      <c r="D524" s="1"/>
      <c r="E524" s="1"/>
      <c r="F524" s="1"/>
      <c r="G524" s="1"/>
      <c r="H524" s="1"/>
      <c r="I524" s="1"/>
      <c r="J524" s="1"/>
      <c r="K524" s="2"/>
      <c r="L524" s="1"/>
      <c r="M524" s="3"/>
      <c r="N524" s="3"/>
      <c r="O524" s="4"/>
      <c r="P524" s="4"/>
      <c r="Q524" s="4"/>
      <c r="R524" s="4"/>
      <c r="S524" s="4"/>
      <c r="T524" s="4"/>
      <c r="U524" s="4"/>
      <c r="V524" s="4"/>
      <c r="W524" s="4"/>
      <c r="X524" s="3"/>
      <c r="Y524" s="2"/>
      <c r="Z524" s="2"/>
      <c r="AA524" s="1"/>
      <c r="AB524" s="1"/>
      <c r="AC524" s="1"/>
      <c r="AD524" s="1"/>
      <c r="AE524" s="1"/>
      <c r="AF524" s="1"/>
      <c r="AG524" s="1"/>
      <c r="AH524" s="1"/>
    </row>
    <row r="525" ht="13.5" customHeight="1">
      <c r="A525" s="1"/>
      <c r="B525" s="1"/>
      <c r="C525" s="3"/>
      <c r="D525" s="1"/>
      <c r="E525" s="1"/>
      <c r="F525" s="1"/>
      <c r="G525" s="1"/>
      <c r="H525" s="1"/>
      <c r="I525" s="1"/>
      <c r="J525" s="1"/>
      <c r="K525" s="2"/>
      <c r="L525" s="1"/>
      <c r="M525" s="3"/>
      <c r="N525" s="3"/>
      <c r="O525" s="4"/>
      <c r="P525" s="4"/>
      <c r="Q525" s="4"/>
      <c r="R525" s="4"/>
      <c r="S525" s="4"/>
      <c r="T525" s="4"/>
      <c r="U525" s="4"/>
      <c r="V525" s="4"/>
      <c r="W525" s="4"/>
      <c r="X525" s="3"/>
      <c r="Y525" s="2"/>
      <c r="Z525" s="2"/>
      <c r="AA525" s="1"/>
      <c r="AB525" s="1"/>
      <c r="AC525" s="1"/>
      <c r="AD525" s="1"/>
      <c r="AE525" s="1"/>
      <c r="AF525" s="1"/>
      <c r="AG525" s="1"/>
      <c r="AH525" s="1"/>
    </row>
    <row r="526" ht="13.5" customHeight="1">
      <c r="A526" s="1"/>
      <c r="B526" s="1"/>
      <c r="C526" s="3"/>
      <c r="D526" s="1"/>
      <c r="E526" s="1"/>
      <c r="F526" s="1"/>
      <c r="G526" s="1"/>
      <c r="H526" s="1"/>
      <c r="I526" s="1"/>
      <c r="J526" s="1"/>
      <c r="K526" s="2"/>
      <c r="L526" s="1"/>
      <c r="M526" s="3"/>
      <c r="N526" s="3"/>
      <c r="O526" s="4"/>
      <c r="P526" s="4"/>
      <c r="Q526" s="4"/>
      <c r="R526" s="4"/>
      <c r="S526" s="4"/>
      <c r="T526" s="4"/>
      <c r="U526" s="4"/>
      <c r="V526" s="4"/>
      <c r="W526" s="4"/>
      <c r="X526" s="3"/>
      <c r="Y526" s="2"/>
      <c r="Z526" s="2"/>
      <c r="AA526" s="1"/>
      <c r="AB526" s="1"/>
      <c r="AC526" s="1"/>
      <c r="AD526" s="1"/>
      <c r="AE526" s="1"/>
      <c r="AF526" s="1"/>
      <c r="AG526" s="1"/>
      <c r="AH526" s="1"/>
    </row>
    <row r="527" ht="13.5" customHeight="1">
      <c r="A527" s="1"/>
      <c r="B527" s="1"/>
      <c r="C527" s="3"/>
      <c r="D527" s="1"/>
      <c r="E527" s="1"/>
      <c r="F527" s="1"/>
      <c r="G527" s="1"/>
      <c r="H527" s="1"/>
      <c r="I527" s="1"/>
      <c r="J527" s="1"/>
      <c r="K527" s="2"/>
      <c r="L527" s="1"/>
      <c r="M527" s="3"/>
      <c r="N527" s="3"/>
      <c r="O527" s="4"/>
      <c r="P527" s="4"/>
      <c r="Q527" s="4"/>
      <c r="R527" s="4"/>
      <c r="S527" s="4"/>
      <c r="T527" s="4"/>
      <c r="U527" s="4"/>
      <c r="V527" s="4"/>
      <c r="W527" s="4"/>
      <c r="X527" s="3"/>
      <c r="Y527" s="2"/>
      <c r="Z527" s="2"/>
      <c r="AA527" s="1"/>
      <c r="AB527" s="1"/>
      <c r="AC527" s="1"/>
      <c r="AD527" s="1"/>
      <c r="AE527" s="1"/>
      <c r="AF527" s="1"/>
      <c r="AG527" s="1"/>
      <c r="AH527" s="1"/>
    </row>
    <row r="528" ht="13.5" customHeight="1">
      <c r="A528" s="1"/>
      <c r="B528" s="1"/>
      <c r="C528" s="3"/>
      <c r="D528" s="1"/>
      <c r="E528" s="1"/>
      <c r="F528" s="1"/>
      <c r="G528" s="1"/>
      <c r="H528" s="1"/>
      <c r="I528" s="1"/>
      <c r="J528" s="1"/>
      <c r="K528" s="2"/>
      <c r="L528" s="1"/>
      <c r="M528" s="3"/>
      <c r="N528" s="3"/>
      <c r="O528" s="4"/>
      <c r="P528" s="4"/>
      <c r="Q528" s="4"/>
      <c r="R528" s="4"/>
      <c r="S528" s="4"/>
      <c r="T528" s="4"/>
      <c r="U528" s="4"/>
      <c r="V528" s="4"/>
      <c r="W528" s="4"/>
      <c r="X528" s="3"/>
      <c r="Y528" s="2"/>
      <c r="Z528" s="2"/>
      <c r="AA528" s="1"/>
      <c r="AB528" s="1"/>
      <c r="AC528" s="1"/>
      <c r="AD528" s="1"/>
      <c r="AE528" s="1"/>
      <c r="AF528" s="1"/>
      <c r="AG528" s="1"/>
      <c r="AH528" s="1"/>
    </row>
    <row r="529" ht="13.5" customHeight="1">
      <c r="A529" s="1"/>
      <c r="B529" s="1"/>
      <c r="C529" s="3"/>
      <c r="D529" s="1"/>
      <c r="E529" s="1"/>
      <c r="F529" s="1"/>
      <c r="G529" s="1"/>
      <c r="H529" s="1"/>
      <c r="I529" s="1"/>
      <c r="J529" s="1"/>
      <c r="K529" s="2"/>
      <c r="L529" s="1"/>
      <c r="M529" s="3"/>
      <c r="N529" s="3"/>
      <c r="O529" s="4"/>
      <c r="P529" s="4"/>
      <c r="Q529" s="4"/>
      <c r="R529" s="4"/>
      <c r="S529" s="4"/>
      <c r="T529" s="4"/>
      <c r="U529" s="4"/>
      <c r="V529" s="4"/>
      <c r="W529" s="4"/>
      <c r="X529" s="3"/>
      <c r="Y529" s="2"/>
      <c r="Z529" s="2"/>
      <c r="AA529" s="1"/>
      <c r="AB529" s="1"/>
      <c r="AC529" s="1"/>
      <c r="AD529" s="1"/>
      <c r="AE529" s="1"/>
      <c r="AF529" s="1"/>
      <c r="AG529" s="1"/>
      <c r="AH529" s="1"/>
    </row>
    <row r="530" ht="13.5" customHeight="1">
      <c r="A530" s="1"/>
      <c r="B530" s="1"/>
      <c r="C530" s="3"/>
      <c r="D530" s="1"/>
      <c r="E530" s="1"/>
      <c r="F530" s="1"/>
      <c r="G530" s="1"/>
      <c r="H530" s="1"/>
      <c r="I530" s="1"/>
      <c r="J530" s="1"/>
      <c r="K530" s="2"/>
      <c r="L530" s="1"/>
      <c r="M530" s="3"/>
      <c r="N530" s="3"/>
      <c r="O530" s="4"/>
      <c r="P530" s="4"/>
      <c r="Q530" s="4"/>
      <c r="R530" s="4"/>
      <c r="S530" s="4"/>
      <c r="T530" s="4"/>
      <c r="U530" s="4"/>
      <c r="V530" s="4"/>
      <c r="W530" s="4"/>
      <c r="X530" s="3"/>
      <c r="Y530" s="2"/>
      <c r="Z530" s="2"/>
      <c r="AA530" s="1"/>
      <c r="AB530" s="1"/>
      <c r="AC530" s="1"/>
      <c r="AD530" s="1"/>
      <c r="AE530" s="1"/>
      <c r="AF530" s="1"/>
      <c r="AG530" s="1"/>
      <c r="AH530" s="1"/>
    </row>
    <row r="531" ht="13.5" customHeight="1">
      <c r="A531" s="1"/>
      <c r="B531" s="1"/>
      <c r="C531" s="3"/>
      <c r="D531" s="1"/>
      <c r="E531" s="1"/>
      <c r="F531" s="1"/>
      <c r="G531" s="1"/>
      <c r="H531" s="1"/>
      <c r="I531" s="1"/>
      <c r="J531" s="1"/>
      <c r="K531" s="2"/>
      <c r="L531" s="1"/>
      <c r="M531" s="3"/>
      <c r="N531" s="3"/>
      <c r="O531" s="4"/>
      <c r="P531" s="4"/>
      <c r="Q531" s="4"/>
      <c r="R531" s="4"/>
      <c r="S531" s="4"/>
      <c r="T531" s="4"/>
      <c r="U531" s="4"/>
      <c r="V531" s="4"/>
      <c r="W531" s="4"/>
      <c r="X531" s="3"/>
      <c r="Y531" s="2"/>
      <c r="Z531" s="2"/>
      <c r="AA531" s="1"/>
      <c r="AB531" s="1"/>
      <c r="AC531" s="1"/>
      <c r="AD531" s="1"/>
      <c r="AE531" s="1"/>
      <c r="AF531" s="1"/>
      <c r="AG531" s="1"/>
      <c r="AH531" s="1"/>
    </row>
    <row r="532" ht="13.5" customHeight="1">
      <c r="A532" s="1"/>
      <c r="B532" s="1"/>
      <c r="C532" s="3"/>
      <c r="D532" s="1"/>
      <c r="E532" s="1"/>
      <c r="F532" s="1"/>
      <c r="G532" s="1"/>
      <c r="H532" s="1"/>
      <c r="I532" s="1"/>
      <c r="J532" s="1"/>
      <c r="K532" s="2"/>
      <c r="L532" s="1"/>
      <c r="M532" s="3"/>
      <c r="N532" s="3"/>
      <c r="O532" s="4"/>
      <c r="P532" s="4"/>
      <c r="Q532" s="4"/>
      <c r="R532" s="4"/>
      <c r="S532" s="4"/>
      <c r="T532" s="4"/>
      <c r="U532" s="4"/>
      <c r="V532" s="4"/>
      <c r="W532" s="4"/>
      <c r="X532" s="3"/>
      <c r="Y532" s="2"/>
      <c r="Z532" s="2"/>
      <c r="AA532" s="1"/>
      <c r="AB532" s="1"/>
      <c r="AC532" s="1"/>
      <c r="AD532" s="1"/>
      <c r="AE532" s="1"/>
      <c r="AF532" s="1"/>
      <c r="AG532" s="1"/>
      <c r="AH532" s="1"/>
    </row>
    <row r="533" ht="13.5" customHeight="1">
      <c r="A533" s="1"/>
      <c r="B533" s="1"/>
      <c r="C533" s="3"/>
      <c r="D533" s="1"/>
      <c r="E533" s="1"/>
      <c r="F533" s="1"/>
      <c r="G533" s="1"/>
      <c r="H533" s="1"/>
      <c r="I533" s="1"/>
      <c r="J533" s="1"/>
      <c r="K533" s="2"/>
      <c r="L533" s="1"/>
      <c r="M533" s="3"/>
      <c r="N533" s="3"/>
      <c r="O533" s="4"/>
      <c r="P533" s="4"/>
      <c r="Q533" s="4"/>
      <c r="R533" s="4"/>
      <c r="S533" s="4"/>
      <c r="T533" s="4"/>
      <c r="U533" s="4"/>
      <c r="V533" s="4"/>
      <c r="W533" s="4"/>
      <c r="X533" s="3"/>
      <c r="Y533" s="2"/>
      <c r="Z533" s="2"/>
      <c r="AA533" s="1"/>
      <c r="AB533" s="1"/>
      <c r="AC533" s="1"/>
      <c r="AD533" s="1"/>
      <c r="AE533" s="1"/>
      <c r="AF533" s="1"/>
      <c r="AG533" s="1"/>
      <c r="AH533" s="1"/>
    </row>
    <row r="534" ht="13.5" customHeight="1">
      <c r="A534" s="1"/>
      <c r="B534" s="1"/>
      <c r="C534" s="3"/>
      <c r="D534" s="1"/>
      <c r="E534" s="1"/>
      <c r="F534" s="1"/>
      <c r="G534" s="1"/>
      <c r="H534" s="1"/>
      <c r="I534" s="1"/>
      <c r="J534" s="1"/>
      <c r="K534" s="2"/>
      <c r="L534" s="1"/>
      <c r="M534" s="3"/>
      <c r="N534" s="3"/>
      <c r="O534" s="4"/>
      <c r="P534" s="4"/>
      <c r="Q534" s="4"/>
      <c r="R534" s="4"/>
      <c r="S534" s="4"/>
      <c r="T534" s="4"/>
      <c r="U534" s="4"/>
      <c r="V534" s="4"/>
      <c r="W534" s="4"/>
      <c r="X534" s="3"/>
      <c r="Y534" s="2"/>
      <c r="Z534" s="2"/>
      <c r="AA534" s="1"/>
      <c r="AB534" s="1"/>
      <c r="AC534" s="1"/>
      <c r="AD534" s="1"/>
      <c r="AE534" s="1"/>
      <c r="AF534" s="1"/>
      <c r="AG534" s="1"/>
      <c r="AH534" s="1"/>
    </row>
    <row r="535" ht="13.5" customHeight="1">
      <c r="A535" s="1"/>
      <c r="B535" s="1"/>
      <c r="C535" s="3"/>
      <c r="D535" s="1"/>
      <c r="E535" s="1"/>
      <c r="F535" s="1"/>
      <c r="G535" s="1"/>
      <c r="H535" s="1"/>
      <c r="I535" s="1"/>
      <c r="J535" s="1"/>
      <c r="K535" s="2"/>
      <c r="L535" s="1"/>
      <c r="M535" s="3"/>
      <c r="N535" s="3"/>
      <c r="O535" s="4"/>
      <c r="P535" s="4"/>
      <c r="Q535" s="4"/>
      <c r="R535" s="4"/>
      <c r="S535" s="4"/>
      <c r="T535" s="4"/>
      <c r="U535" s="4"/>
      <c r="V535" s="4"/>
      <c r="W535" s="4"/>
      <c r="X535" s="3"/>
      <c r="Y535" s="2"/>
      <c r="Z535" s="2"/>
      <c r="AA535" s="1"/>
      <c r="AB535" s="1"/>
      <c r="AC535" s="1"/>
      <c r="AD535" s="1"/>
      <c r="AE535" s="1"/>
      <c r="AF535" s="1"/>
      <c r="AG535" s="1"/>
      <c r="AH535" s="1"/>
    </row>
    <row r="536" ht="13.5" customHeight="1">
      <c r="A536" s="1"/>
      <c r="B536" s="1"/>
      <c r="C536" s="3"/>
      <c r="D536" s="1"/>
      <c r="E536" s="1"/>
      <c r="F536" s="1"/>
      <c r="G536" s="1"/>
      <c r="H536" s="1"/>
      <c r="I536" s="1"/>
      <c r="J536" s="1"/>
      <c r="K536" s="2"/>
      <c r="L536" s="1"/>
      <c r="M536" s="3"/>
      <c r="N536" s="3"/>
      <c r="O536" s="4"/>
      <c r="P536" s="4"/>
      <c r="Q536" s="4"/>
      <c r="R536" s="4"/>
      <c r="S536" s="4"/>
      <c r="T536" s="4"/>
      <c r="U536" s="4"/>
      <c r="V536" s="4"/>
      <c r="W536" s="4"/>
      <c r="X536" s="3"/>
      <c r="Y536" s="2"/>
      <c r="Z536" s="2"/>
      <c r="AA536" s="1"/>
      <c r="AB536" s="1"/>
      <c r="AC536" s="1"/>
      <c r="AD536" s="1"/>
      <c r="AE536" s="1"/>
      <c r="AF536" s="1"/>
      <c r="AG536" s="1"/>
      <c r="AH536" s="1"/>
    </row>
    <row r="537" ht="13.5" customHeight="1">
      <c r="A537" s="1"/>
      <c r="B537" s="1"/>
      <c r="C537" s="3"/>
      <c r="D537" s="1"/>
      <c r="E537" s="1"/>
      <c r="F537" s="1"/>
      <c r="G537" s="1"/>
      <c r="H537" s="1"/>
      <c r="I537" s="1"/>
      <c r="J537" s="1"/>
      <c r="K537" s="2"/>
      <c r="L537" s="1"/>
      <c r="M537" s="3"/>
      <c r="N537" s="3"/>
      <c r="O537" s="4"/>
      <c r="P537" s="4"/>
      <c r="Q537" s="4"/>
      <c r="R537" s="4"/>
      <c r="S537" s="4"/>
      <c r="T537" s="4"/>
      <c r="U537" s="4"/>
      <c r="V537" s="4"/>
      <c r="W537" s="4"/>
      <c r="X537" s="3"/>
      <c r="Y537" s="2"/>
      <c r="Z537" s="2"/>
      <c r="AA537" s="1"/>
      <c r="AB537" s="1"/>
      <c r="AC537" s="1"/>
      <c r="AD537" s="1"/>
      <c r="AE537" s="1"/>
      <c r="AF537" s="1"/>
      <c r="AG537" s="1"/>
      <c r="AH537" s="1"/>
    </row>
    <row r="538" ht="13.5" customHeight="1">
      <c r="A538" s="1"/>
      <c r="B538" s="1"/>
      <c r="C538" s="3"/>
      <c r="D538" s="1"/>
      <c r="E538" s="1"/>
      <c r="F538" s="1"/>
      <c r="G538" s="1"/>
      <c r="H538" s="1"/>
      <c r="I538" s="1"/>
      <c r="J538" s="1"/>
      <c r="K538" s="2"/>
      <c r="L538" s="1"/>
      <c r="M538" s="3"/>
      <c r="N538" s="3"/>
      <c r="O538" s="4"/>
      <c r="P538" s="4"/>
      <c r="Q538" s="4"/>
      <c r="R538" s="4"/>
      <c r="S538" s="4"/>
      <c r="T538" s="4"/>
      <c r="U538" s="4"/>
      <c r="V538" s="4"/>
      <c r="W538" s="4"/>
      <c r="X538" s="3"/>
      <c r="Y538" s="2"/>
      <c r="Z538" s="2"/>
      <c r="AA538" s="1"/>
      <c r="AB538" s="1"/>
      <c r="AC538" s="1"/>
      <c r="AD538" s="1"/>
      <c r="AE538" s="1"/>
      <c r="AF538" s="1"/>
      <c r="AG538" s="1"/>
      <c r="AH538" s="1"/>
    </row>
    <row r="539" ht="13.5" customHeight="1">
      <c r="A539" s="1"/>
      <c r="B539" s="1"/>
      <c r="C539" s="3"/>
      <c r="D539" s="1"/>
      <c r="E539" s="1"/>
      <c r="F539" s="1"/>
      <c r="G539" s="1"/>
      <c r="H539" s="1"/>
      <c r="I539" s="1"/>
      <c r="J539" s="1"/>
      <c r="K539" s="2"/>
      <c r="L539" s="1"/>
      <c r="M539" s="3"/>
      <c r="N539" s="3"/>
      <c r="O539" s="4"/>
      <c r="P539" s="4"/>
      <c r="Q539" s="4"/>
      <c r="R539" s="4"/>
      <c r="S539" s="4"/>
      <c r="T539" s="4"/>
      <c r="U539" s="4"/>
      <c r="V539" s="4"/>
      <c r="W539" s="4"/>
      <c r="X539" s="3"/>
      <c r="Y539" s="2"/>
      <c r="Z539" s="2"/>
      <c r="AA539" s="1"/>
      <c r="AB539" s="1"/>
      <c r="AC539" s="1"/>
      <c r="AD539" s="1"/>
      <c r="AE539" s="1"/>
      <c r="AF539" s="1"/>
      <c r="AG539" s="1"/>
      <c r="AH539" s="1"/>
    </row>
    <row r="540" ht="13.5" customHeight="1">
      <c r="A540" s="1"/>
      <c r="B540" s="1"/>
      <c r="C540" s="3"/>
      <c r="D540" s="1"/>
      <c r="E540" s="1"/>
      <c r="F540" s="1"/>
      <c r="G540" s="1"/>
      <c r="H540" s="1"/>
      <c r="I540" s="1"/>
      <c r="J540" s="1"/>
      <c r="K540" s="2"/>
      <c r="L540" s="1"/>
      <c r="M540" s="3"/>
      <c r="N540" s="3"/>
      <c r="O540" s="4"/>
      <c r="P540" s="4"/>
      <c r="Q540" s="4"/>
      <c r="R540" s="4"/>
      <c r="S540" s="4"/>
      <c r="T540" s="4"/>
      <c r="U540" s="4"/>
      <c r="V540" s="4"/>
      <c r="W540" s="4"/>
      <c r="X540" s="3"/>
      <c r="Y540" s="2"/>
      <c r="Z540" s="2"/>
      <c r="AA540" s="1"/>
      <c r="AB540" s="1"/>
      <c r="AC540" s="1"/>
      <c r="AD540" s="1"/>
      <c r="AE540" s="1"/>
      <c r="AF540" s="1"/>
      <c r="AG540" s="1"/>
      <c r="AH540" s="1"/>
    </row>
    <row r="541" ht="13.5" customHeight="1">
      <c r="A541" s="1"/>
      <c r="B541" s="1"/>
      <c r="C541" s="3"/>
      <c r="D541" s="1"/>
      <c r="E541" s="1"/>
      <c r="F541" s="1"/>
      <c r="G541" s="1"/>
      <c r="H541" s="1"/>
      <c r="I541" s="1"/>
      <c r="J541" s="1"/>
      <c r="K541" s="2"/>
      <c r="L541" s="1"/>
      <c r="M541" s="3"/>
      <c r="N541" s="3"/>
      <c r="O541" s="4"/>
      <c r="P541" s="4"/>
      <c r="Q541" s="4"/>
      <c r="R541" s="4"/>
      <c r="S541" s="4"/>
      <c r="T541" s="4"/>
      <c r="U541" s="4"/>
      <c r="V541" s="4"/>
      <c r="W541" s="4"/>
      <c r="X541" s="3"/>
      <c r="Y541" s="2"/>
      <c r="Z541" s="2"/>
      <c r="AA541" s="1"/>
      <c r="AB541" s="1"/>
      <c r="AC541" s="1"/>
      <c r="AD541" s="1"/>
      <c r="AE541" s="1"/>
      <c r="AF541" s="1"/>
      <c r="AG541" s="1"/>
      <c r="AH541" s="1"/>
    </row>
    <row r="542" ht="13.5" customHeight="1">
      <c r="A542" s="1"/>
      <c r="B542" s="1"/>
      <c r="C542" s="3"/>
      <c r="D542" s="1"/>
      <c r="E542" s="1"/>
      <c r="F542" s="1"/>
      <c r="G542" s="1"/>
      <c r="H542" s="1"/>
      <c r="I542" s="1"/>
      <c r="J542" s="1"/>
      <c r="K542" s="2"/>
      <c r="L542" s="1"/>
      <c r="M542" s="3"/>
      <c r="N542" s="3"/>
      <c r="O542" s="4"/>
      <c r="P542" s="4"/>
      <c r="Q542" s="4"/>
      <c r="R542" s="4"/>
      <c r="S542" s="4"/>
      <c r="T542" s="4"/>
      <c r="U542" s="4"/>
      <c r="V542" s="4"/>
      <c r="W542" s="4"/>
      <c r="X542" s="3"/>
      <c r="Y542" s="2"/>
      <c r="Z542" s="2"/>
      <c r="AA542" s="1"/>
      <c r="AB542" s="1"/>
      <c r="AC542" s="1"/>
      <c r="AD542" s="1"/>
      <c r="AE542" s="1"/>
      <c r="AF542" s="1"/>
      <c r="AG542" s="1"/>
      <c r="AH542" s="1"/>
    </row>
    <row r="543" ht="13.5" customHeight="1">
      <c r="A543" s="1"/>
      <c r="B543" s="1"/>
      <c r="C543" s="3"/>
      <c r="D543" s="1"/>
      <c r="E543" s="1"/>
      <c r="F543" s="1"/>
      <c r="G543" s="1"/>
      <c r="H543" s="1"/>
      <c r="I543" s="1"/>
      <c r="J543" s="1"/>
      <c r="K543" s="2"/>
      <c r="L543" s="1"/>
      <c r="M543" s="3"/>
      <c r="N543" s="3"/>
      <c r="O543" s="4"/>
      <c r="P543" s="4"/>
      <c r="Q543" s="4"/>
      <c r="R543" s="4"/>
      <c r="S543" s="4"/>
      <c r="T543" s="4"/>
      <c r="U543" s="4"/>
      <c r="V543" s="4"/>
      <c r="W543" s="4"/>
      <c r="X543" s="3"/>
      <c r="Y543" s="2"/>
      <c r="Z543" s="2"/>
      <c r="AA543" s="1"/>
      <c r="AB543" s="1"/>
      <c r="AC543" s="1"/>
      <c r="AD543" s="1"/>
      <c r="AE543" s="1"/>
      <c r="AF543" s="1"/>
      <c r="AG543" s="1"/>
      <c r="AH543" s="1"/>
    </row>
    <row r="544" ht="13.5" customHeight="1">
      <c r="A544" s="1"/>
      <c r="B544" s="1"/>
      <c r="C544" s="3"/>
      <c r="D544" s="1"/>
      <c r="E544" s="1"/>
      <c r="F544" s="1"/>
      <c r="G544" s="1"/>
      <c r="H544" s="1"/>
      <c r="I544" s="1"/>
      <c r="J544" s="1"/>
      <c r="K544" s="2"/>
      <c r="L544" s="1"/>
      <c r="M544" s="3"/>
      <c r="N544" s="3"/>
      <c r="O544" s="4"/>
      <c r="P544" s="4"/>
      <c r="Q544" s="4"/>
      <c r="R544" s="4"/>
      <c r="S544" s="4"/>
      <c r="T544" s="4"/>
      <c r="U544" s="4"/>
      <c r="V544" s="4"/>
      <c r="W544" s="4"/>
      <c r="X544" s="3"/>
      <c r="Y544" s="2"/>
      <c r="Z544" s="2"/>
      <c r="AA544" s="1"/>
      <c r="AB544" s="1"/>
      <c r="AC544" s="1"/>
      <c r="AD544" s="1"/>
      <c r="AE544" s="1"/>
      <c r="AF544" s="1"/>
      <c r="AG544" s="1"/>
      <c r="AH544" s="1"/>
    </row>
    <row r="545" ht="13.5" customHeight="1">
      <c r="A545" s="1"/>
      <c r="B545" s="1"/>
      <c r="C545" s="3"/>
      <c r="D545" s="1"/>
      <c r="E545" s="1"/>
      <c r="F545" s="1"/>
      <c r="G545" s="1"/>
      <c r="H545" s="1"/>
      <c r="I545" s="1"/>
      <c r="J545" s="1"/>
      <c r="K545" s="2"/>
      <c r="L545" s="1"/>
      <c r="M545" s="3"/>
      <c r="N545" s="3"/>
      <c r="O545" s="4"/>
      <c r="P545" s="4"/>
      <c r="Q545" s="4"/>
      <c r="R545" s="4"/>
      <c r="S545" s="4"/>
      <c r="T545" s="4"/>
      <c r="U545" s="4"/>
      <c r="V545" s="4"/>
      <c r="W545" s="4"/>
      <c r="X545" s="3"/>
      <c r="Y545" s="2"/>
      <c r="Z545" s="2"/>
      <c r="AA545" s="1"/>
      <c r="AB545" s="1"/>
      <c r="AC545" s="1"/>
      <c r="AD545" s="1"/>
      <c r="AE545" s="1"/>
      <c r="AF545" s="1"/>
      <c r="AG545" s="1"/>
      <c r="AH545" s="1"/>
    </row>
    <row r="546" ht="13.5" customHeight="1">
      <c r="A546" s="1"/>
      <c r="B546" s="1"/>
      <c r="C546" s="3"/>
      <c r="D546" s="1"/>
      <c r="E546" s="1"/>
      <c r="F546" s="1"/>
      <c r="G546" s="1"/>
      <c r="H546" s="1"/>
      <c r="I546" s="1"/>
      <c r="J546" s="1"/>
      <c r="K546" s="2"/>
      <c r="L546" s="1"/>
      <c r="M546" s="3"/>
      <c r="N546" s="3"/>
      <c r="O546" s="4"/>
      <c r="P546" s="4"/>
      <c r="Q546" s="4"/>
      <c r="R546" s="4"/>
      <c r="S546" s="4"/>
      <c r="T546" s="4"/>
      <c r="U546" s="4"/>
      <c r="V546" s="4"/>
      <c r="W546" s="4"/>
      <c r="X546" s="3"/>
      <c r="Y546" s="2"/>
      <c r="Z546" s="2"/>
      <c r="AA546" s="1"/>
      <c r="AB546" s="1"/>
      <c r="AC546" s="1"/>
      <c r="AD546" s="1"/>
      <c r="AE546" s="1"/>
      <c r="AF546" s="1"/>
      <c r="AG546" s="1"/>
      <c r="AH546" s="1"/>
    </row>
    <row r="547" ht="13.5" customHeight="1">
      <c r="A547" s="1"/>
      <c r="B547" s="1"/>
      <c r="C547" s="3"/>
      <c r="D547" s="1"/>
      <c r="E547" s="1"/>
      <c r="F547" s="1"/>
      <c r="G547" s="1"/>
      <c r="H547" s="1"/>
      <c r="I547" s="1"/>
      <c r="J547" s="1"/>
      <c r="K547" s="2"/>
      <c r="L547" s="1"/>
      <c r="M547" s="3"/>
      <c r="N547" s="3"/>
      <c r="O547" s="4"/>
      <c r="P547" s="4"/>
      <c r="Q547" s="4"/>
      <c r="R547" s="4"/>
      <c r="S547" s="4"/>
      <c r="T547" s="4"/>
      <c r="U547" s="4"/>
      <c r="V547" s="4"/>
      <c r="W547" s="4"/>
      <c r="X547" s="3"/>
      <c r="Y547" s="2"/>
      <c r="Z547" s="2"/>
      <c r="AA547" s="1"/>
      <c r="AB547" s="1"/>
      <c r="AC547" s="1"/>
      <c r="AD547" s="1"/>
      <c r="AE547" s="1"/>
      <c r="AF547" s="1"/>
      <c r="AG547" s="1"/>
      <c r="AH547" s="1"/>
    </row>
    <row r="548" ht="13.5" customHeight="1">
      <c r="A548" s="1"/>
      <c r="B548" s="1"/>
      <c r="C548" s="3"/>
      <c r="D548" s="1"/>
      <c r="E548" s="1"/>
      <c r="F548" s="1"/>
      <c r="G548" s="1"/>
      <c r="H548" s="1"/>
      <c r="I548" s="1"/>
      <c r="J548" s="1"/>
      <c r="K548" s="2"/>
      <c r="L548" s="1"/>
      <c r="M548" s="3"/>
      <c r="N548" s="3"/>
      <c r="O548" s="4"/>
      <c r="P548" s="4"/>
      <c r="Q548" s="4"/>
      <c r="R548" s="4"/>
      <c r="S548" s="4"/>
      <c r="T548" s="4"/>
      <c r="U548" s="4"/>
      <c r="V548" s="4"/>
      <c r="W548" s="4"/>
      <c r="X548" s="3"/>
      <c r="Y548" s="2"/>
      <c r="Z548" s="2"/>
      <c r="AA548" s="1"/>
      <c r="AB548" s="1"/>
      <c r="AC548" s="1"/>
      <c r="AD548" s="1"/>
      <c r="AE548" s="1"/>
      <c r="AF548" s="1"/>
      <c r="AG548" s="1"/>
      <c r="AH548" s="1"/>
    </row>
    <row r="549" ht="13.5" customHeight="1">
      <c r="A549" s="1"/>
      <c r="B549" s="1"/>
      <c r="C549" s="3"/>
      <c r="D549" s="1"/>
      <c r="E549" s="1"/>
      <c r="F549" s="1"/>
      <c r="G549" s="1"/>
      <c r="H549" s="1"/>
      <c r="I549" s="1"/>
      <c r="J549" s="1"/>
      <c r="K549" s="2"/>
      <c r="L549" s="1"/>
      <c r="M549" s="3"/>
      <c r="N549" s="3"/>
      <c r="O549" s="4"/>
      <c r="P549" s="4"/>
      <c r="Q549" s="4"/>
      <c r="R549" s="4"/>
      <c r="S549" s="4"/>
      <c r="T549" s="4"/>
      <c r="U549" s="4"/>
      <c r="V549" s="4"/>
      <c r="W549" s="4"/>
      <c r="X549" s="3"/>
      <c r="Y549" s="2"/>
      <c r="Z549" s="2"/>
      <c r="AA549" s="1"/>
      <c r="AB549" s="1"/>
      <c r="AC549" s="1"/>
      <c r="AD549" s="1"/>
      <c r="AE549" s="1"/>
      <c r="AF549" s="1"/>
      <c r="AG549" s="1"/>
      <c r="AH549" s="1"/>
    </row>
    <row r="550" ht="13.5" customHeight="1">
      <c r="A550" s="1"/>
      <c r="B550" s="1"/>
      <c r="C550" s="3"/>
      <c r="D550" s="1"/>
      <c r="E550" s="1"/>
      <c r="F550" s="1"/>
      <c r="G550" s="1"/>
      <c r="H550" s="1"/>
      <c r="I550" s="1"/>
      <c r="J550" s="1"/>
      <c r="K550" s="2"/>
      <c r="L550" s="1"/>
      <c r="M550" s="3"/>
      <c r="N550" s="3"/>
      <c r="O550" s="4"/>
      <c r="P550" s="4"/>
      <c r="Q550" s="4"/>
      <c r="R550" s="4"/>
      <c r="S550" s="4"/>
      <c r="T550" s="4"/>
      <c r="U550" s="4"/>
      <c r="V550" s="4"/>
      <c r="W550" s="4"/>
      <c r="X550" s="3"/>
      <c r="Y550" s="2"/>
      <c r="Z550" s="2"/>
      <c r="AA550" s="1"/>
      <c r="AB550" s="1"/>
      <c r="AC550" s="1"/>
      <c r="AD550" s="1"/>
      <c r="AE550" s="1"/>
      <c r="AF550" s="1"/>
      <c r="AG550" s="1"/>
      <c r="AH550" s="1"/>
    </row>
    <row r="551" ht="13.5" customHeight="1">
      <c r="A551" s="1"/>
      <c r="B551" s="1"/>
      <c r="C551" s="3"/>
      <c r="D551" s="1"/>
      <c r="E551" s="1"/>
      <c r="F551" s="1"/>
      <c r="G551" s="1"/>
      <c r="H551" s="1"/>
      <c r="I551" s="1"/>
      <c r="J551" s="1"/>
      <c r="K551" s="2"/>
      <c r="L551" s="1"/>
      <c r="M551" s="3"/>
      <c r="N551" s="3"/>
      <c r="O551" s="4"/>
      <c r="P551" s="4"/>
      <c r="Q551" s="4"/>
      <c r="R551" s="4"/>
      <c r="S551" s="4"/>
      <c r="T551" s="4"/>
      <c r="U551" s="4"/>
      <c r="V551" s="4"/>
      <c r="W551" s="4"/>
      <c r="X551" s="3"/>
      <c r="Y551" s="2"/>
      <c r="Z551" s="2"/>
      <c r="AA551" s="1"/>
      <c r="AB551" s="1"/>
      <c r="AC551" s="1"/>
      <c r="AD551" s="1"/>
      <c r="AE551" s="1"/>
      <c r="AF551" s="1"/>
      <c r="AG551" s="1"/>
      <c r="AH551" s="1"/>
    </row>
    <row r="552" ht="13.5" customHeight="1">
      <c r="A552" s="1"/>
      <c r="B552" s="1"/>
      <c r="C552" s="3"/>
      <c r="D552" s="1"/>
      <c r="E552" s="1"/>
      <c r="F552" s="1"/>
      <c r="G552" s="1"/>
      <c r="H552" s="1"/>
      <c r="I552" s="1"/>
      <c r="J552" s="1"/>
      <c r="K552" s="2"/>
      <c r="L552" s="1"/>
      <c r="M552" s="3"/>
      <c r="N552" s="3"/>
      <c r="O552" s="4"/>
      <c r="P552" s="4"/>
      <c r="Q552" s="4"/>
      <c r="R552" s="4"/>
      <c r="S552" s="4"/>
      <c r="T552" s="4"/>
      <c r="U552" s="4"/>
      <c r="V552" s="4"/>
      <c r="W552" s="4"/>
      <c r="X552" s="3"/>
      <c r="Y552" s="2"/>
      <c r="Z552" s="2"/>
      <c r="AA552" s="1"/>
      <c r="AB552" s="1"/>
      <c r="AC552" s="1"/>
      <c r="AD552" s="1"/>
      <c r="AE552" s="1"/>
      <c r="AF552" s="1"/>
      <c r="AG552" s="1"/>
      <c r="AH552" s="1"/>
    </row>
    <row r="553" ht="13.5" customHeight="1">
      <c r="A553" s="1"/>
      <c r="B553" s="1"/>
      <c r="C553" s="3"/>
      <c r="D553" s="1"/>
      <c r="E553" s="1"/>
      <c r="F553" s="1"/>
      <c r="G553" s="1"/>
      <c r="H553" s="1"/>
      <c r="I553" s="1"/>
      <c r="J553" s="1"/>
      <c r="K553" s="2"/>
      <c r="L553" s="1"/>
      <c r="M553" s="3"/>
      <c r="N553" s="3"/>
      <c r="O553" s="4"/>
      <c r="P553" s="4"/>
      <c r="Q553" s="4"/>
      <c r="R553" s="4"/>
      <c r="S553" s="4"/>
      <c r="T553" s="4"/>
      <c r="U553" s="4"/>
      <c r="V553" s="4"/>
      <c r="W553" s="4"/>
      <c r="X553" s="3"/>
      <c r="Y553" s="2"/>
      <c r="Z553" s="2"/>
      <c r="AA553" s="1"/>
      <c r="AB553" s="1"/>
      <c r="AC553" s="1"/>
      <c r="AD553" s="1"/>
      <c r="AE553" s="1"/>
      <c r="AF553" s="1"/>
      <c r="AG553" s="1"/>
      <c r="AH553" s="1"/>
    </row>
    <row r="554" ht="13.5" customHeight="1">
      <c r="A554" s="1"/>
      <c r="B554" s="1"/>
      <c r="C554" s="3"/>
      <c r="D554" s="1"/>
      <c r="E554" s="1"/>
      <c r="F554" s="1"/>
      <c r="G554" s="1"/>
      <c r="H554" s="1"/>
      <c r="I554" s="1"/>
      <c r="J554" s="1"/>
      <c r="K554" s="2"/>
      <c r="L554" s="1"/>
      <c r="M554" s="3"/>
      <c r="N554" s="3"/>
      <c r="O554" s="4"/>
      <c r="P554" s="4"/>
      <c r="Q554" s="4"/>
      <c r="R554" s="4"/>
      <c r="S554" s="4"/>
      <c r="T554" s="4"/>
      <c r="U554" s="4"/>
      <c r="V554" s="4"/>
      <c r="W554" s="4"/>
      <c r="X554" s="3"/>
      <c r="Y554" s="2"/>
      <c r="Z554" s="2"/>
      <c r="AA554" s="1"/>
      <c r="AB554" s="1"/>
      <c r="AC554" s="1"/>
      <c r="AD554" s="1"/>
      <c r="AE554" s="1"/>
      <c r="AF554" s="1"/>
      <c r="AG554" s="1"/>
      <c r="AH554" s="1"/>
    </row>
    <row r="555" ht="13.5" customHeight="1">
      <c r="A555" s="1"/>
      <c r="B555" s="1"/>
      <c r="C555" s="3"/>
      <c r="D555" s="1"/>
      <c r="E555" s="1"/>
      <c r="F555" s="1"/>
      <c r="G555" s="1"/>
      <c r="H555" s="1"/>
      <c r="I555" s="1"/>
      <c r="J555" s="1"/>
      <c r="K555" s="2"/>
      <c r="L555" s="1"/>
      <c r="M555" s="3"/>
      <c r="N555" s="3"/>
      <c r="O555" s="4"/>
      <c r="P555" s="4"/>
      <c r="Q555" s="4"/>
      <c r="R555" s="4"/>
      <c r="S555" s="4"/>
      <c r="T555" s="4"/>
      <c r="U555" s="4"/>
      <c r="V555" s="4"/>
      <c r="W555" s="4"/>
      <c r="X555" s="3"/>
      <c r="Y555" s="2"/>
      <c r="Z555" s="2"/>
      <c r="AA555" s="1"/>
      <c r="AB555" s="1"/>
      <c r="AC555" s="1"/>
      <c r="AD555" s="1"/>
      <c r="AE555" s="1"/>
      <c r="AF555" s="1"/>
      <c r="AG555" s="1"/>
      <c r="AH555" s="1"/>
    </row>
    <row r="556" ht="13.5" customHeight="1">
      <c r="A556" s="1"/>
      <c r="B556" s="1"/>
      <c r="C556" s="3"/>
      <c r="D556" s="1"/>
      <c r="E556" s="1"/>
      <c r="F556" s="1"/>
      <c r="G556" s="1"/>
      <c r="H556" s="1"/>
      <c r="I556" s="1"/>
      <c r="J556" s="1"/>
      <c r="K556" s="2"/>
      <c r="L556" s="1"/>
      <c r="M556" s="3"/>
      <c r="N556" s="3"/>
      <c r="O556" s="4"/>
      <c r="P556" s="4"/>
      <c r="Q556" s="4"/>
      <c r="R556" s="4"/>
      <c r="S556" s="4"/>
      <c r="T556" s="4"/>
      <c r="U556" s="4"/>
      <c r="V556" s="4"/>
      <c r="W556" s="4"/>
      <c r="X556" s="3"/>
      <c r="Y556" s="2"/>
      <c r="Z556" s="2"/>
      <c r="AA556" s="1"/>
      <c r="AB556" s="1"/>
      <c r="AC556" s="1"/>
      <c r="AD556" s="1"/>
      <c r="AE556" s="1"/>
      <c r="AF556" s="1"/>
      <c r="AG556" s="1"/>
      <c r="AH556" s="1"/>
    </row>
    <row r="557" ht="13.5" customHeight="1">
      <c r="A557" s="1"/>
      <c r="B557" s="1"/>
      <c r="C557" s="3"/>
      <c r="D557" s="1"/>
      <c r="E557" s="1"/>
      <c r="F557" s="1"/>
      <c r="G557" s="1"/>
      <c r="H557" s="1"/>
      <c r="I557" s="1"/>
      <c r="J557" s="1"/>
      <c r="K557" s="2"/>
      <c r="L557" s="1"/>
      <c r="M557" s="3"/>
      <c r="N557" s="3"/>
      <c r="O557" s="4"/>
      <c r="P557" s="4"/>
      <c r="Q557" s="4"/>
      <c r="R557" s="4"/>
      <c r="S557" s="4"/>
      <c r="T557" s="4"/>
      <c r="U557" s="4"/>
      <c r="V557" s="4"/>
      <c r="W557" s="4"/>
      <c r="X557" s="3"/>
      <c r="Y557" s="2"/>
      <c r="Z557" s="2"/>
      <c r="AA557" s="1"/>
      <c r="AB557" s="1"/>
      <c r="AC557" s="1"/>
      <c r="AD557" s="1"/>
      <c r="AE557" s="1"/>
      <c r="AF557" s="1"/>
      <c r="AG557" s="1"/>
      <c r="AH557" s="1"/>
    </row>
    <row r="558" ht="13.5" customHeight="1">
      <c r="A558" s="1"/>
      <c r="B558" s="1"/>
      <c r="C558" s="3"/>
      <c r="D558" s="1"/>
      <c r="E558" s="1"/>
      <c r="F558" s="1"/>
      <c r="G558" s="1"/>
      <c r="H558" s="1"/>
      <c r="I558" s="1"/>
      <c r="J558" s="1"/>
      <c r="K558" s="2"/>
      <c r="L558" s="1"/>
      <c r="M558" s="3"/>
      <c r="N558" s="3"/>
      <c r="O558" s="4"/>
      <c r="P558" s="4"/>
      <c r="Q558" s="4"/>
      <c r="R558" s="4"/>
      <c r="S558" s="4"/>
      <c r="T558" s="4"/>
      <c r="U558" s="4"/>
      <c r="V558" s="4"/>
      <c r="W558" s="4"/>
      <c r="X558" s="3"/>
      <c r="Y558" s="2"/>
      <c r="Z558" s="2"/>
      <c r="AA558" s="1"/>
      <c r="AB558" s="1"/>
      <c r="AC558" s="1"/>
      <c r="AD558" s="1"/>
      <c r="AE558" s="1"/>
      <c r="AF558" s="1"/>
      <c r="AG558" s="1"/>
      <c r="AH558" s="1"/>
    </row>
    <row r="559" ht="13.5" customHeight="1">
      <c r="A559" s="1"/>
      <c r="B559" s="1"/>
      <c r="C559" s="3"/>
      <c r="D559" s="1"/>
      <c r="E559" s="1"/>
      <c r="F559" s="1"/>
      <c r="G559" s="1"/>
      <c r="H559" s="1"/>
      <c r="I559" s="1"/>
      <c r="J559" s="1"/>
      <c r="K559" s="2"/>
      <c r="L559" s="1"/>
      <c r="M559" s="3"/>
      <c r="N559" s="3"/>
      <c r="O559" s="4"/>
      <c r="P559" s="4"/>
      <c r="Q559" s="4"/>
      <c r="R559" s="4"/>
      <c r="S559" s="4"/>
      <c r="T559" s="4"/>
      <c r="U559" s="4"/>
      <c r="V559" s="4"/>
      <c r="W559" s="4"/>
      <c r="X559" s="3"/>
      <c r="Y559" s="2"/>
      <c r="Z559" s="2"/>
      <c r="AA559" s="1"/>
      <c r="AB559" s="1"/>
      <c r="AC559" s="1"/>
      <c r="AD559" s="1"/>
      <c r="AE559" s="1"/>
      <c r="AF559" s="1"/>
      <c r="AG559" s="1"/>
      <c r="AH559" s="1"/>
    </row>
    <row r="560" ht="13.5" customHeight="1">
      <c r="A560" s="1"/>
      <c r="B560" s="1"/>
      <c r="C560" s="3"/>
      <c r="D560" s="1"/>
      <c r="E560" s="1"/>
      <c r="F560" s="1"/>
      <c r="G560" s="1"/>
      <c r="H560" s="1"/>
      <c r="I560" s="1"/>
      <c r="J560" s="1"/>
      <c r="K560" s="2"/>
      <c r="L560" s="1"/>
      <c r="M560" s="3"/>
      <c r="N560" s="3"/>
      <c r="O560" s="4"/>
      <c r="P560" s="4"/>
      <c r="Q560" s="4"/>
      <c r="R560" s="4"/>
      <c r="S560" s="4"/>
      <c r="T560" s="4"/>
      <c r="U560" s="4"/>
      <c r="V560" s="4"/>
      <c r="W560" s="4"/>
      <c r="X560" s="3"/>
      <c r="Y560" s="2"/>
      <c r="Z560" s="2"/>
      <c r="AA560" s="1"/>
      <c r="AB560" s="1"/>
      <c r="AC560" s="1"/>
      <c r="AD560" s="1"/>
      <c r="AE560" s="1"/>
      <c r="AF560" s="1"/>
      <c r="AG560" s="1"/>
      <c r="AH560" s="1"/>
    </row>
    <row r="561" ht="13.5" customHeight="1">
      <c r="A561" s="1"/>
      <c r="B561" s="1"/>
      <c r="C561" s="3"/>
      <c r="D561" s="1"/>
      <c r="E561" s="1"/>
      <c r="F561" s="1"/>
      <c r="G561" s="1"/>
      <c r="H561" s="1"/>
      <c r="I561" s="1"/>
      <c r="J561" s="1"/>
      <c r="K561" s="2"/>
      <c r="L561" s="1"/>
      <c r="M561" s="3"/>
      <c r="N561" s="3"/>
      <c r="O561" s="4"/>
      <c r="P561" s="4"/>
      <c r="Q561" s="4"/>
      <c r="R561" s="4"/>
      <c r="S561" s="4"/>
      <c r="T561" s="4"/>
      <c r="U561" s="4"/>
      <c r="V561" s="4"/>
      <c r="W561" s="4"/>
      <c r="X561" s="3"/>
      <c r="Y561" s="2"/>
      <c r="Z561" s="2"/>
      <c r="AA561" s="1"/>
      <c r="AB561" s="1"/>
      <c r="AC561" s="1"/>
      <c r="AD561" s="1"/>
      <c r="AE561" s="1"/>
      <c r="AF561" s="1"/>
      <c r="AG561" s="1"/>
      <c r="AH561" s="1"/>
    </row>
    <row r="562" ht="13.5" customHeight="1">
      <c r="A562" s="1"/>
      <c r="B562" s="1"/>
      <c r="C562" s="3"/>
      <c r="D562" s="1"/>
      <c r="E562" s="1"/>
      <c r="F562" s="1"/>
      <c r="G562" s="1"/>
      <c r="H562" s="1"/>
      <c r="I562" s="1"/>
      <c r="J562" s="1"/>
      <c r="K562" s="2"/>
      <c r="L562" s="1"/>
      <c r="M562" s="3"/>
      <c r="N562" s="3"/>
      <c r="O562" s="4"/>
      <c r="P562" s="4"/>
      <c r="Q562" s="4"/>
      <c r="R562" s="4"/>
      <c r="S562" s="4"/>
      <c r="T562" s="4"/>
      <c r="U562" s="4"/>
      <c r="V562" s="4"/>
      <c r="W562" s="4"/>
      <c r="X562" s="3"/>
      <c r="Y562" s="2"/>
      <c r="Z562" s="2"/>
      <c r="AA562" s="1"/>
      <c r="AB562" s="1"/>
      <c r="AC562" s="1"/>
      <c r="AD562" s="1"/>
      <c r="AE562" s="1"/>
      <c r="AF562" s="1"/>
      <c r="AG562" s="1"/>
      <c r="AH562" s="1"/>
    </row>
    <row r="563" ht="13.5" customHeight="1">
      <c r="A563" s="1"/>
      <c r="B563" s="1"/>
      <c r="C563" s="3"/>
      <c r="D563" s="1"/>
      <c r="E563" s="1"/>
      <c r="F563" s="1"/>
      <c r="G563" s="1"/>
      <c r="H563" s="1"/>
      <c r="I563" s="1"/>
      <c r="J563" s="1"/>
      <c r="K563" s="2"/>
      <c r="L563" s="1"/>
      <c r="M563" s="3"/>
      <c r="N563" s="3"/>
      <c r="O563" s="4"/>
      <c r="P563" s="4"/>
      <c r="Q563" s="4"/>
      <c r="R563" s="4"/>
      <c r="S563" s="4"/>
      <c r="T563" s="4"/>
      <c r="U563" s="4"/>
      <c r="V563" s="4"/>
      <c r="W563" s="4"/>
      <c r="X563" s="3"/>
      <c r="Y563" s="2"/>
      <c r="Z563" s="2"/>
      <c r="AA563" s="1"/>
      <c r="AB563" s="1"/>
      <c r="AC563" s="1"/>
      <c r="AD563" s="1"/>
      <c r="AE563" s="1"/>
      <c r="AF563" s="1"/>
      <c r="AG563" s="1"/>
      <c r="AH563" s="1"/>
    </row>
    <row r="564" ht="13.5" customHeight="1">
      <c r="A564" s="1"/>
      <c r="B564" s="1"/>
      <c r="C564" s="3"/>
      <c r="D564" s="1"/>
      <c r="E564" s="1"/>
      <c r="F564" s="1"/>
      <c r="G564" s="1"/>
      <c r="H564" s="1"/>
      <c r="I564" s="1"/>
      <c r="J564" s="1"/>
      <c r="K564" s="2"/>
      <c r="L564" s="1"/>
      <c r="M564" s="3"/>
      <c r="N564" s="3"/>
      <c r="O564" s="4"/>
      <c r="P564" s="4"/>
      <c r="Q564" s="4"/>
      <c r="R564" s="4"/>
      <c r="S564" s="4"/>
      <c r="T564" s="4"/>
      <c r="U564" s="4"/>
      <c r="V564" s="4"/>
      <c r="W564" s="4"/>
      <c r="X564" s="3"/>
      <c r="Y564" s="2"/>
      <c r="Z564" s="2"/>
      <c r="AA564" s="1"/>
      <c r="AB564" s="1"/>
      <c r="AC564" s="1"/>
      <c r="AD564" s="1"/>
      <c r="AE564" s="1"/>
      <c r="AF564" s="1"/>
      <c r="AG564" s="1"/>
      <c r="AH564" s="1"/>
    </row>
    <row r="565" ht="13.5" customHeight="1">
      <c r="A565" s="1"/>
      <c r="B565" s="1"/>
      <c r="C565" s="3"/>
      <c r="D565" s="1"/>
      <c r="E565" s="1"/>
      <c r="F565" s="1"/>
      <c r="G565" s="1"/>
      <c r="H565" s="1"/>
      <c r="I565" s="1"/>
      <c r="J565" s="1"/>
      <c r="K565" s="2"/>
      <c r="L565" s="1"/>
      <c r="M565" s="3"/>
      <c r="N565" s="3"/>
      <c r="O565" s="4"/>
      <c r="P565" s="4"/>
      <c r="Q565" s="4"/>
      <c r="R565" s="4"/>
      <c r="S565" s="4"/>
      <c r="T565" s="4"/>
      <c r="U565" s="4"/>
      <c r="V565" s="4"/>
      <c r="W565" s="4"/>
      <c r="X565" s="3"/>
      <c r="Y565" s="2"/>
      <c r="Z565" s="2"/>
      <c r="AA565" s="1"/>
      <c r="AB565" s="1"/>
      <c r="AC565" s="1"/>
      <c r="AD565" s="1"/>
      <c r="AE565" s="1"/>
      <c r="AF565" s="1"/>
      <c r="AG565" s="1"/>
      <c r="AH565" s="1"/>
    </row>
    <row r="566" ht="13.5" customHeight="1">
      <c r="A566" s="1"/>
      <c r="B566" s="1"/>
      <c r="C566" s="3"/>
      <c r="D566" s="1"/>
      <c r="E566" s="1"/>
      <c r="F566" s="1"/>
      <c r="G566" s="1"/>
      <c r="H566" s="1"/>
      <c r="I566" s="1"/>
      <c r="J566" s="1"/>
      <c r="K566" s="2"/>
      <c r="L566" s="1"/>
      <c r="M566" s="3"/>
      <c r="N566" s="3"/>
      <c r="O566" s="4"/>
      <c r="P566" s="4"/>
      <c r="Q566" s="4"/>
      <c r="R566" s="4"/>
      <c r="S566" s="4"/>
      <c r="T566" s="4"/>
      <c r="U566" s="4"/>
      <c r="V566" s="4"/>
      <c r="W566" s="4"/>
      <c r="X566" s="3"/>
      <c r="Y566" s="2"/>
      <c r="Z566" s="2"/>
      <c r="AA566" s="1"/>
      <c r="AB566" s="1"/>
      <c r="AC566" s="1"/>
      <c r="AD566" s="1"/>
      <c r="AE566" s="1"/>
      <c r="AF566" s="1"/>
      <c r="AG566" s="1"/>
      <c r="AH566" s="1"/>
    </row>
    <row r="567" ht="13.5" customHeight="1">
      <c r="A567" s="1"/>
      <c r="B567" s="1"/>
      <c r="C567" s="3"/>
      <c r="D567" s="1"/>
      <c r="E567" s="1"/>
      <c r="F567" s="1"/>
      <c r="G567" s="1"/>
      <c r="H567" s="1"/>
      <c r="I567" s="1"/>
      <c r="J567" s="1"/>
      <c r="K567" s="2"/>
      <c r="L567" s="1"/>
      <c r="M567" s="3"/>
      <c r="N567" s="3"/>
      <c r="O567" s="4"/>
      <c r="P567" s="4"/>
      <c r="Q567" s="4"/>
      <c r="R567" s="4"/>
      <c r="S567" s="4"/>
      <c r="T567" s="4"/>
      <c r="U567" s="4"/>
      <c r="V567" s="4"/>
      <c r="W567" s="4"/>
      <c r="X567" s="3"/>
      <c r="Y567" s="2"/>
      <c r="Z567" s="2"/>
      <c r="AA567" s="1"/>
      <c r="AB567" s="1"/>
      <c r="AC567" s="1"/>
      <c r="AD567" s="1"/>
      <c r="AE567" s="1"/>
      <c r="AF567" s="1"/>
      <c r="AG567" s="1"/>
      <c r="AH567" s="1"/>
    </row>
    <row r="568" ht="13.5" customHeight="1">
      <c r="A568" s="1"/>
      <c r="B568" s="1"/>
      <c r="C568" s="3"/>
      <c r="D568" s="1"/>
      <c r="E568" s="1"/>
      <c r="F568" s="1"/>
      <c r="G568" s="1"/>
      <c r="H568" s="1"/>
      <c r="I568" s="1"/>
      <c r="J568" s="1"/>
      <c r="K568" s="2"/>
      <c r="L568" s="1"/>
      <c r="M568" s="3"/>
      <c r="N568" s="3"/>
      <c r="O568" s="4"/>
      <c r="P568" s="4"/>
      <c r="Q568" s="4"/>
      <c r="R568" s="4"/>
      <c r="S568" s="4"/>
      <c r="T568" s="4"/>
      <c r="U568" s="4"/>
      <c r="V568" s="4"/>
      <c r="W568" s="4"/>
      <c r="X568" s="3"/>
      <c r="Y568" s="2"/>
      <c r="Z568" s="2"/>
      <c r="AA568" s="1"/>
      <c r="AB568" s="1"/>
      <c r="AC568" s="1"/>
      <c r="AD568" s="1"/>
      <c r="AE568" s="1"/>
      <c r="AF568" s="1"/>
      <c r="AG568" s="1"/>
      <c r="AH568" s="1"/>
    </row>
    <row r="569" ht="13.5" customHeight="1">
      <c r="A569" s="1"/>
      <c r="B569" s="1"/>
      <c r="C569" s="3"/>
      <c r="D569" s="1"/>
      <c r="E569" s="1"/>
      <c r="F569" s="1"/>
      <c r="G569" s="1"/>
      <c r="H569" s="1"/>
      <c r="I569" s="1"/>
      <c r="J569" s="1"/>
      <c r="K569" s="2"/>
      <c r="L569" s="1"/>
      <c r="M569" s="3"/>
      <c r="N569" s="3"/>
      <c r="O569" s="4"/>
      <c r="P569" s="4"/>
      <c r="Q569" s="4"/>
      <c r="R569" s="4"/>
      <c r="S569" s="4"/>
      <c r="T569" s="4"/>
      <c r="U569" s="4"/>
      <c r="V569" s="4"/>
      <c r="W569" s="4"/>
      <c r="X569" s="3"/>
      <c r="Y569" s="2"/>
      <c r="Z569" s="2"/>
      <c r="AA569" s="1"/>
      <c r="AB569" s="1"/>
      <c r="AC569" s="1"/>
      <c r="AD569" s="1"/>
      <c r="AE569" s="1"/>
      <c r="AF569" s="1"/>
      <c r="AG569" s="1"/>
      <c r="AH569" s="1"/>
    </row>
    <row r="570" ht="13.5" customHeight="1">
      <c r="A570" s="1"/>
      <c r="B570" s="1"/>
      <c r="C570" s="3"/>
      <c r="D570" s="1"/>
      <c r="E570" s="1"/>
      <c r="F570" s="1"/>
      <c r="G570" s="1"/>
      <c r="H570" s="1"/>
      <c r="I570" s="1"/>
      <c r="J570" s="1"/>
      <c r="K570" s="2"/>
      <c r="L570" s="1"/>
      <c r="M570" s="3"/>
      <c r="N570" s="3"/>
      <c r="O570" s="4"/>
      <c r="P570" s="4"/>
      <c r="Q570" s="4"/>
      <c r="R570" s="4"/>
      <c r="S570" s="4"/>
      <c r="T570" s="4"/>
      <c r="U570" s="4"/>
      <c r="V570" s="4"/>
      <c r="W570" s="4"/>
      <c r="X570" s="3"/>
      <c r="Y570" s="2"/>
      <c r="Z570" s="2"/>
      <c r="AA570" s="1"/>
      <c r="AB570" s="1"/>
      <c r="AC570" s="1"/>
      <c r="AD570" s="1"/>
      <c r="AE570" s="1"/>
      <c r="AF570" s="1"/>
      <c r="AG570" s="1"/>
      <c r="AH570" s="1"/>
    </row>
    <row r="571" ht="13.5" customHeight="1">
      <c r="A571" s="1"/>
      <c r="B571" s="1"/>
      <c r="C571" s="3"/>
      <c r="D571" s="1"/>
      <c r="E571" s="1"/>
      <c r="F571" s="1"/>
      <c r="G571" s="1"/>
      <c r="H571" s="1"/>
      <c r="I571" s="1"/>
      <c r="J571" s="1"/>
      <c r="K571" s="2"/>
      <c r="L571" s="1"/>
      <c r="M571" s="3"/>
      <c r="N571" s="3"/>
      <c r="O571" s="4"/>
      <c r="P571" s="4"/>
      <c r="Q571" s="4"/>
      <c r="R571" s="4"/>
      <c r="S571" s="4"/>
      <c r="T571" s="4"/>
      <c r="U571" s="4"/>
      <c r="V571" s="4"/>
      <c r="W571" s="4"/>
      <c r="X571" s="3"/>
      <c r="Y571" s="2"/>
      <c r="Z571" s="2"/>
      <c r="AA571" s="1"/>
      <c r="AB571" s="1"/>
      <c r="AC571" s="1"/>
      <c r="AD571" s="1"/>
      <c r="AE571" s="1"/>
      <c r="AF571" s="1"/>
      <c r="AG571" s="1"/>
      <c r="AH571" s="1"/>
    </row>
    <row r="572" ht="13.5" customHeight="1">
      <c r="A572" s="1"/>
      <c r="B572" s="1"/>
      <c r="C572" s="3"/>
      <c r="D572" s="1"/>
      <c r="E572" s="1"/>
      <c r="F572" s="1"/>
      <c r="G572" s="1"/>
      <c r="H572" s="1"/>
      <c r="I572" s="1"/>
      <c r="J572" s="1"/>
      <c r="K572" s="2"/>
      <c r="L572" s="1"/>
      <c r="M572" s="3"/>
      <c r="N572" s="3"/>
      <c r="O572" s="4"/>
      <c r="P572" s="4"/>
      <c r="Q572" s="4"/>
      <c r="R572" s="4"/>
      <c r="S572" s="4"/>
      <c r="T572" s="4"/>
      <c r="U572" s="4"/>
      <c r="V572" s="4"/>
      <c r="W572" s="4"/>
      <c r="X572" s="3"/>
      <c r="Y572" s="2"/>
      <c r="Z572" s="2"/>
      <c r="AA572" s="1"/>
      <c r="AB572" s="1"/>
      <c r="AC572" s="1"/>
      <c r="AD572" s="1"/>
      <c r="AE572" s="1"/>
      <c r="AF572" s="1"/>
      <c r="AG572" s="1"/>
      <c r="AH572" s="1"/>
    </row>
    <row r="573" ht="13.5" customHeight="1">
      <c r="A573" s="1"/>
      <c r="B573" s="1"/>
      <c r="C573" s="3"/>
      <c r="D573" s="1"/>
      <c r="E573" s="1"/>
      <c r="F573" s="1"/>
      <c r="G573" s="1"/>
      <c r="H573" s="1"/>
      <c r="I573" s="1"/>
      <c r="J573" s="1"/>
      <c r="K573" s="2"/>
      <c r="L573" s="1"/>
      <c r="M573" s="3"/>
      <c r="N573" s="3"/>
      <c r="O573" s="4"/>
      <c r="P573" s="4"/>
      <c r="Q573" s="4"/>
      <c r="R573" s="4"/>
      <c r="S573" s="4"/>
      <c r="T573" s="4"/>
      <c r="U573" s="4"/>
      <c r="V573" s="4"/>
      <c r="W573" s="4"/>
      <c r="X573" s="3"/>
      <c r="Y573" s="2"/>
      <c r="Z573" s="2"/>
      <c r="AA573" s="1"/>
      <c r="AB573" s="1"/>
      <c r="AC573" s="1"/>
      <c r="AD573" s="1"/>
      <c r="AE573" s="1"/>
      <c r="AF573" s="1"/>
      <c r="AG573" s="1"/>
      <c r="AH573" s="1"/>
    </row>
    <row r="574" ht="13.5" customHeight="1">
      <c r="A574" s="1"/>
      <c r="B574" s="1"/>
      <c r="C574" s="3"/>
      <c r="D574" s="1"/>
      <c r="E574" s="1"/>
      <c r="F574" s="1"/>
      <c r="G574" s="1"/>
      <c r="H574" s="1"/>
      <c r="I574" s="1"/>
      <c r="J574" s="1"/>
      <c r="K574" s="2"/>
      <c r="L574" s="1"/>
      <c r="M574" s="3"/>
      <c r="N574" s="3"/>
      <c r="O574" s="4"/>
      <c r="P574" s="4"/>
      <c r="Q574" s="4"/>
      <c r="R574" s="4"/>
      <c r="S574" s="4"/>
      <c r="T574" s="4"/>
      <c r="U574" s="4"/>
      <c r="V574" s="4"/>
      <c r="W574" s="4"/>
      <c r="X574" s="3"/>
      <c r="Y574" s="2"/>
      <c r="Z574" s="2"/>
      <c r="AA574" s="1"/>
      <c r="AB574" s="1"/>
      <c r="AC574" s="1"/>
      <c r="AD574" s="1"/>
      <c r="AE574" s="1"/>
      <c r="AF574" s="1"/>
      <c r="AG574" s="1"/>
      <c r="AH574" s="1"/>
    </row>
    <row r="575" ht="13.5" customHeight="1">
      <c r="A575" s="1"/>
      <c r="B575" s="1"/>
      <c r="C575" s="3"/>
      <c r="D575" s="1"/>
      <c r="E575" s="1"/>
      <c r="F575" s="1"/>
      <c r="G575" s="1"/>
      <c r="H575" s="1"/>
      <c r="I575" s="1"/>
      <c r="J575" s="1"/>
      <c r="K575" s="2"/>
      <c r="L575" s="1"/>
      <c r="M575" s="3"/>
      <c r="N575" s="3"/>
      <c r="O575" s="4"/>
      <c r="P575" s="4"/>
      <c r="Q575" s="4"/>
      <c r="R575" s="4"/>
      <c r="S575" s="4"/>
      <c r="T575" s="4"/>
      <c r="U575" s="4"/>
      <c r="V575" s="4"/>
      <c r="W575" s="4"/>
      <c r="X575" s="3"/>
      <c r="Y575" s="2"/>
      <c r="Z575" s="2"/>
      <c r="AA575" s="1"/>
      <c r="AB575" s="1"/>
      <c r="AC575" s="1"/>
      <c r="AD575" s="1"/>
      <c r="AE575" s="1"/>
      <c r="AF575" s="1"/>
      <c r="AG575" s="1"/>
      <c r="AH575" s="1"/>
    </row>
    <row r="576" ht="13.5" customHeight="1">
      <c r="A576" s="1"/>
      <c r="B576" s="1"/>
      <c r="C576" s="3"/>
      <c r="D576" s="1"/>
      <c r="E576" s="1"/>
      <c r="F576" s="1"/>
      <c r="G576" s="1"/>
      <c r="H576" s="1"/>
      <c r="I576" s="1"/>
      <c r="J576" s="1"/>
      <c r="K576" s="2"/>
      <c r="L576" s="1"/>
      <c r="M576" s="3"/>
      <c r="N576" s="3"/>
      <c r="O576" s="4"/>
      <c r="P576" s="4"/>
      <c r="Q576" s="4"/>
      <c r="R576" s="4"/>
      <c r="S576" s="4"/>
      <c r="T576" s="4"/>
      <c r="U576" s="4"/>
      <c r="V576" s="4"/>
      <c r="W576" s="4"/>
      <c r="X576" s="3"/>
      <c r="Y576" s="2"/>
      <c r="Z576" s="2"/>
      <c r="AA576" s="1"/>
      <c r="AB576" s="1"/>
      <c r="AC576" s="1"/>
      <c r="AD576" s="1"/>
      <c r="AE576" s="1"/>
      <c r="AF576" s="1"/>
      <c r="AG576" s="1"/>
      <c r="AH576" s="1"/>
    </row>
    <row r="577" ht="13.5" customHeight="1">
      <c r="A577" s="1"/>
      <c r="B577" s="1"/>
      <c r="C577" s="3"/>
      <c r="D577" s="1"/>
      <c r="E577" s="1"/>
      <c r="F577" s="1"/>
      <c r="G577" s="1"/>
      <c r="H577" s="1"/>
      <c r="I577" s="1"/>
      <c r="J577" s="1"/>
      <c r="K577" s="2"/>
      <c r="L577" s="1"/>
      <c r="M577" s="3"/>
      <c r="N577" s="3"/>
      <c r="O577" s="4"/>
      <c r="P577" s="4"/>
      <c r="Q577" s="4"/>
      <c r="R577" s="4"/>
      <c r="S577" s="4"/>
      <c r="T577" s="4"/>
      <c r="U577" s="4"/>
      <c r="V577" s="4"/>
      <c r="W577" s="4"/>
      <c r="X577" s="3"/>
      <c r="Y577" s="2"/>
      <c r="Z577" s="2"/>
      <c r="AA577" s="1"/>
      <c r="AB577" s="1"/>
      <c r="AC577" s="1"/>
      <c r="AD577" s="1"/>
      <c r="AE577" s="1"/>
      <c r="AF577" s="1"/>
      <c r="AG577" s="1"/>
      <c r="AH577" s="1"/>
    </row>
    <row r="578" ht="13.5" customHeight="1">
      <c r="A578" s="1"/>
      <c r="B578" s="1"/>
      <c r="C578" s="3"/>
      <c r="D578" s="1"/>
      <c r="E578" s="1"/>
      <c r="F578" s="1"/>
      <c r="G578" s="1"/>
      <c r="H578" s="1"/>
      <c r="I578" s="1"/>
      <c r="J578" s="1"/>
      <c r="K578" s="2"/>
      <c r="L578" s="1"/>
      <c r="M578" s="3"/>
      <c r="N578" s="3"/>
      <c r="O578" s="4"/>
      <c r="P578" s="4"/>
      <c r="Q578" s="4"/>
      <c r="R578" s="4"/>
      <c r="S578" s="4"/>
      <c r="T578" s="4"/>
      <c r="U578" s="4"/>
      <c r="V578" s="4"/>
      <c r="W578" s="4"/>
      <c r="X578" s="3"/>
      <c r="Y578" s="2"/>
      <c r="Z578" s="2"/>
      <c r="AA578" s="1"/>
      <c r="AB578" s="1"/>
      <c r="AC578" s="1"/>
      <c r="AD578" s="1"/>
      <c r="AE578" s="1"/>
      <c r="AF578" s="1"/>
      <c r="AG578" s="1"/>
      <c r="AH578" s="1"/>
    </row>
    <row r="579" ht="13.5" customHeight="1">
      <c r="A579" s="1"/>
      <c r="B579" s="1"/>
      <c r="C579" s="3"/>
      <c r="D579" s="1"/>
      <c r="E579" s="1"/>
      <c r="F579" s="1"/>
      <c r="G579" s="1"/>
      <c r="H579" s="1"/>
      <c r="I579" s="1"/>
      <c r="J579" s="1"/>
      <c r="K579" s="2"/>
      <c r="L579" s="1"/>
      <c r="M579" s="3"/>
      <c r="N579" s="3"/>
      <c r="O579" s="4"/>
      <c r="P579" s="4"/>
      <c r="Q579" s="4"/>
      <c r="R579" s="4"/>
      <c r="S579" s="4"/>
      <c r="T579" s="4"/>
      <c r="U579" s="4"/>
      <c r="V579" s="4"/>
      <c r="W579" s="4"/>
      <c r="X579" s="3"/>
      <c r="Y579" s="2"/>
      <c r="Z579" s="2"/>
      <c r="AA579" s="1"/>
      <c r="AB579" s="1"/>
      <c r="AC579" s="1"/>
      <c r="AD579" s="1"/>
      <c r="AE579" s="1"/>
      <c r="AF579" s="1"/>
      <c r="AG579" s="1"/>
      <c r="AH579" s="1"/>
    </row>
    <row r="580" ht="13.5" customHeight="1">
      <c r="A580" s="1"/>
      <c r="B580" s="1"/>
      <c r="C580" s="3"/>
      <c r="D580" s="1"/>
      <c r="E580" s="1"/>
      <c r="F580" s="1"/>
      <c r="G580" s="1"/>
      <c r="H580" s="1"/>
      <c r="I580" s="1"/>
      <c r="J580" s="1"/>
      <c r="K580" s="2"/>
      <c r="L580" s="1"/>
      <c r="M580" s="3"/>
      <c r="N580" s="3"/>
      <c r="O580" s="4"/>
      <c r="P580" s="4"/>
      <c r="Q580" s="4"/>
      <c r="R580" s="4"/>
      <c r="S580" s="4"/>
      <c r="T580" s="4"/>
      <c r="U580" s="4"/>
      <c r="V580" s="4"/>
      <c r="W580" s="4"/>
      <c r="X580" s="3"/>
      <c r="Y580" s="2"/>
      <c r="Z580" s="2"/>
      <c r="AA580" s="1"/>
      <c r="AB580" s="1"/>
      <c r="AC580" s="1"/>
      <c r="AD580" s="1"/>
      <c r="AE580" s="1"/>
      <c r="AF580" s="1"/>
      <c r="AG580" s="1"/>
      <c r="AH580" s="1"/>
    </row>
    <row r="581" ht="13.5" customHeight="1">
      <c r="A581" s="1"/>
      <c r="B581" s="1"/>
      <c r="C581" s="3"/>
      <c r="D581" s="1"/>
      <c r="E581" s="1"/>
      <c r="F581" s="1"/>
      <c r="G581" s="1"/>
      <c r="H581" s="1"/>
      <c r="I581" s="1"/>
      <c r="J581" s="1"/>
      <c r="K581" s="2"/>
      <c r="L581" s="1"/>
      <c r="M581" s="3"/>
      <c r="N581" s="3"/>
      <c r="O581" s="4"/>
      <c r="P581" s="4"/>
      <c r="Q581" s="4"/>
      <c r="R581" s="4"/>
      <c r="S581" s="4"/>
      <c r="T581" s="4"/>
      <c r="U581" s="4"/>
      <c r="V581" s="4"/>
      <c r="W581" s="4"/>
      <c r="X581" s="3"/>
      <c r="Y581" s="2"/>
      <c r="Z581" s="2"/>
      <c r="AA581" s="1"/>
      <c r="AB581" s="1"/>
      <c r="AC581" s="1"/>
      <c r="AD581" s="1"/>
      <c r="AE581" s="1"/>
      <c r="AF581" s="1"/>
      <c r="AG581" s="1"/>
      <c r="AH581" s="1"/>
    </row>
    <row r="582" ht="13.5" customHeight="1">
      <c r="A582" s="1"/>
      <c r="B582" s="1"/>
      <c r="C582" s="3"/>
      <c r="D582" s="1"/>
      <c r="E582" s="1"/>
      <c r="F582" s="1"/>
      <c r="G582" s="1"/>
      <c r="H582" s="1"/>
      <c r="I582" s="1"/>
      <c r="J582" s="1"/>
      <c r="K582" s="2"/>
      <c r="L582" s="1"/>
      <c r="M582" s="3"/>
      <c r="N582" s="3"/>
      <c r="O582" s="4"/>
      <c r="P582" s="4"/>
      <c r="Q582" s="4"/>
      <c r="R582" s="4"/>
      <c r="S582" s="4"/>
      <c r="T582" s="4"/>
      <c r="U582" s="4"/>
      <c r="V582" s="4"/>
      <c r="W582" s="4"/>
      <c r="X582" s="3"/>
      <c r="Y582" s="2"/>
      <c r="Z582" s="2"/>
      <c r="AA582" s="1"/>
      <c r="AB582" s="1"/>
      <c r="AC582" s="1"/>
      <c r="AD582" s="1"/>
      <c r="AE582" s="1"/>
      <c r="AF582" s="1"/>
      <c r="AG582" s="1"/>
      <c r="AH582" s="1"/>
    </row>
    <row r="583" ht="13.5" customHeight="1">
      <c r="A583" s="1"/>
      <c r="B583" s="1"/>
      <c r="C583" s="3"/>
      <c r="D583" s="1"/>
      <c r="E583" s="1"/>
      <c r="F583" s="1"/>
      <c r="G583" s="1"/>
      <c r="H583" s="1"/>
      <c r="I583" s="1"/>
      <c r="J583" s="1"/>
      <c r="K583" s="2"/>
      <c r="L583" s="1"/>
      <c r="M583" s="3"/>
      <c r="N583" s="3"/>
      <c r="O583" s="4"/>
      <c r="P583" s="4"/>
      <c r="Q583" s="4"/>
      <c r="R583" s="4"/>
      <c r="S583" s="4"/>
      <c r="T583" s="4"/>
      <c r="U583" s="4"/>
      <c r="V583" s="4"/>
      <c r="W583" s="4"/>
      <c r="X583" s="3"/>
      <c r="Y583" s="2"/>
      <c r="Z583" s="2"/>
      <c r="AA583" s="1"/>
      <c r="AB583" s="1"/>
      <c r="AC583" s="1"/>
      <c r="AD583" s="1"/>
      <c r="AE583" s="1"/>
      <c r="AF583" s="1"/>
      <c r="AG583" s="1"/>
      <c r="AH583" s="1"/>
    </row>
    <row r="584" ht="13.5" customHeight="1">
      <c r="A584" s="1"/>
      <c r="B584" s="1"/>
      <c r="C584" s="3"/>
      <c r="D584" s="1"/>
      <c r="E584" s="1"/>
      <c r="F584" s="1"/>
      <c r="G584" s="1"/>
      <c r="H584" s="1"/>
      <c r="I584" s="1"/>
      <c r="J584" s="1"/>
      <c r="K584" s="2"/>
      <c r="L584" s="1"/>
      <c r="M584" s="3"/>
      <c r="N584" s="3"/>
      <c r="O584" s="4"/>
      <c r="P584" s="4"/>
      <c r="Q584" s="4"/>
      <c r="R584" s="4"/>
      <c r="S584" s="4"/>
      <c r="T584" s="4"/>
      <c r="U584" s="4"/>
      <c r="V584" s="4"/>
      <c r="W584" s="4"/>
      <c r="X584" s="3"/>
      <c r="Y584" s="2"/>
      <c r="Z584" s="2"/>
      <c r="AA584" s="1"/>
      <c r="AB584" s="1"/>
      <c r="AC584" s="1"/>
      <c r="AD584" s="1"/>
      <c r="AE584" s="1"/>
      <c r="AF584" s="1"/>
      <c r="AG584" s="1"/>
      <c r="AH584" s="1"/>
    </row>
    <row r="585" ht="13.5" customHeight="1">
      <c r="A585" s="1"/>
      <c r="B585" s="1"/>
      <c r="C585" s="3"/>
      <c r="D585" s="1"/>
      <c r="E585" s="1"/>
      <c r="F585" s="1"/>
      <c r="G585" s="1"/>
      <c r="H585" s="1"/>
      <c r="I585" s="1"/>
      <c r="J585" s="1"/>
      <c r="K585" s="2"/>
      <c r="L585" s="1"/>
      <c r="M585" s="3"/>
      <c r="N585" s="3"/>
      <c r="O585" s="4"/>
      <c r="P585" s="4"/>
      <c r="Q585" s="4"/>
      <c r="R585" s="4"/>
      <c r="S585" s="4"/>
      <c r="T585" s="4"/>
      <c r="U585" s="4"/>
      <c r="V585" s="4"/>
      <c r="W585" s="4"/>
      <c r="X585" s="3"/>
      <c r="Y585" s="2"/>
      <c r="Z585" s="2"/>
      <c r="AA585" s="1"/>
      <c r="AB585" s="1"/>
      <c r="AC585" s="1"/>
      <c r="AD585" s="1"/>
      <c r="AE585" s="1"/>
      <c r="AF585" s="1"/>
      <c r="AG585" s="1"/>
      <c r="AH585" s="1"/>
    </row>
    <row r="586" ht="13.5" customHeight="1">
      <c r="A586" s="1"/>
      <c r="B586" s="1"/>
      <c r="C586" s="3"/>
      <c r="D586" s="1"/>
      <c r="E586" s="1"/>
      <c r="F586" s="1"/>
      <c r="G586" s="1"/>
      <c r="H586" s="1"/>
      <c r="I586" s="1"/>
      <c r="J586" s="1"/>
      <c r="K586" s="2"/>
      <c r="L586" s="1"/>
      <c r="M586" s="3"/>
      <c r="N586" s="3"/>
      <c r="O586" s="4"/>
      <c r="P586" s="4"/>
      <c r="Q586" s="4"/>
      <c r="R586" s="4"/>
      <c r="S586" s="4"/>
      <c r="T586" s="4"/>
      <c r="U586" s="4"/>
      <c r="V586" s="4"/>
      <c r="W586" s="4"/>
      <c r="X586" s="3"/>
      <c r="Y586" s="2"/>
      <c r="Z586" s="2"/>
      <c r="AA586" s="1"/>
      <c r="AB586" s="1"/>
      <c r="AC586" s="1"/>
      <c r="AD586" s="1"/>
      <c r="AE586" s="1"/>
      <c r="AF586" s="1"/>
      <c r="AG586" s="1"/>
      <c r="AH586" s="1"/>
    </row>
    <row r="587" ht="13.5" customHeight="1">
      <c r="A587" s="1"/>
      <c r="B587" s="1"/>
      <c r="C587" s="3"/>
      <c r="D587" s="1"/>
      <c r="E587" s="1"/>
      <c r="F587" s="1"/>
      <c r="G587" s="1"/>
      <c r="H587" s="1"/>
      <c r="I587" s="1"/>
      <c r="J587" s="1"/>
      <c r="K587" s="2"/>
      <c r="L587" s="1"/>
      <c r="M587" s="3"/>
      <c r="N587" s="3"/>
      <c r="O587" s="4"/>
      <c r="P587" s="4"/>
      <c r="Q587" s="4"/>
      <c r="R587" s="4"/>
      <c r="S587" s="4"/>
      <c r="T587" s="4"/>
      <c r="U587" s="4"/>
      <c r="V587" s="4"/>
      <c r="W587" s="4"/>
      <c r="X587" s="3"/>
      <c r="Y587" s="2"/>
      <c r="Z587" s="2"/>
      <c r="AA587" s="1"/>
      <c r="AB587" s="1"/>
      <c r="AC587" s="1"/>
      <c r="AD587" s="1"/>
      <c r="AE587" s="1"/>
      <c r="AF587" s="1"/>
      <c r="AG587" s="1"/>
      <c r="AH587" s="1"/>
    </row>
    <row r="588" ht="13.5" customHeight="1">
      <c r="A588" s="1"/>
      <c r="B588" s="1"/>
      <c r="C588" s="3"/>
      <c r="D588" s="1"/>
      <c r="E588" s="1"/>
      <c r="F588" s="1"/>
      <c r="G588" s="1"/>
      <c r="H588" s="1"/>
      <c r="I588" s="1"/>
      <c r="J588" s="1"/>
      <c r="K588" s="2"/>
      <c r="L588" s="1"/>
      <c r="M588" s="3"/>
      <c r="N588" s="3"/>
      <c r="O588" s="4"/>
      <c r="P588" s="4"/>
      <c r="Q588" s="4"/>
      <c r="R588" s="4"/>
      <c r="S588" s="4"/>
      <c r="T588" s="4"/>
      <c r="U588" s="4"/>
      <c r="V588" s="4"/>
      <c r="W588" s="4"/>
      <c r="X588" s="3"/>
      <c r="Y588" s="2"/>
      <c r="Z588" s="2"/>
      <c r="AA588" s="1"/>
      <c r="AB588" s="1"/>
      <c r="AC588" s="1"/>
      <c r="AD588" s="1"/>
      <c r="AE588" s="1"/>
      <c r="AF588" s="1"/>
      <c r="AG588" s="1"/>
      <c r="AH588" s="1"/>
    </row>
    <row r="589" ht="13.5" customHeight="1">
      <c r="A589" s="1"/>
      <c r="B589" s="1"/>
      <c r="C589" s="3"/>
      <c r="D589" s="1"/>
      <c r="E589" s="1"/>
      <c r="F589" s="1"/>
      <c r="G589" s="1"/>
      <c r="H589" s="1"/>
      <c r="I589" s="1"/>
      <c r="J589" s="1"/>
      <c r="K589" s="2"/>
      <c r="L589" s="1"/>
      <c r="M589" s="3"/>
      <c r="N589" s="3"/>
      <c r="O589" s="4"/>
      <c r="P589" s="4"/>
      <c r="Q589" s="4"/>
      <c r="R589" s="4"/>
      <c r="S589" s="4"/>
      <c r="T589" s="4"/>
      <c r="U589" s="4"/>
      <c r="V589" s="4"/>
      <c r="W589" s="4"/>
      <c r="X589" s="3"/>
      <c r="Y589" s="2"/>
      <c r="Z589" s="2"/>
      <c r="AA589" s="1"/>
      <c r="AB589" s="1"/>
      <c r="AC589" s="1"/>
      <c r="AD589" s="1"/>
      <c r="AE589" s="1"/>
      <c r="AF589" s="1"/>
      <c r="AG589" s="1"/>
      <c r="AH589" s="1"/>
    </row>
    <row r="590" ht="13.5" customHeight="1">
      <c r="A590" s="1"/>
      <c r="B590" s="1"/>
      <c r="C590" s="3"/>
      <c r="D590" s="1"/>
      <c r="E590" s="1"/>
      <c r="F590" s="1"/>
      <c r="G590" s="1"/>
      <c r="H590" s="1"/>
      <c r="I590" s="1"/>
      <c r="J590" s="1"/>
      <c r="K590" s="2"/>
      <c r="L590" s="1"/>
      <c r="M590" s="3"/>
      <c r="N590" s="3"/>
      <c r="O590" s="4"/>
      <c r="P590" s="4"/>
      <c r="Q590" s="4"/>
      <c r="R590" s="4"/>
      <c r="S590" s="4"/>
      <c r="T590" s="4"/>
      <c r="U590" s="4"/>
      <c r="V590" s="4"/>
      <c r="W590" s="4"/>
      <c r="X590" s="3"/>
      <c r="Y590" s="2"/>
      <c r="Z590" s="2"/>
      <c r="AA590" s="1"/>
      <c r="AB590" s="1"/>
      <c r="AC590" s="1"/>
      <c r="AD590" s="1"/>
      <c r="AE590" s="1"/>
      <c r="AF590" s="1"/>
      <c r="AG590" s="1"/>
      <c r="AH590" s="1"/>
    </row>
    <row r="591" ht="13.5" customHeight="1">
      <c r="A591" s="1"/>
      <c r="B591" s="1"/>
      <c r="C591" s="3"/>
      <c r="D591" s="1"/>
      <c r="E591" s="1"/>
      <c r="F591" s="1"/>
      <c r="G591" s="1"/>
      <c r="H591" s="1"/>
      <c r="I591" s="1"/>
      <c r="J591" s="1"/>
      <c r="K591" s="2"/>
      <c r="L591" s="1"/>
      <c r="M591" s="3"/>
      <c r="N591" s="3"/>
      <c r="O591" s="4"/>
      <c r="P591" s="4"/>
      <c r="Q591" s="4"/>
      <c r="R591" s="4"/>
      <c r="S591" s="4"/>
      <c r="T591" s="4"/>
      <c r="U591" s="4"/>
      <c r="V591" s="4"/>
      <c r="W591" s="4"/>
      <c r="X591" s="3"/>
      <c r="Y591" s="2"/>
      <c r="Z591" s="2"/>
      <c r="AA591" s="1"/>
      <c r="AB591" s="1"/>
      <c r="AC591" s="1"/>
      <c r="AD591" s="1"/>
      <c r="AE591" s="1"/>
      <c r="AF591" s="1"/>
      <c r="AG591" s="1"/>
      <c r="AH591" s="1"/>
    </row>
    <row r="592" ht="13.5" customHeight="1">
      <c r="A592" s="1"/>
      <c r="B592" s="1"/>
      <c r="C592" s="3"/>
      <c r="D592" s="1"/>
      <c r="E592" s="1"/>
      <c r="F592" s="1"/>
      <c r="G592" s="1"/>
      <c r="H592" s="1"/>
      <c r="I592" s="1"/>
      <c r="J592" s="1"/>
      <c r="K592" s="2"/>
      <c r="L592" s="1"/>
      <c r="M592" s="3"/>
      <c r="N592" s="3"/>
      <c r="O592" s="4"/>
      <c r="P592" s="4"/>
      <c r="Q592" s="4"/>
      <c r="R592" s="4"/>
      <c r="S592" s="4"/>
      <c r="T592" s="4"/>
      <c r="U592" s="4"/>
      <c r="V592" s="4"/>
      <c r="W592" s="4"/>
      <c r="X592" s="3"/>
      <c r="Y592" s="2"/>
      <c r="Z592" s="2"/>
      <c r="AA592" s="1"/>
      <c r="AB592" s="1"/>
      <c r="AC592" s="1"/>
      <c r="AD592" s="1"/>
      <c r="AE592" s="1"/>
      <c r="AF592" s="1"/>
      <c r="AG592" s="1"/>
      <c r="AH592" s="1"/>
    </row>
    <row r="593" ht="13.5" customHeight="1">
      <c r="A593" s="1"/>
      <c r="B593" s="1"/>
      <c r="C593" s="3"/>
      <c r="D593" s="1"/>
      <c r="E593" s="1"/>
      <c r="F593" s="1"/>
      <c r="G593" s="1"/>
      <c r="H593" s="1"/>
      <c r="I593" s="1"/>
      <c r="J593" s="1"/>
      <c r="K593" s="2"/>
      <c r="L593" s="1"/>
      <c r="M593" s="3"/>
      <c r="N593" s="3"/>
      <c r="O593" s="4"/>
      <c r="P593" s="4"/>
      <c r="Q593" s="4"/>
      <c r="R593" s="4"/>
      <c r="S593" s="4"/>
      <c r="T593" s="4"/>
      <c r="U593" s="4"/>
      <c r="V593" s="4"/>
      <c r="W593" s="4"/>
      <c r="X593" s="3"/>
      <c r="Y593" s="2"/>
      <c r="Z593" s="2"/>
      <c r="AA593" s="1"/>
      <c r="AB593" s="1"/>
      <c r="AC593" s="1"/>
      <c r="AD593" s="1"/>
      <c r="AE593" s="1"/>
      <c r="AF593" s="1"/>
      <c r="AG593" s="1"/>
      <c r="AH593" s="1"/>
    </row>
    <row r="594" ht="13.5" customHeight="1">
      <c r="A594" s="1"/>
      <c r="B594" s="1"/>
      <c r="C594" s="3"/>
      <c r="D594" s="1"/>
      <c r="E594" s="1"/>
      <c r="F594" s="1"/>
      <c r="G594" s="1"/>
      <c r="H594" s="1"/>
      <c r="I594" s="1"/>
      <c r="J594" s="1"/>
      <c r="K594" s="2"/>
      <c r="L594" s="1"/>
      <c r="M594" s="3"/>
      <c r="N594" s="3"/>
      <c r="O594" s="4"/>
      <c r="P594" s="4"/>
      <c r="Q594" s="4"/>
      <c r="R594" s="4"/>
      <c r="S594" s="4"/>
      <c r="T594" s="4"/>
      <c r="U594" s="4"/>
      <c r="V594" s="4"/>
      <c r="W594" s="4"/>
      <c r="X594" s="3"/>
      <c r="Y594" s="2"/>
      <c r="Z594" s="2"/>
      <c r="AA594" s="1"/>
      <c r="AB594" s="1"/>
      <c r="AC594" s="1"/>
      <c r="AD594" s="1"/>
      <c r="AE594" s="1"/>
      <c r="AF594" s="1"/>
      <c r="AG594" s="1"/>
      <c r="AH594" s="1"/>
    </row>
    <row r="595" ht="13.5" customHeight="1">
      <c r="A595" s="1"/>
      <c r="B595" s="1"/>
      <c r="C595" s="3"/>
      <c r="D595" s="1"/>
      <c r="E595" s="1"/>
      <c r="F595" s="1"/>
      <c r="G595" s="1"/>
      <c r="H595" s="1"/>
      <c r="I595" s="1"/>
      <c r="J595" s="1"/>
      <c r="K595" s="2"/>
      <c r="L595" s="1"/>
      <c r="M595" s="3"/>
      <c r="N595" s="3"/>
      <c r="O595" s="4"/>
      <c r="P595" s="4"/>
      <c r="Q595" s="4"/>
      <c r="R595" s="4"/>
      <c r="S595" s="4"/>
      <c r="T595" s="4"/>
      <c r="U595" s="4"/>
      <c r="V595" s="4"/>
      <c r="W595" s="4"/>
      <c r="X595" s="3"/>
      <c r="Y595" s="2"/>
      <c r="Z595" s="2"/>
      <c r="AA595" s="1"/>
      <c r="AB595" s="1"/>
      <c r="AC595" s="1"/>
      <c r="AD595" s="1"/>
      <c r="AE595" s="1"/>
      <c r="AF595" s="1"/>
      <c r="AG595" s="1"/>
      <c r="AH595" s="1"/>
    </row>
    <row r="596" ht="13.5" customHeight="1">
      <c r="A596" s="1"/>
      <c r="B596" s="1"/>
      <c r="C596" s="3"/>
      <c r="D596" s="1"/>
      <c r="E596" s="1"/>
      <c r="F596" s="1"/>
      <c r="G596" s="1"/>
      <c r="H596" s="1"/>
      <c r="I596" s="1"/>
      <c r="J596" s="1"/>
      <c r="K596" s="2"/>
      <c r="L596" s="1"/>
      <c r="M596" s="3"/>
      <c r="N596" s="3"/>
      <c r="O596" s="4"/>
      <c r="P596" s="4"/>
      <c r="Q596" s="4"/>
      <c r="R596" s="4"/>
      <c r="S596" s="4"/>
      <c r="T596" s="4"/>
      <c r="U596" s="4"/>
      <c r="V596" s="4"/>
      <c r="W596" s="4"/>
      <c r="X596" s="3"/>
      <c r="Y596" s="2"/>
      <c r="Z596" s="2"/>
      <c r="AA596" s="1"/>
      <c r="AB596" s="1"/>
      <c r="AC596" s="1"/>
      <c r="AD596" s="1"/>
      <c r="AE596" s="1"/>
      <c r="AF596" s="1"/>
      <c r="AG596" s="1"/>
      <c r="AH596" s="1"/>
    </row>
    <row r="597" ht="13.5" customHeight="1">
      <c r="A597" s="1"/>
      <c r="B597" s="1"/>
      <c r="C597" s="3"/>
      <c r="D597" s="1"/>
      <c r="E597" s="1"/>
      <c r="F597" s="1"/>
      <c r="G597" s="1"/>
      <c r="H597" s="1"/>
      <c r="I597" s="1"/>
      <c r="J597" s="1"/>
      <c r="K597" s="2"/>
      <c r="L597" s="1"/>
      <c r="M597" s="3"/>
      <c r="N597" s="3"/>
      <c r="O597" s="4"/>
      <c r="P597" s="4"/>
      <c r="Q597" s="4"/>
      <c r="R597" s="4"/>
      <c r="S597" s="4"/>
      <c r="T597" s="4"/>
      <c r="U597" s="4"/>
      <c r="V597" s="4"/>
      <c r="W597" s="4"/>
      <c r="X597" s="3"/>
      <c r="Y597" s="2"/>
      <c r="Z597" s="2"/>
      <c r="AA597" s="1"/>
      <c r="AB597" s="1"/>
      <c r="AC597" s="1"/>
      <c r="AD597" s="1"/>
      <c r="AE597" s="1"/>
      <c r="AF597" s="1"/>
      <c r="AG597" s="1"/>
      <c r="AH597" s="1"/>
    </row>
    <row r="598" ht="13.5" customHeight="1">
      <c r="A598" s="1"/>
      <c r="B598" s="1"/>
      <c r="C598" s="3"/>
      <c r="D598" s="1"/>
      <c r="E598" s="1"/>
      <c r="F598" s="1"/>
      <c r="G598" s="1"/>
      <c r="H598" s="1"/>
      <c r="I598" s="1"/>
      <c r="J598" s="1"/>
      <c r="K598" s="2"/>
      <c r="L598" s="1"/>
      <c r="M598" s="3"/>
      <c r="N598" s="3"/>
      <c r="O598" s="4"/>
      <c r="P598" s="4"/>
      <c r="Q598" s="4"/>
      <c r="R598" s="4"/>
      <c r="S598" s="4"/>
      <c r="T598" s="4"/>
      <c r="U598" s="4"/>
      <c r="V598" s="4"/>
      <c r="W598" s="4"/>
      <c r="X598" s="3"/>
      <c r="Y598" s="2"/>
      <c r="Z598" s="2"/>
      <c r="AA598" s="1"/>
      <c r="AB598" s="1"/>
      <c r="AC598" s="1"/>
      <c r="AD598" s="1"/>
      <c r="AE598" s="1"/>
      <c r="AF598" s="1"/>
      <c r="AG598" s="1"/>
      <c r="AH598" s="1"/>
    </row>
    <row r="599" ht="13.5" customHeight="1">
      <c r="A599" s="1"/>
      <c r="B599" s="1"/>
      <c r="C599" s="3"/>
      <c r="D599" s="1"/>
      <c r="E599" s="1"/>
      <c r="F599" s="1"/>
      <c r="G599" s="1"/>
      <c r="H599" s="1"/>
      <c r="I599" s="1"/>
      <c r="J599" s="1"/>
      <c r="K599" s="2"/>
      <c r="L599" s="1"/>
      <c r="M599" s="3"/>
      <c r="N599" s="3"/>
      <c r="O599" s="4"/>
      <c r="P599" s="4"/>
      <c r="Q599" s="4"/>
      <c r="R599" s="4"/>
      <c r="S599" s="4"/>
      <c r="T599" s="4"/>
      <c r="U599" s="4"/>
      <c r="V599" s="4"/>
      <c r="W599" s="4"/>
      <c r="X599" s="3"/>
      <c r="Y599" s="2"/>
      <c r="Z599" s="2"/>
      <c r="AA599" s="1"/>
      <c r="AB599" s="1"/>
      <c r="AC599" s="1"/>
      <c r="AD599" s="1"/>
      <c r="AE599" s="1"/>
      <c r="AF599" s="1"/>
      <c r="AG599" s="1"/>
      <c r="AH599" s="1"/>
    </row>
    <row r="600" ht="13.5" customHeight="1">
      <c r="A600" s="1"/>
      <c r="B600" s="1"/>
      <c r="C600" s="3"/>
      <c r="D600" s="1"/>
      <c r="E600" s="1"/>
      <c r="F600" s="1"/>
      <c r="G600" s="1"/>
      <c r="H600" s="1"/>
      <c r="I600" s="1"/>
      <c r="J600" s="1"/>
      <c r="K600" s="2"/>
      <c r="L600" s="1"/>
      <c r="M600" s="3"/>
      <c r="N600" s="3"/>
      <c r="O600" s="4"/>
      <c r="P600" s="4"/>
      <c r="Q600" s="4"/>
      <c r="R600" s="4"/>
      <c r="S600" s="4"/>
      <c r="T600" s="4"/>
      <c r="U600" s="4"/>
      <c r="V600" s="4"/>
      <c r="W600" s="4"/>
      <c r="X600" s="3"/>
      <c r="Y600" s="2"/>
      <c r="Z600" s="2"/>
      <c r="AA600" s="1"/>
      <c r="AB600" s="1"/>
      <c r="AC600" s="1"/>
      <c r="AD600" s="1"/>
      <c r="AE600" s="1"/>
      <c r="AF600" s="1"/>
      <c r="AG600" s="1"/>
      <c r="AH600" s="1"/>
    </row>
    <row r="601" ht="13.5" customHeight="1">
      <c r="A601" s="1"/>
      <c r="B601" s="1"/>
      <c r="C601" s="3"/>
      <c r="D601" s="1"/>
      <c r="E601" s="1"/>
      <c r="F601" s="1"/>
      <c r="G601" s="1"/>
      <c r="H601" s="1"/>
      <c r="I601" s="1"/>
      <c r="J601" s="1"/>
      <c r="K601" s="2"/>
      <c r="L601" s="1"/>
      <c r="M601" s="3"/>
      <c r="N601" s="3"/>
      <c r="O601" s="4"/>
      <c r="P601" s="4"/>
      <c r="Q601" s="4"/>
      <c r="R601" s="4"/>
      <c r="S601" s="4"/>
      <c r="T601" s="4"/>
      <c r="U601" s="4"/>
      <c r="V601" s="4"/>
      <c r="W601" s="4"/>
      <c r="X601" s="3"/>
      <c r="Y601" s="2"/>
      <c r="Z601" s="2"/>
      <c r="AA601" s="1"/>
      <c r="AB601" s="1"/>
      <c r="AC601" s="1"/>
      <c r="AD601" s="1"/>
      <c r="AE601" s="1"/>
      <c r="AF601" s="1"/>
      <c r="AG601" s="1"/>
      <c r="AH601" s="1"/>
    </row>
    <row r="602" ht="13.5" customHeight="1">
      <c r="A602" s="1"/>
      <c r="B602" s="1"/>
      <c r="C602" s="3"/>
      <c r="D602" s="1"/>
      <c r="E602" s="1"/>
      <c r="F602" s="1"/>
      <c r="G602" s="1"/>
      <c r="H602" s="1"/>
      <c r="I602" s="1"/>
      <c r="J602" s="1"/>
      <c r="K602" s="2"/>
      <c r="L602" s="1"/>
      <c r="M602" s="3"/>
      <c r="N602" s="3"/>
      <c r="O602" s="4"/>
      <c r="P602" s="4"/>
      <c r="Q602" s="4"/>
      <c r="R602" s="4"/>
      <c r="S602" s="4"/>
      <c r="T602" s="4"/>
      <c r="U602" s="4"/>
      <c r="V602" s="4"/>
      <c r="W602" s="4"/>
      <c r="X602" s="3"/>
      <c r="Y602" s="2"/>
      <c r="Z602" s="2"/>
      <c r="AA602" s="1"/>
      <c r="AB602" s="1"/>
      <c r="AC602" s="1"/>
      <c r="AD602" s="1"/>
      <c r="AE602" s="1"/>
      <c r="AF602" s="1"/>
      <c r="AG602" s="1"/>
      <c r="AH602" s="1"/>
    </row>
    <row r="603" ht="13.5" customHeight="1">
      <c r="A603" s="1"/>
      <c r="B603" s="1"/>
      <c r="C603" s="3"/>
      <c r="D603" s="1"/>
      <c r="E603" s="1"/>
      <c r="F603" s="1"/>
      <c r="G603" s="1"/>
      <c r="H603" s="1"/>
      <c r="I603" s="1"/>
      <c r="J603" s="1"/>
      <c r="K603" s="2"/>
      <c r="L603" s="1"/>
      <c r="M603" s="3"/>
      <c r="N603" s="3"/>
      <c r="O603" s="4"/>
      <c r="P603" s="4"/>
      <c r="Q603" s="4"/>
      <c r="R603" s="4"/>
      <c r="S603" s="4"/>
      <c r="T603" s="4"/>
      <c r="U603" s="4"/>
      <c r="V603" s="4"/>
      <c r="W603" s="4"/>
      <c r="X603" s="3"/>
      <c r="Y603" s="2"/>
      <c r="Z603" s="2"/>
      <c r="AA603" s="1"/>
      <c r="AB603" s="1"/>
      <c r="AC603" s="1"/>
      <c r="AD603" s="1"/>
      <c r="AE603" s="1"/>
      <c r="AF603" s="1"/>
      <c r="AG603" s="1"/>
      <c r="AH603" s="1"/>
    </row>
    <row r="604" ht="13.5" customHeight="1">
      <c r="A604" s="1"/>
      <c r="B604" s="1"/>
      <c r="C604" s="3"/>
      <c r="D604" s="1"/>
      <c r="E604" s="1"/>
      <c r="F604" s="1"/>
      <c r="G604" s="1"/>
      <c r="H604" s="1"/>
      <c r="I604" s="1"/>
      <c r="J604" s="1"/>
      <c r="K604" s="2"/>
      <c r="L604" s="1"/>
      <c r="M604" s="3"/>
      <c r="N604" s="3"/>
      <c r="O604" s="4"/>
      <c r="P604" s="4"/>
      <c r="Q604" s="4"/>
      <c r="R604" s="4"/>
      <c r="S604" s="4"/>
      <c r="T604" s="4"/>
      <c r="U604" s="4"/>
      <c r="V604" s="4"/>
      <c r="W604" s="4"/>
      <c r="X604" s="3"/>
      <c r="Y604" s="2"/>
      <c r="Z604" s="2"/>
      <c r="AA604" s="1"/>
      <c r="AB604" s="1"/>
      <c r="AC604" s="1"/>
      <c r="AD604" s="1"/>
      <c r="AE604" s="1"/>
      <c r="AF604" s="1"/>
      <c r="AG604" s="1"/>
      <c r="AH604" s="1"/>
    </row>
    <row r="605" ht="13.5" customHeight="1">
      <c r="A605" s="1"/>
      <c r="B605" s="1"/>
      <c r="C605" s="3"/>
      <c r="D605" s="1"/>
      <c r="E605" s="1"/>
      <c r="F605" s="1"/>
      <c r="G605" s="1"/>
      <c r="H605" s="1"/>
      <c r="I605" s="1"/>
      <c r="J605" s="1"/>
      <c r="K605" s="2"/>
      <c r="L605" s="1"/>
      <c r="M605" s="3"/>
      <c r="N605" s="3"/>
      <c r="O605" s="4"/>
      <c r="P605" s="4"/>
      <c r="Q605" s="4"/>
      <c r="R605" s="4"/>
      <c r="S605" s="4"/>
      <c r="T605" s="4"/>
      <c r="U605" s="4"/>
      <c r="V605" s="4"/>
      <c r="W605" s="4"/>
      <c r="X605" s="3"/>
      <c r="Y605" s="2"/>
      <c r="Z605" s="2"/>
      <c r="AA605" s="1"/>
      <c r="AB605" s="1"/>
      <c r="AC605" s="1"/>
      <c r="AD605" s="1"/>
      <c r="AE605" s="1"/>
      <c r="AF605" s="1"/>
      <c r="AG605" s="1"/>
      <c r="AH605" s="1"/>
    </row>
    <row r="606" ht="13.5" customHeight="1">
      <c r="A606" s="1"/>
      <c r="B606" s="1"/>
      <c r="C606" s="3"/>
      <c r="D606" s="1"/>
      <c r="E606" s="1"/>
      <c r="F606" s="1"/>
      <c r="G606" s="1"/>
      <c r="H606" s="1"/>
      <c r="I606" s="1"/>
      <c r="J606" s="1"/>
      <c r="K606" s="2"/>
      <c r="L606" s="1"/>
      <c r="M606" s="3"/>
      <c r="N606" s="3"/>
      <c r="O606" s="4"/>
      <c r="P606" s="4"/>
      <c r="Q606" s="4"/>
      <c r="R606" s="4"/>
      <c r="S606" s="4"/>
      <c r="T606" s="4"/>
      <c r="U606" s="4"/>
      <c r="V606" s="4"/>
      <c r="W606" s="4"/>
      <c r="X606" s="3"/>
      <c r="Y606" s="2"/>
      <c r="Z606" s="2"/>
      <c r="AA606" s="1"/>
      <c r="AB606" s="1"/>
      <c r="AC606" s="1"/>
      <c r="AD606" s="1"/>
      <c r="AE606" s="1"/>
      <c r="AF606" s="1"/>
      <c r="AG606" s="1"/>
      <c r="AH606" s="1"/>
    </row>
    <row r="607" ht="13.5" customHeight="1">
      <c r="A607" s="1"/>
      <c r="B607" s="1"/>
      <c r="C607" s="3"/>
      <c r="D607" s="1"/>
      <c r="E607" s="1"/>
      <c r="F607" s="1"/>
      <c r="G607" s="1"/>
      <c r="H607" s="1"/>
      <c r="I607" s="1"/>
      <c r="J607" s="1"/>
      <c r="K607" s="2"/>
      <c r="L607" s="1"/>
      <c r="M607" s="3"/>
      <c r="N607" s="3"/>
      <c r="O607" s="4"/>
      <c r="P607" s="4"/>
      <c r="Q607" s="4"/>
      <c r="R607" s="4"/>
      <c r="S607" s="4"/>
      <c r="T607" s="4"/>
      <c r="U607" s="4"/>
      <c r="V607" s="4"/>
      <c r="W607" s="4"/>
      <c r="X607" s="3"/>
      <c r="Y607" s="2"/>
      <c r="Z607" s="2"/>
      <c r="AA607" s="1"/>
      <c r="AB607" s="1"/>
      <c r="AC607" s="1"/>
      <c r="AD607" s="1"/>
      <c r="AE607" s="1"/>
      <c r="AF607" s="1"/>
      <c r="AG607" s="1"/>
      <c r="AH607" s="1"/>
    </row>
    <row r="608" ht="13.5" customHeight="1">
      <c r="A608" s="1"/>
      <c r="B608" s="1"/>
      <c r="C608" s="3"/>
      <c r="D608" s="1"/>
      <c r="E608" s="1"/>
      <c r="F608" s="1"/>
      <c r="G608" s="1"/>
      <c r="H608" s="1"/>
      <c r="I608" s="1"/>
      <c r="J608" s="1"/>
      <c r="K608" s="2"/>
      <c r="L608" s="1"/>
      <c r="M608" s="3"/>
      <c r="N608" s="3"/>
      <c r="O608" s="4"/>
      <c r="P608" s="4"/>
      <c r="Q608" s="4"/>
      <c r="R608" s="4"/>
      <c r="S608" s="4"/>
      <c r="T608" s="4"/>
      <c r="U608" s="4"/>
      <c r="V608" s="4"/>
      <c r="W608" s="4"/>
      <c r="X608" s="3"/>
      <c r="Y608" s="2"/>
      <c r="Z608" s="2"/>
      <c r="AA608" s="1"/>
      <c r="AB608" s="1"/>
      <c r="AC608" s="1"/>
      <c r="AD608" s="1"/>
      <c r="AE608" s="1"/>
      <c r="AF608" s="1"/>
      <c r="AG608" s="1"/>
      <c r="AH608" s="1"/>
    </row>
    <row r="609" ht="13.5" customHeight="1">
      <c r="A609" s="1"/>
      <c r="B609" s="1"/>
      <c r="C609" s="3"/>
      <c r="D609" s="1"/>
      <c r="E609" s="1"/>
      <c r="F609" s="1"/>
      <c r="G609" s="1"/>
      <c r="H609" s="1"/>
      <c r="I609" s="1"/>
      <c r="J609" s="1"/>
      <c r="K609" s="2"/>
      <c r="L609" s="1"/>
      <c r="M609" s="3"/>
      <c r="N609" s="3"/>
      <c r="O609" s="4"/>
      <c r="P609" s="4"/>
      <c r="Q609" s="4"/>
      <c r="R609" s="4"/>
      <c r="S609" s="4"/>
      <c r="T609" s="4"/>
      <c r="U609" s="4"/>
      <c r="V609" s="4"/>
      <c r="W609" s="4"/>
      <c r="X609" s="3"/>
      <c r="Y609" s="2"/>
      <c r="Z609" s="2"/>
      <c r="AA609" s="1"/>
      <c r="AB609" s="1"/>
      <c r="AC609" s="1"/>
      <c r="AD609" s="1"/>
      <c r="AE609" s="1"/>
      <c r="AF609" s="1"/>
      <c r="AG609" s="1"/>
      <c r="AH609" s="1"/>
    </row>
    <row r="610" ht="13.5" customHeight="1">
      <c r="A610" s="1"/>
      <c r="B610" s="1"/>
      <c r="C610" s="3"/>
      <c r="D610" s="1"/>
      <c r="E610" s="1"/>
      <c r="F610" s="1"/>
      <c r="G610" s="1"/>
      <c r="H610" s="1"/>
      <c r="I610" s="1"/>
      <c r="J610" s="1"/>
      <c r="K610" s="2"/>
      <c r="L610" s="1"/>
      <c r="M610" s="3"/>
      <c r="N610" s="3"/>
      <c r="O610" s="4"/>
      <c r="P610" s="4"/>
      <c r="Q610" s="4"/>
      <c r="R610" s="4"/>
      <c r="S610" s="4"/>
      <c r="T610" s="4"/>
      <c r="U610" s="4"/>
      <c r="V610" s="4"/>
      <c r="W610" s="4"/>
      <c r="X610" s="3"/>
      <c r="Y610" s="2"/>
      <c r="Z610" s="2"/>
      <c r="AA610" s="1"/>
      <c r="AB610" s="1"/>
      <c r="AC610" s="1"/>
      <c r="AD610" s="1"/>
      <c r="AE610" s="1"/>
      <c r="AF610" s="1"/>
      <c r="AG610" s="1"/>
      <c r="AH610" s="1"/>
    </row>
    <row r="611" ht="13.5" customHeight="1">
      <c r="A611" s="1"/>
      <c r="B611" s="1"/>
      <c r="C611" s="3"/>
      <c r="D611" s="1"/>
      <c r="E611" s="1"/>
      <c r="F611" s="1"/>
      <c r="G611" s="1"/>
      <c r="H611" s="1"/>
      <c r="I611" s="1"/>
      <c r="J611" s="1"/>
      <c r="K611" s="2"/>
      <c r="L611" s="1"/>
      <c r="M611" s="3"/>
      <c r="N611" s="3"/>
      <c r="O611" s="4"/>
      <c r="P611" s="4"/>
      <c r="Q611" s="4"/>
      <c r="R611" s="4"/>
      <c r="S611" s="4"/>
      <c r="T611" s="4"/>
      <c r="U611" s="4"/>
      <c r="V611" s="4"/>
      <c r="W611" s="4"/>
      <c r="X611" s="3"/>
      <c r="Y611" s="2"/>
      <c r="Z611" s="2"/>
      <c r="AA611" s="1"/>
      <c r="AB611" s="1"/>
      <c r="AC611" s="1"/>
      <c r="AD611" s="1"/>
      <c r="AE611" s="1"/>
      <c r="AF611" s="1"/>
      <c r="AG611" s="1"/>
      <c r="AH611" s="1"/>
    </row>
    <row r="612" ht="13.5" customHeight="1">
      <c r="A612" s="1"/>
      <c r="B612" s="1"/>
      <c r="C612" s="3"/>
      <c r="D612" s="1"/>
      <c r="E612" s="1"/>
      <c r="F612" s="1"/>
      <c r="G612" s="1"/>
      <c r="H612" s="1"/>
      <c r="I612" s="1"/>
      <c r="J612" s="1"/>
      <c r="K612" s="2"/>
      <c r="L612" s="1"/>
      <c r="M612" s="3"/>
      <c r="N612" s="3"/>
      <c r="O612" s="4"/>
      <c r="P612" s="4"/>
      <c r="Q612" s="4"/>
      <c r="R612" s="4"/>
      <c r="S612" s="4"/>
      <c r="T612" s="4"/>
      <c r="U612" s="4"/>
      <c r="V612" s="4"/>
      <c r="W612" s="4"/>
      <c r="X612" s="3"/>
      <c r="Y612" s="2"/>
      <c r="Z612" s="2"/>
      <c r="AA612" s="1"/>
      <c r="AB612" s="1"/>
      <c r="AC612" s="1"/>
      <c r="AD612" s="1"/>
      <c r="AE612" s="1"/>
      <c r="AF612" s="1"/>
      <c r="AG612" s="1"/>
      <c r="AH612" s="1"/>
    </row>
    <row r="613" ht="13.5" customHeight="1">
      <c r="A613" s="1"/>
      <c r="B613" s="1"/>
      <c r="C613" s="3"/>
      <c r="D613" s="1"/>
      <c r="E613" s="1"/>
      <c r="F613" s="1"/>
      <c r="G613" s="1"/>
      <c r="H613" s="1"/>
      <c r="I613" s="1"/>
      <c r="J613" s="1"/>
      <c r="K613" s="2"/>
      <c r="L613" s="1"/>
      <c r="M613" s="3"/>
      <c r="N613" s="3"/>
      <c r="O613" s="4"/>
      <c r="P613" s="4"/>
      <c r="Q613" s="4"/>
      <c r="R613" s="4"/>
      <c r="S613" s="4"/>
      <c r="T613" s="4"/>
      <c r="U613" s="4"/>
      <c r="V613" s="4"/>
      <c r="W613" s="4"/>
      <c r="X613" s="3"/>
      <c r="Y613" s="2"/>
      <c r="Z613" s="2"/>
      <c r="AA613" s="1"/>
      <c r="AB613" s="1"/>
      <c r="AC613" s="1"/>
      <c r="AD613" s="1"/>
      <c r="AE613" s="1"/>
      <c r="AF613" s="1"/>
      <c r="AG613" s="1"/>
      <c r="AH613" s="1"/>
    </row>
    <row r="614" ht="13.5" customHeight="1">
      <c r="A614" s="1"/>
      <c r="B614" s="1"/>
      <c r="C614" s="3"/>
      <c r="D614" s="1"/>
      <c r="E614" s="1"/>
      <c r="F614" s="1"/>
      <c r="G614" s="1"/>
      <c r="H614" s="1"/>
      <c r="I614" s="1"/>
      <c r="J614" s="1"/>
      <c r="K614" s="2"/>
      <c r="L614" s="1"/>
      <c r="M614" s="3"/>
      <c r="N614" s="3"/>
      <c r="O614" s="4"/>
      <c r="P614" s="4"/>
      <c r="Q614" s="4"/>
      <c r="R614" s="4"/>
      <c r="S614" s="4"/>
      <c r="T614" s="4"/>
      <c r="U614" s="4"/>
      <c r="V614" s="4"/>
      <c r="W614" s="4"/>
      <c r="X614" s="3"/>
      <c r="Y614" s="2"/>
      <c r="Z614" s="2"/>
      <c r="AA614" s="1"/>
      <c r="AB614" s="1"/>
      <c r="AC614" s="1"/>
      <c r="AD614" s="1"/>
      <c r="AE614" s="1"/>
      <c r="AF614" s="1"/>
      <c r="AG614" s="1"/>
      <c r="AH614" s="1"/>
    </row>
    <row r="615" ht="13.5" customHeight="1">
      <c r="A615" s="1"/>
      <c r="B615" s="1"/>
      <c r="C615" s="3"/>
      <c r="D615" s="1"/>
      <c r="E615" s="1"/>
      <c r="F615" s="1"/>
      <c r="G615" s="1"/>
      <c r="H615" s="1"/>
      <c r="I615" s="1"/>
      <c r="J615" s="1"/>
      <c r="K615" s="2"/>
      <c r="L615" s="1"/>
      <c r="M615" s="3"/>
      <c r="N615" s="3"/>
      <c r="O615" s="4"/>
      <c r="P615" s="4"/>
      <c r="Q615" s="4"/>
      <c r="R615" s="4"/>
      <c r="S615" s="4"/>
      <c r="T615" s="4"/>
      <c r="U615" s="4"/>
      <c r="V615" s="4"/>
      <c r="W615" s="4"/>
      <c r="X615" s="3"/>
      <c r="Y615" s="2"/>
      <c r="Z615" s="2"/>
      <c r="AA615" s="1"/>
      <c r="AB615" s="1"/>
      <c r="AC615" s="1"/>
      <c r="AD615" s="1"/>
      <c r="AE615" s="1"/>
      <c r="AF615" s="1"/>
      <c r="AG615" s="1"/>
      <c r="AH615" s="1"/>
    </row>
    <row r="616" ht="13.5" customHeight="1">
      <c r="A616" s="1"/>
      <c r="B616" s="1"/>
      <c r="C616" s="3"/>
      <c r="D616" s="1"/>
      <c r="E616" s="1"/>
      <c r="F616" s="1"/>
      <c r="G616" s="1"/>
      <c r="H616" s="1"/>
      <c r="I616" s="1"/>
      <c r="J616" s="1"/>
      <c r="K616" s="2"/>
      <c r="L616" s="1"/>
      <c r="M616" s="3"/>
      <c r="N616" s="3"/>
      <c r="O616" s="4"/>
      <c r="P616" s="4"/>
      <c r="Q616" s="4"/>
      <c r="R616" s="4"/>
      <c r="S616" s="4"/>
      <c r="T616" s="4"/>
      <c r="U616" s="4"/>
      <c r="V616" s="4"/>
      <c r="W616" s="4"/>
      <c r="X616" s="3"/>
      <c r="Y616" s="2"/>
      <c r="Z616" s="2"/>
      <c r="AA616" s="1"/>
      <c r="AB616" s="1"/>
      <c r="AC616" s="1"/>
      <c r="AD616" s="1"/>
      <c r="AE616" s="1"/>
      <c r="AF616" s="1"/>
      <c r="AG616" s="1"/>
      <c r="AH616" s="1"/>
    </row>
    <row r="617" ht="13.5" customHeight="1">
      <c r="A617" s="1"/>
      <c r="B617" s="1"/>
      <c r="C617" s="3"/>
      <c r="D617" s="1"/>
      <c r="E617" s="1"/>
      <c r="F617" s="1"/>
      <c r="G617" s="1"/>
      <c r="H617" s="1"/>
      <c r="I617" s="1"/>
      <c r="J617" s="1"/>
      <c r="K617" s="2"/>
      <c r="L617" s="1"/>
      <c r="M617" s="3"/>
      <c r="N617" s="3"/>
      <c r="O617" s="4"/>
      <c r="P617" s="4"/>
      <c r="Q617" s="4"/>
      <c r="R617" s="4"/>
      <c r="S617" s="4"/>
      <c r="T617" s="4"/>
      <c r="U617" s="4"/>
      <c r="V617" s="4"/>
      <c r="W617" s="4"/>
      <c r="X617" s="3"/>
      <c r="Y617" s="2"/>
      <c r="Z617" s="2"/>
      <c r="AA617" s="1"/>
      <c r="AB617" s="1"/>
      <c r="AC617" s="1"/>
      <c r="AD617" s="1"/>
      <c r="AE617" s="1"/>
      <c r="AF617" s="1"/>
      <c r="AG617" s="1"/>
      <c r="AH617" s="1"/>
    </row>
    <row r="618" ht="13.5" customHeight="1">
      <c r="A618" s="1"/>
      <c r="B618" s="1"/>
      <c r="C618" s="3"/>
      <c r="D618" s="1"/>
      <c r="E618" s="1"/>
      <c r="F618" s="1"/>
      <c r="G618" s="1"/>
      <c r="H618" s="1"/>
      <c r="I618" s="1"/>
      <c r="J618" s="1"/>
      <c r="K618" s="2"/>
      <c r="L618" s="1"/>
      <c r="M618" s="3"/>
      <c r="N618" s="3"/>
      <c r="O618" s="4"/>
      <c r="P618" s="4"/>
      <c r="Q618" s="4"/>
      <c r="R618" s="4"/>
      <c r="S618" s="4"/>
      <c r="T618" s="4"/>
      <c r="U618" s="4"/>
      <c r="V618" s="4"/>
      <c r="W618" s="4"/>
      <c r="X618" s="3"/>
      <c r="Y618" s="2"/>
      <c r="Z618" s="2"/>
      <c r="AA618" s="1"/>
      <c r="AB618" s="1"/>
      <c r="AC618" s="1"/>
      <c r="AD618" s="1"/>
      <c r="AE618" s="1"/>
      <c r="AF618" s="1"/>
      <c r="AG618" s="1"/>
      <c r="AH618" s="1"/>
    </row>
    <row r="619" ht="13.5" customHeight="1">
      <c r="A619" s="1"/>
      <c r="B619" s="1"/>
      <c r="C619" s="3"/>
      <c r="D619" s="1"/>
      <c r="E619" s="1"/>
      <c r="F619" s="1"/>
      <c r="G619" s="1"/>
      <c r="H619" s="1"/>
      <c r="I619" s="1"/>
      <c r="J619" s="1"/>
      <c r="K619" s="2"/>
      <c r="L619" s="1"/>
      <c r="M619" s="3"/>
      <c r="N619" s="3"/>
      <c r="O619" s="4"/>
      <c r="P619" s="4"/>
      <c r="Q619" s="4"/>
      <c r="R619" s="4"/>
      <c r="S619" s="4"/>
      <c r="T619" s="4"/>
      <c r="U619" s="4"/>
      <c r="V619" s="4"/>
      <c r="W619" s="4"/>
      <c r="X619" s="3"/>
      <c r="Y619" s="2"/>
      <c r="Z619" s="2"/>
      <c r="AA619" s="1"/>
      <c r="AB619" s="1"/>
      <c r="AC619" s="1"/>
      <c r="AD619" s="1"/>
      <c r="AE619" s="1"/>
      <c r="AF619" s="1"/>
      <c r="AG619" s="1"/>
      <c r="AH619" s="1"/>
    </row>
    <row r="620" ht="13.5" customHeight="1">
      <c r="A620" s="1"/>
      <c r="B620" s="1"/>
      <c r="C620" s="3"/>
      <c r="D620" s="1"/>
      <c r="E620" s="1"/>
      <c r="F620" s="1"/>
      <c r="G620" s="1"/>
      <c r="H620" s="1"/>
      <c r="I620" s="1"/>
      <c r="J620" s="1"/>
      <c r="K620" s="2"/>
      <c r="L620" s="1"/>
      <c r="M620" s="3"/>
      <c r="N620" s="3"/>
      <c r="O620" s="4"/>
      <c r="P620" s="4"/>
      <c r="Q620" s="4"/>
      <c r="R620" s="4"/>
      <c r="S620" s="4"/>
      <c r="T620" s="4"/>
      <c r="U620" s="4"/>
      <c r="V620" s="4"/>
      <c r="W620" s="4"/>
      <c r="X620" s="3"/>
      <c r="Y620" s="2"/>
      <c r="Z620" s="2"/>
      <c r="AA620" s="1"/>
      <c r="AB620" s="1"/>
      <c r="AC620" s="1"/>
      <c r="AD620" s="1"/>
      <c r="AE620" s="1"/>
      <c r="AF620" s="1"/>
      <c r="AG620" s="1"/>
      <c r="AH620" s="1"/>
    </row>
    <row r="621" ht="13.5" customHeight="1">
      <c r="A621" s="1"/>
      <c r="B621" s="1"/>
      <c r="C621" s="3"/>
      <c r="D621" s="1"/>
      <c r="E621" s="1"/>
      <c r="F621" s="1"/>
      <c r="G621" s="1"/>
      <c r="H621" s="1"/>
      <c r="I621" s="1"/>
      <c r="J621" s="1"/>
      <c r="K621" s="2"/>
      <c r="L621" s="1"/>
      <c r="M621" s="3"/>
      <c r="N621" s="3"/>
      <c r="O621" s="4"/>
      <c r="P621" s="4"/>
      <c r="Q621" s="4"/>
      <c r="R621" s="4"/>
      <c r="S621" s="4"/>
      <c r="T621" s="4"/>
      <c r="U621" s="4"/>
      <c r="V621" s="4"/>
      <c r="W621" s="4"/>
      <c r="X621" s="3"/>
      <c r="Y621" s="2"/>
      <c r="Z621" s="2"/>
      <c r="AA621" s="1"/>
      <c r="AB621" s="1"/>
      <c r="AC621" s="1"/>
      <c r="AD621" s="1"/>
      <c r="AE621" s="1"/>
      <c r="AF621" s="1"/>
      <c r="AG621" s="1"/>
      <c r="AH621" s="1"/>
    </row>
    <row r="622" ht="13.5" customHeight="1">
      <c r="A622" s="1"/>
      <c r="B622" s="1"/>
      <c r="C622" s="3"/>
      <c r="D622" s="1"/>
      <c r="E622" s="1"/>
      <c r="F622" s="1"/>
      <c r="G622" s="1"/>
      <c r="H622" s="1"/>
      <c r="I622" s="1"/>
      <c r="J622" s="1"/>
      <c r="K622" s="2"/>
      <c r="L622" s="1"/>
      <c r="M622" s="3"/>
      <c r="N622" s="3"/>
      <c r="O622" s="4"/>
      <c r="P622" s="4"/>
      <c r="Q622" s="4"/>
      <c r="R622" s="4"/>
      <c r="S622" s="4"/>
      <c r="T622" s="4"/>
      <c r="U622" s="4"/>
      <c r="V622" s="4"/>
      <c r="W622" s="4"/>
      <c r="X622" s="3"/>
      <c r="Y622" s="2"/>
      <c r="Z622" s="2"/>
      <c r="AA622" s="1"/>
      <c r="AB622" s="1"/>
      <c r="AC622" s="1"/>
      <c r="AD622" s="1"/>
      <c r="AE622" s="1"/>
      <c r="AF622" s="1"/>
      <c r="AG622" s="1"/>
      <c r="AH622" s="1"/>
    </row>
    <row r="623" ht="13.5" customHeight="1">
      <c r="A623" s="1"/>
      <c r="B623" s="1"/>
      <c r="C623" s="3"/>
      <c r="D623" s="1"/>
      <c r="E623" s="1"/>
      <c r="F623" s="1"/>
      <c r="G623" s="1"/>
      <c r="H623" s="1"/>
      <c r="I623" s="1"/>
      <c r="J623" s="1"/>
      <c r="K623" s="2"/>
      <c r="L623" s="1"/>
      <c r="M623" s="3"/>
      <c r="N623" s="3"/>
      <c r="O623" s="4"/>
      <c r="P623" s="4"/>
      <c r="Q623" s="4"/>
      <c r="R623" s="4"/>
      <c r="S623" s="4"/>
      <c r="T623" s="4"/>
      <c r="U623" s="4"/>
      <c r="V623" s="4"/>
      <c r="W623" s="4"/>
      <c r="X623" s="3"/>
      <c r="Y623" s="2"/>
      <c r="Z623" s="2"/>
      <c r="AA623" s="1"/>
      <c r="AB623" s="1"/>
      <c r="AC623" s="1"/>
      <c r="AD623" s="1"/>
      <c r="AE623" s="1"/>
      <c r="AF623" s="1"/>
      <c r="AG623" s="1"/>
      <c r="AH623" s="1"/>
    </row>
    <row r="624" ht="13.5" customHeight="1">
      <c r="A624" s="1"/>
      <c r="B624" s="1"/>
      <c r="C624" s="3"/>
      <c r="D624" s="1"/>
      <c r="E624" s="1"/>
      <c r="F624" s="1"/>
      <c r="G624" s="1"/>
      <c r="H624" s="1"/>
      <c r="I624" s="1"/>
      <c r="J624" s="1"/>
      <c r="K624" s="2"/>
      <c r="L624" s="1"/>
      <c r="M624" s="3"/>
      <c r="N624" s="3"/>
      <c r="O624" s="4"/>
      <c r="P624" s="4"/>
      <c r="Q624" s="4"/>
      <c r="R624" s="4"/>
      <c r="S624" s="4"/>
      <c r="T624" s="4"/>
      <c r="U624" s="4"/>
      <c r="V624" s="4"/>
      <c r="W624" s="4"/>
      <c r="X624" s="3"/>
      <c r="Y624" s="2"/>
      <c r="Z624" s="2"/>
      <c r="AA624" s="1"/>
      <c r="AB624" s="1"/>
      <c r="AC624" s="1"/>
      <c r="AD624" s="1"/>
      <c r="AE624" s="1"/>
      <c r="AF624" s="1"/>
      <c r="AG624" s="1"/>
      <c r="AH624" s="1"/>
    </row>
    <row r="625" ht="13.5" customHeight="1">
      <c r="A625" s="1"/>
      <c r="B625" s="1"/>
      <c r="C625" s="3"/>
      <c r="D625" s="1"/>
      <c r="E625" s="1"/>
      <c r="F625" s="1"/>
      <c r="G625" s="1"/>
      <c r="H625" s="1"/>
      <c r="I625" s="1"/>
      <c r="J625" s="1"/>
      <c r="K625" s="2"/>
      <c r="L625" s="1"/>
      <c r="M625" s="3"/>
      <c r="N625" s="3"/>
      <c r="O625" s="4"/>
      <c r="P625" s="4"/>
      <c r="Q625" s="4"/>
      <c r="R625" s="4"/>
      <c r="S625" s="4"/>
      <c r="T625" s="4"/>
      <c r="U625" s="4"/>
      <c r="V625" s="4"/>
      <c r="W625" s="4"/>
      <c r="X625" s="3"/>
      <c r="Y625" s="2"/>
      <c r="Z625" s="2"/>
      <c r="AA625" s="1"/>
      <c r="AB625" s="1"/>
      <c r="AC625" s="1"/>
      <c r="AD625" s="1"/>
      <c r="AE625" s="1"/>
      <c r="AF625" s="1"/>
      <c r="AG625" s="1"/>
      <c r="AH625" s="1"/>
    </row>
    <row r="626" ht="13.5" customHeight="1">
      <c r="A626" s="1"/>
      <c r="B626" s="1"/>
      <c r="C626" s="3"/>
      <c r="D626" s="1"/>
      <c r="E626" s="1"/>
      <c r="F626" s="1"/>
      <c r="G626" s="1"/>
      <c r="H626" s="1"/>
      <c r="I626" s="1"/>
      <c r="J626" s="1"/>
      <c r="K626" s="2"/>
      <c r="L626" s="1"/>
      <c r="M626" s="3"/>
      <c r="N626" s="3"/>
      <c r="O626" s="4"/>
      <c r="P626" s="4"/>
      <c r="Q626" s="4"/>
      <c r="R626" s="4"/>
      <c r="S626" s="4"/>
      <c r="T626" s="4"/>
      <c r="U626" s="4"/>
      <c r="V626" s="4"/>
      <c r="W626" s="4"/>
      <c r="X626" s="3"/>
      <c r="Y626" s="2"/>
      <c r="Z626" s="2"/>
      <c r="AA626" s="1"/>
      <c r="AB626" s="1"/>
      <c r="AC626" s="1"/>
      <c r="AD626" s="1"/>
      <c r="AE626" s="1"/>
      <c r="AF626" s="1"/>
      <c r="AG626" s="1"/>
      <c r="AH626" s="1"/>
    </row>
    <row r="627" ht="13.5" customHeight="1">
      <c r="A627" s="1"/>
      <c r="B627" s="1"/>
      <c r="C627" s="3"/>
      <c r="D627" s="1"/>
      <c r="E627" s="1"/>
      <c r="F627" s="1"/>
      <c r="G627" s="1"/>
      <c r="H627" s="1"/>
      <c r="I627" s="1"/>
      <c r="J627" s="1"/>
      <c r="K627" s="2"/>
      <c r="L627" s="1"/>
      <c r="M627" s="3"/>
      <c r="N627" s="3"/>
      <c r="O627" s="4"/>
      <c r="P627" s="4"/>
      <c r="Q627" s="4"/>
      <c r="R627" s="4"/>
      <c r="S627" s="4"/>
      <c r="T627" s="4"/>
      <c r="U627" s="4"/>
      <c r="V627" s="4"/>
      <c r="W627" s="4"/>
      <c r="X627" s="3"/>
      <c r="Y627" s="2"/>
      <c r="Z627" s="2"/>
      <c r="AA627" s="1"/>
      <c r="AB627" s="1"/>
      <c r="AC627" s="1"/>
      <c r="AD627" s="1"/>
      <c r="AE627" s="1"/>
      <c r="AF627" s="1"/>
      <c r="AG627" s="1"/>
      <c r="AH627" s="1"/>
    </row>
    <row r="628" ht="13.5" customHeight="1">
      <c r="A628" s="1"/>
      <c r="B628" s="1"/>
      <c r="C628" s="3"/>
      <c r="D628" s="1"/>
      <c r="E628" s="1"/>
      <c r="F628" s="1"/>
      <c r="G628" s="1"/>
      <c r="H628" s="1"/>
      <c r="I628" s="1"/>
      <c r="J628" s="1"/>
      <c r="K628" s="2"/>
      <c r="L628" s="1"/>
      <c r="M628" s="3"/>
      <c r="N628" s="3"/>
      <c r="O628" s="4"/>
      <c r="P628" s="4"/>
      <c r="Q628" s="4"/>
      <c r="R628" s="4"/>
      <c r="S628" s="4"/>
      <c r="T628" s="4"/>
      <c r="U628" s="4"/>
      <c r="V628" s="4"/>
      <c r="W628" s="4"/>
      <c r="X628" s="3"/>
      <c r="Y628" s="2"/>
      <c r="Z628" s="2"/>
      <c r="AA628" s="1"/>
      <c r="AB628" s="1"/>
      <c r="AC628" s="1"/>
      <c r="AD628" s="1"/>
      <c r="AE628" s="1"/>
      <c r="AF628" s="1"/>
      <c r="AG628" s="1"/>
      <c r="AH628" s="1"/>
    </row>
    <row r="629" ht="13.5" customHeight="1">
      <c r="A629" s="1"/>
      <c r="B629" s="1"/>
      <c r="C629" s="3"/>
      <c r="D629" s="1"/>
      <c r="E629" s="1"/>
      <c r="F629" s="1"/>
      <c r="G629" s="1"/>
      <c r="H629" s="1"/>
      <c r="I629" s="1"/>
      <c r="J629" s="1"/>
      <c r="K629" s="2"/>
      <c r="L629" s="1"/>
      <c r="M629" s="3"/>
      <c r="N629" s="3"/>
      <c r="O629" s="4"/>
      <c r="P629" s="4"/>
      <c r="Q629" s="4"/>
      <c r="R629" s="4"/>
      <c r="S629" s="4"/>
      <c r="T629" s="4"/>
      <c r="U629" s="4"/>
      <c r="V629" s="4"/>
      <c r="W629" s="4"/>
      <c r="X629" s="3"/>
      <c r="Y629" s="2"/>
      <c r="Z629" s="2"/>
      <c r="AA629" s="1"/>
      <c r="AB629" s="1"/>
      <c r="AC629" s="1"/>
      <c r="AD629" s="1"/>
      <c r="AE629" s="1"/>
      <c r="AF629" s="1"/>
      <c r="AG629" s="1"/>
      <c r="AH629" s="1"/>
    </row>
    <row r="630" ht="13.5" customHeight="1">
      <c r="A630" s="1"/>
      <c r="B630" s="1"/>
      <c r="C630" s="3"/>
      <c r="D630" s="1"/>
      <c r="E630" s="1"/>
      <c r="F630" s="1"/>
      <c r="G630" s="1"/>
      <c r="H630" s="1"/>
      <c r="I630" s="1"/>
      <c r="J630" s="1"/>
      <c r="K630" s="2"/>
      <c r="L630" s="1"/>
      <c r="M630" s="3"/>
      <c r="N630" s="3"/>
      <c r="O630" s="4"/>
      <c r="P630" s="4"/>
      <c r="Q630" s="4"/>
      <c r="R630" s="4"/>
      <c r="S630" s="4"/>
      <c r="T630" s="4"/>
      <c r="U630" s="4"/>
      <c r="V630" s="4"/>
      <c r="W630" s="4"/>
      <c r="X630" s="3"/>
      <c r="Y630" s="2"/>
      <c r="Z630" s="2"/>
      <c r="AA630" s="1"/>
      <c r="AB630" s="1"/>
      <c r="AC630" s="1"/>
      <c r="AD630" s="1"/>
      <c r="AE630" s="1"/>
      <c r="AF630" s="1"/>
      <c r="AG630" s="1"/>
      <c r="AH630" s="1"/>
    </row>
    <row r="631" ht="13.5" customHeight="1">
      <c r="A631" s="1"/>
      <c r="B631" s="1"/>
      <c r="C631" s="3"/>
      <c r="D631" s="1"/>
      <c r="E631" s="1"/>
      <c r="F631" s="1"/>
      <c r="G631" s="1"/>
      <c r="H631" s="1"/>
      <c r="I631" s="1"/>
      <c r="J631" s="1"/>
      <c r="K631" s="2"/>
      <c r="L631" s="1"/>
      <c r="M631" s="3"/>
      <c r="N631" s="3"/>
      <c r="O631" s="4"/>
      <c r="P631" s="4"/>
      <c r="Q631" s="4"/>
      <c r="R631" s="4"/>
      <c r="S631" s="4"/>
      <c r="T631" s="4"/>
      <c r="U631" s="4"/>
      <c r="V631" s="4"/>
      <c r="W631" s="4"/>
      <c r="X631" s="3"/>
      <c r="Y631" s="2"/>
      <c r="Z631" s="2"/>
      <c r="AA631" s="1"/>
      <c r="AB631" s="1"/>
      <c r="AC631" s="1"/>
      <c r="AD631" s="1"/>
      <c r="AE631" s="1"/>
      <c r="AF631" s="1"/>
      <c r="AG631" s="1"/>
      <c r="AH631" s="1"/>
    </row>
    <row r="632" ht="13.5" customHeight="1">
      <c r="A632" s="1"/>
      <c r="B632" s="1"/>
      <c r="C632" s="3"/>
      <c r="D632" s="1"/>
      <c r="E632" s="1"/>
      <c r="F632" s="1"/>
      <c r="G632" s="1"/>
      <c r="H632" s="1"/>
      <c r="I632" s="1"/>
      <c r="J632" s="1"/>
      <c r="K632" s="2"/>
      <c r="L632" s="1"/>
      <c r="M632" s="3"/>
      <c r="N632" s="3"/>
      <c r="O632" s="4"/>
      <c r="P632" s="4"/>
      <c r="Q632" s="4"/>
      <c r="R632" s="4"/>
      <c r="S632" s="4"/>
      <c r="T632" s="4"/>
      <c r="U632" s="4"/>
      <c r="V632" s="4"/>
      <c r="W632" s="4"/>
      <c r="X632" s="3"/>
      <c r="Y632" s="2"/>
      <c r="Z632" s="2"/>
      <c r="AA632" s="1"/>
      <c r="AB632" s="1"/>
      <c r="AC632" s="1"/>
      <c r="AD632" s="1"/>
      <c r="AE632" s="1"/>
      <c r="AF632" s="1"/>
      <c r="AG632" s="1"/>
      <c r="AH632" s="1"/>
    </row>
    <row r="633" ht="13.5" customHeight="1">
      <c r="A633" s="1"/>
      <c r="B633" s="1"/>
      <c r="C633" s="3"/>
      <c r="D633" s="1"/>
      <c r="E633" s="1"/>
      <c r="F633" s="1"/>
      <c r="G633" s="1"/>
      <c r="H633" s="1"/>
      <c r="I633" s="1"/>
      <c r="J633" s="1"/>
      <c r="K633" s="2"/>
      <c r="L633" s="1"/>
      <c r="M633" s="3"/>
      <c r="N633" s="3"/>
      <c r="O633" s="4"/>
      <c r="P633" s="4"/>
      <c r="Q633" s="4"/>
      <c r="R633" s="4"/>
      <c r="S633" s="4"/>
      <c r="T633" s="4"/>
      <c r="U633" s="4"/>
      <c r="V633" s="4"/>
      <c r="W633" s="4"/>
      <c r="X633" s="3"/>
      <c r="Y633" s="2"/>
      <c r="Z633" s="2"/>
      <c r="AA633" s="1"/>
      <c r="AB633" s="1"/>
      <c r="AC633" s="1"/>
      <c r="AD633" s="1"/>
      <c r="AE633" s="1"/>
      <c r="AF633" s="1"/>
      <c r="AG633" s="1"/>
      <c r="AH633" s="1"/>
    </row>
    <row r="634" ht="13.5" customHeight="1">
      <c r="A634" s="1"/>
      <c r="B634" s="1"/>
      <c r="C634" s="3"/>
      <c r="D634" s="1"/>
      <c r="E634" s="1"/>
      <c r="F634" s="1"/>
      <c r="G634" s="1"/>
      <c r="H634" s="1"/>
      <c r="I634" s="1"/>
      <c r="J634" s="1"/>
      <c r="K634" s="2"/>
      <c r="L634" s="1"/>
      <c r="M634" s="3"/>
      <c r="N634" s="3"/>
      <c r="O634" s="4"/>
      <c r="P634" s="4"/>
      <c r="Q634" s="4"/>
      <c r="R634" s="4"/>
      <c r="S634" s="4"/>
      <c r="T634" s="4"/>
      <c r="U634" s="4"/>
      <c r="V634" s="4"/>
      <c r="W634" s="4"/>
      <c r="X634" s="3"/>
      <c r="Y634" s="2"/>
      <c r="Z634" s="2"/>
      <c r="AA634" s="1"/>
      <c r="AB634" s="1"/>
      <c r="AC634" s="1"/>
      <c r="AD634" s="1"/>
      <c r="AE634" s="1"/>
      <c r="AF634" s="1"/>
      <c r="AG634" s="1"/>
      <c r="AH634" s="1"/>
    </row>
    <row r="635" ht="13.5" customHeight="1">
      <c r="A635" s="1"/>
      <c r="B635" s="1"/>
      <c r="C635" s="3"/>
      <c r="D635" s="1"/>
      <c r="E635" s="1"/>
      <c r="F635" s="1"/>
      <c r="G635" s="1"/>
      <c r="H635" s="1"/>
      <c r="I635" s="1"/>
      <c r="J635" s="1"/>
      <c r="K635" s="2"/>
      <c r="L635" s="1"/>
      <c r="M635" s="3"/>
      <c r="N635" s="3"/>
      <c r="O635" s="4"/>
      <c r="P635" s="4"/>
      <c r="Q635" s="4"/>
      <c r="R635" s="4"/>
      <c r="S635" s="4"/>
      <c r="T635" s="4"/>
      <c r="U635" s="4"/>
      <c r="V635" s="4"/>
      <c r="W635" s="4"/>
      <c r="X635" s="3"/>
      <c r="Y635" s="2"/>
      <c r="Z635" s="2"/>
      <c r="AA635" s="1"/>
      <c r="AB635" s="1"/>
      <c r="AC635" s="1"/>
      <c r="AD635" s="1"/>
      <c r="AE635" s="1"/>
      <c r="AF635" s="1"/>
      <c r="AG635" s="1"/>
      <c r="AH635" s="1"/>
    </row>
    <row r="636" ht="13.5" customHeight="1">
      <c r="A636" s="1"/>
      <c r="B636" s="1"/>
      <c r="C636" s="3"/>
      <c r="D636" s="1"/>
      <c r="E636" s="1"/>
      <c r="F636" s="1"/>
      <c r="G636" s="1"/>
      <c r="H636" s="1"/>
      <c r="I636" s="1"/>
      <c r="J636" s="1"/>
      <c r="K636" s="2"/>
      <c r="L636" s="1"/>
      <c r="M636" s="3"/>
      <c r="N636" s="3"/>
      <c r="O636" s="4"/>
      <c r="P636" s="4"/>
      <c r="Q636" s="4"/>
      <c r="R636" s="4"/>
      <c r="S636" s="4"/>
      <c r="T636" s="4"/>
      <c r="U636" s="4"/>
      <c r="V636" s="4"/>
      <c r="W636" s="4"/>
      <c r="X636" s="3"/>
      <c r="Y636" s="2"/>
      <c r="Z636" s="2"/>
      <c r="AA636" s="1"/>
      <c r="AB636" s="1"/>
      <c r="AC636" s="1"/>
      <c r="AD636" s="1"/>
      <c r="AE636" s="1"/>
      <c r="AF636" s="1"/>
      <c r="AG636" s="1"/>
      <c r="AH636" s="1"/>
    </row>
    <row r="637" ht="13.5" customHeight="1">
      <c r="A637" s="1"/>
      <c r="B637" s="1"/>
      <c r="C637" s="3"/>
      <c r="D637" s="1"/>
      <c r="E637" s="1"/>
      <c r="F637" s="1"/>
      <c r="G637" s="1"/>
      <c r="H637" s="1"/>
      <c r="I637" s="1"/>
      <c r="J637" s="1"/>
      <c r="K637" s="2"/>
      <c r="L637" s="1"/>
      <c r="M637" s="3"/>
      <c r="N637" s="3"/>
      <c r="O637" s="4"/>
      <c r="P637" s="4"/>
      <c r="Q637" s="4"/>
      <c r="R637" s="4"/>
      <c r="S637" s="4"/>
      <c r="T637" s="4"/>
      <c r="U637" s="4"/>
      <c r="V637" s="4"/>
      <c r="W637" s="4"/>
      <c r="X637" s="3"/>
      <c r="Y637" s="2"/>
      <c r="Z637" s="2"/>
      <c r="AA637" s="1"/>
      <c r="AB637" s="1"/>
      <c r="AC637" s="1"/>
      <c r="AD637" s="1"/>
      <c r="AE637" s="1"/>
      <c r="AF637" s="1"/>
      <c r="AG637" s="1"/>
      <c r="AH637" s="1"/>
    </row>
    <row r="638" ht="13.5" customHeight="1">
      <c r="A638" s="1"/>
      <c r="B638" s="1"/>
      <c r="C638" s="3"/>
      <c r="D638" s="1"/>
      <c r="E638" s="1"/>
      <c r="F638" s="1"/>
      <c r="G638" s="1"/>
      <c r="H638" s="1"/>
      <c r="I638" s="1"/>
      <c r="J638" s="1"/>
      <c r="K638" s="2"/>
      <c r="L638" s="1"/>
      <c r="M638" s="3"/>
      <c r="N638" s="3"/>
      <c r="O638" s="4"/>
      <c r="P638" s="4"/>
      <c r="Q638" s="4"/>
      <c r="R638" s="4"/>
      <c r="S638" s="4"/>
      <c r="T638" s="4"/>
      <c r="U638" s="4"/>
      <c r="V638" s="4"/>
      <c r="W638" s="4"/>
      <c r="X638" s="3"/>
      <c r="Y638" s="2"/>
      <c r="Z638" s="2"/>
      <c r="AA638" s="1"/>
      <c r="AB638" s="1"/>
      <c r="AC638" s="1"/>
      <c r="AD638" s="1"/>
      <c r="AE638" s="1"/>
      <c r="AF638" s="1"/>
      <c r="AG638" s="1"/>
      <c r="AH638" s="1"/>
    </row>
    <row r="639" ht="13.5" customHeight="1">
      <c r="A639" s="1"/>
      <c r="B639" s="1"/>
      <c r="C639" s="3"/>
      <c r="D639" s="1"/>
      <c r="E639" s="1"/>
      <c r="F639" s="1"/>
      <c r="G639" s="1"/>
      <c r="H639" s="1"/>
      <c r="I639" s="1"/>
      <c r="J639" s="1"/>
      <c r="K639" s="2"/>
      <c r="L639" s="1"/>
      <c r="M639" s="3"/>
      <c r="N639" s="3"/>
      <c r="O639" s="4"/>
      <c r="P639" s="4"/>
      <c r="Q639" s="4"/>
      <c r="R639" s="4"/>
      <c r="S639" s="4"/>
      <c r="T639" s="4"/>
      <c r="U639" s="4"/>
      <c r="V639" s="4"/>
      <c r="W639" s="4"/>
      <c r="X639" s="3"/>
      <c r="Y639" s="2"/>
      <c r="Z639" s="2"/>
      <c r="AA639" s="1"/>
      <c r="AB639" s="1"/>
      <c r="AC639" s="1"/>
      <c r="AD639" s="1"/>
      <c r="AE639" s="1"/>
      <c r="AF639" s="1"/>
      <c r="AG639" s="1"/>
      <c r="AH639" s="1"/>
    </row>
    <row r="640" ht="13.5" customHeight="1">
      <c r="A640" s="1"/>
      <c r="B640" s="1"/>
      <c r="C640" s="3"/>
      <c r="D640" s="1"/>
      <c r="E640" s="1"/>
      <c r="F640" s="1"/>
      <c r="G640" s="1"/>
      <c r="H640" s="1"/>
      <c r="I640" s="1"/>
      <c r="J640" s="1"/>
      <c r="K640" s="2"/>
      <c r="L640" s="1"/>
      <c r="M640" s="3"/>
      <c r="N640" s="3"/>
      <c r="O640" s="4"/>
      <c r="P640" s="4"/>
      <c r="Q640" s="4"/>
      <c r="R640" s="4"/>
      <c r="S640" s="4"/>
      <c r="T640" s="4"/>
      <c r="U640" s="4"/>
      <c r="V640" s="4"/>
      <c r="W640" s="4"/>
      <c r="X640" s="3"/>
      <c r="Y640" s="2"/>
      <c r="Z640" s="2"/>
      <c r="AA640" s="1"/>
      <c r="AB640" s="1"/>
      <c r="AC640" s="1"/>
      <c r="AD640" s="1"/>
      <c r="AE640" s="1"/>
      <c r="AF640" s="1"/>
      <c r="AG640" s="1"/>
      <c r="AH640" s="1"/>
    </row>
    <row r="641" ht="13.5" customHeight="1">
      <c r="A641" s="1"/>
      <c r="B641" s="1"/>
      <c r="C641" s="3"/>
      <c r="D641" s="1"/>
      <c r="E641" s="1"/>
      <c r="F641" s="1"/>
      <c r="G641" s="1"/>
      <c r="H641" s="1"/>
      <c r="I641" s="1"/>
      <c r="J641" s="1"/>
      <c r="K641" s="2"/>
      <c r="L641" s="1"/>
      <c r="M641" s="3"/>
      <c r="N641" s="3"/>
      <c r="O641" s="4"/>
      <c r="P641" s="4"/>
      <c r="Q641" s="4"/>
      <c r="R641" s="4"/>
      <c r="S641" s="4"/>
      <c r="T641" s="4"/>
      <c r="U641" s="4"/>
      <c r="V641" s="4"/>
      <c r="W641" s="4"/>
      <c r="X641" s="3"/>
      <c r="Y641" s="2"/>
      <c r="Z641" s="2"/>
      <c r="AA641" s="1"/>
      <c r="AB641" s="1"/>
      <c r="AC641" s="1"/>
      <c r="AD641" s="1"/>
      <c r="AE641" s="1"/>
      <c r="AF641" s="1"/>
      <c r="AG641" s="1"/>
      <c r="AH641" s="1"/>
    </row>
    <row r="642" ht="13.5" customHeight="1">
      <c r="A642" s="1"/>
      <c r="B642" s="1"/>
      <c r="C642" s="3"/>
      <c r="D642" s="1"/>
      <c r="E642" s="1"/>
      <c r="F642" s="1"/>
      <c r="G642" s="1"/>
      <c r="H642" s="1"/>
      <c r="I642" s="1"/>
      <c r="J642" s="1"/>
      <c r="K642" s="2"/>
      <c r="L642" s="1"/>
      <c r="M642" s="3"/>
      <c r="N642" s="3"/>
      <c r="O642" s="4"/>
      <c r="P642" s="4"/>
      <c r="Q642" s="4"/>
      <c r="R642" s="4"/>
      <c r="S642" s="4"/>
      <c r="T642" s="4"/>
      <c r="U642" s="4"/>
      <c r="V642" s="4"/>
      <c r="W642" s="4"/>
      <c r="X642" s="3"/>
      <c r="Y642" s="2"/>
      <c r="Z642" s="2"/>
      <c r="AA642" s="1"/>
      <c r="AB642" s="1"/>
      <c r="AC642" s="1"/>
      <c r="AD642" s="1"/>
      <c r="AE642" s="1"/>
      <c r="AF642" s="1"/>
      <c r="AG642" s="1"/>
      <c r="AH642" s="1"/>
    </row>
    <row r="643" ht="13.5" customHeight="1">
      <c r="A643" s="1"/>
      <c r="B643" s="1"/>
      <c r="C643" s="3"/>
      <c r="D643" s="1"/>
      <c r="E643" s="1"/>
      <c r="F643" s="1"/>
      <c r="G643" s="1"/>
      <c r="H643" s="1"/>
      <c r="I643" s="1"/>
      <c r="J643" s="1"/>
      <c r="K643" s="2"/>
      <c r="L643" s="1"/>
      <c r="M643" s="3"/>
      <c r="N643" s="3"/>
      <c r="O643" s="4"/>
      <c r="P643" s="4"/>
      <c r="Q643" s="4"/>
      <c r="R643" s="4"/>
      <c r="S643" s="4"/>
      <c r="T643" s="4"/>
      <c r="U643" s="4"/>
      <c r="V643" s="4"/>
      <c r="W643" s="4"/>
      <c r="X643" s="3"/>
      <c r="Y643" s="2"/>
      <c r="Z643" s="2"/>
      <c r="AA643" s="1"/>
      <c r="AB643" s="1"/>
      <c r="AC643" s="1"/>
      <c r="AD643" s="1"/>
      <c r="AE643" s="1"/>
      <c r="AF643" s="1"/>
      <c r="AG643" s="1"/>
      <c r="AH643" s="1"/>
    </row>
    <row r="644" ht="13.5" customHeight="1">
      <c r="A644" s="1"/>
      <c r="B644" s="1"/>
      <c r="C644" s="3"/>
      <c r="D644" s="1"/>
      <c r="E644" s="1"/>
      <c r="F644" s="1"/>
      <c r="G644" s="1"/>
      <c r="H644" s="1"/>
      <c r="I644" s="1"/>
      <c r="J644" s="1"/>
      <c r="K644" s="2"/>
      <c r="L644" s="1"/>
      <c r="M644" s="3"/>
      <c r="N644" s="3"/>
      <c r="O644" s="4"/>
      <c r="P644" s="4"/>
      <c r="Q644" s="4"/>
      <c r="R644" s="4"/>
      <c r="S644" s="4"/>
      <c r="T644" s="4"/>
      <c r="U644" s="4"/>
      <c r="V644" s="4"/>
      <c r="W644" s="4"/>
      <c r="X644" s="3"/>
      <c r="Y644" s="2"/>
      <c r="Z644" s="2"/>
      <c r="AA644" s="1"/>
      <c r="AB644" s="1"/>
      <c r="AC644" s="1"/>
      <c r="AD644" s="1"/>
      <c r="AE644" s="1"/>
      <c r="AF644" s="1"/>
      <c r="AG644" s="1"/>
      <c r="AH644" s="1"/>
    </row>
    <row r="645" ht="13.5" customHeight="1">
      <c r="A645" s="1"/>
      <c r="B645" s="1"/>
      <c r="C645" s="3"/>
      <c r="D645" s="1"/>
      <c r="E645" s="1"/>
      <c r="F645" s="1"/>
      <c r="G645" s="1"/>
      <c r="H645" s="1"/>
      <c r="I645" s="1"/>
      <c r="J645" s="1"/>
      <c r="K645" s="2"/>
      <c r="L645" s="1"/>
      <c r="M645" s="3"/>
      <c r="N645" s="3"/>
      <c r="O645" s="4"/>
      <c r="P645" s="4"/>
      <c r="Q645" s="4"/>
      <c r="R645" s="4"/>
      <c r="S645" s="4"/>
      <c r="T645" s="4"/>
      <c r="U645" s="4"/>
      <c r="V645" s="4"/>
      <c r="W645" s="4"/>
      <c r="X645" s="3"/>
      <c r="Y645" s="2"/>
      <c r="Z645" s="2"/>
      <c r="AA645" s="1"/>
      <c r="AB645" s="1"/>
      <c r="AC645" s="1"/>
      <c r="AD645" s="1"/>
      <c r="AE645" s="1"/>
      <c r="AF645" s="1"/>
      <c r="AG645" s="1"/>
      <c r="AH645" s="1"/>
    </row>
    <row r="646" ht="13.5" customHeight="1">
      <c r="A646" s="1"/>
      <c r="B646" s="1"/>
      <c r="C646" s="3"/>
      <c r="D646" s="1"/>
      <c r="E646" s="1"/>
      <c r="F646" s="1"/>
      <c r="G646" s="1"/>
      <c r="H646" s="1"/>
      <c r="I646" s="1"/>
      <c r="J646" s="1"/>
      <c r="K646" s="2"/>
      <c r="L646" s="1"/>
      <c r="M646" s="3"/>
      <c r="N646" s="3"/>
      <c r="O646" s="4"/>
      <c r="P646" s="4"/>
      <c r="Q646" s="4"/>
      <c r="R646" s="4"/>
      <c r="S646" s="4"/>
      <c r="T646" s="4"/>
      <c r="U646" s="4"/>
      <c r="V646" s="4"/>
      <c r="W646" s="4"/>
      <c r="X646" s="3"/>
      <c r="Y646" s="2"/>
      <c r="Z646" s="2"/>
      <c r="AA646" s="1"/>
      <c r="AB646" s="1"/>
      <c r="AC646" s="1"/>
      <c r="AD646" s="1"/>
      <c r="AE646" s="1"/>
      <c r="AF646" s="1"/>
      <c r="AG646" s="1"/>
      <c r="AH646" s="1"/>
    </row>
    <row r="647" ht="13.5" customHeight="1">
      <c r="A647" s="1"/>
      <c r="B647" s="1"/>
      <c r="C647" s="3"/>
      <c r="D647" s="1"/>
      <c r="E647" s="1"/>
      <c r="F647" s="1"/>
      <c r="G647" s="1"/>
      <c r="H647" s="1"/>
      <c r="I647" s="1"/>
      <c r="J647" s="1"/>
      <c r="K647" s="2"/>
      <c r="L647" s="1"/>
      <c r="M647" s="3"/>
      <c r="N647" s="3"/>
      <c r="O647" s="4"/>
      <c r="P647" s="4"/>
      <c r="Q647" s="4"/>
      <c r="R647" s="4"/>
      <c r="S647" s="4"/>
      <c r="T647" s="4"/>
      <c r="U647" s="4"/>
      <c r="V647" s="4"/>
      <c r="W647" s="4"/>
      <c r="X647" s="3"/>
      <c r="Y647" s="2"/>
      <c r="Z647" s="2"/>
      <c r="AA647" s="1"/>
      <c r="AB647" s="1"/>
      <c r="AC647" s="1"/>
      <c r="AD647" s="1"/>
      <c r="AE647" s="1"/>
      <c r="AF647" s="1"/>
      <c r="AG647" s="1"/>
      <c r="AH647" s="1"/>
    </row>
    <row r="648" ht="13.5" customHeight="1">
      <c r="A648" s="1"/>
      <c r="B648" s="1"/>
      <c r="C648" s="3"/>
      <c r="D648" s="1"/>
      <c r="E648" s="1"/>
      <c r="F648" s="1"/>
      <c r="G648" s="1"/>
      <c r="H648" s="1"/>
      <c r="I648" s="1"/>
      <c r="J648" s="1"/>
      <c r="K648" s="2"/>
      <c r="L648" s="1"/>
      <c r="M648" s="3"/>
      <c r="N648" s="3"/>
      <c r="O648" s="4"/>
      <c r="P648" s="4"/>
      <c r="Q648" s="4"/>
      <c r="R648" s="4"/>
      <c r="S648" s="4"/>
      <c r="T648" s="4"/>
      <c r="U648" s="4"/>
      <c r="V648" s="4"/>
      <c r="W648" s="4"/>
      <c r="X648" s="3"/>
      <c r="Y648" s="2"/>
      <c r="Z648" s="2"/>
      <c r="AA648" s="1"/>
      <c r="AB648" s="1"/>
      <c r="AC648" s="1"/>
      <c r="AD648" s="1"/>
      <c r="AE648" s="1"/>
      <c r="AF648" s="1"/>
      <c r="AG648" s="1"/>
      <c r="AH648" s="1"/>
    </row>
    <row r="649" ht="13.5" customHeight="1">
      <c r="A649" s="1"/>
      <c r="B649" s="1"/>
      <c r="C649" s="3"/>
      <c r="D649" s="1"/>
      <c r="E649" s="1"/>
      <c r="F649" s="1"/>
      <c r="G649" s="1"/>
      <c r="H649" s="1"/>
      <c r="I649" s="1"/>
      <c r="J649" s="1"/>
      <c r="K649" s="2"/>
      <c r="L649" s="1"/>
      <c r="M649" s="3"/>
      <c r="N649" s="3"/>
      <c r="O649" s="4"/>
      <c r="P649" s="4"/>
      <c r="Q649" s="4"/>
      <c r="R649" s="4"/>
      <c r="S649" s="4"/>
      <c r="T649" s="4"/>
      <c r="U649" s="4"/>
      <c r="V649" s="4"/>
      <c r="W649" s="4"/>
      <c r="X649" s="3"/>
      <c r="Y649" s="2"/>
      <c r="Z649" s="2"/>
      <c r="AA649" s="1"/>
      <c r="AB649" s="1"/>
      <c r="AC649" s="1"/>
      <c r="AD649" s="1"/>
      <c r="AE649" s="1"/>
      <c r="AF649" s="1"/>
      <c r="AG649" s="1"/>
      <c r="AH649" s="1"/>
    </row>
    <row r="650" ht="13.5" customHeight="1">
      <c r="A650" s="1"/>
      <c r="B650" s="1"/>
      <c r="C650" s="3"/>
      <c r="D650" s="1"/>
      <c r="E650" s="1"/>
      <c r="F650" s="1"/>
      <c r="G650" s="1"/>
      <c r="H650" s="1"/>
      <c r="I650" s="1"/>
      <c r="J650" s="1"/>
      <c r="K650" s="2"/>
      <c r="L650" s="1"/>
      <c r="M650" s="3"/>
      <c r="N650" s="3"/>
      <c r="O650" s="4"/>
      <c r="P650" s="4"/>
      <c r="Q650" s="4"/>
      <c r="R650" s="4"/>
      <c r="S650" s="4"/>
      <c r="T650" s="4"/>
      <c r="U650" s="4"/>
      <c r="V650" s="4"/>
      <c r="W650" s="4"/>
      <c r="X650" s="3"/>
      <c r="Y650" s="2"/>
      <c r="Z650" s="2"/>
      <c r="AA650" s="1"/>
      <c r="AB650" s="1"/>
      <c r="AC650" s="1"/>
      <c r="AD650" s="1"/>
      <c r="AE650" s="1"/>
      <c r="AF650" s="1"/>
      <c r="AG650" s="1"/>
      <c r="AH650" s="1"/>
    </row>
    <row r="651" ht="13.5" customHeight="1">
      <c r="A651" s="1"/>
      <c r="B651" s="1"/>
      <c r="C651" s="3"/>
      <c r="D651" s="1"/>
      <c r="E651" s="1"/>
      <c r="F651" s="1"/>
      <c r="G651" s="1"/>
      <c r="H651" s="1"/>
      <c r="I651" s="1"/>
      <c r="J651" s="1"/>
      <c r="K651" s="2"/>
      <c r="L651" s="1"/>
      <c r="M651" s="3"/>
      <c r="N651" s="3"/>
      <c r="O651" s="4"/>
      <c r="P651" s="4"/>
      <c r="Q651" s="4"/>
      <c r="R651" s="4"/>
      <c r="S651" s="4"/>
      <c r="T651" s="4"/>
      <c r="U651" s="4"/>
      <c r="V651" s="4"/>
      <c r="W651" s="4"/>
      <c r="X651" s="3"/>
      <c r="Y651" s="2"/>
      <c r="Z651" s="2"/>
      <c r="AA651" s="1"/>
      <c r="AB651" s="1"/>
      <c r="AC651" s="1"/>
      <c r="AD651" s="1"/>
      <c r="AE651" s="1"/>
      <c r="AF651" s="1"/>
      <c r="AG651" s="1"/>
      <c r="AH651" s="1"/>
    </row>
    <row r="652" ht="13.5" customHeight="1">
      <c r="A652" s="1"/>
      <c r="B652" s="1"/>
      <c r="C652" s="3"/>
      <c r="D652" s="1"/>
      <c r="E652" s="1"/>
      <c r="F652" s="1"/>
      <c r="G652" s="1"/>
      <c r="H652" s="1"/>
      <c r="I652" s="1"/>
      <c r="J652" s="1"/>
      <c r="K652" s="2"/>
      <c r="L652" s="1"/>
      <c r="M652" s="3"/>
      <c r="N652" s="3"/>
      <c r="O652" s="4"/>
      <c r="P652" s="4"/>
      <c r="Q652" s="4"/>
      <c r="R652" s="4"/>
      <c r="S652" s="4"/>
      <c r="T652" s="4"/>
      <c r="U652" s="4"/>
      <c r="V652" s="4"/>
      <c r="W652" s="4"/>
      <c r="X652" s="3"/>
      <c r="Y652" s="2"/>
      <c r="Z652" s="2"/>
      <c r="AA652" s="1"/>
      <c r="AB652" s="1"/>
      <c r="AC652" s="1"/>
      <c r="AD652" s="1"/>
      <c r="AE652" s="1"/>
      <c r="AF652" s="1"/>
      <c r="AG652" s="1"/>
      <c r="AH652" s="1"/>
    </row>
    <row r="653" ht="13.5" customHeight="1">
      <c r="A653" s="1"/>
      <c r="B653" s="1"/>
      <c r="C653" s="3"/>
      <c r="D653" s="1"/>
      <c r="E653" s="1"/>
      <c r="F653" s="1"/>
      <c r="G653" s="1"/>
      <c r="H653" s="1"/>
      <c r="I653" s="1"/>
      <c r="J653" s="1"/>
      <c r="K653" s="2"/>
      <c r="L653" s="1"/>
      <c r="M653" s="3"/>
      <c r="N653" s="3"/>
      <c r="O653" s="4"/>
      <c r="P653" s="4"/>
      <c r="Q653" s="4"/>
      <c r="R653" s="4"/>
      <c r="S653" s="4"/>
      <c r="T653" s="4"/>
      <c r="U653" s="4"/>
      <c r="V653" s="4"/>
      <c r="W653" s="4"/>
      <c r="X653" s="3"/>
      <c r="Y653" s="2"/>
      <c r="Z653" s="2"/>
      <c r="AA653" s="1"/>
      <c r="AB653" s="1"/>
      <c r="AC653" s="1"/>
      <c r="AD653" s="1"/>
      <c r="AE653" s="1"/>
      <c r="AF653" s="1"/>
      <c r="AG653" s="1"/>
      <c r="AH653" s="1"/>
    </row>
    <row r="654" ht="13.5" customHeight="1">
      <c r="A654" s="1"/>
      <c r="B654" s="1"/>
      <c r="C654" s="3"/>
      <c r="D654" s="1"/>
      <c r="E654" s="1"/>
      <c r="F654" s="1"/>
      <c r="G654" s="1"/>
      <c r="H654" s="1"/>
      <c r="I654" s="1"/>
      <c r="J654" s="1"/>
      <c r="K654" s="2"/>
      <c r="L654" s="1"/>
      <c r="M654" s="3"/>
      <c r="N654" s="3"/>
      <c r="O654" s="4"/>
      <c r="P654" s="4"/>
      <c r="Q654" s="4"/>
      <c r="R654" s="4"/>
      <c r="S654" s="4"/>
      <c r="T654" s="4"/>
      <c r="U654" s="4"/>
      <c r="V654" s="4"/>
      <c r="W654" s="4"/>
      <c r="X654" s="3"/>
      <c r="Y654" s="2"/>
      <c r="Z654" s="2"/>
      <c r="AA654" s="1"/>
      <c r="AB654" s="1"/>
      <c r="AC654" s="1"/>
      <c r="AD654" s="1"/>
      <c r="AE654" s="1"/>
      <c r="AF654" s="1"/>
      <c r="AG654" s="1"/>
      <c r="AH654" s="1"/>
    </row>
    <row r="655" ht="13.5" customHeight="1">
      <c r="A655" s="1"/>
      <c r="B655" s="1"/>
      <c r="C655" s="3"/>
      <c r="D655" s="1"/>
      <c r="E655" s="1"/>
      <c r="F655" s="1"/>
      <c r="G655" s="1"/>
      <c r="H655" s="1"/>
      <c r="I655" s="1"/>
      <c r="J655" s="1"/>
      <c r="K655" s="2"/>
      <c r="L655" s="1"/>
      <c r="M655" s="3"/>
      <c r="N655" s="3"/>
      <c r="O655" s="4"/>
      <c r="P655" s="4"/>
      <c r="Q655" s="4"/>
      <c r="R655" s="4"/>
      <c r="S655" s="4"/>
      <c r="T655" s="4"/>
      <c r="U655" s="4"/>
      <c r="V655" s="4"/>
      <c r="W655" s="4"/>
      <c r="X655" s="3"/>
      <c r="Y655" s="2"/>
      <c r="Z655" s="2"/>
      <c r="AA655" s="1"/>
      <c r="AB655" s="1"/>
      <c r="AC655" s="1"/>
      <c r="AD655" s="1"/>
      <c r="AE655" s="1"/>
      <c r="AF655" s="1"/>
      <c r="AG655" s="1"/>
      <c r="AH655" s="1"/>
    </row>
    <row r="656" ht="13.5" customHeight="1">
      <c r="A656" s="1"/>
      <c r="B656" s="1"/>
      <c r="C656" s="3"/>
      <c r="D656" s="1"/>
      <c r="E656" s="1"/>
      <c r="F656" s="1"/>
      <c r="G656" s="1"/>
      <c r="H656" s="1"/>
      <c r="I656" s="1"/>
      <c r="J656" s="1"/>
      <c r="K656" s="2"/>
      <c r="L656" s="1"/>
      <c r="M656" s="3"/>
      <c r="N656" s="3"/>
      <c r="O656" s="4"/>
      <c r="P656" s="4"/>
      <c r="Q656" s="4"/>
      <c r="R656" s="4"/>
      <c r="S656" s="4"/>
      <c r="T656" s="4"/>
      <c r="U656" s="4"/>
      <c r="V656" s="4"/>
      <c r="W656" s="4"/>
      <c r="X656" s="3"/>
      <c r="Y656" s="2"/>
      <c r="Z656" s="2"/>
      <c r="AA656" s="1"/>
      <c r="AB656" s="1"/>
      <c r="AC656" s="1"/>
      <c r="AD656" s="1"/>
      <c r="AE656" s="1"/>
      <c r="AF656" s="1"/>
      <c r="AG656" s="1"/>
      <c r="AH656" s="1"/>
    </row>
    <row r="657" ht="13.5" customHeight="1">
      <c r="A657" s="1"/>
      <c r="B657" s="1"/>
      <c r="C657" s="3"/>
      <c r="D657" s="1"/>
      <c r="E657" s="1"/>
      <c r="F657" s="1"/>
      <c r="G657" s="1"/>
      <c r="H657" s="1"/>
      <c r="I657" s="1"/>
      <c r="J657" s="1"/>
      <c r="K657" s="2"/>
      <c r="L657" s="1"/>
      <c r="M657" s="3"/>
      <c r="N657" s="3"/>
      <c r="O657" s="4"/>
      <c r="P657" s="4"/>
      <c r="Q657" s="4"/>
      <c r="R657" s="4"/>
      <c r="S657" s="4"/>
      <c r="T657" s="4"/>
      <c r="U657" s="4"/>
      <c r="V657" s="4"/>
      <c r="W657" s="4"/>
      <c r="X657" s="3"/>
      <c r="Y657" s="2"/>
      <c r="Z657" s="2"/>
      <c r="AA657" s="1"/>
      <c r="AB657" s="1"/>
      <c r="AC657" s="1"/>
      <c r="AD657" s="1"/>
      <c r="AE657" s="1"/>
      <c r="AF657" s="1"/>
      <c r="AG657" s="1"/>
      <c r="AH657" s="1"/>
    </row>
    <row r="658" ht="13.5" customHeight="1">
      <c r="A658" s="1"/>
      <c r="B658" s="1"/>
      <c r="C658" s="3"/>
      <c r="D658" s="1"/>
      <c r="E658" s="1"/>
      <c r="F658" s="1"/>
      <c r="G658" s="1"/>
      <c r="H658" s="1"/>
      <c r="I658" s="1"/>
      <c r="J658" s="1"/>
      <c r="K658" s="2"/>
      <c r="L658" s="1"/>
      <c r="M658" s="3"/>
      <c r="N658" s="3"/>
      <c r="O658" s="4"/>
      <c r="P658" s="4"/>
      <c r="Q658" s="4"/>
      <c r="R658" s="4"/>
      <c r="S658" s="4"/>
      <c r="T658" s="4"/>
      <c r="U658" s="4"/>
      <c r="V658" s="4"/>
      <c r="W658" s="4"/>
      <c r="X658" s="3"/>
      <c r="Y658" s="2"/>
      <c r="Z658" s="2"/>
      <c r="AA658" s="1"/>
      <c r="AB658" s="1"/>
      <c r="AC658" s="1"/>
      <c r="AD658" s="1"/>
      <c r="AE658" s="1"/>
      <c r="AF658" s="1"/>
      <c r="AG658" s="1"/>
      <c r="AH658" s="1"/>
    </row>
    <row r="659" ht="13.5" customHeight="1">
      <c r="A659" s="1"/>
      <c r="B659" s="1"/>
      <c r="C659" s="3"/>
      <c r="D659" s="1"/>
      <c r="E659" s="1"/>
      <c r="F659" s="1"/>
      <c r="G659" s="1"/>
      <c r="H659" s="1"/>
      <c r="I659" s="1"/>
      <c r="J659" s="1"/>
      <c r="K659" s="2"/>
      <c r="L659" s="1"/>
      <c r="M659" s="3"/>
      <c r="N659" s="3"/>
      <c r="O659" s="4"/>
      <c r="P659" s="4"/>
      <c r="Q659" s="4"/>
      <c r="R659" s="4"/>
      <c r="S659" s="4"/>
      <c r="T659" s="4"/>
      <c r="U659" s="4"/>
      <c r="V659" s="4"/>
      <c r="W659" s="4"/>
      <c r="X659" s="3"/>
      <c r="Y659" s="2"/>
      <c r="Z659" s="2"/>
      <c r="AA659" s="1"/>
      <c r="AB659" s="1"/>
      <c r="AC659" s="1"/>
      <c r="AD659" s="1"/>
      <c r="AE659" s="1"/>
      <c r="AF659" s="1"/>
      <c r="AG659" s="1"/>
      <c r="AH659" s="1"/>
    </row>
    <row r="660" ht="13.5" customHeight="1">
      <c r="A660" s="1"/>
      <c r="B660" s="1"/>
      <c r="C660" s="3"/>
      <c r="D660" s="1"/>
      <c r="E660" s="1"/>
      <c r="F660" s="1"/>
      <c r="G660" s="1"/>
      <c r="H660" s="1"/>
      <c r="I660" s="1"/>
      <c r="J660" s="1"/>
      <c r="K660" s="2"/>
      <c r="L660" s="1"/>
      <c r="M660" s="3"/>
      <c r="N660" s="3"/>
      <c r="O660" s="4"/>
      <c r="P660" s="4"/>
      <c r="Q660" s="4"/>
      <c r="R660" s="4"/>
      <c r="S660" s="4"/>
      <c r="T660" s="4"/>
      <c r="U660" s="4"/>
      <c r="V660" s="4"/>
      <c r="W660" s="4"/>
      <c r="X660" s="3"/>
      <c r="Y660" s="2"/>
      <c r="Z660" s="2"/>
      <c r="AA660" s="1"/>
      <c r="AB660" s="1"/>
      <c r="AC660" s="1"/>
      <c r="AD660" s="1"/>
      <c r="AE660" s="1"/>
      <c r="AF660" s="1"/>
      <c r="AG660" s="1"/>
      <c r="AH660" s="1"/>
    </row>
    <row r="661" ht="13.5" customHeight="1">
      <c r="A661" s="1"/>
      <c r="B661" s="1"/>
      <c r="C661" s="3"/>
      <c r="D661" s="1"/>
      <c r="E661" s="1"/>
      <c r="F661" s="1"/>
      <c r="G661" s="1"/>
      <c r="H661" s="1"/>
      <c r="I661" s="1"/>
      <c r="J661" s="1"/>
      <c r="K661" s="2"/>
      <c r="L661" s="1"/>
      <c r="M661" s="3"/>
      <c r="N661" s="3"/>
      <c r="O661" s="4"/>
      <c r="P661" s="4"/>
      <c r="Q661" s="4"/>
      <c r="R661" s="4"/>
      <c r="S661" s="4"/>
      <c r="T661" s="4"/>
      <c r="U661" s="4"/>
      <c r="V661" s="4"/>
      <c r="W661" s="4"/>
      <c r="X661" s="3"/>
      <c r="Y661" s="2"/>
      <c r="Z661" s="2"/>
      <c r="AA661" s="1"/>
      <c r="AB661" s="1"/>
      <c r="AC661" s="1"/>
      <c r="AD661" s="1"/>
      <c r="AE661" s="1"/>
      <c r="AF661" s="1"/>
      <c r="AG661" s="1"/>
      <c r="AH661" s="1"/>
    </row>
    <row r="662" ht="13.5" customHeight="1">
      <c r="A662" s="1"/>
      <c r="B662" s="1"/>
      <c r="C662" s="3"/>
      <c r="D662" s="1"/>
      <c r="E662" s="1"/>
      <c r="F662" s="1"/>
      <c r="G662" s="1"/>
      <c r="H662" s="1"/>
      <c r="I662" s="1"/>
      <c r="J662" s="1"/>
      <c r="K662" s="2"/>
      <c r="L662" s="1"/>
      <c r="M662" s="3"/>
      <c r="N662" s="3"/>
      <c r="O662" s="4"/>
      <c r="P662" s="4"/>
      <c r="Q662" s="4"/>
      <c r="R662" s="4"/>
      <c r="S662" s="4"/>
      <c r="T662" s="4"/>
      <c r="U662" s="4"/>
      <c r="V662" s="4"/>
      <c r="W662" s="4"/>
      <c r="X662" s="3"/>
      <c r="Y662" s="2"/>
      <c r="Z662" s="2"/>
      <c r="AA662" s="1"/>
      <c r="AB662" s="1"/>
      <c r="AC662" s="1"/>
      <c r="AD662" s="1"/>
      <c r="AE662" s="1"/>
      <c r="AF662" s="1"/>
      <c r="AG662" s="1"/>
      <c r="AH662" s="1"/>
    </row>
    <row r="663" ht="13.5" customHeight="1">
      <c r="A663" s="1"/>
      <c r="B663" s="1"/>
      <c r="C663" s="3"/>
      <c r="D663" s="1"/>
      <c r="E663" s="1"/>
      <c r="F663" s="1"/>
      <c r="G663" s="1"/>
      <c r="H663" s="1"/>
      <c r="I663" s="1"/>
      <c r="J663" s="1"/>
      <c r="K663" s="2"/>
      <c r="L663" s="1"/>
      <c r="M663" s="3"/>
      <c r="N663" s="3"/>
      <c r="O663" s="4"/>
      <c r="P663" s="4"/>
      <c r="Q663" s="4"/>
      <c r="R663" s="4"/>
      <c r="S663" s="4"/>
      <c r="T663" s="4"/>
      <c r="U663" s="4"/>
      <c r="V663" s="4"/>
      <c r="W663" s="4"/>
      <c r="X663" s="3"/>
      <c r="Y663" s="2"/>
      <c r="Z663" s="2"/>
      <c r="AA663" s="1"/>
      <c r="AB663" s="1"/>
      <c r="AC663" s="1"/>
      <c r="AD663" s="1"/>
      <c r="AE663" s="1"/>
      <c r="AF663" s="1"/>
      <c r="AG663" s="1"/>
      <c r="AH663" s="1"/>
    </row>
    <row r="664" ht="13.5" customHeight="1">
      <c r="A664" s="1"/>
      <c r="B664" s="1"/>
      <c r="C664" s="3"/>
      <c r="D664" s="1"/>
      <c r="E664" s="1"/>
      <c r="F664" s="1"/>
      <c r="G664" s="1"/>
      <c r="H664" s="1"/>
      <c r="I664" s="1"/>
      <c r="J664" s="1"/>
      <c r="K664" s="2"/>
      <c r="L664" s="1"/>
      <c r="M664" s="3"/>
      <c r="N664" s="3"/>
      <c r="O664" s="4"/>
      <c r="P664" s="4"/>
      <c r="Q664" s="4"/>
      <c r="R664" s="4"/>
      <c r="S664" s="4"/>
      <c r="T664" s="4"/>
      <c r="U664" s="4"/>
      <c r="V664" s="4"/>
      <c r="W664" s="4"/>
      <c r="X664" s="3"/>
      <c r="Y664" s="2"/>
      <c r="Z664" s="2"/>
      <c r="AA664" s="1"/>
      <c r="AB664" s="1"/>
      <c r="AC664" s="1"/>
      <c r="AD664" s="1"/>
      <c r="AE664" s="1"/>
      <c r="AF664" s="1"/>
      <c r="AG664" s="1"/>
      <c r="AH664" s="1"/>
    </row>
    <row r="665" ht="13.5" customHeight="1">
      <c r="A665" s="1"/>
      <c r="B665" s="1"/>
      <c r="C665" s="3"/>
      <c r="D665" s="1"/>
      <c r="E665" s="1"/>
      <c r="F665" s="1"/>
      <c r="G665" s="1"/>
      <c r="H665" s="1"/>
      <c r="I665" s="1"/>
      <c r="J665" s="1"/>
      <c r="K665" s="2"/>
      <c r="L665" s="1"/>
      <c r="M665" s="3"/>
      <c r="N665" s="3"/>
      <c r="O665" s="4"/>
      <c r="P665" s="4"/>
      <c r="Q665" s="4"/>
      <c r="R665" s="4"/>
      <c r="S665" s="4"/>
      <c r="T665" s="4"/>
      <c r="U665" s="4"/>
      <c r="V665" s="4"/>
      <c r="W665" s="4"/>
      <c r="X665" s="3"/>
      <c r="Y665" s="2"/>
      <c r="Z665" s="2"/>
      <c r="AA665" s="1"/>
      <c r="AB665" s="1"/>
      <c r="AC665" s="1"/>
      <c r="AD665" s="1"/>
      <c r="AE665" s="1"/>
      <c r="AF665" s="1"/>
      <c r="AG665" s="1"/>
      <c r="AH665" s="1"/>
    </row>
    <row r="666" ht="13.5" customHeight="1">
      <c r="A666" s="1"/>
      <c r="B666" s="1"/>
      <c r="C666" s="3"/>
      <c r="D666" s="1"/>
      <c r="E666" s="1"/>
      <c r="F666" s="1"/>
      <c r="G666" s="1"/>
      <c r="H666" s="1"/>
      <c r="I666" s="1"/>
      <c r="J666" s="1"/>
      <c r="K666" s="2"/>
      <c r="L666" s="1"/>
      <c r="M666" s="3"/>
      <c r="N666" s="3"/>
      <c r="O666" s="4"/>
      <c r="P666" s="4"/>
      <c r="Q666" s="4"/>
      <c r="R666" s="4"/>
      <c r="S666" s="4"/>
      <c r="T666" s="4"/>
      <c r="U666" s="4"/>
      <c r="V666" s="4"/>
      <c r="W666" s="4"/>
      <c r="X666" s="3"/>
      <c r="Y666" s="2"/>
      <c r="Z666" s="2"/>
      <c r="AA666" s="1"/>
      <c r="AB666" s="1"/>
      <c r="AC666" s="1"/>
      <c r="AD666" s="1"/>
      <c r="AE666" s="1"/>
      <c r="AF666" s="1"/>
      <c r="AG666" s="1"/>
      <c r="AH666" s="1"/>
    </row>
    <row r="667" ht="13.5" customHeight="1">
      <c r="A667" s="1"/>
      <c r="B667" s="1"/>
      <c r="C667" s="3"/>
      <c r="D667" s="1"/>
      <c r="E667" s="1"/>
      <c r="F667" s="1"/>
      <c r="G667" s="1"/>
      <c r="H667" s="1"/>
      <c r="I667" s="1"/>
      <c r="J667" s="1"/>
      <c r="K667" s="2"/>
      <c r="L667" s="1"/>
      <c r="M667" s="3"/>
      <c r="N667" s="3"/>
      <c r="O667" s="4"/>
      <c r="P667" s="4"/>
      <c r="Q667" s="4"/>
      <c r="R667" s="4"/>
      <c r="S667" s="4"/>
      <c r="T667" s="4"/>
      <c r="U667" s="4"/>
      <c r="V667" s="4"/>
      <c r="W667" s="4"/>
      <c r="X667" s="3"/>
      <c r="Y667" s="2"/>
      <c r="Z667" s="2"/>
      <c r="AA667" s="1"/>
      <c r="AB667" s="1"/>
      <c r="AC667" s="1"/>
      <c r="AD667" s="1"/>
      <c r="AE667" s="1"/>
      <c r="AF667" s="1"/>
      <c r="AG667" s="1"/>
      <c r="AH667" s="1"/>
    </row>
    <row r="668" ht="13.5" customHeight="1">
      <c r="A668" s="1"/>
      <c r="B668" s="1"/>
      <c r="C668" s="3"/>
      <c r="D668" s="1"/>
      <c r="E668" s="1"/>
      <c r="F668" s="1"/>
      <c r="G668" s="1"/>
      <c r="H668" s="1"/>
      <c r="I668" s="1"/>
      <c r="J668" s="1"/>
      <c r="K668" s="2"/>
      <c r="L668" s="1"/>
      <c r="M668" s="3"/>
      <c r="N668" s="3"/>
      <c r="O668" s="4"/>
      <c r="P668" s="4"/>
      <c r="Q668" s="4"/>
      <c r="R668" s="4"/>
      <c r="S668" s="4"/>
      <c r="T668" s="4"/>
      <c r="U668" s="4"/>
      <c r="V668" s="4"/>
      <c r="W668" s="4"/>
      <c r="X668" s="3"/>
      <c r="Y668" s="2"/>
      <c r="Z668" s="2"/>
      <c r="AA668" s="1"/>
      <c r="AB668" s="1"/>
      <c r="AC668" s="1"/>
      <c r="AD668" s="1"/>
      <c r="AE668" s="1"/>
      <c r="AF668" s="1"/>
      <c r="AG668" s="1"/>
      <c r="AH668" s="1"/>
    </row>
    <row r="669" ht="13.5" customHeight="1">
      <c r="A669" s="1"/>
      <c r="B669" s="1"/>
      <c r="C669" s="3"/>
      <c r="D669" s="1"/>
      <c r="E669" s="1"/>
      <c r="F669" s="1"/>
      <c r="G669" s="1"/>
      <c r="H669" s="1"/>
      <c r="I669" s="1"/>
      <c r="J669" s="1"/>
      <c r="K669" s="2"/>
      <c r="L669" s="1"/>
      <c r="M669" s="3"/>
      <c r="N669" s="3"/>
      <c r="O669" s="4"/>
      <c r="P669" s="4"/>
      <c r="Q669" s="4"/>
      <c r="R669" s="4"/>
      <c r="S669" s="4"/>
      <c r="T669" s="4"/>
      <c r="U669" s="4"/>
      <c r="V669" s="4"/>
      <c r="W669" s="4"/>
      <c r="X669" s="3"/>
      <c r="Y669" s="2"/>
      <c r="Z669" s="2"/>
      <c r="AA669" s="1"/>
      <c r="AB669" s="1"/>
      <c r="AC669" s="1"/>
      <c r="AD669" s="1"/>
      <c r="AE669" s="1"/>
      <c r="AF669" s="1"/>
      <c r="AG669" s="1"/>
      <c r="AH669" s="1"/>
    </row>
    <row r="670" ht="13.5" customHeight="1">
      <c r="A670" s="1"/>
      <c r="B670" s="1"/>
      <c r="C670" s="3"/>
      <c r="D670" s="1"/>
      <c r="E670" s="1"/>
      <c r="F670" s="1"/>
      <c r="G670" s="1"/>
      <c r="H670" s="1"/>
      <c r="I670" s="1"/>
      <c r="J670" s="1"/>
      <c r="K670" s="2"/>
      <c r="L670" s="1"/>
      <c r="M670" s="3"/>
      <c r="N670" s="3"/>
      <c r="O670" s="4"/>
      <c r="P670" s="4"/>
      <c r="Q670" s="4"/>
      <c r="R670" s="4"/>
      <c r="S670" s="4"/>
      <c r="T670" s="4"/>
      <c r="U670" s="4"/>
      <c r="V670" s="4"/>
      <c r="W670" s="4"/>
      <c r="X670" s="3"/>
      <c r="Y670" s="2"/>
      <c r="Z670" s="2"/>
      <c r="AA670" s="1"/>
      <c r="AB670" s="1"/>
      <c r="AC670" s="1"/>
      <c r="AD670" s="1"/>
      <c r="AE670" s="1"/>
      <c r="AF670" s="1"/>
      <c r="AG670" s="1"/>
      <c r="AH670" s="1"/>
    </row>
    <row r="671" ht="13.5" customHeight="1">
      <c r="A671" s="1"/>
      <c r="B671" s="1"/>
      <c r="C671" s="3"/>
      <c r="D671" s="1"/>
      <c r="E671" s="1"/>
      <c r="F671" s="1"/>
      <c r="G671" s="1"/>
      <c r="H671" s="1"/>
      <c r="I671" s="1"/>
      <c r="J671" s="1"/>
      <c r="K671" s="2"/>
      <c r="L671" s="1"/>
      <c r="M671" s="3"/>
      <c r="N671" s="3"/>
      <c r="O671" s="4"/>
      <c r="P671" s="4"/>
      <c r="Q671" s="4"/>
      <c r="R671" s="4"/>
      <c r="S671" s="4"/>
      <c r="T671" s="4"/>
      <c r="U671" s="4"/>
      <c r="V671" s="4"/>
      <c r="W671" s="4"/>
      <c r="X671" s="3"/>
      <c r="Y671" s="2"/>
      <c r="Z671" s="2"/>
      <c r="AA671" s="1"/>
      <c r="AB671" s="1"/>
      <c r="AC671" s="1"/>
      <c r="AD671" s="1"/>
      <c r="AE671" s="1"/>
      <c r="AF671" s="1"/>
      <c r="AG671" s="1"/>
      <c r="AH671" s="1"/>
    </row>
    <row r="672" ht="13.5" customHeight="1">
      <c r="A672" s="1"/>
      <c r="B672" s="1"/>
      <c r="C672" s="3"/>
      <c r="D672" s="1"/>
      <c r="E672" s="1"/>
      <c r="F672" s="1"/>
      <c r="G672" s="1"/>
      <c r="H672" s="1"/>
      <c r="I672" s="1"/>
      <c r="J672" s="1"/>
      <c r="K672" s="2"/>
      <c r="L672" s="1"/>
      <c r="M672" s="3"/>
      <c r="N672" s="3"/>
      <c r="O672" s="4"/>
      <c r="P672" s="4"/>
      <c r="Q672" s="4"/>
      <c r="R672" s="4"/>
      <c r="S672" s="4"/>
      <c r="T672" s="4"/>
      <c r="U672" s="4"/>
      <c r="V672" s="4"/>
      <c r="W672" s="4"/>
      <c r="X672" s="3"/>
      <c r="Y672" s="2"/>
      <c r="Z672" s="2"/>
      <c r="AA672" s="1"/>
      <c r="AB672" s="1"/>
      <c r="AC672" s="1"/>
      <c r="AD672" s="1"/>
      <c r="AE672" s="1"/>
      <c r="AF672" s="1"/>
      <c r="AG672" s="1"/>
      <c r="AH672" s="1"/>
    </row>
    <row r="673" ht="13.5" customHeight="1">
      <c r="A673" s="1"/>
      <c r="B673" s="1"/>
      <c r="C673" s="3"/>
      <c r="D673" s="1"/>
      <c r="E673" s="1"/>
      <c r="F673" s="1"/>
      <c r="G673" s="1"/>
      <c r="H673" s="1"/>
      <c r="I673" s="1"/>
      <c r="J673" s="1"/>
      <c r="K673" s="2"/>
      <c r="L673" s="1"/>
      <c r="M673" s="3"/>
      <c r="N673" s="3"/>
      <c r="O673" s="4"/>
      <c r="P673" s="4"/>
      <c r="Q673" s="4"/>
      <c r="R673" s="4"/>
      <c r="S673" s="4"/>
      <c r="T673" s="4"/>
      <c r="U673" s="4"/>
      <c r="V673" s="4"/>
      <c r="W673" s="4"/>
      <c r="X673" s="3"/>
      <c r="Y673" s="2"/>
      <c r="Z673" s="2"/>
      <c r="AA673" s="1"/>
      <c r="AB673" s="1"/>
      <c r="AC673" s="1"/>
      <c r="AD673" s="1"/>
      <c r="AE673" s="1"/>
      <c r="AF673" s="1"/>
      <c r="AG673" s="1"/>
      <c r="AH673" s="1"/>
    </row>
    <row r="674" ht="13.5" customHeight="1">
      <c r="A674" s="1"/>
      <c r="B674" s="1"/>
      <c r="C674" s="3"/>
      <c r="D674" s="1"/>
      <c r="E674" s="1"/>
      <c r="F674" s="1"/>
      <c r="G674" s="1"/>
      <c r="H674" s="1"/>
      <c r="I674" s="1"/>
      <c r="J674" s="1"/>
      <c r="K674" s="2"/>
      <c r="L674" s="1"/>
      <c r="M674" s="3"/>
      <c r="N674" s="3"/>
      <c r="O674" s="4"/>
      <c r="P674" s="4"/>
      <c r="Q674" s="4"/>
      <c r="R674" s="4"/>
      <c r="S674" s="4"/>
      <c r="T674" s="4"/>
      <c r="U674" s="4"/>
      <c r="V674" s="4"/>
      <c r="W674" s="4"/>
      <c r="X674" s="3"/>
      <c r="Y674" s="2"/>
      <c r="Z674" s="2"/>
      <c r="AA674" s="1"/>
      <c r="AB674" s="1"/>
      <c r="AC674" s="1"/>
      <c r="AD674" s="1"/>
      <c r="AE674" s="1"/>
      <c r="AF674" s="1"/>
      <c r="AG674" s="1"/>
      <c r="AH674" s="1"/>
    </row>
    <row r="675" ht="13.5" customHeight="1">
      <c r="A675" s="1"/>
      <c r="B675" s="1"/>
      <c r="C675" s="3"/>
      <c r="D675" s="1"/>
      <c r="E675" s="1"/>
      <c r="F675" s="1"/>
      <c r="G675" s="1"/>
      <c r="H675" s="1"/>
      <c r="I675" s="1"/>
      <c r="J675" s="1"/>
      <c r="K675" s="2"/>
      <c r="L675" s="1"/>
      <c r="M675" s="3"/>
      <c r="N675" s="3"/>
      <c r="O675" s="4"/>
      <c r="P675" s="4"/>
      <c r="Q675" s="4"/>
      <c r="R675" s="4"/>
      <c r="S675" s="4"/>
      <c r="T675" s="4"/>
      <c r="U675" s="4"/>
      <c r="V675" s="4"/>
      <c r="W675" s="4"/>
      <c r="X675" s="3"/>
      <c r="Y675" s="2"/>
      <c r="Z675" s="2"/>
      <c r="AA675" s="1"/>
      <c r="AB675" s="1"/>
      <c r="AC675" s="1"/>
      <c r="AD675" s="1"/>
      <c r="AE675" s="1"/>
      <c r="AF675" s="1"/>
      <c r="AG675" s="1"/>
      <c r="AH675" s="1"/>
    </row>
    <row r="676" ht="13.5" customHeight="1">
      <c r="A676" s="1"/>
      <c r="B676" s="1"/>
      <c r="C676" s="3"/>
      <c r="D676" s="1"/>
      <c r="E676" s="1"/>
      <c r="F676" s="1"/>
      <c r="G676" s="1"/>
      <c r="H676" s="1"/>
      <c r="I676" s="1"/>
      <c r="J676" s="1"/>
      <c r="K676" s="2"/>
      <c r="L676" s="1"/>
      <c r="M676" s="3"/>
      <c r="N676" s="3"/>
      <c r="O676" s="4"/>
      <c r="P676" s="4"/>
      <c r="Q676" s="4"/>
      <c r="R676" s="4"/>
      <c r="S676" s="4"/>
      <c r="T676" s="4"/>
      <c r="U676" s="4"/>
      <c r="V676" s="4"/>
      <c r="W676" s="4"/>
      <c r="X676" s="3"/>
      <c r="Y676" s="2"/>
      <c r="Z676" s="2"/>
      <c r="AA676" s="1"/>
      <c r="AB676" s="1"/>
      <c r="AC676" s="1"/>
      <c r="AD676" s="1"/>
      <c r="AE676" s="1"/>
      <c r="AF676" s="1"/>
      <c r="AG676" s="1"/>
      <c r="AH676" s="1"/>
    </row>
    <row r="677" ht="13.5" customHeight="1">
      <c r="A677" s="1"/>
      <c r="B677" s="1"/>
      <c r="C677" s="3"/>
      <c r="D677" s="1"/>
      <c r="E677" s="1"/>
      <c r="F677" s="1"/>
      <c r="G677" s="1"/>
      <c r="H677" s="1"/>
      <c r="I677" s="1"/>
      <c r="J677" s="1"/>
      <c r="K677" s="2"/>
      <c r="L677" s="1"/>
      <c r="M677" s="3"/>
      <c r="N677" s="3"/>
      <c r="O677" s="4"/>
      <c r="P677" s="4"/>
      <c r="Q677" s="4"/>
      <c r="R677" s="4"/>
      <c r="S677" s="4"/>
      <c r="T677" s="4"/>
      <c r="U677" s="4"/>
      <c r="V677" s="4"/>
      <c r="W677" s="4"/>
      <c r="X677" s="3"/>
      <c r="Y677" s="2"/>
      <c r="Z677" s="2"/>
      <c r="AA677" s="1"/>
      <c r="AB677" s="1"/>
      <c r="AC677" s="1"/>
      <c r="AD677" s="1"/>
      <c r="AE677" s="1"/>
      <c r="AF677" s="1"/>
      <c r="AG677" s="1"/>
      <c r="AH677" s="1"/>
    </row>
    <row r="678" ht="13.5" customHeight="1">
      <c r="A678" s="1"/>
      <c r="B678" s="1"/>
      <c r="C678" s="3"/>
      <c r="D678" s="1"/>
      <c r="E678" s="1"/>
      <c r="F678" s="1"/>
      <c r="G678" s="1"/>
      <c r="H678" s="1"/>
      <c r="I678" s="1"/>
      <c r="J678" s="1"/>
      <c r="K678" s="2"/>
      <c r="L678" s="1"/>
      <c r="M678" s="3"/>
      <c r="N678" s="3"/>
      <c r="O678" s="4"/>
      <c r="P678" s="4"/>
      <c r="Q678" s="4"/>
      <c r="R678" s="4"/>
      <c r="S678" s="4"/>
      <c r="T678" s="4"/>
      <c r="U678" s="4"/>
      <c r="V678" s="4"/>
      <c r="W678" s="4"/>
      <c r="X678" s="3"/>
      <c r="Y678" s="2"/>
      <c r="Z678" s="2"/>
      <c r="AA678" s="1"/>
      <c r="AB678" s="1"/>
      <c r="AC678" s="1"/>
      <c r="AD678" s="1"/>
      <c r="AE678" s="1"/>
      <c r="AF678" s="1"/>
      <c r="AG678" s="1"/>
      <c r="AH678" s="1"/>
    </row>
    <row r="679" ht="13.5" customHeight="1">
      <c r="A679" s="1"/>
      <c r="B679" s="1"/>
      <c r="C679" s="3"/>
      <c r="D679" s="1"/>
      <c r="E679" s="1"/>
      <c r="F679" s="1"/>
      <c r="G679" s="1"/>
      <c r="H679" s="1"/>
      <c r="I679" s="1"/>
      <c r="J679" s="1"/>
      <c r="K679" s="2"/>
      <c r="L679" s="1"/>
      <c r="M679" s="3"/>
      <c r="N679" s="3"/>
      <c r="O679" s="4"/>
      <c r="P679" s="4"/>
      <c r="Q679" s="4"/>
      <c r="R679" s="4"/>
      <c r="S679" s="4"/>
      <c r="T679" s="4"/>
      <c r="U679" s="4"/>
      <c r="V679" s="4"/>
      <c r="W679" s="4"/>
      <c r="X679" s="3"/>
      <c r="Y679" s="2"/>
      <c r="Z679" s="2"/>
      <c r="AA679" s="1"/>
      <c r="AB679" s="1"/>
      <c r="AC679" s="1"/>
      <c r="AD679" s="1"/>
      <c r="AE679" s="1"/>
      <c r="AF679" s="1"/>
      <c r="AG679" s="1"/>
      <c r="AH679" s="1"/>
    </row>
    <row r="680" ht="13.5" customHeight="1">
      <c r="A680" s="1"/>
      <c r="B680" s="1"/>
      <c r="C680" s="3"/>
      <c r="D680" s="1"/>
      <c r="E680" s="1"/>
      <c r="F680" s="1"/>
      <c r="G680" s="1"/>
      <c r="H680" s="1"/>
      <c r="I680" s="1"/>
      <c r="J680" s="1"/>
      <c r="K680" s="2"/>
      <c r="L680" s="1"/>
      <c r="M680" s="3"/>
      <c r="N680" s="3"/>
      <c r="O680" s="4"/>
      <c r="P680" s="4"/>
      <c r="Q680" s="4"/>
      <c r="R680" s="4"/>
      <c r="S680" s="4"/>
      <c r="T680" s="4"/>
      <c r="U680" s="4"/>
      <c r="V680" s="4"/>
      <c r="W680" s="4"/>
      <c r="X680" s="3"/>
      <c r="Y680" s="2"/>
      <c r="Z680" s="2"/>
      <c r="AA680" s="1"/>
      <c r="AB680" s="1"/>
      <c r="AC680" s="1"/>
      <c r="AD680" s="1"/>
      <c r="AE680" s="1"/>
      <c r="AF680" s="1"/>
      <c r="AG680" s="1"/>
      <c r="AH680" s="1"/>
    </row>
    <row r="681" ht="13.5" customHeight="1">
      <c r="A681" s="1"/>
      <c r="B681" s="1"/>
      <c r="C681" s="3"/>
      <c r="D681" s="1"/>
      <c r="E681" s="1"/>
      <c r="F681" s="1"/>
      <c r="G681" s="1"/>
      <c r="H681" s="1"/>
      <c r="I681" s="1"/>
      <c r="J681" s="1"/>
      <c r="K681" s="2"/>
      <c r="L681" s="1"/>
      <c r="M681" s="3"/>
      <c r="N681" s="3"/>
      <c r="O681" s="4"/>
      <c r="P681" s="4"/>
      <c r="Q681" s="4"/>
      <c r="R681" s="4"/>
      <c r="S681" s="4"/>
      <c r="T681" s="4"/>
      <c r="U681" s="4"/>
      <c r="V681" s="4"/>
      <c r="W681" s="4"/>
      <c r="X681" s="3"/>
      <c r="Y681" s="2"/>
      <c r="Z681" s="2"/>
      <c r="AA681" s="1"/>
      <c r="AB681" s="1"/>
      <c r="AC681" s="1"/>
      <c r="AD681" s="1"/>
      <c r="AE681" s="1"/>
      <c r="AF681" s="1"/>
      <c r="AG681" s="1"/>
      <c r="AH681" s="1"/>
    </row>
    <row r="682" ht="13.5" customHeight="1">
      <c r="A682" s="1"/>
      <c r="B682" s="1"/>
      <c r="C682" s="3"/>
      <c r="D682" s="1"/>
      <c r="E682" s="1"/>
      <c r="F682" s="1"/>
      <c r="G682" s="1"/>
      <c r="H682" s="1"/>
      <c r="I682" s="1"/>
      <c r="J682" s="1"/>
      <c r="K682" s="2"/>
      <c r="L682" s="1"/>
      <c r="M682" s="3"/>
      <c r="N682" s="3"/>
      <c r="O682" s="4"/>
      <c r="P682" s="4"/>
      <c r="Q682" s="4"/>
      <c r="R682" s="4"/>
      <c r="S682" s="4"/>
      <c r="T682" s="4"/>
      <c r="U682" s="4"/>
      <c r="V682" s="4"/>
      <c r="W682" s="4"/>
      <c r="X682" s="3"/>
      <c r="Y682" s="2"/>
      <c r="Z682" s="2"/>
      <c r="AA682" s="1"/>
      <c r="AB682" s="1"/>
      <c r="AC682" s="1"/>
      <c r="AD682" s="1"/>
      <c r="AE682" s="1"/>
      <c r="AF682" s="1"/>
      <c r="AG682" s="1"/>
      <c r="AH682" s="1"/>
    </row>
    <row r="683" ht="13.5" customHeight="1">
      <c r="A683" s="1"/>
      <c r="B683" s="1"/>
      <c r="C683" s="3"/>
      <c r="D683" s="1"/>
      <c r="E683" s="1"/>
      <c r="F683" s="1"/>
      <c r="G683" s="1"/>
      <c r="H683" s="1"/>
      <c r="I683" s="1"/>
      <c r="J683" s="1"/>
      <c r="K683" s="2"/>
      <c r="L683" s="1"/>
      <c r="M683" s="3"/>
      <c r="N683" s="3"/>
      <c r="O683" s="4"/>
      <c r="P683" s="4"/>
      <c r="Q683" s="4"/>
      <c r="R683" s="4"/>
      <c r="S683" s="4"/>
      <c r="T683" s="4"/>
      <c r="U683" s="4"/>
      <c r="V683" s="4"/>
      <c r="W683" s="4"/>
      <c r="X683" s="3"/>
      <c r="Y683" s="2"/>
      <c r="Z683" s="2"/>
      <c r="AA683" s="1"/>
      <c r="AB683" s="1"/>
      <c r="AC683" s="1"/>
      <c r="AD683" s="1"/>
      <c r="AE683" s="1"/>
      <c r="AF683" s="1"/>
      <c r="AG683" s="1"/>
      <c r="AH683" s="1"/>
    </row>
    <row r="684" ht="13.5" customHeight="1">
      <c r="A684" s="1"/>
      <c r="B684" s="1"/>
      <c r="C684" s="3"/>
      <c r="D684" s="1"/>
      <c r="E684" s="1"/>
      <c r="F684" s="1"/>
      <c r="G684" s="1"/>
      <c r="H684" s="1"/>
      <c r="I684" s="1"/>
      <c r="J684" s="1"/>
      <c r="K684" s="2"/>
      <c r="L684" s="1"/>
      <c r="M684" s="3"/>
      <c r="N684" s="3"/>
      <c r="O684" s="4"/>
      <c r="P684" s="4"/>
      <c r="Q684" s="4"/>
      <c r="R684" s="4"/>
      <c r="S684" s="4"/>
      <c r="T684" s="4"/>
      <c r="U684" s="4"/>
      <c r="V684" s="4"/>
      <c r="W684" s="4"/>
      <c r="X684" s="3"/>
      <c r="Y684" s="2"/>
      <c r="Z684" s="2"/>
      <c r="AA684" s="1"/>
      <c r="AB684" s="1"/>
      <c r="AC684" s="1"/>
      <c r="AD684" s="1"/>
      <c r="AE684" s="1"/>
      <c r="AF684" s="1"/>
      <c r="AG684" s="1"/>
      <c r="AH684" s="1"/>
    </row>
    <row r="685" ht="13.5" customHeight="1">
      <c r="A685" s="1"/>
      <c r="B685" s="1"/>
      <c r="C685" s="3"/>
      <c r="D685" s="1"/>
      <c r="E685" s="1"/>
      <c r="F685" s="1"/>
      <c r="G685" s="1"/>
      <c r="H685" s="1"/>
      <c r="I685" s="1"/>
      <c r="J685" s="1"/>
      <c r="K685" s="2"/>
      <c r="L685" s="1"/>
      <c r="M685" s="3"/>
      <c r="N685" s="3"/>
      <c r="O685" s="4"/>
      <c r="P685" s="4"/>
      <c r="Q685" s="4"/>
      <c r="R685" s="4"/>
      <c r="S685" s="4"/>
      <c r="T685" s="4"/>
      <c r="U685" s="4"/>
      <c r="V685" s="4"/>
      <c r="W685" s="4"/>
      <c r="X685" s="3"/>
      <c r="Y685" s="2"/>
      <c r="Z685" s="2"/>
      <c r="AA685" s="1"/>
      <c r="AB685" s="1"/>
      <c r="AC685" s="1"/>
      <c r="AD685" s="1"/>
      <c r="AE685" s="1"/>
      <c r="AF685" s="1"/>
      <c r="AG685" s="1"/>
      <c r="AH685" s="1"/>
    </row>
    <row r="686" ht="13.5" customHeight="1">
      <c r="A686" s="1"/>
      <c r="B686" s="1"/>
      <c r="C686" s="3"/>
      <c r="D686" s="1"/>
      <c r="E686" s="1"/>
      <c r="F686" s="1"/>
      <c r="G686" s="1"/>
      <c r="H686" s="1"/>
      <c r="I686" s="1"/>
      <c r="J686" s="1"/>
      <c r="K686" s="2"/>
      <c r="L686" s="1"/>
      <c r="M686" s="3"/>
      <c r="N686" s="3"/>
      <c r="O686" s="4"/>
      <c r="P686" s="4"/>
      <c r="Q686" s="4"/>
      <c r="R686" s="4"/>
      <c r="S686" s="4"/>
      <c r="T686" s="4"/>
      <c r="U686" s="4"/>
      <c r="V686" s="4"/>
      <c r="W686" s="4"/>
      <c r="X686" s="3"/>
      <c r="Y686" s="2"/>
      <c r="Z686" s="2"/>
      <c r="AA686" s="1"/>
      <c r="AB686" s="1"/>
      <c r="AC686" s="1"/>
      <c r="AD686" s="1"/>
      <c r="AE686" s="1"/>
      <c r="AF686" s="1"/>
      <c r="AG686" s="1"/>
      <c r="AH686" s="1"/>
    </row>
    <row r="687" ht="13.5" customHeight="1">
      <c r="A687" s="1"/>
      <c r="B687" s="1"/>
      <c r="C687" s="3"/>
      <c r="D687" s="1"/>
      <c r="E687" s="1"/>
      <c r="F687" s="1"/>
      <c r="G687" s="1"/>
      <c r="H687" s="1"/>
      <c r="I687" s="1"/>
      <c r="J687" s="1"/>
      <c r="K687" s="2"/>
      <c r="L687" s="1"/>
      <c r="M687" s="3"/>
      <c r="N687" s="3"/>
      <c r="O687" s="4"/>
      <c r="P687" s="4"/>
      <c r="Q687" s="4"/>
      <c r="R687" s="4"/>
      <c r="S687" s="4"/>
      <c r="T687" s="4"/>
      <c r="U687" s="4"/>
      <c r="V687" s="4"/>
      <c r="W687" s="4"/>
      <c r="X687" s="3"/>
      <c r="Y687" s="2"/>
      <c r="Z687" s="2"/>
      <c r="AA687" s="1"/>
      <c r="AB687" s="1"/>
      <c r="AC687" s="1"/>
      <c r="AD687" s="1"/>
      <c r="AE687" s="1"/>
      <c r="AF687" s="1"/>
      <c r="AG687" s="1"/>
      <c r="AH687" s="1"/>
    </row>
    <row r="688" ht="13.5" customHeight="1">
      <c r="A688" s="1"/>
      <c r="B688" s="1"/>
      <c r="C688" s="3"/>
      <c r="D688" s="1"/>
      <c r="E688" s="1"/>
      <c r="F688" s="1"/>
      <c r="G688" s="1"/>
      <c r="H688" s="1"/>
      <c r="I688" s="1"/>
      <c r="J688" s="1"/>
      <c r="K688" s="2"/>
      <c r="L688" s="1"/>
      <c r="M688" s="3"/>
      <c r="N688" s="3"/>
      <c r="O688" s="4"/>
      <c r="P688" s="4"/>
      <c r="Q688" s="4"/>
      <c r="R688" s="4"/>
      <c r="S688" s="4"/>
      <c r="T688" s="4"/>
      <c r="U688" s="4"/>
      <c r="V688" s="4"/>
      <c r="W688" s="4"/>
      <c r="X688" s="3"/>
      <c r="Y688" s="2"/>
      <c r="Z688" s="2"/>
      <c r="AA688" s="1"/>
      <c r="AB688" s="1"/>
      <c r="AC688" s="1"/>
      <c r="AD688" s="1"/>
      <c r="AE688" s="1"/>
      <c r="AF688" s="1"/>
      <c r="AG688" s="1"/>
      <c r="AH688" s="1"/>
    </row>
    <row r="689" ht="13.5" customHeight="1">
      <c r="A689" s="1"/>
      <c r="B689" s="1"/>
      <c r="C689" s="3"/>
      <c r="D689" s="1"/>
      <c r="E689" s="1"/>
      <c r="F689" s="1"/>
      <c r="G689" s="1"/>
      <c r="H689" s="1"/>
      <c r="I689" s="1"/>
      <c r="J689" s="1"/>
      <c r="K689" s="2"/>
      <c r="L689" s="1"/>
      <c r="M689" s="3"/>
      <c r="N689" s="3"/>
      <c r="O689" s="4"/>
      <c r="P689" s="4"/>
      <c r="Q689" s="4"/>
      <c r="R689" s="4"/>
      <c r="S689" s="4"/>
      <c r="T689" s="4"/>
      <c r="U689" s="4"/>
      <c r="V689" s="4"/>
      <c r="W689" s="4"/>
      <c r="X689" s="3"/>
      <c r="Y689" s="2"/>
      <c r="Z689" s="2"/>
      <c r="AA689" s="1"/>
      <c r="AB689" s="1"/>
      <c r="AC689" s="1"/>
      <c r="AD689" s="1"/>
      <c r="AE689" s="1"/>
      <c r="AF689" s="1"/>
      <c r="AG689" s="1"/>
      <c r="AH689" s="1"/>
    </row>
    <row r="690" ht="13.5" customHeight="1">
      <c r="A690" s="1"/>
      <c r="B690" s="1"/>
      <c r="C690" s="3"/>
      <c r="D690" s="1"/>
      <c r="E690" s="1"/>
      <c r="F690" s="1"/>
      <c r="G690" s="1"/>
      <c r="H690" s="1"/>
      <c r="I690" s="1"/>
      <c r="J690" s="1"/>
      <c r="K690" s="2"/>
      <c r="L690" s="1"/>
      <c r="M690" s="3"/>
      <c r="N690" s="3"/>
      <c r="O690" s="4"/>
      <c r="P690" s="4"/>
      <c r="Q690" s="4"/>
      <c r="R690" s="4"/>
      <c r="S690" s="4"/>
      <c r="T690" s="4"/>
      <c r="U690" s="4"/>
      <c r="V690" s="4"/>
      <c r="W690" s="4"/>
      <c r="X690" s="3"/>
      <c r="Y690" s="2"/>
      <c r="Z690" s="2"/>
      <c r="AA690" s="1"/>
      <c r="AB690" s="1"/>
      <c r="AC690" s="1"/>
      <c r="AD690" s="1"/>
      <c r="AE690" s="1"/>
      <c r="AF690" s="1"/>
      <c r="AG690" s="1"/>
      <c r="AH690" s="1"/>
    </row>
    <row r="691" ht="13.5" customHeight="1">
      <c r="A691" s="1"/>
      <c r="B691" s="1"/>
      <c r="C691" s="3"/>
      <c r="D691" s="1"/>
      <c r="E691" s="1"/>
      <c r="F691" s="1"/>
      <c r="G691" s="1"/>
      <c r="H691" s="1"/>
      <c r="I691" s="1"/>
      <c r="J691" s="1"/>
      <c r="K691" s="2"/>
      <c r="L691" s="1"/>
      <c r="M691" s="3"/>
      <c r="N691" s="3"/>
      <c r="O691" s="4"/>
      <c r="P691" s="4"/>
      <c r="Q691" s="4"/>
      <c r="R691" s="4"/>
      <c r="S691" s="4"/>
      <c r="T691" s="4"/>
      <c r="U691" s="4"/>
      <c r="V691" s="4"/>
      <c r="W691" s="4"/>
      <c r="X691" s="3"/>
      <c r="Y691" s="2"/>
      <c r="Z691" s="2"/>
      <c r="AA691" s="1"/>
      <c r="AB691" s="1"/>
      <c r="AC691" s="1"/>
      <c r="AD691" s="1"/>
      <c r="AE691" s="1"/>
      <c r="AF691" s="1"/>
      <c r="AG691" s="1"/>
      <c r="AH691" s="1"/>
    </row>
    <row r="692" ht="13.5" customHeight="1">
      <c r="A692" s="1"/>
      <c r="B692" s="1"/>
      <c r="C692" s="3"/>
      <c r="D692" s="1"/>
      <c r="E692" s="1"/>
      <c r="F692" s="1"/>
      <c r="G692" s="1"/>
      <c r="H692" s="1"/>
      <c r="I692" s="1"/>
      <c r="J692" s="1"/>
      <c r="K692" s="2"/>
      <c r="L692" s="1"/>
      <c r="M692" s="3"/>
      <c r="N692" s="3"/>
      <c r="O692" s="4"/>
      <c r="P692" s="4"/>
      <c r="Q692" s="4"/>
      <c r="R692" s="4"/>
      <c r="S692" s="4"/>
      <c r="T692" s="4"/>
      <c r="U692" s="4"/>
      <c r="V692" s="4"/>
      <c r="W692" s="4"/>
      <c r="X692" s="3"/>
      <c r="Y692" s="2"/>
      <c r="Z692" s="2"/>
      <c r="AA692" s="1"/>
      <c r="AB692" s="1"/>
      <c r="AC692" s="1"/>
      <c r="AD692" s="1"/>
      <c r="AE692" s="1"/>
      <c r="AF692" s="1"/>
      <c r="AG692" s="1"/>
      <c r="AH692" s="1"/>
    </row>
    <row r="693" ht="13.5" customHeight="1">
      <c r="A693" s="1"/>
      <c r="B693" s="1"/>
      <c r="C693" s="3"/>
      <c r="D693" s="1"/>
      <c r="E693" s="1"/>
      <c r="F693" s="1"/>
      <c r="G693" s="1"/>
      <c r="H693" s="1"/>
      <c r="I693" s="1"/>
      <c r="J693" s="1"/>
      <c r="K693" s="2"/>
      <c r="L693" s="1"/>
      <c r="M693" s="3"/>
      <c r="N693" s="3"/>
      <c r="O693" s="4"/>
      <c r="P693" s="4"/>
      <c r="Q693" s="4"/>
      <c r="R693" s="4"/>
      <c r="S693" s="4"/>
      <c r="T693" s="4"/>
      <c r="U693" s="4"/>
      <c r="V693" s="4"/>
      <c r="W693" s="4"/>
      <c r="X693" s="3"/>
      <c r="Y693" s="2"/>
      <c r="Z693" s="2"/>
      <c r="AA693" s="1"/>
      <c r="AB693" s="1"/>
      <c r="AC693" s="1"/>
      <c r="AD693" s="1"/>
      <c r="AE693" s="1"/>
      <c r="AF693" s="1"/>
      <c r="AG693" s="1"/>
      <c r="AH693" s="1"/>
    </row>
    <row r="694" ht="13.5" customHeight="1">
      <c r="A694" s="1"/>
      <c r="B694" s="1"/>
      <c r="C694" s="3"/>
      <c r="D694" s="1"/>
      <c r="E694" s="1"/>
      <c r="F694" s="1"/>
      <c r="G694" s="1"/>
      <c r="H694" s="1"/>
      <c r="I694" s="1"/>
      <c r="J694" s="1"/>
      <c r="K694" s="2"/>
      <c r="L694" s="1"/>
      <c r="M694" s="3"/>
      <c r="N694" s="3"/>
      <c r="O694" s="4"/>
      <c r="P694" s="4"/>
      <c r="Q694" s="4"/>
      <c r="R694" s="4"/>
      <c r="S694" s="4"/>
      <c r="T694" s="4"/>
      <c r="U694" s="4"/>
      <c r="V694" s="4"/>
      <c r="W694" s="4"/>
      <c r="X694" s="3"/>
      <c r="Y694" s="2"/>
      <c r="Z694" s="2"/>
      <c r="AA694" s="1"/>
      <c r="AB694" s="1"/>
      <c r="AC694" s="1"/>
      <c r="AD694" s="1"/>
      <c r="AE694" s="1"/>
      <c r="AF694" s="1"/>
      <c r="AG694" s="1"/>
      <c r="AH694" s="1"/>
    </row>
    <row r="695" ht="13.5" customHeight="1">
      <c r="A695" s="1"/>
      <c r="B695" s="1"/>
      <c r="C695" s="3"/>
      <c r="D695" s="1"/>
      <c r="E695" s="1"/>
      <c r="F695" s="1"/>
      <c r="G695" s="1"/>
      <c r="H695" s="1"/>
      <c r="I695" s="1"/>
      <c r="J695" s="1"/>
      <c r="K695" s="2"/>
      <c r="L695" s="1"/>
      <c r="M695" s="3"/>
      <c r="N695" s="3"/>
      <c r="O695" s="4"/>
      <c r="P695" s="4"/>
      <c r="Q695" s="4"/>
      <c r="R695" s="4"/>
      <c r="S695" s="4"/>
      <c r="T695" s="4"/>
      <c r="U695" s="4"/>
      <c r="V695" s="4"/>
      <c r="W695" s="4"/>
      <c r="X695" s="3"/>
      <c r="Y695" s="2"/>
      <c r="Z695" s="2"/>
      <c r="AA695" s="1"/>
      <c r="AB695" s="1"/>
      <c r="AC695" s="1"/>
      <c r="AD695" s="1"/>
      <c r="AE695" s="1"/>
      <c r="AF695" s="1"/>
      <c r="AG695" s="1"/>
      <c r="AH695" s="1"/>
    </row>
    <row r="696" ht="13.5" customHeight="1">
      <c r="A696" s="1"/>
      <c r="B696" s="1"/>
      <c r="C696" s="3"/>
      <c r="D696" s="1"/>
      <c r="E696" s="1"/>
      <c r="F696" s="1"/>
      <c r="G696" s="1"/>
      <c r="H696" s="1"/>
      <c r="I696" s="1"/>
      <c r="J696" s="1"/>
      <c r="K696" s="2"/>
      <c r="L696" s="1"/>
      <c r="M696" s="3"/>
      <c r="N696" s="3"/>
      <c r="O696" s="4"/>
      <c r="P696" s="4"/>
      <c r="Q696" s="4"/>
      <c r="R696" s="4"/>
      <c r="S696" s="4"/>
      <c r="T696" s="4"/>
      <c r="U696" s="4"/>
      <c r="V696" s="4"/>
      <c r="W696" s="4"/>
      <c r="X696" s="3"/>
      <c r="Y696" s="2"/>
      <c r="Z696" s="2"/>
      <c r="AA696" s="1"/>
      <c r="AB696" s="1"/>
      <c r="AC696" s="1"/>
      <c r="AD696" s="1"/>
      <c r="AE696" s="1"/>
      <c r="AF696" s="1"/>
      <c r="AG696" s="1"/>
      <c r="AH696" s="1"/>
    </row>
    <row r="697" ht="13.5" customHeight="1">
      <c r="A697" s="1"/>
      <c r="B697" s="1"/>
      <c r="C697" s="3"/>
      <c r="D697" s="1"/>
      <c r="E697" s="1"/>
      <c r="F697" s="1"/>
      <c r="G697" s="1"/>
      <c r="H697" s="1"/>
      <c r="I697" s="1"/>
      <c r="J697" s="1"/>
      <c r="K697" s="2"/>
      <c r="L697" s="1"/>
      <c r="M697" s="3"/>
      <c r="N697" s="3"/>
      <c r="O697" s="4"/>
      <c r="P697" s="4"/>
      <c r="Q697" s="4"/>
      <c r="R697" s="4"/>
      <c r="S697" s="4"/>
      <c r="T697" s="4"/>
      <c r="U697" s="4"/>
      <c r="V697" s="4"/>
      <c r="W697" s="4"/>
      <c r="X697" s="3"/>
      <c r="Y697" s="2"/>
      <c r="Z697" s="2"/>
      <c r="AA697" s="1"/>
      <c r="AB697" s="1"/>
      <c r="AC697" s="1"/>
      <c r="AD697" s="1"/>
      <c r="AE697" s="1"/>
      <c r="AF697" s="1"/>
      <c r="AG697" s="1"/>
      <c r="AH697" s="1"/>
    </row>
    <row r="698" ht="13.5" customHeight="1">
      <c r="A698" s="1"/>
      <c r="B698" s="1"/>
      <c r="C698" s="3"/>
      <c r="D698" s="1"/>
      <c r="E698" s="1"/>
      <c r="F698" s="1"/>
      <c r="G698" s="1"/>
      <c r="H698" s="1"/>
      <c r="I698" s="1"/>
      <c r="J698" s="1"/>
      <c r="K698" s="2"/>
      <c r="L698" s="1"/>
      <c r="M698" s="3"/>
      <c r="N698" s="3"/>
      <c r="O698" s="4"/>
      <c r="P698" s="4"/>
      <c r="Q698" s="4"/>
      <c r="R698" s="4"/>
      <c r="S698" s="4"/>
      <c r="T698" s="4"/>
      <c r="U698" s="4"/>
      <c r="V698" s="4"/>
      <c r="W698" s="4"/>
      <c r="X698" s="3"/>
      <c r="Y698" s="2"/>
      <c r="Z698" s="2"/>
      <c r="AA698" s="1"/>
      <c r="AB698" s="1"/>
      <c r="AC698" s="1"/>
      <c r="AD698" s="1"/>
      <c r="AE698" s="1"/>
      <c r="AF698" s="1"/>
      <c r="AG698" s="1"/>
      <c r="AH698" s="1"/>
    </row>
    <row r="699" ht="13.5" customHeight="1">
      <c r="A699" s="1"/>
      <c r="B699" s="1"/>
      <c r="C699" s="3"/>
      <c r="D699" s="1"/>
      <c r="E699" s="1"/>
      <c r="F699" s="1"/>
      <c r="G699" s="1"/>
      <c r="H699" s="1"/>
      <c r="I699" s="1"/>
      <c r="J699" s="1"/>
      <c r="K699" s="2"/>
      <c r="L699" s="1"/>
      <c r="M699" s="3"/>
      <c r="N699" s="3"/>
      <c r="O699" s="4"/>
      <c r="P699" s="4"/>
      <c r="Q699" s="4"/>
      <c r="R699" s="4"/>
      <c r="S699" s="4"/>
      <c r="T699" s="4"/>
      <c r="U699" s="4"/>
      <c r="V699" s="4"/>
      <c r="W699" s="4"/>
      <c r="X699" s="3"/>
      <c r="Y699" s="2"/>
      <c r="Z699" s="2"/>
      <c r="AA699" s="1"/>
      <c r="AB699" s="1"/>
      <c r="AC699" s="1"/>
      <c r="AD699" s="1"/>
      <c r="AE699" s="1"/>
      <c r="AF699" s="1"/>
      <c r="AG699" s="1"/>
      <c r="AH699" s="1"/>
    </row>
    <row r="700" ht="13.5" customHeight="1">
      <c r="A700" s="1"/>
      <c r="B700" s="1"/>
      <c r="C700" s="3"/>
      <c r="D700" s="1"/>
      <c r="E700" s="1"/>
      <c r="F700" s="1"/>
      <c r="G700" s="1"/>
      <c r="H700" s="1"/>
      <c r="I700" s="1"/>
      <c r="J700" s="1"/>
      <c r="K700" s="2"/>
      <c r="L700" s="1"/>
      <c r="M700" s="3"/>
      <c r="N700" s="3"/>
      <c r="O700" s="4"/>
      <c r="P700" s="4"/>
      <c r="Q700" s="4"/>
      <c r="R700" s="4"/>
      <c r="S700" s="4"/>
      <c r="T700" s="4"/>
      <c r="U700" s="4"/>
      <c r="V700" s="4"/>
      <c r="W700" s="4"/>
      <c r="X700" s="3"/>
      <c r="Y700" s="2"/>
      <c r="Z700" s="2"/>
      <c r="AA700" s="1"/>
      <c r="AB700" s="1"/>
      <c r="AC700" s="1"/>
      <c r="AD700" s="1"/>
      <c r="AE700" s="1"/>
      <c r="AF700" s="1"/>
      <c r="AG700" s="1"/>
      <c r="AH700" s="1"/>
    </row>
    <row r="701" ht="13.5" customHeight="1">
      <c r="A701" s="1"/>
      <c r="B701" s="1"/>
      <c r="C701" s="3"/>
      <c r="D701" s="1"/>
      <c r="E701" s="1"/>
      <c r="F701" s="1"/>
      <c r="G701" s="1"/>
      <c r="H701" s="1"/>
      <c r="I701" s="1"/>
      <c r="J701" s="1"/>
      <c r="K701" s="2"/>
      <c r="L701" s="1"/>
      <c r="M701" s="3"/>
      <c r="N701" s="3"/>
      <c r="O701" s="4"/>
      <c r="P701" s="4"/>
      <c r="Q701" s="4"/>
      <c r="R701" s="4"/>
      <c r="S701" s="4"/>
      <c r="T701" s="4"/>
      <c r="U701" s="4"/>
      <c r="V701" s="4"/>
      <c r="W701" s="4"/>
      <c r="X701" s="3"/>
      <c r="Y701" s="2"/>
      <c r="Z701" s="2"/>
      <c r="AA701" s="1"/>
      <c r="AB701" s="1"/>
      <c r="AC701" s="1"/>
      <c r="AD701" s="1"/>
      <c r="AE701" s="1"/>
      <c r="AF701" s="1"/>
      <c r="AG701" s="1"/>
      <c r="AH701" s="1"/>
    </row>
    <row r="702" ht="13.5" customHeight="1">
      <c r="A702" s="1"/>
      <c r="B702" s="1"/>
      <c r="C702" s="3"/>
      <c r="D702" s="1"/>
      <c r="E702" s="1"/>
      <c r="F702" s="1"/>
      <c r="G702" s="1"/>
      <c r="H702" s="1"/>
      <c r="I702" s="1"/>
      <c r="J702" s="1"/>
      <c r="K702" s="2"/>
      <c r="L702" s="1"/>
      <c r="M702" s="3"/>
      <c r="N702" s="3"/>
      <c r="O702" s="4"/>
      <c r="P702" s="4"/>
      <c r="Q702" s="4"/>
      <c r="R702" s="4"/>
      <c r="S702" s="4"/>
      <c r="T702" s="4"/>
      <c r="U702" s="4"/>
      <c r="V702" s="4"/>
      <c r="W702" s="4"/>
      <c r="X702" s="3"/>
      <c r="Y702" s="2"/>
      <c r="Z702" s="2"/>
      <c r="AA702" s="1"/>
      <c r="AB702" s="1"/>
      <c r="AC702" s="1"/>
      <c r="AD702" s="1"/>
      <c r="AE702" s="1"/>
      <c r="AF702" s="1"/>
      <c r="AG702" s="1"/>
      <c r="AH702" s="1"/>
    </row>
    <row r="703" ht="13.5" customHeight="1">
      <c r="A703" s="1"/>
      <c r="B703" s="1"/>
      <c r="C703" s="3"/>
      <c r="D703" s="1"/>
      <c r="E703" s="1"/>
      <c r="F703" s="1"/>
      <c r="G703" s="1"/>
      <c r="H703" s="1"/>
      <c r="I703" s="1"/>
      <c r="J703" s="1"/>
      <c r="K703" s="2"/>
      <c r="L703" s="1"/>
      <c r="M703" s="3"/>
      <c r="N703" s="3"/>
      <c r="O703" s="4"/>
      <c r="P703" s="4"/>
      <c r="Q703" s="4"/>
      <c r="R703" s="4"/>
      <c r="S703" s="4"/>
      <c r="T703" s="4"/>
      <c r="U703" s="4"/>
      <c r="V703" s="4"/>
      <c r="W703" s="4"/>
      <c r="X703" s="3"/>
      <c r="Y703" s="2"/>
      <c r="Z703" s="2"/>
      <c r="AA703" s="1"/>
      <c r="AB703" s="1"/>
      <c r="AC703" s="1"/>
      <c r="AD703" s="1"/>
      <c r="AE703" s="1"/>
      <c r="AF703" s="1"/>
      <c r="AG703" s="1"/>
      <c r="AH703" s="1"/>
    </row>
    <row r="704" ht="13.5" customHeight="1">
      <c r="A704" s="1"/>
      <c r="B704" s="1"/>
      <c r="C704" s="3"/>
      <c r="D704" s="1"/>
      <c r="E704" s="1"/>
      <c r="F704" s="1"/>
      <c r="G704" s="1"/>
      <c r="H704" s="1"/>
      <c r="I704" s="1"/>
      <c r="J704" s="1"/>
      <c r="K704" s="2"/>
      <c r="L704" s="1"/>
      <c r="M704" s="3"/>
      <c r="N704" s="3"/>
      <c r="O704" s="4"/>
      <c r="P704" s="4"/>
      <c r="Q704" s="4"/>
      <c r="R704" s="4"/>
      <c r="S704" s="4"/>
      <c r="T704" s="4"/>
      <c r="U704" s="4"/>
      <c r="V704" s="4"/>
      <c r="W704" s="4"/>
      <c r="X704" s="3"/>
      <c r="Y704" s="2"/>
      <c r="Z704" s="2"/>
      <c r="AA704" s="1"/>
      <c r="AB704" s="1"/>
      <c r="AC704" s="1"/>
      <c r="AD704" s="1"/>
      <c r="AE704" s="1"/>
      <c r="AF704" s="1"/>
      <c r="AG704" s="1"/>
      <c r="AH704" s="1"/>
    </row>
    <row r="705" ht="13.5" customHeight="1">
      <c r="A705" s="1"/>
      <c r="B705" s="1"/>
      <c r="C705" s="3"/>
      <c r="D705" s="1"/>
      <c r="E705" s="1"/>
      <c r="F705" s="1"/>
      <c r="G705" s="1"/>
      <c r="H705" s="1"/>
      <c r="I705" s="1"/>
      <c r="J705" s="1"/>
      <c r="K705" s="2"/>
      <c r="L705" s="1"/>
      <c r="M705" s="3"/>
      <c r="N705" s="3"/>
      <c r="O705" s="4"/>
      <c r="P705" s="4"/>
      <c r="Q705" s="4"/>
      <c r="R705" s="4"/>
      <c r="S705" s="4"/>
      <c r="T705" s="4"/>
      <c r="U705" s="4"/>
      <c r="V705" s="4"/>
      <c r="W705" s="4"/>
      <c r="X705" s="3"/>
      <c r="Y705" s="2"/>
      <c r="Z705" s="2"/>
      <c r="AA705" s="1"/>
      <c r="AB705" s="1"/>
      <c r="AC705" s="1"/>
      <c r="AD705" s="1"/>
      <c r="AE705" s="1"/>
      <c r="AF705" s="1"/>
      <c r="AG705" s="1"/>
      <c r="AH705" s="1"/>
    </row>
    <row r="706" ht="13.5" customHeight="1">
      <c r="A706" s="1"/>
      <c r="B706" s="1"/>
      <c r="C706" s="3"/>
      <c r="D706" s="1"/>
      <c r="E706" s="1"/>
      <c r="F706" s="1"/>
      <c r="G706" s="1"/>
      <c r="H706" s="1"/>
      <c r="I706" s="1"/>
      <c r="J706" s="1"/>
      <c r="K706" s="2"/>
      <c r="L706" s="1"/>
      <c r="M706" s="3"/>
      <c r="N706" s="3"/>
      <c r="O706" s="4"/>
      <c r="P706" s="4"/>
      <c r="Q706" s="4"/>
      <c r="R706" s="4"/>
      <c r="S706" s="4"/>
      <c r="T706" s="4"/>
      <c r="U706" s="4"/>
      <c r="V706" s="4"/>
      <c r="W706" s="4"/>
      <c r="X706" s="3"/>
      <c r="Y706" s="2"/>
      <c r="Z706" s="2"/>
      <c r="AA706" s="1"/>
      <c r="AB706" s="1"/>
      <c r="AC706" s="1"/>
      <c r="AD706" s="1"/>
      <c r="AE706" s="1"/>
      <c r="AF706" s="1"/>
      <c r="AG706" s="1"/>
      <c r="AH706" s="1"/>
    </row>
    <row r="707" ht="13.5" customHeight="1">
      <c r="A707" s="1"/>
      <c r="B707" s="1"/>
      <c r="C707" s="3"/>
      <c r="D707" s="1"/>
      <c r="E707" s="1"/>
      <c r="F707" s="1"/>
      <c r="G707" s="1"/>
      <c r="H707" s="1"/>
      <c r="I707" s="1"/>
      <c r="J707" s="1"/>
      <c r="K707" s="2"/>
      <c r="L707" s="1"/>
      <c r="M707" s="3"/>
      <c r="N707" s="3"/>
      <c r="O707" s="4"/>
      <c r="P707" s="4"/>
      <c r="Q707" s="4"/>
      <c r="R707" s="4"/>
      <c r="S707" s="4"/>
      <c r="T707" s="4"/>
      <c r="U707" s="4"/>
      <c r="V707" s="4"/>
      <c r="W707" s="4"/>
      <c r="X707" s="3"/>
      <c r="Y707" s="2"/>
      <c r="Z707" s="2"/>
      <c r="AA707" s="1"/>
      <c r="AB707" s="1"/>
      <c r="AC707" s="1"/>
      <c r="AD707" s="1"/>
      <c r="AE707" s="1"/>
      <c r="AF707" s="1"/>
      <c r="AG707" s="1"/>
      <c r="AH707" s="1"/>
    </row>
    <row r="708" ht="13.5" customHeight="1">
      <c r="A708" s="1"/>
      <c r="B708" s="1"/>
      <c r="C708" s="3"/>
      <c r="D708" s="1"/>
      <c r="E708" s="1"/>
      <c r="F708" s="1"/>
      <c r="G708" s="1"/>
      <c r="H708" s="1"/>
      <c r="I708" s="1"/>
      <c r="J708" s="1"/>
      <c r="K708" s="2"/>
      <c r="L708" s="1"/>
      <c r="M708" s="3"/>
      <c r="N708" s="3"/>
      <c r="O708" s="4"/>
      <c r="P708" s="4"/>
      <c r="Q708" s="4"/>
      <c r="R708" s="4"/>
      <c r="S708" s="4"/>
      <c r="T708" s="4"/>
      <c r="U708" s="4"/>
      <c r="V708" s="4"/>
      <c r="W708" s="4"/>
      <c r="X708" s="3"/>
      <c r="Y708" s="2"/>
      <c r="Z708" s="2"/>
      <c r="AA708" s="1"/>
      <c r="AB708" s="1"/>
      <c r="AC708" s="1"/>
      <c r="AD708" s="1"/>
      <c r="AE708" s="1"/>
      <c r="AF708" s="1"/>
      <c r="AG708" s="1"/>
      <c r="AH708" s="1"/>
    </row>
    <row r="709" ht="13.5" customHeight="1">
      <c r="A709" s="1"/>
      <c r="B709" s="1"/>
      <c r="C709" s="3"/>
      <c r="D709" s="1"/>
      <c r="E709" s="1"/>
      <c r="F709" s="1"/>
      <c r="G709" s="1"/>
      <c r="H709" s="1"/>
      <c r="I709" s="1"/>
      <c r="J709" s="1"/>
      <c r="K709" s="2"/>
      <c r="L709" s="1"/>
      <c r="M709" s="3"/>
      <c r="N709" s="3"/>
      <c r="O709" s="4"/>
      <c r="P709" s="4"/>
      <c r="Q709" s="4"/>
      <c r="R709" s="4"/>
      <c r="S709" s="4"/>
      <c r="T709" s="4"/>
      <c r="U709" s="4"/>
      <c r="V709" s="4"/>
      <c r="W709" s="4"/>
      <c r="X709" s="3"/>
      <c r="Y709" s="2"/>
      <c r="Z709" s="2"/>
      <c r="AA709" s="1"/>
      <c r="AB709" s="1"/>
      <c r="AC709" s="1"/>
      <c r="AD709" s="1"/>
      <c r="AE709" s="1"/>
      <c r="AF709" s="1"/>
      <c r="AG709" s="1"/>
      <c r="AH709" s="1"/>
    </row>
    <row r="710" ht="13.5" customHeight="1">
      <c r="A710" s="1"/>
      <c r="B710" s="1"/>
      <c r="C710" s="3"/>
      <c r="D710" s="1"/>
      <c r="E710" s="1"/>
      <c r="F710" s="1"/>
      <c r="G710" s="1"/>
      <c r="H710" s="1"/>
      <c r="I710" s="1"/>
      <c r="J710" s="1"/>
      <c r="K710" s="2"/>
      <c r="L710" s="1"/>
      <c r="M710" s="3"/>
      <c r="N710" s="3"/>
      <c r="O710" s="4"/>
      <c r="P710" s="4"/>
      <c r="Q710" s="4"/>
      <c r="R710" s="4"/>
      <c r="S710" s="4"/>
      <c r="T710" s="4"/>
      <c r="U710" s="4"/>
      <c r="V710" s="4"/>
      <c r="W710" s="4"/>
      <c r="X710" s="3"/>
      <c r="Y710" s="2"/>
      <c r="Z710" s="2"/>
      <c r="AA710" s="1"/>
      <c r="AB710" s="1"/>
      <c r="AC710" s="1"/>
      <c r="AD710" s="1"/>
      <c r="AE710" s="1"/>
      <c r="AF710" s="1"/>
      <c r="AG710" s="1"/>
      <c r="AH710" s="1"/>
    </row>
    <row r="711" ht="13.5" customHeight="1">
      <c r="A711" s="1"/>
      <c r="B711" s="1"/>
      <c r="C711" s="3"/>
      <c r="D711" s="1"/>
      <c r="E711" s="1"/>
      <c r="F711" s="1"/>
      <c r="G711" s="1"/>
      <c r="H711" s="1"/>
      <c r="I711" s="1"/>
      <c r="J711" s="1"/>
      <c r="K711" s="2"/>
      <c r="L711" s="1"/>
      <c r="M711" s="3"/>
      <c r="N711" s="3"/>
      <c r="O711" s="4"/>
      <c r="P711" s="4"/>
      <c r="Q711" s="4"/>
      <c r="R711" s="4"/>
      <c r="S711" s="4"/>
      <c r="T711" s="4"/>
      <c r="U711" s="4"/>
      <c r="V711" s="4"/>
      <c r="W711" s="4"/>
      <c r="X711" s="3"/>
      <c r="Y711" s="2"/>
      <c r="Z711" s="2"/>
      <c r="AA711" s="1"/>
      <c r="AB711" s="1"/>
      <c r="AC711" s="1"/>
      <c r="AD711" s="1"/>
      <c r="AE711" s="1"/>
      <c r="AF711" s="1"/>
      <c r="AG711" s="1"/>
      <c r="AH711" s="1"/>
    </row>
    <row r="712" ht="13.5" customHeight="1">
      <c r="A712" s="1"/>
      <c r="B712" s="1"/>
      <c r="C712" s="3"/>
      <c r="D712" s="1"/>
      <c r="E712" s="1"/>
      <c r="F712" s="1"/>
      <c r="G712" s="1"/>
      <c r="H712" s="1"/>
      <c r="I712" s="1"/>
      <c r="J712" s="1"/>
      <c r="K712" s="2"/>
      <c r="L712" s="1"/>
      <c r="M712" s="3"/>
      <c r="N712" s="3"/>
      <c r="O712" s="4"/>
      <c r="P712" s="4"/>
      <c r="Q712" s="4"/>
      <c r="R712" s="4"/>
      <c r="S712" s="4"/>
      <c r="T712" s="4"/>
      <c r="U712" s="4"/>
      <c r="V712" s="4"/>
      <c r="W712" s="4"/>
      <c r="X712" s="3"/>
      <c r="Y712" s="2"/>
      <c r="Z712" s="2"/>
      <c r="AA712" s="1"/>
      <c r="AB712" s="1"/>
      <c r="AC712" s="1"/>
      <c r="AD712" s="1"/>
      <c r="AE712" s="1"/>
      <c r="AF712" s="1"/>
      <c r="AG712" s="1"/>
      <c r="AH712" s="1"/>
    </row>
    <row r="713" ht="13.5" customHeight="1">
      <c r="A713" s="1"/>
      <c r="B713" s="1"/>
      <c r="C713" s="3"/>
      <c r="D713" s="1"/>
      <c r="E713" s="1"/>
      <c r="F713" s="1"/>
      <c r="G713" s="1"/>
      <c r="H713" s="1"/>
      <c r="I713" s="1"/>
      <c r="J713" s="1"/>
      <c r="K713" s="2"/>
      <c r="L713" s="1"/>
      <c r="M713" s="3"/>
      <c r="N713" s="3"/>
      <c r="O713" s="4"/>
      <c r="P713" s="4"/>
      <c r="Q713" s="4"/>
      <c r="R713" s="4"/>
      <c r="S713" s="4"/>
      <c r="T713" s="4"/>
      <c r="U713" s="4"/>
      <c r="V713" s="4"/>
      <c r="W713" s="4"/>
      <c r="X713" s="3"/>
      <c r="Y713" s="2"/>
      <c r="Z713" s="2"/>
      <c r="AA713" s="1"/>
      <c r="AB713" s="1"/>
      <c r="AC713" s="1"/>
      <c r="AD713" s="1"/>
      <c r="AE713" s="1"/>
      <c r="AF713" s="1"/>
      <c r="AG713" s="1"/>
      <c r="AH713" s="1"/>
    </row>
    <row r="714" ht="13.5" customHeight="1">
      <c r="A714" s="1"/>
      <c r="B714" s="1"/>
      <c r="C714" s="3"/>
      <c r="D714" s="1"/>
      <c r="E714" s="1"/>
      <c r="F714" s="1"/>
      <c r="G714" s="1"/>
      <c r="H714" s="1"/>
      <c r="I714" s="1"/>
      <c r="J714" s="1"/>
      <c r="K714" s="2"/>
      <c r="L714" s="1"/>
      <c r="M714" s="3"/>
      <c r="N714" s="3"/>
      <c r="O714" s="4"/>
      <c r="P714" s="4"/>
      <c r="Q714" s="4"/>
      <c r="R714" s="4"/>
      <c r="S714" s="4"/>
      <c r="T714" s="4"/>
      <c r="U714" s="4"/>
      <c r="V714" s="4"/>
      <c r="W714" s="4"/>
      <c r="X714" s="3"/>
      <c r="Y714" s="2"/>
      <c r="Z714" s="2"/>
      <c r="AA714" s="1"/>
      <c r="AB714" s="1"/>
      <c r="AC714" s="1"/>
      <c r="AD714" s="1"/>
      <c r="AE714" s="1"/>
      <c r="AF714" s="1"/>
      <c r="AG714" s="1"/>
      <c r="AH714" s="1"/>
    </row>
    <row r="715" ht="13.5" customHeight="1">
      <c r="A715" s="1"/>
      <c r="B715" s="1"/>
      <c r="C715" s="3"/>
      <c r="D715" s="1"/>
      <c r="E715" s="1"/>
      <c r="F715" s="1"/>
      <c r="G715" s="1"/>
      <c r="H715" s="1"/>
      <c r="I715" s="1"/>
      <c r="J715" s="1"/>
      <c r="K715" s="2"/>
      <c r="L715" s="1"/>
      <c r="M715" s="3"/>
      <c r="N715" s="3"/>
      <c r="O715" s="4"/>
      <c r="P715" s="4"/>
      <c r="Q715" s="4"/>
      <c r="R715" s="4"/>
      <c r="S715" s="4"/>
      <c r="T715" s="4"/>
      <c r="U715" s="4"/>
      <c r="V715" s="4"/>
      <c r="W715" s="4"/>
      <c r="X715" s="3"/>
      <c r="Y715" s="2"/>
      <c r="Z715" s="2"/>
      <c r="AA715" s="1"/>
      <c r="AB715" s="1"/>
      <c r="AC715" s="1"/>
      <c r="AD715" s="1"/>
      <c r="AE715" s="1"/>
      <c r="AF715" s="1"/>
      <c r="AG715" s="1"/>
      <c r="AH715" s="1"/>
    </row>
    <row r="716" ht="13.5" customHeight="1">
      <c r="A716" s="1"/>
      <c r="B716" s="1"/>
      <c r="C716" s="3"/>
      <c r="D716" s="1"/>
      <c r="E716" s="1"/>
      <c r="F716" s="1"/>
      <c r="G716" s="1"/>
      <c r="H716" s="1"/>
      <c r="I716" s="1"/>
      <c r="J716" s="1"/>
      <c r="K716" s="2"/>
      <c r="L716" s="1"/>
      <c r="M716" s="3"/>
      <c r="N716" s="3"/>
      <c r="O716" s="4"/>
      <c r="P716" s="4"/>
      <c r="Q716" s="4"/>
      <c r="R716" s="4"/>
      <c r="S716" s="4"/>
      <c r="T716" s="4"/>
      <c r="U716" s="4"/>
      <c r="V716" s="4"/>
      <c r="W716" s="4"/>
      <c r="X716" s="3"/>
      <c r="Y716" s="2"/>
      <c r="Z716" s="2"/>
      <c r="AA716" s="1"/>
      <c r="AB716" s="1"/>
      <c r="AC716" s="1"/>
      <c r="AD716" s="1"/>
      <c r="AE716" s="1"/>
      <c r="AF716" s="1"/>
      <c r="AG716" s="1"/>
      <c r="AH716" s="1"/>
    </row>
    <row r="717" ht="13.5" customHeight="1">
      <c r="A717" s="1"/>
      <c r="B717" s="1"/>
      <c r="C717" s="3"/>
      <c r="D717" s="1"/>
      <c r="E717" s="1"/>
      <c r="F717" s="1"/>
      <c r="G717" s="1"/>
      <c r="H717" s="1"/>
      <c r="I717" s="1"/>
      <c r="J717" s="1"/>
      <c r="K717" s="2"/>
      <c r="L717" s="1"/>
      <c r="M717" s="3"/>
      <c r="N717" s="3"/>
      <c r="O717" s="4"/>
      <c r="P717" s="4"/>
      <c r="Q717" s="4"/>
      <c r="R717" s="4"/>
      <c r="S717" s="4"/>
      <c r="T717" s="4"/>
      <c r="U717" s="4"/>
      <c r="V717" s="4"/>
      <c r="W717" s="4"/>
      <c r="X717" s="3"/>
      <c r="Y717" s="2"/>
      <c r="Z717" s="2"/>
      <c r="AA717" s="1"/>
      <c r="AB717" s="1"/>
      <c r="AC717" s="1"/>
      <c r="AD717" s="1"/>
      <c r="AE717" s="1"/>
      <c r="AF717" s="1"/>
      <c r="AG717" s="1"/>
      <c r="AH717" s="1"/>
    </row>
    <row r="718" ht="13.5" customHeight="1">
      <c r="A718" s="1"/>
      <c r="B718" s="1"/>
      <c r="C718" s="3"/>
      <c r="D718" s="1"/>
      <c r="E718" s="1"/>
      <c r="F718" s="1"/>
      <c r="G718" s="1"/>
      <c r="H718" s="1"/>
      <c r="I718" s="1"/>
      <c r="J718" s="1"/>
      <c r="K718" s="2"/>
      <c r="L718" s="1"/>
      <c r="M718" s="3"/>
      <c r="N718" s="3"/>
      <c r="O718" s="4"/>
      <c r="P718" s="4"/>
      <c r="Q718" s="4"/>
      <c r="R718" s="4"/>
      <c r="S718" s="4"/>
      <c r="T718" s="4"/>
      <c r="U718" s="4"/>
      <c r="V718" s="4"/>
      <c r="W718" s="4"/>
      <c r="X718" s="3"/>
      <c r="Y718" s="2"/>
      <c r="Z718" s="2"/>
      <c r="AA718" s="1"/>
      <c r="AB718" s="1"/>
      <c r="AC718" s="1"/>
      <c r="AD718" s="1"/>
      <c r="AE718" s="1"/>
      <c r="AF718" s="1"/>
      <c r="AG718" s="1"/>
      <c r="AH718" s="1"/>
    </row>
    <row r="719" ht="13.5" customHeight="1">
      <c r="A719" s="1"/>
      <c r="B719" s="1"/>
      <c r="C719" s="3"/>
      <c r="D719" s="1"/>
      <c r="E719" s="1"/>
      <c r="F719" s="1"/>
      <c r="G719" s="1"/>
      <c r="H719" s="1"/>
      <c r="I719" s="1"/>
      <c r="J719" s="1"/>
      <c r="K719" s="2"/>
      <c r="L719" s="1"/>
      <c r="M719" s="3"/>
      <c r="N719" s="3"/>
      <c r="O719" s="4"/>
      <c r="P719" s="4"/>
      <c r="Q719" s="4"/>
      <c r="R719" s="4"/>
      <c r="S719" s="4"/>
      <c r="T719" s="4"/>
      <c r="U719" s="4"/>
      <c r="V719" s="4"/>
      <c r="W719" s="4"/>
      <c r="X719" s="3"/>
      <c r="Y719" s="2"/>
      <c r="Z719" s="2"/>
      <c r="AA719" s="1"/>
      <c r="AB719" s="1"/>
      <c r="AC719" s="1"/>
      <c r="AD719" s="1"/>
      <c r="AE719" s="1"/>
      <c r="AF719" s="1"/>
      <c r="AG719" s="1"/>
      <c r="AH719" s="1"/>
    </row>
    <row r="720" ht="13.5" customHeight="1">
      <c r="A720" s="1"/>
      <c r="B720" s="1"/>
      <c r="C720" s="3"/>
      <c r="D720" s="1"/>
      <c r="E720" s="1"/>
      <c r="F720" s="1"/>
      <c r="G720" s="1"/>
      <c r="H720" s="1"/>
      <c r="I720" s="1"/>
      <c r="J720" s="1"/>
      <c r="K720" s="2"/>
      <c r="L720" s="1"/>
      <c r="M720" s="3"/>
      <c r="N720" s="3"/>
      <c r="O720" s="4"/>
      <c r="P720" s="4"/>
      <c r="Q720" s="4"/>
      <c r="R720" s="4"/>
      <c r="S720" s="4"/>
      <c r="T720" s="4"/>
      <c r="U720" s="4"/>
      <c r="V720" s="4"/>
      <c r="W720" s="4"/>
      <c r="X720" s="3"/>
      <c r="Y720" s="2"/>
      <c r="Z720" s="2"/>
      <c r="AA720" s="1"/>
      <c r="AB720" s="1"/>
      <c r="AC720" s="1"/>
      <c r="AD720" s="1"/>
      <c r="AE720" s="1"/>
      <c r="AF720" s="1"/>
      <c r="AG720" s="1"/>
      <c r="AH720" s="1"/>
    </row>
    <row r="721" ht="13.5" customHeight="1">
      <c r="A721" s="1"/>
      <c r="B721" s="1"/>
      <c r="C721" s="3"/>
      <c r="D721" s="1"/>
      <c r="E721" s="1"/>
      <c r="F721" s="1"/>
      <c r="G721" s="1"/>
      <c r="H721" s="1"/>
      <c r="I721" s="1"/>
      <c r="J721" s="1"/>
      <c r="K721" s="2"/>
      <c r="L721" s="1"/>
      <c r="M721" s="3"/>
      <c r="N721" s="3"/>
      <c r="O721" s="4"/>
      <c r="P721" s="4"/>
      <c r="Q721" s="4"/>
      <c r="R721" s="4"/>
      <c r="S721" s="4"/>
      <c r="T721" s="4"/>
      <c r="U721" s="4"/>
      <c r="V721" s="4"/>
      <c r="W721" s="4"/>
      <c r="X721" s="3"/>
      <c r="Y721" s="2"/>
      <c r="Z721" s="2"/>
      <c r="AA721" s="1"/>
      <c r="AB721" s="1"/>
      <c r="AC721" s="1"/>
      <c r="AD721" s="1"/>
      <c r="AE721" s="1"/>
      <c r="AF721" s="1"/>
      <c r="AG721" s="1"/>
      <c r="AH721" s="1"/>
    </row>
    <row r="722" ht="13.5" customHeight="1">
      <c r="A722" s="1"/>
      <c r="B722" s="1"/>
      <c r="C722" s="3"/>
      <c r="D722" s="1"/>
      <c r="E722" s="1"/>
      <c r="F722" s="1"/>
      <c r="G722" s="1"/>
      <c r="H722" s="1"/>
      <c r="I722" s="1"/>
      <c r="J722" s="1"/>
      <c r="K722" s="2"/>
      <c r="L722" s="1"/>
      <c r="M722" s="3"/>
      <c r="N722" s="3"/>
      <c r="O722" s="4"/>
      <c r="P722" s="4"/>
      <c r="Q722" s="4"/>
      <c r="R722" s="4"/>
      <c r="S722" s="4"/>
      <c r="T722" s="4"/>
      <c r="U722" s="4"/>
      <c r="V722" s="4"/>
      <c r="W722" s="4"/>
      <c r="X722" s="3"/>
      <c r="Y722" s="2"/>
      <c r="Z722" s="2"/>
      <c r="AA722" s="1"/>
      <c r="AB722" s="1"/>
      <c r="AC722" s="1"/>
      <c r="AD722" s="1"/>
      <c r="AE722" s="1"/>
      <c r="AF722" s="1"/>
      <c r="AG722" s="1"/>
      <c r="AH722" s="1"/>
    </row>
    <row r="723" ht="13.5" customHeight="1">
      <c r="A723" s="1"/>
      <c r="B723" s="1"/>
      <c r="C723" s="3"/>
      <c r="D723" s="1"/>
      <c r="E723" s="1"/>
      <c r="F723" s="1"/>
      <c r="G723" s="1"/>
      <c r="H723" s="1"/>
      <c r="I723" s="1"/>
      <c r="J723" s="1"/>
      <c r="K723" s="2"/>
      <c r="L723" s="1"/>
      <c r="M723" s="3"/>
      <c r="N723" s="3"/>
      <c r="O723" s="4"/>
      <c r="P723" s="4"/>
      <c r="Q723" s="4"/>
      <c r="R723" s="4"/>
      <c r="S723" s="4"/>
      <c r="T723" s="4"/>
      <c r="U723" s="4"/>
      <c r="V723" s="4"/>
      <c r="W723" s="4"/>
      <c r="X723" s="3"/>
      <c r="Y723" s="2"/>
      <c r="Z723" s="2"/>
      <c r="AA723" s="1"/>
      <c r="AB723" s="1"/>
      <c r="AC723" s="1"/>
      <c r="AD723" s="1"/>
      <c r="AE723" s="1"/>
      <c r="AF723" s="1"/>
      <c r="AG723" s="1"/>
      <c r="AH723" s="1"/>
    </row>
    <row r="724" ht="13.5" customHeight="1">
      <c r="A724" s="1"/>
      <c r="B724" s="1"/>
      <c r="C724" s="3"/>
      <c r="D724" s="1"/>
      <c r="E724" s="1"/>
      <c r="F724" s="1"/>
      <c r="G724" s="1"/>
      <c r="H724" s="1"/>
      <c r="I724" s="1"/>
      <c r="J724" s="1"/>
      <c r="K724" s="2"/>
      <c r="L724" s="1"/>
      <c r="M724" s="3"/>
      <c r="N724" s="3"/>
      <c r="O724" s="4"/>
      <c r="P724" s="4"/>
      <c r="Q724" s="4"/>
      <c r="R724" s="4"/>
      <c r="S724" s="4"/>
      <c r="T724" s="4"/>
      <c r="U724" s="4"/>
      <c r="V724" s="4"/>
      <c r="W724" s="4"/>
      <c r="X724" s="3"/>
      <c r="Y724" s="2"/>
      <c r="Z724" s="2"/>
      <c r="AA724" s="1"/>
      <c r="AB724" s="1"/>
      <c r="AC724" s="1"/>
      <c r="AD724" s="1"/>
      <c r="AE724" s="1"/>
      <c r="AF724" s="1"/>
      <c r="AG724" s="1"/>
      <c r="AH724" s="1"/>
    </row>
    <row r="725" ht="13.5" customHeight="1">
      <c r="A725" s="1"/>
      <c r="B725" s="1"/>
      <c r="C725" s="3"/>
      <c r="D725" s="1"/>
      <c r="E725" s="1"/>
      <c r="F725" s="1"/>
      <c r="G725" s="1"/>
      <c r="H725" s="1"/>
      <c r="I725" s="1"/>
      <c r="J725" s="1"/>
      <c r="K725" s="2"/>
      <c r="L725" s="1"/>
      <c r="M725" s="3"/>
      <c r="N725" s="3"/>
      <c r="O725" s="4"/>
      <c r="P725" s="4"/>
      <c r="Q725" s="4"/>
      <c r="R725" s="4"/>
      <c r="S725" s="4"/>
      <c r="T725" s="4"/>
      <c r="U725" s="4"/>
      <c r="V725" s="4"/>
      <c r="W725" s="4"/>
      <c r="X725" s="3"/>
      <c r="Y725" s="2"/>
      <c r="Z725" s="2"/>
      <c r="AA725" s="1"/>
      <c r="AB725" s="1"/>
      <c r="AC725" s="1"/>
      <c r="AD725" s="1"/>
      <c r="AE725" s="1"/>
      <c r="AF725" s="1"/>
      <c r="AG725" s="1"/>
      <c r="AH725" s="1"/>
    </row>
    <row r="726" ht="13.5" customHeight="1">
      <c r="A726" s="1"/>
      <c r="B726" s="1"/>
      <c r="C726" s="3"/>
      <c r="D726" s="1"/>
      <c r="E726" s="1"/>
      <c r="F726" s="1"/>
      <c r="G726" s="1"/>
      <c r="H726" s="1"/>
      <c r="I726" s="1"/>
      <c r="J726" s="1"/>
      <c r="K726" s="2"/>
      <c r="L726" s="1"/>
      <c r="M726" s="3"/>
      <c r="N726" s="3"/>
      <c r="O726" s="4"/>
      <c r="P726" s="4"/>
      <c r="Q726" s="4"/>
      <c r="R726" s="4"/>
      <c r="S726" s="4"/>
      <c r="T726" s="4"/>
      <c r="U726" s="4"/>
      <c r="V726" s="4"/>
      <c r="W726" s="4"/>
      <c r="X726" s="3"/>
      <c r="Y726" s="2"/>
      <c r="Z726" s="2"/>
      <c r="AA726" s="1"/>
      <c r="AB726" s="1"/>
      <c r="AC726" s="1"/>
      <c r="AD726" s="1"/>
      <c r="AE726" s="1"/>
      <c r="AF726" s="1"/>
      <c r="AG726" s="1"/>
      <c r="AH726" s="1"/>
    </row>
    <row r="727" ht="13.5" customHeight="1">
      <c r="A727" s="1"/>
      <c r="B727" s="1"/>
      <c r="C727" s="3"/>
      <c r="D727" s="1"/>
      <c r="E727" s="1"/>
      <c r="F727" s="1"/>
      <c r="G727" s="1"/>
      <c r="H727" s="1"/>
      <c r="I727" s="1"/>
      <c r="J727" s="1"/>
      <c r="K727" s="2"/>
      <c r="L727" s="1"/>
      <c r="M727" s="3"/>
      <c r="N727" s="3"/>
      <c r="O727" s="4"/>
      <c r="P727" s="4"/>
      <c r="Q727" s="4"/>
      <c r="R727" s="4"/>
      <c r="S727" s="4"/>
      <c r="T727" s="4"/>
      <c r="U727" s="4"/>
      <c r="V727" s="4"/>
      <c r="W727" s="4"/>
      <c r="X727" s="3"/>
      <c r="Y727" s="2"/>
      <c r="Z727" s="2"/>
      <c r="AA727" s="1"/>
      <c r="AB727" s="1"/>
      <c r="AC727" s="1"/>
      <c r="AD727" s="1"/>
      <c r="AE727" s="1"/>
      <c r="AF727" s="1"/>
      <c r="AG727" s="1"/>
      <c r="AH727" s="1"/>
    </row>
    <row r="728" ht="13.5" customHeight="1">
      <c r="A728" s="1"/>
      <c r="B728" s="1"/>
      <c r="C728" s="3"/>
      <c r="D728" s="1"/>
      <c r="E728" s="1"/>
      <c r="F728" s="1"/>
      <c r="G728" s="1"/>
      <c r="H728" s="1"/>
      <c r="I728" s="1"/>
      <c r="J728" s="1"/>
      <c r="K728" s="2"/>
      <c r="L728" s="1"/>
      <c r="M728" s="3"/>
      <c r="N728" s="3"/>
      <c r="O728" s="4"/>
      <c r="P728" s="4"/>
      <c r="Q728" s="4"/>
      <c r="R728" s="4"/>
      <c r="S728" s="4"/>
      <c r="T728" s="4"/>
      <c r="U728" s="4"/>
      <c r="V728" s="4"/>
      <c r="W728" s="4"/>
      <c r="X728" s="3"/>
      <c r="Y728" s="2"/>
      <c r="Z728" s="2"/>
      <c r="AA728" s="1"/>
      <c r="AB728" s="1"/>
      <c r="AC728" s="1"/>
      <c r="AD728" s="1"/>
      <c r="AE728" s="1"/>
      <c r="AF728" s="1"/>
      <c r="AG728" s="1"/>
      <c r="AH728" s="1"/>
    </row>
    <row r="729" ht="13.5" customHeight="1">
      <c r="A729" s="1"/>
      <c r="B729" s="1"/>
      <c r="C729" s="3"/>
      <c r="D729" s="1"/>
      <c r="E729" s="1"/>
      <c r="F729" s="1"/>
      <c r="G729" s="1"/>
      <c r="H729" s="1"/>
      <c r="I729" s="1"/>
      <c r="J729" s="1"/>
      <c r="K729" s="2"/>
      <c r="L729" s="1"/>
      <c r="M729" s="3"/>
      <c r="N729" s="3"/>
      <c r="O729" s="4"/>
      <c r="P729" s="4"/>
      <c r="Q729" s="4"/>
      <c r="R729" s="4"/>
      <c r="S729" s="4"/>
      <c r="T729" s="4"/>
      <c r="U729" s="4"/>
      <c r="V729" s="4"/>
      <c r="W729" s="4"/>
      <c r="X729" s="3"/>
      <c r="Y729" s="2"/>
      <c r="Z729" s="2"/>
      <c r="AA729" s="1"/>
      <c r="AB729" s="1"/>
      <c r="AC729" s="1"/>
      <c r="AD729" s="1"/>
      <c r="AE729" s="1"/>
      <c r="AF729" s="1"/>
      <c r="AG729" s="1"/>
      <c r="AH729" s="1"/>
    </row>
    <row r="730" ht="13.5" customHeight="1">
      <c r="A730" s="1"/>
      <c r="B730" s="1"/>
      <c r="C730" s="3"/>
      <c r="D730" s="1"/>
      <c r="E730" s="1"/>
      <c r="F730" s="1"/>
      <c r="G730" s="1"/>
      <c r="H730" s="1"/>
      <c r="I730" s="1"/>
      <c r="J730" s="1"/>
      <c r="K730" s="2"/>
      <c r="L730" s="1"/>
      <c r="M730" s="3"/>
      <c r="N730" s="3"/>
      <c r="O730" s="4"/>
      <c r="P730" s="4"/>
      <c r="Q730" s="4"/>
      <c r="R730" s="4"/>
      <c r="S730" s="4"/>
      <c r="T730" s="4"/>
      <c r="U730" s="4"/>
      <c r="V730" s="4"/>
      <c r="W730" s="4"/>
      <c r="X730" s="3"/>
      <c r="Y730" s="2"/>
      <c r="Z730" s="2"/>
      <c r="AA730" s="1"/>
      <c r="AB730" s="1"/>
      <c r="AC730" s="1"/>
      <c r="AD730" s="1"/>
      <c r="AE730" s="1"/>
      <c r="AF730" s="1"/>
      <c r="AG730" s="1"/>
      <c r="AH730" s="1"/>
    </row>
    <row r="731" ht="13.5" customHeight="1">
      <c r="A731" s="1"/>
      <c r="B731" s="1"/>
      <c r="C731" s="3"/>
      <c r="D731" s="1"/>
      <c r="E731" s="1"/>
      <c r="F731" s="1"/>
      <c r="G731" s="1"/>
      <c r="H731" s="1"/>
      <c r="I731" s="1"/>
      <c r="J731" s="1"/>
      <c r="K731" s="2"/>
      <c r="L731" s="1"/>
      <c r="M731" s="3"/>
      <c r="N731" s="3"/>
      <c r="O731" s="4"/>
      <c r="P731" s="4"/>
      <c r="Q731" s="4"/>
      <c r="R731" s="4"/>
      <c r="S731" s="4"/>
      <c r="T731" s="4"/>
      <c r="U731" s="4"/>
      <c r="V731" s="4"/>
      <c r="W731" s="4"/>
      <c r="X731" s="3"/>
      <c r="Y731" s="2"/>
      <c r="Z731" s="2"/>
      <c r="AA731" s="1"/>
      <c r="AB731" s="1"/>
      <c r="AC731" s="1"/>
      <c r="AD731" s="1"/>
      <c r="AE731" s="1"/>
      <c r="AF731" s="1"/>
      <c r="AG731" s="1"/>
      <c r="AH731" s="1"/>
    </row>
    <row r="732" ht="13.5" customHeight="1">
      <c r="A732" s="1"/>
      <c r="B732" s="1"/>
      <c r="C732" s="3"/>
      <c r="D732" s="1"/>
      <c r="E732" s="1"/>
      <c r="F732" s="1"/>
      <c r="G732" s="1"/>
      <c r="H732" s="1"/>
      <c r="I732" s="1"/>
      <c r="J732" s="1"/>
      <c r="K732" s="2"/>
      <c r="L732" s="1"/>
      <c r="M732" s="3"/>
      <c r="N732" s="3"/>
      <c r="O732" s="4"/>
      <c r="P732" s="4"/>
      <c r="Q732" s="4"/>
      <c r="R732" s="4"/>
      <c r="S732" s="4"/>
      <c r="T732" s="4"/>
      <c r="U732" s="4"/>
      <c r="V732" s="4"/>
      <c r="W732" s="4"/>
      <c r="X732" s="3"/>
      <c r="Y732" s="2"/>
      <c r="Z732" s="2"/>
      <c r="AA732" s="1"/>
      <c r="AB732" s="1"/>
      <c r="AC732" s="1"/>
      <c r="AD732" s="1"/>
      <c r="AE732" s="1"/>
      <c r="AF732" s="1"/>
      <c r="AG732" s="1"/>
      <c r="AH732" s="1"/>
    </row>
    <row r="733" ht="13.5" customHeight="1">
      <c r="A733" s="1"/>
      <c r="B733" s="1"/>
      <c r="C733" s="3"/>
      <c r="D733" s="1"/>
      <c r="E733" s="1"/>
      <c r="F733" s="1"/>
      <c r="G733" s="1"/>
      <c r="H733" s="1"/>
      <c r="I733" s="1"/>
      <c r="J733" s="1"/>
      <c r="K733" s="2"/>
      <c r="L733" s="1"/>
      <c r="M733" s="3"/>
      <c r="N733" s="3"/>
      <c r="O733" s="4"/>
      <c r="P733" s="4"/>
      <c r="Q733" s="4"/>
      <c r="R733" s="4"/>
      <c r="S733" s="4"/>
      <c r="T733" s="4"/>
      <c r="U733" s="4"/>
      <c r="V733" s="4"/>
      <c r="W733" s="4"/>
      <c r="X733" s="3"/>
      <c r="Y733" s="2"/>
      <c r="Z733" s="2"/>
      <c r="AA733" s="1"/>
      <c r="AB733" s="1"/>
      <c r="AC733" s="1"/>
      <c r="AD733" s="1"/>
      <c r="AE733" s="1"/>
      <c r="AF733" s="1"/>
      <c r="AG733" s="1"/>
      <c r="AH733" s="1"/>
    </row>
    <row r="734" ht="13.5" customHeight="1">
      <c r="A734" s="1"/>
      <c r="B734" s="1"/>
      <c r="C734" s="3"/>
      <c r="D734" s="1"/>
      <c r="E734" s="1"/>
      <c r="F734" s="1"/>
      <c r="G734" s="1"/>
      <c r="H734" s="1"/>
      <c r="I734" s="1"/>
      <c r="J734" s="1"/>
      <c r="K734" s="2"/>
      <c r="L734" s="1"/>
      <c r="M734" s="3"/>
      <c r="N734" s="3"/>
      <c r="O734" s="4"/>
      <c r="P734" s="4"/>
      <c r="Q734" s="4"/>
      <c r="R734" s="4"/>
      <c r="S734" s="4"/>
      <c r="T734" s="4"/>
      <c r="U734" s="4"/>
      <c r="V734" s="4"/>
      <c r="W734" s="4"/>
      <c r="X734" s="3"/>
      <c r="Y734" s="2"/>
      <c r="Z734" s="2"/>
      <c r="AA734" s="1"/>
      <c r="AB734" s="1"/>
      <c r="AC734" s="1"/>
      <c r="AD734" s="1"/>
      <c r="AE734" s="1"/>
      <c r="AF734" s="1"/>
      <c r="AG734" s="1"/>
      <c r="AH734" s="1"/>
    </row>
    <row r="735" ht="13.5" customHeight="1">
      <c r="A735" s="1"/>
      <c r="B735" s="1"/>
      <c r="C735" s="3"/>
      <c r="D735" s="1"/>
      <c r="E735" s="1"/>
      <c r="F735" s="1"/>
      <c r="G735" s="1"/>
      <c r="H735" s="1"/>
      <c r="I735" s="1"/>
      <c r="J735" s="1"/>
      <c r="K735" s="2"/>
      <c r="L735" s="1"/>
      <c r="M735" s="3"/>
      <c r="N735" s="3"/>
      <c r="O735" s="4"/>
      <c r="P735" s="4"/>
      <c r="Q735" s="4"/>
      <c r="R735" s="4"/>
      <c r="S735" s="4"/>
      <c r="T735" s="4"/>
      <c r="U735" s="4"/>
      <c r="V735" s="4"/>
      <c r="W735" s="4"/>
      <c r="X735" s="3"/>
      <c r="Y735" s="2"/>
      <c r="Z735" s="2"/>
      <c r="AA735" s="1"/>
      <c r="AB735" s="1"/>
      <c r="AC735" s="1"/>
      <c r="AD735" s="1"/>
      <c r="AE735" s="1"/>
      <c r="AF735" s="1"/>
      <c r="AG735" s="1"/>
      <c r="AH735" s="1"/>
    </row>
    <row r="736" ht="13.5" customHeight="1">
      <c r="A736" s="1"/>
      <c r="B736" s="1"/>
      <c r="C736" s="3"/>
      <c r="D736" s="1"/>
      <c r="E736" s="1"/>
      <c r="F736" s="1"/>
      <c r="G736" s="1"/>
      <c r="H736" s="1"/>
      <c r="I736" s="1"/>
      <c r="J736" s="1"/>
      <c r="K736" s="2"/>
      <c r="L736" s="1"/>
      <c r="M736" s="3"/>
      <c r="N736" s="3"/>
      <c r="O736" s="4"/>
      <c r="P736" s="4"/>
      <c r="Q736" s="4"/>
      <c r="R736" s="4"/>
      <c r="S736" s="4"/>
      <c r="T736" s="4"/>
      <c r="U736" s="4"/>
      <c r="V736" s="4"/>
      <c r="W736" s="4"/>
      <c r="X736" s="3"/>
      <c r="Y736" s="2"/>
      <c r="Z736" s="2"/>
      <c r="AA736" s="1"/>
      <c r="AB736" s="1"/>
      <c r="AC736" s="1"/>
      <c r="AD736" s="1"/>
      <c r="AE736" s="1"/>
      <c r="AF736" s="1"/>
      <c r="AG736" s="1"/>
      <c r="AH736" s="1"/>
    </row>
    <row r="737" ht="13.5" customHeight="1">
      <c r="A737" s="1"/>
      <c r="B737" s="1"/>
      <c r="C737" s="3"/>
      <c r="D737" s="1"/>
      <c r="E737" s="1"/>
      <c r="F737" s="1"/>
      <c r="G737" s="1"/>
      <c r="H737" s="1"/>
      <c r="I737" s="1"/>
      <c r="J737" s="1"/>
      <c r="K737" s="2"/>
      <c r="L737" s="1"/>
      <c r="M737" s="3"/>
      <c r="N737" s="3"/>
      <c r="O737" s="4"/>
      <c r="P737" s="4"/>
      <c r="Q737" s="4"/>
      <c r="R737" s="4"/>
      <c r="S737" s="4"/>
      <c r="T737" s="4"/>
      <c r="U737" s="4"/>
      <c r="V737" s="4"/>
      <c r="W737" s="4"/>
      <c r="X737" s="3"/>
      <c r="Y737" s="2"/>
      <c r="Z737" s="2"/>
      <c r="AA737" s="1"/>
      <c r="AB737" s="1"/>
      <c r="AC737" s="1"/>
      <c r="AD737" s="1"/>
      <c r="AE737" s="1"/>
      <c r="AF737" s="1"/>
      <c r="AG737" s="1"/>
      <c r="AH737" s="1"/>
    </row>
    <row r="738" ht="13.5" customHeight="1">
      <c r="A738" s="1"/>
      <c r="B738" s="1"/>
      <c r="C738" s="3"/>
      <c r="D738" s="1"/>
      <c r="E738" s="1"/>
      <c r="F738" s="1"/>
      <c r="G738" s="1"/>
      <c r="H738" s="1"/>
      <c r="I738" s="1"/>
      <c r="J738" s="1"/>
      <c r="K738" s="2"/>
      <c r="L738" s="1"/>
      <c r="M738" s="3"/>
      <c r="N738" s="3"/>
      <c r="O738" s="4"/>
      <c r="P738" s="4"/>
      <c r="Q738" s="4"/>
      <c r="R738" s="4"/>
      <c r="S738" s="4"/>
      <c r="T738" s="4"/>
      <c r="U738" s="4"/>
      <c r="V738" s="4"/>
      <c r="W738" s="4"/>
      <c r="X738" s="3"/>
      <c r="Y738" s="2"/>
      <c r="Z738" s="2"/>
      <c r="AA738" s="1"/>
      <c r="AB738" s="1"/>
      <c r="AC738" s="1"/>
      <c r="AD738" s="1"/>
      <c r="AE738" s="1"/>
      <c r="AF738" s="1"/>
      <c r="AG738" s="1"/>
      <c r="AH738" s="1"/>
    </row>
    <row r="739" ht="13.5" customHeight="1">
      <c r="A739" s="1"/>
      <c r="B739" s="1"/>
      <c r="C739" s="3"/>
      <c r="D739" s="1"/>
      <c r="E739" s="1"/>
      <c r="F739" s="1"/>
      <c r="G739" s="1"/>
      <c r="H739" s="1"/>
      <c r="I739" s="1"/>
      <c r="J739" s="1"/>
      <c r="K739" s="2"/>
      <c r="L739" s="1"/>
      <c r="M739" s="3"/>
      <c r="N739" s="3"/>
      <c r="O739" s="4"/>
      <c r="P739" s="4"/>
      <c r="Q739" s="4"/>
      <c r="R739" s="4"/>
      <c r="S739" s="4"/>
      <c r="T739" s="4"/>
      <c r="U739" s="4"/>
      <c r="V739" s="4"/>
      <c r="W739" s="4"/>
      <c r="X739" s="3"/>
      <c r="Y739" s="2"/>
      <c r="Z739" s="2"/>
      <c r="AA739" s="1"/>
      <c r="AB739" s="1"/>
      <c r="AC739" s="1"/>
      <c r="AD739" s="1"/>
      <c r="AE739" s="1"/>
      <c r="AF739" s="1"/>
      <c r="AG739" s="1"/>
      <c r="AH739" s="1"/>
    </row>
    <row r="740" ht="13.5" customHeight="1">
      <c r="A740" s="1"/>
      <c r="B740" s="1"/>
      <c r="C740" s="3"/>
      <c r="D740" s="1"/>
      <c r="E740" s="1"/>
      <c r="F740" s="1"/>
      <c r="G740" s="1"/>
      <c r="H740" s="1"/>
      <c r="I740" s="1"/>
      <c r="J740" s="1"/>
      <c r="K740" s="2"/>
      <c r="L740" s="1"/>
      <c r="M740" s="3"/>
      <c r="N740" s="3"/>
      <c r="O740" s="4"/>
      <c r="P740" s="4"/>
      <c r="Q740" s="4"/>
      <c r="R740" s="4"/>
      <c r="S740" s="4"/>
      <c r="T740" s="4"/>
      <c r="U740" s="4"/>
      <c r="V740" s="4"/>
      <c r="W740" s="4"/>
      <c r="X740" s="3"/>
      <c r="Y740" s="2"/>
      <c r="Z740" s="2"/>
      <c r="AA740" s="1"/>
      <c r="AB740" s="1"/>
      <c r="AC740" s="1"/>
      <c r="AD740" s="1"/>
      <c r="AE740" s="1"/>
      <c r="AF740" s="1"/>
      <c r="AG740" s="1"/>
      <c r="AH740" s="1"/>
    </row>
    <row r="741" ht="13.5" customHeight="1">
      <c r="A741" s="1"/>
      <c r="B741" s="1"/>
      <c r="C741" s="3"/>
      <c r="D741" s="1"/>
      <c r="E741" s="1"/>
      <c r="F741" s="1"/>
      <c r="G741" s="1"/>
      <c r="H741" s="1"/>
      <c r="I741" s="1"/>
      <c r="J741" s="1"/>
      <c r="K741" s="2"/>
      <c r="L741" s="1"/>
      <c r="M741" s="3"/>
      <c r="N741" s="3"/>
      <c r="O741" s="4"/>
      <c r="P741" s="4"/>
      <c r="Q741" s="4"/>
      <c r="R741" s="4"/>
      <c r="S741" s="4"/>
      <c r="T741" s="4"/>
      <c r="U741" s="4"/>
      <c r="V741" s="4"/>
      <c r="W741" s="4"/>
      <c r="X741" s="3"/>
      <c r="Y741" s="2"/>
      <c r="Z741" s="2"/>
      <c r="AA741" s="1"/>
      <c r="AB741" s="1"/>
      <c r="AC741" s="1"/>
      <c r="AD741" s="1"/>
      <c r="AE741" s="1"/>
      <c r="AF741" s="1"/>
      <c r="AG741" s="1"/>
      <c r="AH741" s="1"/>
    </row>
    <row r="742" ht="13.5" customHeight="1">
      <c r="A742" s="1"/>
      <c r="B742" s="1"/>
      <c r="C742" s="3"/>
      <c r="D742" s="1"/>
      <c r="E742" s="1"/>
      <c r="F742" s="1"/>
      <c r="G742" s="1"/>
      <c r="H742" s="1"/>
      <c r="I742" s="1"/>
      <c r="J742" s="1"/>
      <c r="K742" s="2"/>
      <c r="L742" s="1"/>
      <c r="M742" s="3"/>
      <c r="N742" s="3"/>
      <c r="O742" s="4"/>
      <c r="P742" s="4"/>
      <c r="Q742" s="4"/>
      <c r="R742" s="4"/>
      <c r="S742" s="4"/>
      <c r="T742" s="4"/>
      <c r="U742" s="4"/>
      <c r="V742" s="4"/>
      <c r="W742" s="4"/>
      <c r="X742" s="3"/>
      <c r="Y742" s="2"/>
      <c r="Z742" s="2"/>
      <c r="AA742" s="1"/>
      <c r="AB742" s="1"/>
      <c r="AC742" s="1"/>
      <c r="AD742" s="1"/>
      <c r="AE742" s="1"/>
      <c r="AF742" s="1"/>
      <c r="AG742" s="1"/>
      <c r="AH742" s="1"/>
    </row>
    <row r="743" ht="13.5" customHeight="1">
      <c r="A743" s="1"/>
      <c r="B743" s="1"/>
      <c r="C743" s="3"/>
      <c r="D743" s="1"/>
      <c r="E743" s="1"/>
      <c r="F743" s="1"/>
      <c r="G743" s="1"/>
      <c r="H743" s="1"/>
      <c r="I743" s="1"/>
      <c r="J743" s="1"/>
      <c r="K743" s="2"/>
      <c r="L743" s="1"/>
      <c r="M743" s="3"/>
      <c r="N743" s="3"/>
      <c r="O743" s="4"/>
      <c r="P743" s="4"/>
      <c r="Q743" s="4"/>
      <c r="R743" s="4"/>
      <c r="S743" s="4"/>
      <c r="T743" s="4"/>
      <c r="U743" s="4"/>
      <c r="V743" s="4"/>
      <c r="W743" s="4"/>
      <c r="X743" s="3"/>
      <c r="Y743" s="2"/>
      <c r="Z743" s="2"/>
      <c r="AA743" s="1"/>
      <c r="AB743" s="1"/>
      <c r="AC743" s="1"/>
      <c r="AD743" s="1"/>
      <c r="AE743" s="1"/>
      <c r="AF743" s="1"/>
      <c r="AG743" s="1"/>
      <c r="AH743" s="1"/>
    </row>
    <row r="744" ht="13.5" customHeight="1">
      <c r="A744" s="1"/>
      <c r="B744" s="1"/>
      <c r="C744" s="3"/>
      <c r="D744" s="1"/>
      <c r="E744" s="1"/>
      <c r="F744" s="1"/>
      <c r="G744" s="1"/>
      <c r="H744" s="1"/>
      <c r="I744" s="1"/>
      <c r="J744" s="1"/>
      <c r="K744" s="2"/>
      <c r="L744" s="1"/>
      <c r="M744" s="3"/>
      <c r="N744" s="3"/>
      <c r="O744" s="4"/>
      <c r="P744" s="4"/>
      <c r="Q744" s="4"/>
      <c r="R744" s="4"/>
      <c r="S744" s="4"/>
      <c r="T744" s="4"/>
      <c r="U744" s="4"/>
      <c r="V744" s="4"/>
      <c r="W744" s="4"/>
      <c r="X744" s="3"/>
      <c r="Y744" s="2"/>
      <c r="Z744" s="2"/>
      <c r="AA744" s="1"/>
      <c r="AB744" s="1"/>
      <c r="AC744" s="1"/>
      <c r="AD744" s="1"/>
      <c r="AE744" s="1"/>
      <c r="AF744" s="1"/>
      <c r="AG744" s="1"/>
      <c r="AH744" s="1"/>
    </row>
    <row r="745" ht="13.5" customHeight="1">
      <c r="A745" s="1"/>
      <c r="B745" s="1"/>
      <c r="C745" s="3"/>
      <c r="D745" s="1"/>
      <c r="E745" s="1"/>
      <c r="F745" s="1"/>
      <c r="G745" s="1"/>
      <c r="H745" s="1"/>
      <c r="I745" s="1"/>
      <c r="J745" s="1"/>
      <c r="K745" s="2"/>
      <c r="L745" s="1"/>
      <c r="M745" s="3"/>
      <c r="N745" s="3"/>
      <c r="O745" s="4"/>
      <c r="P745" s="4"/>
      <c r="Q745" s="4"/>
      <c r="R745" s="4"/>
      <c r="S745" s="4"/>
      <c r="T745" s="4"/>
      <c r="U745" s="4"/>
      <c r="V745" s="4"/>
      <c r="W745" s="4"/>
      <c r="X745" s="3"/>
      <c r="Y745" s="2"/>
      <c r="Z745" s="2"/>
      <c r="AA745" s="1"/>
      <c r="AB745" s="1"/>
      <c r="AC745" s="1"/>
      <c r="AD745" s="1"/>
      <c r="AE745" s="1"/>
      <c r="AF745" s="1"/>
      <c r="AG745" s="1"/>
      <c r="AH745" s="1"/>
    </row>
    <row r="746" ht="13.5" customHeight="1">
      <c r="A746" s="1"/>
      <c r="B746" s="1"/>
      <c r="C746" s="3"/>
      <c r="D746" s="1"/>
      <c r="E746" s="1"/>
      <c r="F746" s="1"/>
      <c r="G746" s="1"/>
      <c r="H746" s="1"/>
      <c r="I746" s="1"/>
      <c r="J746" s="1"/>
      <c r="K746" s="2"/>
      <c r="L746" s="1"/>
      <c r="M746" s="3"/>
      <c r="N746" s="3"/>
      <c r="O746" s="4"/>
      <c r="P746" s="4"/>
      <c r="Q746" s="4"/>
      <c r="R746" s="4"/>
      <c r="S746" s="4"/>
      <c r="T746" s="4"/>
      <c r="U746" s="4"/>
      <c r="V746" s="4"/>
      <c r="W746" s="4"/>
      <c r="X746" s="3"/>
      <c r="Y746" s="2"/>
      <c r="Z746" s="2"/>
      <c r="AA746" s="1"/>
      <c r="AB746" s="1"/>
      <c r="AC746" s="1"/>
      <c r="AD746" s="1"/>
      <c r="AE746" s="1"/>
      <c r="AF746" s="1"/>
      <c r="AG746" s="1"/>
      <c r="AH746" s="1"/>
    </row>
    <row r="747" ht="13.5" customHeight="1">
      <c r="A747" s="1"/>
      <c r="B747" s="1"/>
      <c r="C747" s="3"/>
      <c r="D747" s="1"/>
      <c r="E747" s="1"/>
      <c r="F747" s="1"/>
      <c r="G747" s="1"/>
      <c r="H747" s="1"/>
      <c r="I747" s="1"/>
      <c r="J747" s="1"/>
      <c r="K747" s="2"/>
      <c r="L747" s="1"/>
      <c r="M747" s="3"/>
      <c r="N747" s="3"/>
      <c r="O747" s="4"/>
      <c r="P747" s="4"/>
      <c r="Q747" s="4"/>
      <c r="R747" s="4"/>
      <c r="S747" s="4"/>
      <c r="T747" s="4"/>
      <c r="U747" s="4"/>
      <c r="V747" s="4"/>
      <c r="W747" s="4"/>
      <c r="X747" s="3"/>
      <c r="Y747" s="2"/>
      <c r="Z747" s="2"/>
      <c r="AA747" s="1"/>
      <c r="AB747" s="1"/>
      <c r="AC747" s="1"/>
      <c r="AD747" s="1"/>
      <c r="AE747" s="1"/>
      <c r="AF747" s="1"/>
      <c r="AG747" s="1"/>
      <c r="AH747" s="1"/>
    </row>
    <row r="748" ht="13.5" customHeight="1">
      <c r="A748" s="1"/>
      <c r="B748" s="1"/>
      <c r="C748" s="3"/>
      <c r="D748" s="1"/>
      <c r="E748" s="1"/>
      <c r="F748" s="1"/>
      <c r="G748" s="1"/>
      <c r="H748" s="1"/>
      <c r="I748" s="1"/>
      <c r="J748" s="1"/>
      <c r="K748" s="2"/>
      <c r="L748" s="1"/>
      <c r="M748" s="3"/>
      <c r="N748" s="3"/>
      <c r="O748" s="4"/>
      <c r="P748" s="4"/>
      <c r="Q748" s="4"/>
      <c r="R748" s="4"/>
      <c r="S748" s="4"/>
      <c r="T748" s="4"/>
      <c r="U748" s="4"/>
      <c r="V748" s="4"/>
      <c r="W748" s="4"/>
      <c r="X748" s="3"/>
      <c r="Y748" s="2"/>
      <c r="Z748" s="2"/>
      <c r="AA748" s="1"/>
      <c r="AB748" s="1"/>
      <c r="AC748" s="1"/>
      <c r="AD748" s="1"/>
      <c r="AE748" s="1"/>
      <c r="AF748" s="1"/>
      <c r="AG748" s="1"/>
      <c r="AH748" s="1"/>
    </row>
    <row r="749" ht="13.5" customHeight="1">
      <c r="A749" s="1"/>
      <c r="B749" s="1"/>
      <c r="C749" s="3"/>
      <c r="D749" s="1"/>
      <c r="E749" s="1"/>
      <c r="F749" s="1"/>
      <c r="G749" s="1"/>
      <c r="H749" s="1"/>
      <c r="I749" s="1"/>
      <c r="J749" s="1"/>
      <c r="K749" s="2"/>
      <c r="L749" s="1"/>
      <c r="M749" s="3"/>
      <c r="N749" s="3"/>
      <c r="O749" s="4"/>
      <c r="P749" s="4"/>
      <c r="Q749" s="4"/>
      <c r="R749" s="4"/>
      <c r="S749" s="4"/>
      <c r="T749" s="4"/>
      <c r="U749" s="4"/>
      <c r="V749" s="4"/>
      <c r="W749" s="4"/>
      <c r="X749" s="3"/>
      <c r="Y749" s="2"/>
      <c r="Z749" s="2"/>
      <c r="AA749" s="1"/>
      <c r="AB749" s="1"/>
      <c r="AC749" s="1"/>
      <c r="AD749" s="1"/>
      <c r="AE749" s="1"/>
      <c r="AF749" s="1"/>
      <c r="AG749" s="1"/>
      <c r="AH749" s="1"/>
    </row>
    <row r="750" ht="13.5" customHeight="1">
      <c r="A750" s="1"/>
      <c r="B750" s="1"/>
      <c r="C750" s="3"/>
      <c r="D750" s="1"/>
      <c r="E750" s="1"/>
      <c r="F750" s="1"/>
      <c r="G750" s="1"/>
      <c r="H750" s="1"/>
      <c r="I750" s="1"/>
      <c r="J750" s="1"/>
      <c r="K750" s="2"/>
      <c r="L750" s="1"/>
      <c r="M750" s="3"/>
      <c r="N750" s="3"/>
      <c r="O750" s="4"/>
      <c r="P750" s="4"/>
      <c r="Q750" s="4"/>
      <c r="R750" s="4"/>
      <c r="S750" s="4"/>
      <c r="T750" s="4"/>
      <c r="U750" s="4"/>
      <c r="V750" s="4"/>
      <c r="W750" s="4"/>
      <c r="X750" s="3"/>
      <c r="Y750" s="2"/>
      <c r="Z750" s="2"/>
      <c r="AA750" s="1"/>
      <c r="AB750" s="1"/>
      <c r="AC750" s="1"/>
      <c r="AD750" s="1"/>
      <c r="AE750" s="1"/>
      <c r="AF750" s="1"/>
      <c r="AG750" s="1"/>
      <c r="AH750" s="1"/>
    </row>
    <row r="751" ht="13.5" customHeight="1">
      <c r="A751" s="1"/>
      <c r="B751" s="1"/>
      <c r="C751" s="3"/>
      <c r="D751" s="1"/>
      <c r="E751" s="1"/>
      <c r="F751" s="1"/>
      <c r="G751" s="1"/>
      <c r="H751" s="1"/>
      <c r="I751" s="1"/>
      <c r="J751" s="1"/>
      <c r="K751" s="2"/>
      <c r="L751" s="1"/>
      <c r="M751" s="3"/>
      <c r="N751" s="3"/>
      <c r="O751" s="4"/>
      <c r="P751" s="4"/>
      <c r="Q751" s="4"/>
      <c r="R751" s="4"/>
      <c r="S751" s="4"/>
      <c r="T751" s="4"/>
      <c r="U751" s="4"/>
      <c r="V751" s="4"/>
      <c r="W751" s="4"/>
      <c r="X751" s="3"/>
      <c r="Y751" s="2"/>
      <c r="Z751" s="2"/>
      <c r="AA751" s="1"/>
      <c r="AB751" s="1"/>
      <c r="AC751" s="1"/>
      <c r="AD751" s="1"/>
      <c r="AE751" s="1"/>
      <c r="AF751" s="1"/>
      <c r="AG751" s="1"/>
      <c r="AH751" s="1"/>
    </row>
    <row r="752" ht="13.5" customHeight="1">
      <c r="A752" s="1"/>
      <c r="B752" s="1"/>
      <c r="C752" s="3"/>
      <c r="D752" s="1"/>
      <c r="E752" s="1"/>
      <c r="F752" s="1"/>
      <c r="G752" s="1"/>
      <c r="H752" s="1"/>
      <c r="I752" s="1"/>
      <c r="J752" s="1"/>
      <c r="K752" s="2"/>
      <c r="L752" s="1"/>
      <c r="M752" s="3"/>
      <c r="N752" s="3"/>
      <c r="O752" s="4"/>
      <c r="P752" s="4"/>
      <c r="Q752" s="4"/>
      <c r="R752" s="4"/>
      <c r="S752" s="4"/>
      <c r="T752" s="4"/>
      <c r="U752" s="4"/>
      <c r="V752" s="4"/>
      <c r="W752" s="4"/>
      <c r="X752" s="3"/>
      <c r="Y752" s="2"/>
      <c r="Z752" s="2"/>
      <c r="AA752" s="1"/>
      <c r="AB752" s="1"/>
      <c r="AC752" s="1"/>
      <c r="AD752" s="1"/>
      <c r="AE752" s="1"/>
      <c r="AF752" s="1"/>
      <c r="AG752" s="1"/>
      <c r="AH752" s="1"/>
    </row>
    <row r="753" ht="13.5" customHeight="1">
      <c r="A753" s="1"/>
      <c r="B753" s="1"/>
      <c r="C753" s="3"/>
      <c r="D753" s="1"/>
      <c r="E753" s="1"/>
      <c r="F753" s="1"/>
      <c r="G753" s="1"/>
      <c r="H753" s="1"/>
      <c r="I753" s="1"/>
      <c r="J753" s="1"/>
      <c r="K753" s="2"/>
      <c r="L753" s="1"/>
      <c r="M753" s="3"/>
      <c r="N753" s="3"/>
      <c r="O753" s="4"/>
      <c r="P753" s="4"/>
      <c r="Q753" s="4"/>
      <c r="R753" s="4"/>
      <c r="S753" s="4"/>
      <c r="T753" s="4"/>
      <c r="U753" s="4"/>
      <c r="V753" s="4"/>
      <c r="W753" s="4"/>
      <c r="X753" s="3"/>
      <c r="Y753" s="2"/>
      <c r="Z753" s="2"/>
      <c r="AA753" s="1"/>
      <c r="AB753" s="1"/>
      <c r="AC753" s="1"/>
      <c r="AD753" s="1"/>
      <c r="AE753" s="1"/>
      <c r="AF753" s="1"/>
      <c r="AG753" s="1"/>
      <c r="AH753" s="1"/>
    </row>
    <row r="754" ht="13.5" customHeight="1">
      <c r="A754" s="1"/>
      <c r="B754" s="1"/>
      <c r="C754" s="3"/>
      <c r="D754" s="1"/>
      <c r="E754" s="1"/>
      <c r="F754" s="1"/>
      <c r="G754" s="1"/>
      <c r="H754" s="1"/>
      <c r="I754" s="1"/>
      <c r="J754" s="1"/>
      <c r="K754" s="2"/>
      <c r="L754" s="1"/>
      <c r="M754" s="3"/>
      <c r="N754" s="3"/>
      <c r="O754" s="4"/>
      <c r="P754" s="4"/>
      <c r="Q754" s="4"/>
      <c r="R754" s="4"/>
      <c r="S754" s="4"/>
      <c r="T754" s="4"/>
      <c r="U754" s="4"/>
      <c r="V754" s="4"/>
      <c r="W754" s="4"/>
      <c r="X754" s="3"/>
      <c r="Y754" s="2"/>
      <c r="Z754" s="2"/>
      <c r="AA754" s="1"/>
      <c r="AB754" s="1"/>
      <c r="AC754" s="1"/>
      <c r="AD754" s="1"/>
      <c r="AE754" s="1"/>
      <c r="AF754" s="1"/>
      <c r="AG754" s="1"/>
      <c r="AH754" s="1"/>
    </row>
    <row r="755" ht="13.5" customHeight="1">
      <c r="A755" s="1"/>
      <c r="B755" s="1"/>
      <c r="C755" s="3"/>
      <c r="D755" s="1"/>
      <c r="E755" s="1"/>
      <c r="F755" s="1"/>
      <c r="G755" s="1"/>
      <c r="H755" s="1"/>
      <c r="I755" s="1"/>
      <c r="J755" s="1"/>
      <c r="K755" s="2"/>
      <c r="L755" s="1"/>
      <c r="M755" s="3"/>
      <c r="N755" s="3"/>
      <c r="O755" s="4"/>
      <c r="P755" s="4"/>
      <c r="Q755" s="4"/>
      <c r="R755" s="4"/>
      <c r="S755" s="4"/>
      <c r="T755" s="4"/>
      <c r="U755" s="4"/>
      <c r="V755" s="4"/>
      <c r="W755" s="4"/>
      <c r="X755" s="3"/>
      <c r="Y755" s="2"/>
      <c r="Z755" s="2"/>
      <c r="AA755" s="1"/>
      <c r="AB755" s="1"/>
      <c r="AC755" s="1"/>
      <c r="AD755" s="1"/>
      <c r="AE755" s="1"/>
      <c r="AF755" s="1"/>
      <c r="AG755" s="1"/>
      <c r="AH755" s="1"/>
    </row>
    <row r="756" ht="13.5" customHeight="1">
      <c r="A756" s="1"/>
      <c r="B756" s="1"/>
      <c r="C756" s="3"/>
      <c r="D756" s="1"/>
      <c r="E756" s="1"/>
      <c r="F756" s="1"/>
      <c r="G756" s="1"/>
      <c r="H756" s="1"/>
      <c r="I756" s="1"/>
      <c r="J756" s="1"/>
      <c r="K756" s="2"/>
      <c r="L756" s="1"/>
      <c r="M756" s="3"/>
      <c r="N756" s="3"/>
      <c r="O756" s="4"/>
      <c r="P756" s="4"/>
      <c r="Q756" s="4"/>
      <c r="R756" s="4"/>
      <c r="S756" s="4"/>
      <c r="T756" s="4"/>
      <c r="U756" s="4"/>
      <c r="V756" s="4"/>
      <c r="W756" s="4"/>
      <c r="X756" s="3"/>
      <c r="Y756" s="2"/>
      <c r="Z756" s="2"/>
      <c r="AA756" s="1"/>
      <c r="AB756" s="1"/>
      <c r="AC756" s="1"/>
      <c r="AD756" s="1"/>
      <c r="AE756" s="1"/>
      <c r="AF756" s="1"/>
      <c r="AG756" s="1"/>
      <c r="AH756" s="1"/>
    </row>
    <row r="757" ht="13.5" customHeight="1">
      <c r="A757" s="1"/>
      <c r="B757" s="1"/>
      <c r="C757" s="3"/>
      <c r="D757" s="1"/>
      <c r="E757" s="1"/>
      <c r="F757" s="1"/>
      <c r="G757" s="1"/>
      <c r="H757" s="1"/>
      <c r="I757" s="1"/>
      <c r="J757" s="1"/>
      <c r="K757" s="2"/>
      <c r="L757" s="1"/>
      <c r="M757" s="3"/>
      <c r="N757" s="3"/>
      <c r="O757" s="4"/>
      <c r="P757" s="4"/>
      <c r="Q757" s="4"/>
      <c r="R757" s="4"/>
      <c r="S757" s="4"/>
      <c r="T757" s="4"/>
      <c r="U757" s="4"/>
      <c r="V757" s="4"/>
      <c r="W757" s="4"/>
      <c r="X757" s="3"/>
      <c r="Y757" s="2"/>
      <c r="Z757" s="2"/>
      <c r="AA757" s="1"/>
      <c r="AB757" s="1"/>
      <c r="AC757" s="1"/>
      <c r="AD757" s="1"/>
      <c r="AE757" s="1"/>
      <c r="AF757" s="1"/>
      <c r="AG757" s="1"/>
      <c r="AH757" s="1"/>
    </row>
    <row r="758" ht="13.5" customHeight="1">
      <c r="A758" s="1"/>
      <c r="B758" s="1"/>
      <c r="C758" s="3"/>
      <c r="D758" s="1"/>
      <c r="E758" s="1"/>
      <c r="F758" s="1"/>
      <c r="G758" s="1"/>
      <c r="H758" s="1"/>
      <c r="I758" s="1"/>
      <c r="J758" s="1"/>
      <c r="K758" s="2"/>
      <c r="L758" s="1"/>
      <c r="M758" s="3"/>
      <c r="N758" s="3"/>
      <c r="O758" s="4"/>
      <c r="P758" s="4"/>
      <c r="Q758" s="4"/>
      <c r="R758" s="4"/>
      <c r="S758" s="4"/>
      <c r="T758" s="4"/>
      <c r="U758" s="4"/>
      <c r="V758" s="4"/>
      <c r="W758" s="4"/>
      <c r="X758" s="3"/>
      <c r="Y758" s="2"/>
      <c r="Z758" s="2"/>
      <c r="AA758" s="1"/>
      <c r="AB758" s="1"/>
      <c r="AC758" s="1"/>
      <c r="AD758" s="1"/>
      <c r="AE758" s="1"/>
      <c r="AF758" s="1"/>
      <c r="AG758" s="1"/>
      <c r="AH758" s="1"/>
    </row>
    <row r="759" ht="13.5" customHeight="1">
      <c r="A759" s="1"/>
      <c r="B759" s="1"/>
      <c r="C759" s="3"/>
      <c r="D759" s="1"/>
      <c r="E759" s="1"/>
      <c r="F759" s="1"/>
      <c r="G759" s="1"/>
      <c r="H759" s="1"/>
      <c r="I759" s="1"/>
      <c r="J759" s="1"/>
      <c r="K759" s="2"/>
      <c r="L759" s="1"/>
      <c r="M759" s="3"/>
      <c r="N759" s="3"/>
      <c r="O759" s="4"/>
      <c r="P759" s="4"/>
      <c r="Q759" s="4"/>
      <c r="R759" s="4"/>
      <c r="S759" s="4"/>
      <c r="T759" s="4"/>
      <c r="U759" s="4"/>
      <c r="V759" s="4"/>
      <c r="W759" s="4"/>
      <c r="X759" s="3"/>
      <c r="Y759" s="2"/>
      <c r="Z759" s="2"/>
      <c r="AA759" s="1"/>
      <c r="AB759" s="1"/>
      <c r="AC759" s="1"/>
      <c r="AD759" s="1"/>
      <c r="AE759" s="1"/>
      <c r="AF759" s="1"/>
      <c r="AG759" s="1"/>
      <c r="AH759" s="1"/>
    </row>
    <row r="760" ht="13.5" customHeight="1">
      <c r="A760" s="1"/>
      <c r="B760" s="1"/>
      <c r="C760" s="3"/>
      <c r="D760" s="1"/>
      <c r="E760" s="1"/>
      <c r="F760" s="1"/>
      <c r="G760" s="1"/>
      <c r="H760" s="1"/>
      <c r="I760" s="1"/>
      <c r="J760" s="1"/>
      <c r="K760" s="2"/>
      <c r="L760" s="1"/>
      <c r="M760" s="3"/>
      <c r="N760" s="3"/>
      <c r="O760" s="4"/>
      <c r="P760" s="4"/>
      <c r="Q760" s="4"/>
      <c r="R760" s="4"/>
      <c r="S760" s="4"/>
      <c r="T760" s="4"/>
      <c r="U760" s="4"/>
      <c r="V760" s="4"/>
      <c r="W760" s="4"/>
      <c r="X760" s="3"/>
      <c r="Y760" s="2"/>
      <c r="Z760" s="2"/>
      <c r="AA760" s="1"/>
      <c r="AB760" s="1"/>
      <c r="AC760" s="1"/>
      <c r="AD760" s="1"/>
      <c r="AE760" s="1"/>
      <c r="AF760" s="1"/>
      <c r="AG760" s="1"/>
      <c r="AH760" s="1"/>
    </row>
    <row r="761" ht="13.5" customHeight="1">
      <c r="A761" s="1"/>
      <c r="B761" s="1"/>
      <c r="C761" s="3"/>
      <c r="D761" s="1"/>
      <c r="E761" s="1"/>
      <c r="F761" s="1"/>
      <c r="G761" s="1"/>
      <c r="H761" s="1"/>
      <c r="I761" s="1"/>
      <c r="J761" s="1"/>
      <c r="K761" s="2"/>
      <c r="L761" s="1"/>
      <c r="M761" s="3"/>
      <c r="N761" s="3"/>
      <c r="O761" s="4"/>
      <c r="P761" s="4"/>
      <c r="Q761" s="4"/>
      <c r="R761" s="4"/>
      <c r="S761" s="4"/>
      <c r="T761" s="4"/>
      <c r="U761" s="4"/>
      <c r="V761" s="4"/>
      <c r="W761" s="4"/>
      <c r="X761" s="3"/>
      <c r="Y761" s="2"/>
      <c r="Z761" s="2"/>
      <c r="AA761" s="1"/>
      <c r="AB761" s="1"/>
      <c r="AC761" s="1"/>
      <c r="AD761" s="1"/>
      <c r="AE761" s="1"/>
      <c r="AF761" s="1"/>
      <c r="AG761" s="1"/>
      <c r="AH761" s="1"/>
    </row>
    <row r="762" ht="13.5" customHeight="1">
      <c r="A762" s="1"/>
      <c r="B762" s="1"/>
      <c r="C762" s="3"/>
      <c r="D762" s="1"/>
      <c r="E762" s="1"/>
      <c r="F762" s="1"/>
      <c r="G762" s="1"/>
      <c r="H762" s="1"/>
      <c r="I762" s="1"/>
      <c r="J762" s="1"/>
      <c r="K762" s="2"/>
      <c r="L762" s="1"/>
      <c r="M762" s="3"/>
      <c r="N762" s="3"/>
      <c r="O762" s="4"/>
      <c r="P762" s="4"/>
      <c r="Q762" s="4"/>
      <c r="R762" s="4"/>
      <c r="S762" s="4"/>
      <c r="T762" s="4"/>
      <c r="U762" s="4"/>
      <c r="V762" s="4"/>
      <c r="W762" s="4"/>
      <c r="X762" s="3"/>
      <c r="Y762" s="2"/>
      <c r="Z762" s="2"/>
      <c r="AA762" s="1"/>
      <c r="AB762" s="1"/>
      <c r="AC762" s="1"/>
      <c r="AD762" s="1"/>
      <c r="AE762" s="1"/>
      <c r="AF762" s="1"/>
      <c r="AG762" s="1"/>
      <c r="AH762" s="1"/>
    </row>
    <row r="763" ht="13.5" customHeight="1">
      <c r="A763" s="1"/>
      <c r="B763" s="1"/>
      <c r="C763" s="3"/>
      <c r="D763" s="1"/>
      <c r="E763" s="1"/>
      <c r="F763" s="1"/>
      <c r="G763" s="1"/>
      <c r="H763" s="1"/>
      <c r="I763" s="1"/>
      <c r="J763" s="1"/>
      <c r="K763" s="2"/>
      <c r="L763" s="1"/>
      <c r="M763" s="3"/>
      <c r="N763" s="3"/>
      <c r="O763" s="4"/>
      <c r="P763" s="4"/>
      <c r="Q763" s="4"/>
      <c r="R763" s="4"/>
      <c r="S763" s="4"/>
      <c r="T763" s="4"/>
      <c r="U763" s="4"/>
      <c r="V763" s="4"/>
      <c r="W763" s="4"/>
      <c r="X763" s="3"/>
      <c r="Y763" s="2"/>
      <c r="Z763" s="2"/>
      <c r="AA763" s="1"/>
      <c r="AB763" s="1"/>
      <c r="AC763" s="1"/>
      <c r="AD763" s="1"/>
      <c r="AE763" s="1"/>
      <c r="AF763" s="1"/>
      <c r="AG763" s="1"/>
      <c r="AH763" s="1"/>
    </row>
    <row r="764" ht="13.5" customHeight="1">
      <c r="A764" s="1"/>
      <c r="B764" s="1"/>
      <c r="C764" s="3"/>
      <c r="D764" s="1"/>
      <c r="E764" s="1"/>
      <c r="F764" s="1"/>
      <c r="G764" s="1"/>
      <c r="H764" s="1"/>
      <c r="I764" s="1"/>
      <c r="J764" s="1"/>
      <c r="K764" s="2"/>
      <c r="L764" s="1"/>
      <c r="M764" s="3"/>
      <c r="N764" s="3"/>
      <c r="O764" s="4"/>
      <c r="P764" s="4"/>
      <c r="Q764" s="4"/>
      <c r="R764" s="4"/>
      <c r="S764" s="4"/>
      <c r="T764" s="4"/>
      <c r="U764" s="4"/>
      <c r="V764" s="4"/>
      <c r="W764" s="4"/>
      <c r="X764" s="3"/>
      <c r="Y764" s="2"/>
      <c r="Z764" s="2"/>
      <c r="AA764" s="1"/>
      <c r="AB764" s="1"/>
      <c r="AC764" s="1"/>
      <c r="AD764" s="1"/>
      <c r="AE764" s="1"/>
      <c r="AF764" s="1"/>
      <c r="AG764" s="1"/>
      <c r="AH764" s="1"/>
    </row>
    <row r="765" ht="13.5" customHeight="1">
      <c r="A765" s="1"/>
      <c r="B765" s="1"/>
      <c r="C765" s="3"/>
      <c r="D765" s="1"/>
      <c r="E765" s="1"/>
      <c r="F765" s="1"/>
      <c r="G765" s="1"/>
      <c r="H765" s="1"/>
      <c r="I765" s="1"/>
      <c r="J765" s="1"/>
      <c r="K765" s="2"/>
      <c r="L765" s="1"/>
      <c r="M765" s="3"/>
      <c r="N765" s="3"/>
      <c r="O765" s="4"/>
      <c r="P765" s="4"/>
      <c r="Q765" s="4"/>
      <c r="R765" s="4"/>
      <c r="S765" s="4"/>
      <c r="T765" s="4"/>
      <c r="U765" s="4"/>
      <c r="V765" s="4"/>
      <c r="W765" s="4"/>
      <c r="X765" s="3"/>
      <c r="Y765" s="2"/>
      <c r="Z765" s="2"/>
      <c r="AA765" s="1"/>
      <c r="AB765" s="1"/>
      <c r="AC765" s="1"/>
      <c r="AD765" s="1"/>
      <c r="AE765" s="1"/>
      <c r="AF765" s="1"/>
      <c r="AG765" s="1"/>
      <c r="AH765" s="1"/>
    </row>
    <row r="766" ht="13.5" customHeight="1">
      <c r="A766" s="1"/>
      <c r="B766" s="1"/>
      <c r="C766" s="3"/>
      <c r="D766" s="1"/>
      <c r="E766" s="1"/>
      <c r="F766" s="1"/>
      <c r="G766" s="1"/>
      <c r="H766" s="1"/>
      <c r="I766" s="1"/>
      <c r="J766" s="1"/>
      <c r="K766" s="2"/>
      <c r="L766" s="1"/>
      <c r="M766" s="3"/>
      <c r="N766" s="3"/>
      <c r="O766" s="4"/>
      <c r="P766" s="4"/>
      <c r="Q766" s="4"/>
      <c r="R766" s="4"/>
      <c r="S766" s="4"/>
      <c r="T766" s="4"/>
      <c r="U766" s="4"/>
      <c r="V766" s="4"/>
      <c r="W766" s="4"/>
      <c r="X766" s="3"/>
      <c r="Y766" s="2"/>
      <c r="Z766" s="2"/>
      <c r="AA766" s="1"/>
      <c r="AB766" s="1"/>
      <c r="AC766" s="1"/>
      <c r="AD766" s="1"/>
      <c r="AE766" s="1"/>
      <c r="AF766" s="1"/>
      <c r="AG766" s="1"/>
      <c r="AH766" s="1"/>
    </row>
    <row r="767" ht="13.5" customHeight="1">
      <c r="A767" s="1"/>
      <c r="B767" s="1"/>
      <c r="C767" s="3"/>
      <c r="D767" s="1"/>
      <c r="E767" s="1"/>
      <c r="F767" s="1"/>
      <c r="G767" s="1"/>
      <c r="H767" s="1"/>
      <c r="I767" s="1"/>
      <c r="J767" s="1"/>
      <c r="K767" s="2"/>
      <c r="L767" s="1"/>
      <c r="M767" s="3"/>
      <c r="N767" s="3"/>
      <c r="O767" s="4"/>
      <c r="P767" s="4"/>
      <c r="Q767" s="4"/>
      <c r="R767" s="4"/>
      <c r="S767" s="4"/>
      <c r="T767" s="4"/>
      <c r="U767" s="4"/>
      <c r="V767" s="4"/>
      <c r="W767" s="4"/>
      <c r="X767" s="3"/>
      <c r="Y767" s="2"/>
      <c r="Z767" s="2"/>
      <c r="AA767" s="1"/>
      <c r="AB767" s="1"/>
      <c r="AC767" s="1"/>
      <c r="AD767" s="1"/>
      <c r="AE767" s="1"/>
      <c r="AF767" s="1"/>
      <c r="AG767" s="1"/>
      <c r="AH767" s="1"/>
    </row>
    <row r="768" ht="13.5" customHeight="1">
      <c r="A768" s="1"/>
      <c r="B768" s="1"/>
      <c r="C768" s="3"/>
      <c r="D768" s="1"/>
      <c r="E768" s="1"/>
      <c r="F768" s="1"/>
      <c r="G768" s="1"/>
      <c r="H768" s="1"/>
      <c r="I768" s="1"/>
      <c r="J768" s="1"/>
      <c r="K768" s="2"/>
      <c r="L768" s="1"/>
      <c r="M768" s="3"/>
      <c r="N768" s="3"/>
      <c r="O768" s="4"/>
      <c r="P768" s="4"/>
      <c r="Q768" s="4"/>
      <c r="R768" s="4"/>
      <c r="S768" s="4"/>
      <c r="T768" s="4"/>
      <c r="U768" s="4"/>
      <c r="V768" s="4"/>
      <c r="W768" s="4"/>
      <c r="X768" s="3"/>
      <c r="Y768" s="2"/>
      <c r="Z768" s="2"/>
      <c r="AA768" s="1"/>
      <c r="AB768" s="1"/>
      <c r="AC768" s="1"/>
      <c r="AD768" s="1"/>
      <c r="AE768" s="1"/>
      <c r="AF768" s="1"/>
      <c r="AG768" s="1"/>
      <c r="AH768" s="1"/>
    </row>
    <row r="769" ht="13.5" customHeight="1">
      <c r="A769" s="1"/>
      <c r="B769" s="1"/>
      <c r="C769" s="3"/>
      <c r="D769" s="1"/>
      <c r="E769" s="1"/>
      <c r="F769" s="1"/>
      <c r="G769" s="1"/>
      <c r="H769" s="1"/>
      <c r="I769" s="1"/>
      <c r="J769" s="1"/>
      <c r="K769" s="2"/>
      <c r="L769" s="1"/>
      <c r="M769" s="3"/>
      <c r="N769" s="3"/>
      <c r="O769" s="4"/>
      <c r="P769" s="4"/>
      <c r="Q769" s="4"/>
      <c r="R769" s="4"/>
      <c r="S769" s="4"/>
      <c r="T769" s="4"/>
      <c r="U769" s="4"/>
      <c r="V769" s="4"/>
      <c r="W769" s="4"/>
      <c r="X769" s="3"/>
      <c r="Y769" s="2"/>
      <c r="Z769" s="2"/>
      <c r="AA769" s="1"/>
      <c r="AB769" s="1"/>
      <c r="AC769" s="1"/>
      <c r="AD769" s="1"/>
      <c r="AE769" s="1"/>
      <c r="AF769" s="1"/>
      <c r="AG769" s="1"/>
      <c r="AH769" s="1"/>
    </row>
    <row r="770" ht="13.5" customHeight="1">
      <c r="A770" s="1"/>
      <c r="B770" s="1"/>
      <c r="C770" s="3"/>
      <c r="D770" s="1"/>
      <c r="E770" s="1"/>
      <c r="F770" s="1"/>
      <c r="G770" s="1"/>
      <c r="H770" s="1"/>
      <c r="I770" s="1"/>
      <c r="J770" s="1"/>
      <c r="K770" s="2"/>
      <c r="L770" s="1"/>
      <c r="M770" s="3"/>
      <c r="N770" s="3"/>
      <c r="O770" s="4"/>
      <c r="P770" s="4"/>
      <c r="Q770" s="4"/>
      <c r="R770" s="4"/>
      <c r="S770" s="4"/>
      <c r="T770" s="4"/>
      <c r="U770" s="4"/>
      <c r="V770" s="4"/>
      <c r="W770" s="4"/>
      <c r="X770" s="3"/>
      <c r="Y770" s="2"/>
      <c r="Z770" s="2"/>
      <c r="AA770" s="1"/>
      <c r="AB770" s="1"/>
      <c r="AC770" s="1"/>
      <c r="AD770" s="1"/>
      <c r="AE770" s="1"/>
      <c r="AF770" s="1"/>
      <c r="AG770" s="1"/>
      <c r="AH770" s="1"/>
    </row>
    <row r="771" ht="13.5" customHeight="1">
      <c r="A771" s="1"/>
      <c r="B771" s="1"/>
      <c r="C771" s="3"/>
      <c r="D771" s="1"/>
      <c r="E771" s="1"/>
      <c r="F771" s="1"/>
      <c r="G771" s="1"/>
      <c r="H771" s="1"/>
      <c r="I771" s="1"/>
      <c r="J771" s="1"/>
      <c r="K771" s="2"/>
      <c r="L771" s="1"/>
      <c r="M771" s="3"/>
      <c r="N771" s="3"/>
      <c r="O771" s="4"/>
      <c r="P771" s="4"/>
      <c r="Q771" s="4"/>
      <c r="R771" s="4"/>
      <c r="S771" s="4"/>
      <c r="T771" s="4"/>
      <c r="U771" s="4"/>
      <c r="V771" s="4"/>
      <c r="W771" s="4"/>
      <c r="X771" s="3"/>
      <c r="Y771" s="2"/>
      <c r="Z771" s="2"/>
      <c r="AA771" s="1"/>
      <c r="AB771" s="1"/>
      <c r="AC771" s="1"/>
      <c r="AD771" s="1"/>
      <c r="AE771" s="1"/>
      <c r="AF771" s="1"/>
      <c r="AG771" s="1"/>
      <c r="AH771" s="1"/>
    </row>
    <row r="772" ht="13.5" customHeight="1">
      <c r="A772" s="1"/>
      <c r="B772" s="1"/>
      <c r="C772" s="3"/>
      <c r="D772" s="1"/>
      <c r="E772" s="1"/>
      <c r="F772" s="1"/>
      <c r="G772" s="1"/>
      <c r="H772" s="1"/>
      <c r="I772" s="1"/>
      <c r="J772" s="1"/>
      <c r="K772" s="2"/>
      <c r="L772" s="1"/>
      <c r="M772" s="3"/>
      <c r="N772" s="3"/>
      <c r="O772" s="4"/>
      <c r="P772" s="4"/>
      <c r="Q772" s="4"/>
      <c r="R772" s="4"/>
      <c r="S772" s="4"/>
      <c r="T772" s="4"/>
      <c r="U772" s="4"/>
      <c r="V772" s="4"/>
      <c r="W772" s="4"/>
      <c r="X772" s="3"/>
      <c r="Y772" s="2"/>
      <c r="Z772" s="2"/>
      <c r="AA772" s="1"/>
      <c r="AB772" s="1"/>
      <c r="AC772" s="1"/>
      <c r="AD772" s="1"/>
      <c r="AE772" s="1"/>
      <c r="AF772" s="1"/>
      <c r="AG772" s="1"/>
      <c r="AH772" s="1"/>
    </row>
    <row r="773" ht="13.5" customHeight="1">
      <c r="A773" s="1"/>
      <c r="B773" s="1"/>
      <c r="C773" s="3"/>
      <c r="D773" s="1"/>
      <c r="E773" s="1"/>
      <c r="F773" s="1"/>
      <c r="G773" s="1"/>
      <c r="H773" s="1"/>
      <c r="I773" s="1"/>
      <c r="J773" s="1"/>
      <c r="K773" s="2"/>
      <c r="L773" s="1"/>
      <c r="M773" s="3"/>
      <c r="N773" s="3"/>
      <c r="O773" s="4"/>
      <c r="P773" s="4"/>
      <c r="Q773" s="4"/>
      <c r="R773" s="4"/>
      <c r="S773" s="4"/>
      <c r="T773" s="4"/>
      <c r="U773" s="4"/>
      <c r="V773" s="4"/>
      <c r="W773" s="4"/>
      <c r="X773" s="3"/>
      <c r="Y773" s="2"/>
      <c r="Z773" s="2"/>
      <c r="AA773" s="1"/>
      <c r="AB773" s="1"/>
      <c r="AC773" s="1"/>
      <c r="AD773" s="1"/>
      <c r="AE773" s="1"/>
      <c r="AF773" s="1"/>
      <c r="AG773" s="1"/>
      <c r="AH773" s="1"/>
    </row>
    <row r="774" ht="13.5" customHeight="1">
      <c r="A774" s="1"/>
      <c r="B774" s="1"/>
      <c r="C774" s="3"/>
      <c r="D774" s="1"/>
      <c r="E774" s="1"/>
      <c r="F774" s="1"/>
      <c r="G774" s="1"/>
      <c r="H774" s="1"/>
      <c r="I774" s="1"/>
      <c r="J774" s="1"/>
      <c r="K774" s="2"/>
      <c r="L774" s="1"/>
      <c r="M774" s="3"/>
      <c r="N774" s="3"/>
      <c r="O774" s="4"/>
      <c r="P774" s="4"/>
      <c r="Q774" s="4"/>
      <c r="R774" s="4"/>
      <c r="S774" s="4"/>
      <c r="T774" s="4"/>
      <c r="U774" s="4"/>
      <c r="V774" s="4"/>
      <c r="W774" s="4"/>
      <c r="X774" s="3"/>
      <c r="Y774" s="2"/>
      <c r="Z774" s="2"/>
      <c r="AA774" s="1"/>
      <c r="AB774" s="1"/>
      <c r="AC774" s="1"/>
      <c r="AD774" s="1"/>
      <c r="AE774" s="1"/>
      <c r="AF774" s="1"/>
      <c r="AG774" s="1"/>
      <c r="AH774" s="1"/>
    </row>
    <row r="775" ht="13.5" customHeight="1">
      <c r="A775" s="1"/>
      <c r="B775" s="1"/>
      <c r="C775" s="3"/>
      <c r="D775" s="1"/>
      <c r="E775" s="1"/>
      <c r="F775" s="1"/>
      <c r="G775" s="1"/>
      <c r="H775" s="1"/>
      <c r="I775" s="1"/>
      <c r="J775" s="1"/>
      <c r="K775" s="2"/>
      <c r="L775" s="1"/>
      <c r="M775" s="3"/>
      <c r="N775" s="3"/>
      <c r="O775" s="4"/>
      <c r="P775" s="4"/>
      <c r="Q775" s="4"/>
      <c r="R775" s="4"/>
      <c r="S775" s="4"/>
      <c r="T775" s="4"/>
      <c r="U775" s="4"/>
      <c r="V775" s="4"/>
      <c r="W775" s="4"/>
      <c r="X775" s="3"/>
      <c r="Y775" s="2"/>
      <c r="Z775" s="2"/>
      <c r="AA775" s="1"/>
      <c r="AB775" s="1"/>
      <c r="AC775" s="1"/>
      <c r="AD775" s="1"/>
      <c r="AE775" s="1"/>
      <c r="AF775" s="1"/>
      <c r="AG775" s="1"/>
      <c r="AH775" s="1"/>
    </row>
    <row r="776" ht="13.5" customHeight="1">
      <c r="A776" s="1"/>
      <c r="B776" s="1"/>
      <c r="C776" s="3"/>
      <c r="D776" s="1"/>
      <c r="E776" s="1"/>
      <c r="F776" s="1"/>
      <c r="G776" s="1"/>
      <c r="H776" s="1"/>
      <c r="I776" s="1"/>
      <c r="J776" s="1"/>
      <c r="K776" s="2"/>
      <c r="L776" s="1"/>
      <c r="M776" s="3"/>
      <c r="N776" s="3"/>
      <c r="O776" s="4"/>
      <c r="P776" s="4"/>
      <c r="Q776" s="4"/>
      <c r="R776" s="4"/>
      <c r="S776" s="4"/>
      <c r="T776" s="4"/>
      <c r="U776" s="4"/>
      <c r="V776" s="4"/>
      <c r="W776" s="4"/>
      <c r="X776" s="3"/>
      <c r="Y776" s="2"/>
      <c r="Z776" s="2"/>
      <c r="AA776" s="1"/>
      <c r="AB776" s="1"/>
      <c r="AC776" s="1"/>
      <c r="AD776" s="1"/>
      <c r="AE776" s="1"/>
      <c r="AF776" s="1"/>
      <c r="AG776" s="1"/>
      <c r="AH776" s="1"/>
    </row>
    <row r="777" ht="13.5" customHeight="1">
      <c r="A777" s="1"/>
      <c r="B777" s="1"/>
      <c r="C777" s="3"/>
      <c r="D777" s="1"/>
      <c r="E777" s="1"/>
      <c r="F777" s="1"/>
      <c r="G777" s="1"/>
      <c r="H777" s="1"/>
      <c r="I777" s="1"/>
      <c r="J777" s="1"/>
      <c r="K777" s="2"/>
      <c r="L777" s="1"/>
      <c r="M777" s="3"/>
      <c r="N777" s="3"/>
      <c r="O777" s="4"/>
      <c r="P777" s="4"/>
      <c r="Q777" s="4"/>
      <c r="R777" s="4"/>
      <c r="S777" s="4"/>
      <c r="T777" s="4"/>
      <c r="U777" s="4"/>
      <c r="V777" s="4"/>
      <c r="W777" s="4"/>
      <c r="X777" s="3"/>
      <c r="Y777" s="2"/>
      <c r="Z777" s="2"/>
      <c r="AA777" s="1"/>
      <c r="AB777" s="1"/>
      <c r="AC777" s="1"/>
      <c r="AD777" s="1"/>
      <c r="AE777" s="1"/>
      <c r="AF777" s="1"/>
      <c r="AG777" s="1"/>
      <c r="AH777" s="1"/>
    </row>
    <row r="778" ht="13.5" customHeight="1">
      <c r="A778" s="1"/>
      <c r="B778" s="1"/>
      <c r="C778" s="3"/>
      <c r="D778" s="1"/>
      <c r="E778" s="1"/>
      <c r="F778" s="1"/>
      <c r="G778" s="1"/>
      <c r="H778" s="1"/>
      <c r="I778" s="1"/>
      <c r="J778" s="1"/>
      <c r="K778" s="2"/>
      <c r="L778" s="1"/>
      <c r="M778" s="3"/>
      <c r="N778" s="3"/>
      <c r="O778" s="4"/>
      <c r="P778" s="4"/>
      <c r="Q778" s="4"/>
      <c r="R778" s="4"/>
      <c r="S778" s="4"/>
      <c r="T778" s="4"/>
      <c r="U778" s="4"/>
      <c r="V778" s="4"/>
      <c r="W778" s="4"/>
      <c r="X778" s="3"/>
      <c r="Y778" s="2"/>
      <c r="Z778" s="2"/>
      <c r="AA778" s="1"/>
      <c r="AB778" s="1"/>
      <c r="AC778" s="1"/>
      <c r="AD778" s="1"/>
      <c r="AE778" s="1"/>
      <c r="AF778" s="1"/>
      <c r="AG778" s="1"/>
      <c r="AH778" s="1"/>
    </row>
    <row r="779" ht="13.5" customHeight="1">
      <c r="A779" s="1"/>
      <c r="B779" s="1"/>
      <c r="C779" s="3"/>
      <c r="D779" s="1"/>
      <c r="E779" s="1"/>
      <c r="F779" s="1"/>
      <c r="G779" s="1"/>
      <c r="H779" s="1"/>
      <c r="I779" s="1"/>
      <c r="J779" s="1"/>
      <c r="K779" s="2"/>
      <c r="L779" s="1"/>
      <c r="M779" s="3"/>
      <c r="N779" s="3"/>
      <c r="O779" s="4"/>
      <c r="P779" s="4"/>
      <c r="Q779" s="4"/>
      <c r="R779" s="4"/>
      <c r="S779" s="4"/>
      <c r="T779" s="4"/>
      <c r="U779" s="4"/>
      <c r="V779" s="4"/>
      <c r="W779" s="4"/>
      <c r="X779" s="3"/>
      <c r="Y779" s="2"/>
      <c r="Z779" s="2"/>
      <c r="AA779" s="1"/>
      <c r="AB779" s="1"/>
      <c r="AC779" s="1"/>
      <c r="AD779" s="1"/>
      <c r="AE779" s="1"/>
      <c r="AF779" s="1"/>
      <c r="AG779" s="1"/>
      <c r="AH779" s="1"/>
    </row>
    <row r="780" ht="13.5" customHeight="1">
      <c r="A780" s="1"/>
      <c r="B780" s="1"/>
      <c r="C780" s="3"/>
      <c r="D780" s="1"/>
      <c r="E780" s="1"/>
      <c r="F780" s="1"/>
      <c r="G780" s="1"/>
      <c r="H780" s="1"/>
      <c r="I780" s="1"/>
      <c r="J780" s="1"/>
      <c r="K780" s="2"/>
      <c r="L780" s="1"/>
      <c r="M780" s="3"/>
      <c r="N780" s="3"/>
      <c r="O780" s="4"/>
      <c r="P780" s="4"/>
      <c r="Q780" s="4"/>
      <c r="R780" s="4"/>
      <c r="S780" s="4"/>
      <c r="T780" s="4"/>
      <c r="U780" s="4"/>
      <c r="V780" s="4"/>
      <c r="W780" s="4"/>
      <c r="X780" s="3"/>
      <c r="Y780" s="2"/>
      <c r="Z780" s="2"/>
      <c r="AA780" s="1"/>
      <c r="AB780" s="1"/>
      <c r="AC780" s="1"/>
      <c r="AD780" s="1"/>
      <c r="AE780" s="1"/>
      <c r="AF780" s="1"/>
      <c r="AG780" s="1"/>
      <c r="AH780" s="1"/>
    </row>
    <row r="781" ht="13.5" customHeight="1">
      <c r="A781" s="1"/>
      <c r="B781" s="1"/>
      <c r="C781" s="3"/>
      <c r="D781" s="1"/>
      <c r="E781" s="1"/>
      <c r="F781" s="1"/>
      <c r="G781" s="1"/>
      <c r="H781" s="1"/>
      <c r="I781" s="1"/>
      <c r="J781" s="1"/>
      <c r="K781" s="2"/>
      <c r="L781" s="1"/>
      <c r="M781" s="3"/>
      <c r="N781" s="3"/>
      <c r="O781" s="4"/>
      <c r="P781" s="4"/>
      <c r="Q781" s="4"/>
      <c r="R781" s="4"/>
      <c r="S781" s="4"/>
      <c r="T781" s="4"/>
      <c r="U781" s="4"/>
      <c r="V781" s="4"/>
      <c r="W781" s="4"/>
      <c r="X781" s="3"/>
      <c r="Y781" s="2"/>
      <c r="Z781" s="2"/>
      <c r="AA781" s="1"/>
      <c r="AB781" s="1"/>
      <c r="AC781" s="1"/>
      <c r="AD781" s="1"/>
      <c r="AE781" s="1"/>
      <c r="AF781" s="1"/>
      <c r="AG781" s="1"/>
      <c r="AH781" s="1"/>
    </row>
    <row r="782" ht="13.5" customHeight="1">
      <c r="A782" s="1"/>
      <c r="B782" s="1"/>
      <c r="C782" s="3"/>
      <c r="D782" s="1"/>
      <c r="E782" s="1"/>
      <c r="F782" s="1"/>
      <c r="G782" s="1"/>
      <c r="H782" s="1"/>
      <c r="I782" s="1"/>
      <c r="J782" s="1"/>
      <c r="K782" s="2"/>
      <c r="L782" s="1"/>
      <c r="M782" s="3"/>
      <c r="N782" s="3"/>
      <c r="O782" s="4"/>
      <c r="P782" s="4"/>
      <c r="Q782" s="4"/>
      <c r="R782" s="4"/>
      <c r="S782" s="4"/>
      <c r="T782" s="4"/>
      <c r="U782" s="4"/>
      <c r="V782" s="4"/>
      <c r="W782" s="4"/>
      <c r="X782" s="3"/>
      <c r="Y782" s="2"/>
      <c r="Z782" s="2"/>
      <c r="AA782" s="1"/>
      <c r="AB782" s="1"/>
      <c r="AC782" s="1"/>
      <c r="AD782" s="1"/>
      <c r="AE782" s="1"/>
      <c r="AF782" s="1"/>
      <c r="AG782" s="1"/>
      <c r="AH782" s="1"/>
    </row>
    <row r="783" ht="13.5" customHeight="1">
      <c r="A783" s="1"/>
      <c r="B783" s="1"/>
      <c r="C783" s="3"/>
      <c r="D783" s="1"/>
      <c r="E783" s="1"/>
      <c r="F783" s="1"/>
      <c r="G783" s="1"/>
      <c r="H783" s="1"/>
      <c r="I783" s="1"/>
      <c r="J783" s="1"/>
      <c r="K783" s="2"/>
      <c r="L783" s="1"/>
      <c r="M783" s="3"/>
      <c r="N783" s="3"/>
      <c r="O783" s="4"/>
      <c r="P783" s="4"/>
      <c r="Q783" s="4"/>
      <c r="R783" s="4"/>
      <c r="S783" s="4"/>
      <c r="T783" s="4"/>
      <c r="U783" s="4"/>
      <c r="V783" s="4"/>
      <c r="W783" s="4"/>
      <c r="X783" s="3"/>
      <c r="Y783" s="2"/>
      <c r="Z783" s="2"/>
      <c r="AA783" s="1"/>
      <c r="AB783" s="1"/>
      <c r="AC783" s="1"/>
      <c r="AD783" s="1"/>
      <c r="AE783" s="1"/>
      <c r="AF783" s="1"/>
      <c r="AG783" s="1"/>
      <c r="AH783" s="1"/>
    </row>
    <row r="784" ht="13.5" customHeight="1">
      <c r="A784" s="1"/>
      <c r="B784" s="1"/>
      <c r="C784" s="3"/>
      <c r="D784" s="1"/>
      <c r="E784" s="1"/>
      <c r="F784" s="1"/>
      <c r="G784" s="1"/>
      <c r="H784" s="1"/>
      <c r="I784" s="1"/>
      <c r="J784" s="1"/>
      <c r="K784" s="2"/>
      <c r="L784" s="1"/>
      <c r="M784" s="3"/>
      <c r="N784" s="3"/>
      <c r="O784" s="4"/>
      <c r="P784" s="4"/>
      <c r="Q784" s="4"/>
      <c r="R784" s="4"/>
      <c r="S784" s="4"/>
      <c r="T784" s="4"/>
      <c r="U784" s="4"/>
      <c r="V784" s="4"/>
      <c r="W784" s="4"/>
      <c r="X784" s="3"/>
      <c r="Y784" s="2"/>
      <c r="Z784" s="2"/>
      <c r="AA784" s="1"/>
      <c r="AB784" s="1"/>
      <c r="AC784" s="1"/>
      <c r="AD784" s="1"/>
      <c r="AE784" s="1"/>
      <c r="AF784" s="1"/>
      <c r="AG784" s="1"/>
      <c r="AH784" s="1"/>
    </row>
    <row r="785" ht="13.5" customHeight="1">
      <c r="A785" s="1"/>
      <c r="B785" s="1"/>
      <c r="C785" s="3"/>
      <c r="D785" s="1"/>
      <c r="E785" s="1"/>
      <c r="F785" s="1"/>
      <c r="G785" s="1"/>
      <c r="H785" s="1"/>
      <c r="I785" s="1"/>
      <c r="J785" s="1"/>
      <c r="K785" s="2"/>
      <c r="L785" s="1"/>
      <c r="M785" s="3"/>
      <c r="N785" s="3"/>
      <c r="O785" s="4"/>
      <c r="P785" s="4"/>
      <c r="Q785" s="4"/>
      <c r="R785" s="4"/>
      <c r="S785" s="4"/>
      <c r="T785" s="4"/>
      <c r="U785" s="4"/>
      <c r="V785" s="4"/>
      <c r="W785" s="4"/>
      <c r="X785" s="3"/>
      <c r="Y785" s="2"/>
      <c r="Z785" s="2"/>
      <c r="AA785" s="1"/>
      <c r="AB785" s="1"/>
      <c r="AC785" s="1"/>
      <c r="AD785" s="1"/>
      <c r="AE785" s="1"/>
      <c r="AF785" s="1"/>
      <c r="AG785" s="1"/>
      <c r="AH785" s="1"/>
    </row>
    <row r="786" ht="13.5" customHeight="1">
      <c r="A786" s="1"/>
      <c r="B786" s="1"/>
      <c r="C786" s="3"/>
      <c r="D786" s="1"/>
      <c r="E786" s="1"/>
      <c r="F786" s="1"/>
      <c r="G786" s="1"/>
      <c r="H786" s="1"/>
      <c r="I786" s="1"/>
      <c r="J786" s="1"/>
      <c r="K786" s="2"/>
      <c r="L786" s="1"/>
      <c r="M786" s="3"/>
      <c r="N786" s="3"/>
      <c r="O786" s="4"/>
      <c r="P786" s="4"/>
      <c r="Q786" s="4"/>
      <c r="R786" s="4"/>
      <c r="S786" s="4"/>
      <c r="T786" s="4"/>
      <c r="U786" s="4"/>
      <c r="V786" s="4"/>
      <c r="W786" s="4"/>
      <c r="X786" s="3"/>
      <c r="Y786" s="2"/>
      <c r="Z786" s="2"/>
      <c r="AA786" s="1"/>
      <c r="AB786" s="1"/>
      <c r="AC786" s="1"/>
      <c r="AD786" s="1"/>
      <c r="AE786" s="1"/>
      <c r="AF786" s="1"/>
      <c r="AG786" s="1"/>
      <c r="AH786" s="1"/>
    </row>
    <row r="787" ht="13.5" customHeight="1">
      <c r="A787" s="1"/>
      <c r="B787" s="1"/>
      <c r="C787" s="3"/>
      <c r="D787" s="1"/>
      <c r="E787" s="1"/>
      <c r="F787" s="1"/>
      <c r="G787" s="1"/>
      <c r="H787" s="1"/>
      <c r="I787" s="1"/>
      <c r="J787" s="1"/>
      <c r="K787" s="2"/>
      <c r="L787" s="1"/>
      <c r="M787" s="3"/>
      <c r="N787" s="3"/>
      <c r="O787" s="4"/>
      <c r="P787" s="4"/>
      <c r="Q787" s="4"/>
      <c r="R787" s="4"/>
      <c r="S787" s="4"/>
      <c r="T787" s="4"/>
      <c r="U787" s="4"/>
      <c r="V787" s="4"/>
      <c r="W787" s="4"/>
      <c r="X787" s="3"/>
      <c r="Y787" s="2"/>
      <c r="Z787" s="2"/>
      <c r="AA787" s="1"/>
      <c r="AB787" s="1"/>
      <c r="AC787" s="1"/>
      <c r="AD787" s="1"/>
      <c r="AE787" s="1"/>
      <c r="AF787" s="1"/>
      <c r="AG787" s="1"/>
      <c r="AH787" s="1"/>
    </row>
    <row r="788" ht="13.5" customHeight="1">
      <c r="A788" s="1"/>
      <c r="B788" s="1"/>
      <c r="C788" s="3"/>
      <c r="D788" s="1"/>
      <c r="E788" s="1"/>
      <c r="F788" s="1"/>
      <c r="G788" s="1"/>
      <c r="H788" s="1"/>
      <c r="I788" s="1"/>
      <c r="J788" s="1"/>
      <c r="K788" s="2"/>
      <c r="L788" s="1"/>
      <c r="M788" s="3"/>
      <c r="N788" s="3"/>
      <c r="O788" s="4"/>
      <c r="P788" s="4"/>
      <c r="Q788" s="4"/>
      <c r="R788" s="4"/>
      <c r="S788" s="4"/>
      <c r="T788" s="4"/>
      <c r="U788" s="4"/>
      <c r="V788" s="4"/>
      <c r="W788" s="4"/>
      <c r="X788" s="3"/>
      <c r="Y788" s="2"/>
      <c r="Z788" s="2"/>
      <c r="AA788" s="1"/>
      <c r="AB788" s="1"/>
      <c r="AC788" s="1"/>
      <c r="AD788" s="1"/>
      <c r="AE788" s="1"/>
      <c r="AF788" s="1"/>
      <c r="AG788" s="1"/>
      <c r="AH788" s="1"/>
    </row>
    <row r="789" ht="13.5" customHeight="1">
      <c r="A789" s="1"/>
      <c r="B789" s="1"/>
      <c r="C789" s="3"/>
      <c r="D789" s="1"/>
      <c r="E789" s="1"/>
      <c r="F789" s="1"/>
      <c r="G789" s="1"/>
      <c r="H789" s="1"/>
      <c r="I789" s="1"/>
      <c r="J789" s="1"/>
      <c r="K789" s="2"/>
      <c r="L789" s="1"/>
      <c r="M789" s="3"/>
      <c r="N789" s="3"/>
      <c r="O789" s="4"/>
      <c r="P789" s="4"/>
      <c r="Q789" s="4"/>
      <c r="R789" s="4"/>
      <c r="S789" s="4"/>
      <c r="T789" s="4"/>
      <c r="U789" s="4"/>
      <c r="V789" s="4"/>
      <c r="W789" s="4"/>
      <c r="X789" s="3"/>
      <c r="Y789" s="2"/>
      <c r="Z789" s="2"/>
      <c r="AA789" s="1"/>
      <c r="AB789" s="1"/>
      <c r="AC789" s="1"/>
      <c r="AD789" s="1"/>
      <c r="AE789" s="1"/>
      <c r="AF789" s="1"/>
      <c r="AG789" s="1"/>
      <c r="AH789" s="1"/>
    </row>
    <row r="790" ht="13.5" customHeight="1">
      <c r="A790" s="1"/>
      <c r="B790" s="1"/>
      <c r="C790" s="3"/>
      <c r="D790" s="1"/>
      <c r="E790" s="1"/>
      <c r="F790" s="1"/>
      <c r="G790" s="1"/>
      <c r="H790" s="1"/>
      <c r="I790" s="1"/>
      <c r="J790" s="1"/>
      <c r="K790" s="2"/>
      <c r="L790" s="1"/>
      <c r="M790" s="3"/>
      <c r="N790" s="3"/>
      <c r="O790" s="4"/>
      <c r="P790" s="4"/>
      <c r="Q790" s="4"/>
      <c r="R790" s="4"/>
      <c r="S790" s="4"/>
      <c r="T790" s="4"/>
      <c r="U790" s="4"/>
      <c r="V790" s="4"/>
      <c r="W790" s="4"/>
      <c r="X790" s="3"/>
      <c r="Y790" s="2"/>
      <c r="Z790" s="2"/>
      <c r="AA790" s="1"/>
      <c r="AB790" s="1"/>
      <c r="AC790" s="1"/>
      <c r="AD790" s="1"/>
      <c r="AE790" s="1"/>
      <c r="AF790" s="1"/>
      <c r="AG790" s="1"/>
      <c r="AH790" s="1"/>
    </row>
    <row r="791" ht="13.5" customHeight="1">
      <c r="A791" s="1"/>
      <c r="B791" s="1"/>
      <c r="C791" s="3"/>
      <c r="D791" s="1"/>
      <c r="E791" s="1"/>
      <c r="F791" s="1"/>
      <c r="G791" s="1"/>
      <c r="H791" s="1"/>
      <c r="I791" s="1"/>
      <c r="J791" s="1"/>
      <c r="K791" s="2"/>
      <c r="L791" s="1"/>
      <c r="M791" s="3"/>
      <c r="N791" s="3"/>
      <c r="O791" s="4"/>
      <c r="P791" s="4"/>
      <c r="Q791" s="4"/>
      <c r="R791" s="4"/>
      <c r="S791" s="4"/>
      <c r="T791" s="4"/>
      <c r="U791" s="4"/>
      <c r="V791" s="4"/>
      <c r="W791" s="4"/>
      <c r="X791" s="3"/>
      <c r="Y791" s="2"/>
      <c r="Z791" s="2"/>
      <c r="AA791" s="1"/>
      <c r="AB791" s="1"/>
      <c r="AC791" s="1"/>
      <c r="AD791" s="1"/>
      <c r="AE791" s="1"/>
      <c r="AF791" s="1"/>
      <c r="AG791" s="1"/>
      <c r="AH791" s="1"/>
    </row>
    <row r="792" ht="13.5" customHeight="1">
      <c r="A792" s="1"/>
      <c r="B792" s="1"/>
      <c r="C792" s="3"/>
      <c r="D792" s="1"/>
      <c r="E792" s="1"/>
      <c r="F792" s="1"/>
      <c r="G792" s="1"/>
      <c r="H792" s="1"/>
      <c r="I792" s="1"/>
      <c r="J792" s="1"/>
      <c r="K792" s="2"/>
      <c r="L792" s="1"/>
      <c r="M792" s="3"/>
      <c r="N792" s="3"/>
      <c r="O792" s="4"/>
      <c r="P792" s="4"/>
      <c r="Q792" s="4"/>
      <c r="R792" s="4"/>
      <c r="S792" s="4"/>
      <c r="T792" s="4"/>
      <c r="U792" s="4"/>
      <c r="V792" s="4"/>
      <c r="W792" s="4"/>
      <c r="X792" s="3"/>
      <c r="Y792" s="2"/>
      <c r="Z792" s="2"/>
      <c r="AA792" s="1"/>
      <c r="AB792" s="1"/>
      <c r="AC792" s="1"/>
      <c r="AD792" s="1"/>
      <c r="AE792" s="1"/>
      <c r="AF792" s="1"/>
      <c r="AG792" s="1"/>
      <c r="AH792" s="1"/>
    </row>
    <row r="793" ht="13.5" customHeight="1">
      <c r="A793" s="1"/>
      <c r="B793" s="1"/>
      <c r="C793" s="3"/>
      <c r="D793" s="1"/>
      <c r="E793" s="1"/>
      <c r="F793" s="1"/>
      <c r="G793" s="1"/>
      <c r="H793" s="1"/>
      <c r="I793" s="1"/>
      <c r="J793" s="1"/>
      <c r="K793" s="2"/>
      <c r="L793" s="1"/>
      <c r="M793" s="3"/>
      <c r="N793" s="3"/>
      <c r="O793" s="4"/>
      <c r="P793" s="4"/>
      <c r="Q793" s="4"/>
      <c r="R793" s="4"/>
      <c r="S793" s="4"/>
      <c r="T793" s="4"/>
      <c r="U793" s="4"/>
      <c r="V793" s="4"/>
      <c r="W793" s="4"/>
      <c r="X793" s="3"/>
      <c r="Y793" s="2"/>
      <c r="Z793" s="2"/>
      <c r="AA793" s="1"/>
      <c r="AB793" s="1"/>
      <c r="AC793" s="1"/>
      <c r="AD793" s="1"/>
      <c r="AE793" s="1"/>
      <c r="AF793" s="1"/>
      <c r="AG793" s="1"/>
      <c r="AH793" s="1"/>
    </row>
    <row r="794" ht="13.5" customHeight="1">
      <c r="A794" s="1"/>
      <c r="B794" s="1"/>
      <c r="C794" s="3"/>
      <c r="D794" s="1"/>
      <c r="E794" s="1"/>
      <c r="F794" s="1"/>
      <c r="G794" s="1"/>
      <c r="H794" s="1"/>
      <c r="I794" s="1"/>
      <c r="J794" s="1"/>
      <c r="K794" s="2"/>
      <c r="L794" s="1"/>
      <c r="M794" s="3"/>
      <c r="N794" s="3"/>
      <c r="O794" s="4"/>
      <c r="P794" s="4"/>
      <c r="Q794" s="4"/>
      <c r="R794" s="4"/>
      <c r="S794" s="4"/>
      <c r="T794" s="4"/>
      <c r="U794" s="4"/>
      <c r="V794" s="4"/>
      <c r="W794" s="4"/>
      <c r="X794" s="3"/>
      <c r="Y794" s="2"/>
      <c r="Z794" s="2"/>
      <c r="AA794" s="1"/>
      <c r="AB794" s="1"/>
      <c r="AC794" s="1"/>
      <c r="AD794" s="1"/>
      <c r="AE794" s="1"/>
      <c r="AF794" s="1"/>
      <c r="AG794" s="1"/>
      <c r="AH794" s="1"/>
    </row>
    <row r="795" ht="13.5" customHeight="1">
      <c r="A795" s="1"/>
      <c r="B795" s="1"/>
      <c r="C795" s="3"/>
      <c r="D795" s="1"/>
      <c r="E795" s="1"/>
      <c r="F795" s="1"/>
      <c r="G795" s="1"/>
      <c r="H795" s="1"/>
      <c r="I795" s="1"/>
      <c r="J795" s="1"/>
      <c r="K795" s="2"/>
      <c r="L795" s="1"/>
      <c r="M795" s="3"/>
      <c r="N795" s="3"/>
      <c r="O795" s="4"/>
      <c r="P795" s="4"/>
      <c r="Q795" s="4"/>
      <c r="R795" s="4"/>
      <c r="S795" s="4"/>
      <c r="T795" s="4"/>
      <c r="U795" s="4"/>
      <c r="V795" s="4"/>
      <c r="W795" s="4"/>
      <c r="X795" s="3"/>
      <c r="Y795" s="2"/>
      <c r="Z795" s="2"/>
      <c r="AA795" s="1"/>
      <c r="AB795" s="1"/>
      <c r="AC795" s="1"/>
      <c r="AD795" s="1"/>
      <c r="AE795" s="1"/>
      <c r="AF795" s="1"/>
      <c r="AG795" s="1"/>
      <c r="AH795" s="1"/>
    </row>
    <row r="796" ht="13.5" customHeight="1">
      <c r="A796" s="1"/>
      <c r="B796" s="1"/>
      <c r="C796" s="3"/>
      <c r="D796" s="1"/>
      <c r="E796" s="1"/>
      <c r="F796" s="1"/>
      <c r="G796" s="1"/>
      <c r="H796" s="1"/>
      <c r="I796" s="1"/>
      <c r="J796" s="1"/>
      <c r="K796" s="2"/>
      <c r="L796" s="1"/>
      <c r="M796" s="3"/>
      <c r="N796" s="3"/>
      <c r="O796" s="4"/>
      <c r="P796" s="4"/>
      <c r="Q796" s="4"/>
      <c r="R796" s="4"/>
      <c r="S796" s="4"/>
      <c r="T796" s="4"/>
      <c r="U796" s="4"/>
      <c r="V796" s="4"/>
      <c r="W796" s="4"/>
      <c r="X796" s="3"/>
      <c r="Y796" s="2"/>
      <c r="Z796" s="2"/>
      <c r="AA796" s="1"/>
      <c r="AB796" s="1"/>
      <c r="AC796" s="1"/>
      <c r="AD796" s="1"/>
      <c r="AE796" s="1"/>
      <c r="AF796" s="1"/>
      <c r="AG796" s="1"/>
      <c r="AH796" s="1"/>
    </row>
    <row r="797" ht="13.5" customHeight="1">
      <c r="A797" s="1"/>
      <c r="B797" s="1"/>
      <c r="C797" s="3"/>
      <c r="D797" s="1"/>
      <c r="E797" s="1"/>
      <c r="F797" s="1"/>
      <c r="G797" s="1"/>
      <c r="H797" s="1"/>
      <c r="I797" s="1"/>
      <c r="J797" s="1"/>
      <c r="K797" s="2"/>
      <c r="L797" s="1"/>
      <c r="M797" s="3"/>
      <c r="N797" s="3"/>
      <c r="O797" s="4"/>
      <c r="P797" s="4"/>
      <c r="Q797" s="4"/>
      <c r="R797" s="4"/>
      <c r="S797" s="4"/>
      <c r="T797" s="4"/>
      <c r="U797" s="4"/>
      <c r="V797" s="4"/>
      <c r="W797" s="4"/>
      <c r="X797" s="3"/>
      <c r="Y797" s="2"/>
      <c r="Z797" s="2"/>
      <c r="AA797" s="1"/>
      <c r="AB797" s="1"/>
      <c r="AC797" s="1"/>
      <c r="AD797" s="1"/>
      <c r="AE797" s="1"/>
      <c r="AF797" s="1"/>
      <c r="AG797" s="1"/>
      <c r="AH797" s="1"/>
    </row>
    <row r="798" ht="13.5" customHeight="1">
      <c r="A798" s="1"/>
      <c r="B798" s="1"/>
      <c r="C798" s="3"/>
      <c r="D798" s="1"/>
      <c r="E798" s="1"/>
      <c r="F798" s="1"/>
      <c r="G798" s="1"/>
      <c r="H798" s="1"/>
      <c r="I798" s="1"/>
      <c r="J798" s="1"/>
      <c r="K798" s="2"/>
      <c r="L798" s="1"/>
      <c r="M798" s="3"/>
      <c r="N798" s="3"/>
      <c r="O798" s="4"/>
      <c r="P798" s="4"/>
      <c r="Q798" s="4"/>
      <c r="R798" s="4"/>
      <c r="S798" s="4"/>
      <c r="T798" s="4"/>
      <c r="U798" s="4"/>
      <c r="V798" s="4"/>
      <c r="W798" s="4"/>
      <c r="X798" s="3"/>
      <c r="Y798" s="2"/>
      <c r="Z798" s="2"/>
      <c r="AA798" s="1"/>
      <c r="AB798" s="1"/>
      <c r="AC798" s="1"/>
      <c r="AD798" s="1"/>
      <c r="AE798" s="1"/>
      <c r="AF798" s="1"/>
      <c r="AG798" s="1"/>
      <c r="AH798" s="1"/>
    </row>
    <row r="799" ht="13.5" customHeight="1">
      <c r="A799" s="1"/>
      <c r="B799" s="1"/>
      <c r="C799" s="3"/>
      <c r="D799" s="1"/>
      <c r="E799" s="1"/>
      <c r="F799" s="1"/>
      <c r="G799" s="1"/>
      <c r="H799" s="1"/>
      <c r="I799" s="1"/>
      <c r="J799" s="1"/>
      <c r="K799" s="2"/>
      <c r="L799" s="1"/>
      <c r="M799" s="3"/>
      <c r="N799" s="3"/>
      <c r="O799" s="4"/>
      <c r="P799" s="4"/>
      <c r="Q799" s="4"/>
      <c r="R799" s="4"/>
      <c r="S799" s="4"/>
      <c r="T799" s="4"/>
      <c r="U799" s="4"/>
      <c r="V799" s="4"/>
      <c r="W799" s="4"/>
      <c r="X799" s="3"/>
      <c r="Y799" s="2"/>
      <c r="Z799" s="2"/>
      <c r="AA799" s="1"/>
      <c r="AB799" s="1"/>
      <c r="AC799" s="1"/>
      <c r="AD799" s="1"/>
      <c r="AE799" s="1"/>
      <c r="AF799" s="1"/>
      <c r="AG799" s="1"/>
      <c r="AH799" s="1"/>
    </row>
    <row r="800" ht="13.5" customHeight="1">
      <c r="A800" s="1"/>
      <c r="B800" s="1"/>
      <c r="C800" s="3"/>
      <c r="D800" s="1"/>
      <c r="E800" s="1"/>
      <c r="F800" s="1"/>
      <c r="G800" s="1"/>
      <c r="H800" s="1"/>
      <c r="I800" s="1"/>
      <c r="J800" s="1"/>
      <c r="K800" s="2"/>
      <c r="L800" s="1"/>
      <c r="M800" s="3"/>
      <c r="N800" s="3"/>
      <c r="O800" s="4"/>
      <c r="P800" s="4"/>
      <c r="Q800" s="4"/>
      <c r="R800" s="4"/>
      <c r="S800" s="4"/>
      <c r="T800" s="4"/>
      <c r="U800" s="4"/>
      <c r="V800" s="4"/>
      <c r="W800" s="4"/>
      <c r="X800" s="3"/>
      <c r="Y800" s="2"/>
      <c r="Z800" s="2"/>
      <c r="AA800" s="1"/>
      <c r="AB800" s="1"/>
      <c r="AC800" s="1"/>
      <c r="AD800" s="1"/>
      <c r="AE800" s="1"/>
      <c r="AF800" s="1"/>
      <c r="AG800" s="1"/>
      <c r="AH800" s="1"/>
    </row>
    <row r="801" ht="13.5" customHeight="1">
      <c r="A801" s="1"/>
      <c r="B801" s="1"/>
      <c r="C801" s="3"/>
      <c r="D801" s="1"/>
      <c r="E801" s="1"/>
      <c r="F801" s="1"/>
      <c r="G801" s="1"/>
      <c r="H801" s="1"/>
      <c r="I801" s="1"/>
      <c r="J801" s="1"/>
      <c r="K801" s="2"/>
      <c r="L801" s="1"/>
      <c r="M801" s="3"/>
      <c r="N801" s="3"/>
      <c r="O801" s="4"/>
      <c r="P801" s="4"/>
      <c r="Q801" s="4"/>
      <c r="R801" s="4"/>
      <c r="S801" s="4"/>
      <c r="T801" s="4"/>
      <c r="U801" s="4"/>
      <c r="V801" s="4"/>
      <c r="W801" s="4"/>
      <c r="X801" s="3"/>
      <c r="Y801" s="2"/>
      <c r="Z801" s="2"/>
      <c r="AA801" s="1"/>
      <c r="AB801" s="1"/>
      <c r="AC801" s="1"/>
      <c r="AD801" s="1"/>
      <c r="AE801" s="1"/>
      <c r="AF801" s="1"/>
      <c r="AG801" s="1"/>
      <c r="AH801" s="1"/>
    </row>
    <row r="802" ht="13.5" customHeight="1">
      <c r="A802" s="1"/>
      <c r="B802" s="1"/>
      <c r="C802" s="3"/>
      <c r="D802" s="1"/>
      <c r="E802" s="1"/>
      <c r="F802" s="1"/>
      <c r="G802" s="1"/>
      <c r="H802" s="1"/>
      <c r="I802" s="1"/>
      <c r="J802" s="1"/>
      <c r="K802" s="2"/>
      <c r="L802" s="1"/>
      <c r="M802" s="3"/>
      <c r="N802" s="3"/>
      <c r="O802" s="4"/>
      <c r="P802" s="4"/>
      <c r="Q802" s="4"/>
      <c r="R802" s="4"/>
      <c r="S802" s="4"/>
      <c r="T802" s="4"/>
      <c r="U802" s="4"/>
      <c r="V802" s="4"/>
      <c r="W802" s="4"/>
      <c r="X802" s="3"/>
      <c r="Y802" s="2"/>
      <c r="Z802" s="2"/>
      <c r="AA802" s="1"/>
      <c r="AB802" s="1"/>
      <c r="AC802" s="1"/>
      <c r="AD802" s="1"/>
      <c r="AE802" s="1"/>
      <c r="AF802" s="1"/>
      <c r="AG802" s="1"/>
      <c r="AH802" s="1"/>
    </row>
    <row r="803" ht="13.5" customHeight="1">
      <c r="A803" s="1"/>
      <c r="B803" s="1"/>
      <c r="C803" s="3"/>
      <c r="D803" s="1"/>
      <c r="E803" s="1"/>
      <c r="F803" s="1"/>
      <c r="G803" s="1"/>
      <c r="H803" s="1"/>
      <c r="I803" s="1"/>
      <c r="J803" s="1"/>
      <c r="K803" s="2"/>
      <c r="L803" s="1"/>
      <c r="M803" s="3"/>
      <c r="N803" s="3"/>
      <c r="O803" s="4"/>
      <c r="P803" s="4"/>
      <c r="Q803" s="4"/>
      <c r="R803" s="4"/>
      <c r="S803" s="4"/>
      <c r="T803" s="4"/>
      <c r="U803" s="4"/>
      <c r="V803" s="4"/>
      <c r="W803" s="4"/>
      <c r="X803" s="3"/>
      <c r="Y803" s="2"/>
      <c r="Z803" s="2"/>
      <c r="AA803" s="1"/>
      <c r="AB803" s="1"/>
      <c r="AC803" s="1"/>
      <c r="AD803" s="1"/>
      <c r="AE803" s="1"/>
      <c r="AF803" s="1"/>
      <c r="AG803" s="1"/>
      <c r="AH803" s="1"/>
    </row>
    <row r="804" ht="13.5" customHeight="1">
      <c r="A804" s="1"/>
      <c r="B804" s="1"/>
      <c r="C804" s="3"/>
      <c r="D804" s="1"/>
      <c r="E804" s="1"/>
      <c r="F804" s="1"/>
      <c r="G804" s="1"/>
      <c r="H804" s="1"/>
      <c r="I804" s="1"/>
      <c r="J804" s="1"/>
      <c r="K804" s="2"/>
      <c r="L804" s="1"/>
      <c r="M804" s="3"/>
      <c r="N804" s="3"/>
      <c r="O804" s="4"/>
      <c r="P804" s="4"/>
      <c r="Q804" s="4"/>
      <c r="R804" s="4"/>
      <c r="S804" s="4"/>
      <c r="T804" s="4"/>
      <c r="U804" s="4"/>
      <c r="V804" s="4"/>
      <c r="W804" s="4"/>
      <c r="X804" s="3"/>
      <c r="Y804" s="2"/>
      <c r="Z804" s="2"/>
      <c r="AA804" s="1"/>
      <c r="AB804" s="1"/>
      <c r="AC804" s="1"/>
      <c r="AD804" s="1"/>
      <c r="AE804" s="1"/>
      <c r="AF804" s="1"/>
      <c r="AG804" s="1"/>
      <c r="AH804" s="1"/>
    </row>
    <row r="805" ht="13.5" customHeight="1">
      <c r="A805" s="1"/>
      <c r="B805" s="1"/>
      <c r="C805" s="3"/>
      <c r="D805" s="1"/>
      <c r="E805" s="1"/>
      <c r="F805" s="1"/>
      <c r="G805" s="1"/>
      <c r="H805" s="1"/>
      <c r="I805" s="1"/>
      <c r="J805" s="1"/>
      <c r="K805" s="2"/>
      <c r="L805" s="1"/>
      <c r="M805" s="3"/>
      <c r="N805" s="3"/>
      <c r="O805" s="4"/>
      <c r="P805" s="4"/>
      <c r="Q805" s="4"/>
      <c r="R805" s="4"/>
      <c r="S805" s="4"/>
      <c r="T805" s="4"/>
      <c r="U805" s="4"/>
      <c r="V805" s="4"/>
      <c r="W805" s="4"/>
      <c r="X805" s="3"/>
      <c r="Y805" s="2"/>
      <c r="Z805" s="2"/>
      <c r="AA805" s="1"/>
      <c r="AB805" s="1"/>
      <c r="AC805" s="1"/>
      <c r="AD805" s="1"/>
      <c r="AE805" s="1"/>
      <c r="AF805" s="1"/>
      <c r="AG805" s="1"/>
      <c r="AH805" s="1"/>
    </row>
    <row r="806" ht="13.5" customHeight="1">
      <c r="A806" s="1"/>
      <c r="B806" s="1"/>
      <c r="C806" s="3"/>
      <c r="D806" s="1"/>
      <c r="E806" s="1"/>
      <c r="F806" s="1"/>
      <c r="G806" s="1"/>
      <c r="H806" s="1"/>
      <c r="I806" s="1"/>
      <c r="J806" s="1"/>
      <c r="K806" s="2"/>
      <c r="L806" s="1"/>
      <c r="M806" s="3"/>
      <c r="N806" s="3"/>
      <c r="O806" s="4"/>
      <c r="P806" s="4"/>
      <c r="Q806" s="4"/>
      <c r="R806" s="4"/>
      <c r="S806" s="4"/>
      <c r="T806" s="4"/>
      <c r="U806" s="4"/>
      <c r="V806" s="4"/>
      <c r="W806" s="4"/>
      <c r="X806" s="3"/>
      <c r="Y806" s="2"/>
      <c r="Z806" s="2"/>
      <c r="AA806" s="1"/>
      <c r="AB806" s="1"/>
      <c r="AC806" s="1"/>
      <c r="AD806" s="1"/>
      <c r="AE806" s="1"/>
      <c r="AF806" s="1"/>
      <c r="AG806" s="1"/>
      <c r="AH806" s="1"/>
    </row>
    <row r="807" ht="13.5" customHeight="1">
      <c r="A807" s="1"/>
      <c r="B807" s="1"/>
      <c r="C807" s="3"/>
      <c r="D807" s="1"/>
      <c r="E807" s="1"/>
      <c r="F807" s="1"/>
      <c r="G807" s="1"/>
      <c r="H807" s="1"/>
      <c r="I807" s="1"/>
      <c r="J807" s="1"/>
      <c r="K807" s="2"/>
      <c r="L807" s="1"/>
      <c r="M807" s="3"/>
      <c r="N807" s="3"/>
      <c r="O807" s="4"/>
      <c r="P807" s="4"/>
      <c r="Q807" s="4"/>
      <c r="R807" s="4"/>
      <c r="S807" s="4"/>
      <c r="T807" s="4"/>
      <c r="U807" s="4"/>
      <c r="V807" s="4"/>
      <c r="W807" s="4"/>
      <c r="X807" s="3"/>
      <c r="Y807" s="2"/>
      <c r="Z807" s="2"/>
      <c r="AA807" s="1"/>
      <c r="AB807" s="1"/>
      <c r="AC807" s="1"/>
      <c r="AD807" s="1"/>
      <c r="AE807" s="1"/>
      <c r="AF807" s="1"/>
      <c r="AG807" s="1"/>
      <c r="AH807" s="1"/>
    </row>
    <row r="808" ht="13.5" customHeight="1">
      <c r="A808" s="1"/>
      <c r="B808" s="1"/>
      <c r="C808" s="3"/>
      <c r="D808" s="1"/>
      <c r="E808" s="1"/>
      <c r="F808" s="1"/>
      <c r="G808" s="1"/>
      <c r="H808" s="1"/>
      <c r="I808" s="1"/>
      <c r="J808" s="1"/>
      <c r="K808" s="2"/>
      <c r="L808" s="1"/>
      <c r="M808" s="3"/>
      <c r="N808" s="3"/>
      <c r="O808" s="4"/>
      <c r="P808" s="4"/>
      <c r="Q808" s="4"/>
      <c r="R808" s="4"/>
      <c r="S808" s="4"/>
      <c r="T808" s="4"/>
      <c r="U808" s="4"/>
      <c r="V808" s="4"/>
      <c r="W808" s="4"/>
      <c r="X808" s="3"/>
      <c r="Y808" s="2"/>
      <c r="Z808" s="2"/>
      <c r="AA808" s="1"/>
      <c r="AB808" s="1"/>
      <c r="AC808" s="1"/>
      <c r="AD808" s="1"/>
      <c r="AE808" s="1"/>
      <c r="AF808" s="1"/>
      <c r="AG808" s="1"/>
      <c r="AH808" s="1"/>
    </row>
    <row r="809" ht="13.5" customHeight="1">
      <c r="A809" s="1"/>
      <c r="B809" s="1"/>
      <c r="C809" s="3"/>
      <c r="D809" s="1"/>
      <c r="E809" s="1"/>
      <c r="F809" s="1"/>
      <c r="G809" s="1"/>
      <c r="H809" s="1"/>
      <c r="I809" s="1"/>
      <c r="J809" s="1"/>
      <c r="K809" s="2"/>
      <c r="L809" s="1"/>
      <c r="M809" s="3"/>
      <c r="N809" s="3"/>
      <c r="O809" s="4"/>
      <c r="P809" s="4"/>
      <c r="Q809" s="4"/>
      <c r="R809" s="4"/>
      <c r="S809" s="4"/>
      <c r="T809" s="4"/>
      <c r="U809" s="4"/>
      <c r="V809" s="4"/>
      <c r="W809" s="4"/>
      <c r="X809" s="3"/>
      <c r="Y809" s="2"/>
      <c r="Z809" s="2"/>
      <c r="AA809" s="1"/>
      <c r="AB809" s="1"/>
      <c r="AC809" s="1"/>
      <c r="AD809" s="1"/>
      <c r="AE809" s="1"/>
      <c r="AF809" s="1"/>
      <c r="AG809" s="1"/>
      <c r="AH809" s="1"/>
    </row>
    <row r="810" ht="13.5" customHeight="1">
      <c r="A810" s="1"/>
      <c r="B810" s="1"/>
      <c r="C810" s="3"/>
      <c r="D810" s="1"/>
      <c r="E810" s="1"/>
      <c r="F810" s="1"/>
      <c r="G810" s="1"/>
      <c r="H810" s="1"/>
      <c r="I810" s="1"/>
      <c r="J810" s="1"/>
      <c r="K810" s="2"/>
      <c r="L810" s="1"/>
      <c r="M810" s="3"/>
      <c r="N810" s="3"/>
      <c r="O810" s="4"/>
      <c r="P810" s="4"/>
      <c r="Q810" s="4"/>
      <c r="R810" s="4"/>
      <c r="S810" s="4"/>
      <c r="T810" s="4"/>
      <c r="U810" s="4"/>
      <c r="V810" s="4"/>
      <c r="W810" s="4"/>
      <c r="X810" s="3"/>
      <c r="Y810" s="2"/>
      <c r="Z810" s="2"/>
      <c r="AA810" s="1"/>
      <c r="AB810" s="1"/>
      <c r="AC810" s="1"/>
      <c r="AD810" s="1"/>
      <c r="AE810" s="1"/>
      <c r="AF810" s="1"/>
      <c r="AG810" s="1"/>
      <c r="AH810" s="1"/>
    </row>
    <row r="811" ht="13.5" customHeight="1">
      <c r="A811" s="1"/>
      <c r="B811" s="1"/>
      <c r="C811" s="3"/>
      <c r="D811" s="1"/>
      <c r="E811" s="1"/>
      <c r="F811" s="1"/>
      <c r="G811" s="1"/>
      <c r="H811" s="1"/>
      <c r="I811" s="1"/>
      <c r="J811" s="1"/>
      <c r="K811" s="2"/>
      <c r="L811" s="1"/>
      <c r="M811" s="3"/>
      <c r="N811" s="3"/>
      <c r="O811" s="4"/>
      <c r="P811" s="4"/>
      <c r="Q811" s="4"/>
      <c r="R811" s="4"/>
      <c r="S811" s="4"/>
      <c r="T811" s="4"/>
      <c r="U811" s="4"/>
      <c r="V811" s="4"/>
      <c r="W811" s="4"/>
      <c r="X811" s="3"/>
      <c r="Y811" s="2"/>
      <c r="Z811" s="2"/>
      <c r="AA811" s="1"/>
      <c r="AB811" s="1"/>
      <c r="AC811" s="1"/>
      <c r="AD811" s="1"/>
      <c r="AE811" s="1"/>
      <c r="AF811" s="1"/>
      <c r="AG811" s="1"/>
      <c r="AH811" s="1"/>
    </row>
    <row r="812" ht="13.5" customHeight="1">
      <c r="A812" s="1"/>
      <c r="B812" s="1"/>
      <c r="C812" s="3"/>
      <c r="D812" s="1"/>
      <c r="E812" s="1"/>
      <c r="F812" s="1"/>
      <c r="G812" s="1"/>
      <c r="H812" s="1"/>
      <c r="I812" s="1"/>
      <c r="J812" s="1"/>
      <c r="K812" s="2"/>
      <c r="L812" s="1"/>
      <c r="M812" s="3"/>
      <c r="N812" s="3"/>
      <c r="O812" s="4"/>
      <c r="P812" s="4"/>
      <c r="Q812" s="4"/>
      <c r="R812" s="4"/>
      <c r="S812" s="4"/>
      <c r="T812" s="4"/>
      <c r="U812" s="4"/>
      <c r="V812" s="4"/>
      <c r="W812" s="4"/>
      <c r="X812" s="3"/>
      <c r="Y812" s="2"/>
      <c r="Z812" s="2"/>
      <c r="AA812" s="1"/>
      <c r="AB812" s="1"/>
      <c r="AC812" s="1"/>
      <c r="AD812" s="1"/>
      <c r="AE812" s="1"/>
      <c r="AF812" s="1"/>
      <c r="AG812" s="1"/>
      <c r="AH812" s="1"/>
    </row>
    <row r="813" ht="13.5" customHeight="1">
      <c r="A813" s="1"/>
      <c r="B813" s="1"/>
      <c r="C813" s="3"/>
      <c r="D813" s="1"/>
      <c r="E813" s="1"/>
      <c r="F813" s="1"/>
      <c r="G813" s="1"/>
      <c r="H813" s="1"/>
      <c r="I813" s="1"/>
      <c r="J813" s="1"/>
      <c r="K813" s="2"/>
      <c r="L813" s="1"/>
      <c r="M813" s="3"/>
      <c r="N813" s="3"/>
      <c r="O813" s="4"/>
      <c r="P813" s="4"/>
      <c r="Q813" s="4"/>
      <c r="R813" s="4"/>
      <c r="S813" s="4"/>
      <c r="T813" s="4"/>
      <c r="U813" s="4"/>
      <c r="V813" s="4"/>
      <c r="W813" s="4"/>
      <c r="X813" s="3"/>
      <c r="Y813" s="2"/>
      <c r="Z813" s="2"/>
      <c r="AA813" s="1"/>
      <c r="AB813" s="1"/>
      <c r="AC813" s="1"/>
      <c r="AD813" s="1"/>
      <c r="AE813" s="1"/>
      <c r="AF813" s="1"/>
      <c r="AG813" s="1"/>
      <c r="AH813" s="1"/>
    </row>
    <row r="814" ht="13.5" customHeight="1">
      <c r="A814" s="1"/>
      <c r="B814" s="1"/>
      <c r="C814" s="3"/>
      <c r="D814" s="1"/>
      <c r="E814" s="1"/>
      <c r="F814" s="1"/>
      <c r="G814" s="1"/>
      <c r="H814" s="1"/>
      <c r="I814" s="1"/>
      <c r="J814" s="1"/>
      <c r="K814" s="2"/>
      <c r="L814" s="1"/>
      <c r="M814" s="3"/>
      <c r="N814" s="3"/>
      <c r="O814" s="4"/>
      <c r="P814" s="4"/>
      <c r="Q814" s="4"/>
      <c r="R814" s="4"/>
      <c r="S814" s="4"/>
      <c r="T814" s="4"/>
      <c r="U814" s="4"/>
      <c r="V814" s="4"/>
      <c r="W814" s="4"/>
      <c r="X814" s="3"/>
      <c r="Y814" s="2"/>
      <c r="Z814" s="2"/>
      <c r="AA814" s="1"/>
      <c r="AB814" s="1"/>
      <c r="AC814" s="1"/>
      <c r="AD814" s="1"/>
      <c r="AE814" s="1"/>
      <c r="AF814" s="1"/>
      <c r="AG814" s="1"/>
      <c r="AH814" s="1"/>
    </row>
    <row r="815" ht="13.5" customHeight="1">
      <c r="A815" s="1"/>
      <c r="B815" s="1"/>
      <c r="C815" s="3"/>
      <c r="D815" s="1"/>
      <c r="E815" s="1"/>
      <c r="F815" s="1"/>
      <c r="G815" s="1"/>
      <c r="H815" s="1"/>
      <c r="I815" s="1"/>
      <c r="J815" s="1"/>
      <c r="K815" s="2"/>
      <c r="L815" s="1"/>
      <c r="M815" s="3"/>
      <c r="N815" s="3"/>
      <c r="O815" s="4"/>
      <c r="P815" s="4"/>
      <c r="Q815" s="4"/>
      <c r="R815" s="4"/>
      <c r="S815" s="4"/>
      <c r="T815" s="4"/>
      <c r="U815" s="4"/>
      <c r="V815" s="4"/>
      <c r="W815" s="4"/>
      <c r="X815" s="3"/>
      <c r="Y815" s="2"/>
      <c r="Z815" s="2"/>
      <c r="AA815" s="1"/>
      <c r="AB815" s="1"/>
      <c r="AC815" s="1"/>
      <c r="AD815" s="1"/>
      <c r="AE815" s="1"/>
      <c r="AF815" s="1"/>
      <c r="AG815" s="1"/>
      <c r="AH815" s="1"/>
    </row>
    <row r="816" ht="13.5" customHeight="1">
      <c r="A816" s="1"/>
      <c r="B816" s="1"/>
      <c r="C816" s="3"/>
      <c r="D816" s="1"/>
      <c r="E816" s="1"/>
      <c r="F816" s="1"/>
      <c r="G816" s="1"/>
      <c r="H816" s="1"/>
      <c r="I816" s="1"/>
      <c r="J816" s="1"/>
      <c r="K816" s="2"/>
      <c r="L816" s="1"/>
      <c r="M816" s="3"/>
      <c r="N816" s="3"/>
      <c r="O816" s="4"/>
      <c r="P816" s="4"/>
      <c r="Q816" s="4"/>
      <c r="R816" s="4"/>
      <c r="S816" s="4"/>
      <c r="T816" s="4"/>
      <c r="U816" s="4"/>
      <c r="V816" s="4"/>
      <c r="W816" s="4"/>
      <c r="X816" s="3"/>
      <c r="Y816" s="2"/>
      <c r="Z816" s="2"/>
      <c r="AA816" s="1"/>
      <c r="AB816" s="1"/>
      <c r="AC816" s="1"/>
      <c r="AD816" s="1"/>
      <c r="AE816" s="1"/>
      <c r="AF816" s="1"/>
      <c r="AG816" s="1"/>
      <c r="AH816" s="1"/>
    </row>
    <row r="817" ht="13.5" customHeight="1">
      <c r="A817" s="1"/>
      <c r="B817" s="1"/>
      <c r="C817" s="3"/>
      <c r="D817" s="1"/>
      <c r="E817" s="1"/>
      <c r="F817" s="1"/>
      <c r="G817" s="1"/>
      <c r="H817" s="1"/>
      <c r="I817" s="1"/>
      <c r="J817" s="1"/>
      <c r="K817" s="2"/>
      <c r="L817" s="1"/>
      <c r="M817" s="3"/>
      <c r="N817" s="3"/>
      <c r="O817" s="4"/>
      <c r="P817" s="4"/>
      <c r="Q817" s="4"/>
      <c r="R817" s="4"/>
      <c r="S817" s="4"/>
      <c r="T817" s="4"/>
      <c r="U817" s="4"/>
      <c r="V817" s="4"/>
      <c r="W817" s="4"/>
      <c r="X817" s="3"/>
      <c r="Y817" s="2"/>
      <c r="Z817" s="2"/>
      <c r="AA817" s="1"/>
      <c r="AB817" s="1"/>
      <c r="AC817" s="1"/>
      <c r="AD817" s="1"/>
      <c r="AE817" s="1"/>
      <c r="AF817" s="1"/>
      <c r="AG817" s="1"/>
      <c r="AH817" s="1"/>
    </row>
    <row r="818" ht="13.5" customHeight="1">
      <c r="A818" s="1"/>
      <c r="B818" s="1"/>
      <c r="C818" s="3"/>
      <c r="D818" s="1"/>
      <c r="E818" s="1"/>
      <c r="F818" s="1"/>
      <c r="G818" s="1"/>
      <c r="H818" s="1"/>
      <c r="I818" s="1"/>
      <c r="J818" s="1"/>
      <c r="K818" s="2"/>
      <c r="L818" s="1"/>
      <c r="M818" s="3"/>
      <c r="N818" s="3"/>
      <c r="O818" s="4"/>
      <c r="P818" s="4"/>
      <c r="Q818" s="4"/>
      <c r="R818" s="4"/>
      <c r="S818" s="4"/>
      <c r="T818" s="4"/>
      <c r="U818" s="4"/>
      <c r="V818" s="4"/>
      <c r="W818" s="4"/>
      <c r="X818" s="3"/>
      <c r="Y818" s="2"/>
      <c r="Z818" s="2"/>
      <c r="AA818" s="1"/>
      <c r="AB818" s="1"/>
      <c r="AC818" s="1"/>
      <c r="AD818" s="1"/>
      <c r="AE818" s="1"/>
      <c r="AF818" s="1"/>
      <c r="AG818" s="1"/>
      <c r="AH818" s="1"/>
    </row>
    <row r="819" ht="13.5" customHeight="1">
      <c r="A819" s="1"/>
      <c r="B819" s="1"/>
      <c r="C819" s="3"/>
      <c r="D819" s="1"/>
      <c r="E819" s="1"/>
      <c r="F819" s="1"/>
      <c r="G819" s="1"/>
      <c r="H819" s="1"/>
      <c r="I819" s="1"/>
      <c r="J819" s="1"/>
      <c r="K819" s="2"/>
      <c r="L819" s="1"/>
      <c r="M819" s="3"/>
      <c r="N819" s="3"/>
      <c r="O819" s="4"/>
      <c r="P819" s="4"/>
      <c r="Q819" s="4"/>
      <c r="R819" s="4"/>
      <c r="S819" s="4"/>
      <c r="T819" s="4"/>
      <c r="U819" s="4"/>
      <c r="V819" s="4"/>
      <c r="W819" s="4"/>
      <c r="X819" s="3"/>
      <c r="Y819" s="2"/>
      <c r="Z819" s="2"/>
      <c r="AA819" s="1"/>
      <c r="AB819" s="1"/>
      <c r="AC819" s="1"/>
      <c r="AD819" s="1"/>
      <c r="AE819" s="1"/>
      <c r="AF819" s="1"/>
      <c r="AG819" s="1"/>
      <c r="AH819" s="1"/>
    </row>
    <row r="820" ht="13.5" customHeight="1">
      <c r="A820" s="1"/>
      <c r="B820" s="1"/>
      <c r="C820" s="3"/>
      <c r="D820" s="1"/>
      <c r="E820" s="1"/>
      <c r="F820" s="1"/>
      <c r="G820" s="1"/>
      <c r="H820" s="1"/>
      <c r="I820" s="1"/>
      <c r="J820" s="1"/>
      <c r="K820" s="2"/>
      <c r="L820" s="1"/>
      <c r="M820" s="3"/>
      <c r="N820" s="3"/>
      <c r="O820" s="4"/>
      <c r="P820" s="4"/>
      <c r="Q820" s="4"/>
      <c r="R820" s="4"/>
      <c r="S820" s="4"/>
      <c r="T820" s="4"/>
      <c r="U820" s="4"/>
      <c r="V820" s="4"/>
      <c r="W820" s="4"/>
      <c r="X820" s="3"/>
      <c r="Y820" s="2"/>
      <c r="Z820" s="2"/>
      <c r="AA820" s="1"/>
      <c r="AB820" s="1"/>
      <c r="AC820" s="1"/>
      <c r="AD820" s="1"/>
      <c r="AE820" s="1"/>
      <c r="AF820" s="1"/>
      <c r="AG820" s="1"/>
      <c r="AH820" s="1"/>
    </row>
    <row r="821" ht="13.5" customHeight="1">
      <c r="A821" s="1"/>
      <c r="B821" s="1"/>
      <c r="C821" s="3"/>
      <c r="D821" s="1"/>
      <c r="E821" s="1"/>
      <c r="F821" s="1"/>
      <c r="G821" s="1"/>
      <c r="H821" s="1"/>
      <c r="I821" s="1"/>
      <c r="J821" s="1"/>
      <c r="K821" s="2"/>
      <c r="L821" s="1"/>
      <c r="M821" s="3"/>
      <c r="N821" s="3"/>
      <c r="O821" s="4"/>
      <c r="P821" s="4"/>
      <c r="Q821" s="4"/>
      <c r="R821" s="4"/>
      <c r="S821" s="4"/>
      <c r="T821" s="4"/>
      <c r="U821" s="4"/>
      <c r="V821" s="4"/>
      <c r="W821" s="4"/>
      <c r="X821" s="3"/>
      <c r="Y821" s="2"/>
      <c r="Z821" s="2"/>
      <c r="AA821" s="1"/>
      <c r="AB821" s="1"/>
      <c r="AC821" s="1"/>
      <c r="AD821" s="1"/>
      <c r="AE821" s="1"/>
      <c r="AF821" s="1"/>
      <c r="AG821" s="1"/>
      <c r="AH821" s="1"/>
    </row>
    <row r="822" ht="13.5" customHeight="1">
      <c r="A822" s="1"/>
      <c r="B822" s="1"/>
      <c r="C822" s="3"/>
      <c r="D822" s="1"/>
      <c r="E822" s="1"/>
      <c r="F822" s="1"/>
      <c r="G822" s="1"/>
      <c r="H822" s="1"/>
      <c r="I822" s="1"/>
      <c r="J822" s="1"/>
      <c r="K822" s="2"/>
      <c r="L822" s="1"/>
      <c r="M822" s="3"/>
      <c r="N822" s="3"/>
      <c r="O822" s="4"/>
      <c r="P822" s="4"/>
      <c r="Q822" s="4"/>
      <c r="R822" s="4"/>
      <c r="S822" s="4"/>
      <c r="T822" s="4"/>
      <c r="U822" s="4"/>
      <c r="V822" s="4"/>
      <c r="W822" s="4"/>
      <c r="X822" s="3"/>
      <c r="Y822" s="2"/>
      <c r="Z822" s="2"/>
      <c r="AA822" s="1"/>
      <c r="AB822" s="1"/>
      <c r="AC822" s="1"/>
      <c r="AD822" s="1"/>
      <c r="AE822" s="1"/>
      <c r="AF822" s="1"/>
      <c r="AG822" s="1"/>
      <c r="AH822" s="1"/>
    </row>
    <row r="823" ht="13.5" customHeight="1">
      <c r="A823" s="1"/>
      <c r="B823" s="1"/>
      <c r="C823" s="3"/>
      <c r="D823" s="1"/>
      <c r="E823" s="1"/>
      <c r="F823" s="1"/>
      <c r="G823" s="1"/>
      <c r="H823" s="1"/>
      <c r="I823" s="1"/>
      <c r="J823" s="1"/>
      <c r="K823" s="2"/>
      <c r="L823" s="1"/>
      <c r="M823" s="3"/>
      <c r="N823" s="3"/>
      <c r="O823" s="4"/>
      <c r="P823" s="4"/>
      <c r="Q823" s="4"/>
      <c r="R823" s="4"/>
      <c r="S823" s="4"/>
      <c r="T823" s="4"/>
      <c r="U823" s="4"/>
      <c r="V823" s="4"/>
      <c r="W823" s="4"/>
      <c r="X823" s="3"/>
      <c r="Y823" s="2"/>
      <c r="Z823" s="2"/>
      <c r="AA823" s="1"/>
      <c r="AB823" s="1"/>
      <c r="AC823" s="1"/>
      <c r="AD823" s="1"/>
      <c r="AE823" s="1"/>
      <c r="AF823" s="1"/>
      <c r="AG823" s="1"/>
      <c r="AH823" s="1"/>
    </row>
    <row r="824" ht="13.5" customHeight="1">
      <c r="A824" s="1"/>
      <c r="B824" s="1"/>
      <c r="C824" s="3"/>
      <c r="D824" s="1"/>
      <c r="E824" s="1"/>
      <c r="F824" s="1"/>
      <c r="G824" s="1"/>
      <c r="H824" s="1"/>
      <c r="I824" s="1"/>
      <c r="J824" s="1"/>
      <c r="K824" s="2"/>
      <c r="L824" s="1"/>
      <c r="M824" s="3"/>
      <c r="N824" s="3"/>
      <c r="O824" s="4"/>
      <c r="P824" s="4"/>
      <c r="Q824" s="4"/>
      <c r="R824" s="4"/>
      <c r="S824" s="4"/>
      <c r="T824" s="4"/>
      <c r="U824" s="4"/>
      <c r="V824" s="4"/>
      <c r="W824" s="4"/>
      <c r="X824" s="3"/>
      <c r="Y824" s="2"/>
      <c r="Z824" s="2"/>
      <c r="AA824" s="1"/>
      <c r="AB824" s="1"/>
      <c r="AC824" s="1"/>
      <c r="AD824" s="1"/>
      <c r="AE824" s="1"/>
      <c r="AF824" s="1"/>
      <c r="AG824" s="1"/>
      <c r="AH824" s="1"/>
    </row>
    <row r="825" ht="13.5" customHeight="1">
      <c r="A825" s="1"/>
      <c r="B825" s="1"/>
      <c r="C825" s="3"/>
      <c r="D825" s="1"/>
      <c r="E825" s="1"/>
      <c r="F825" s="1"/>
      <c r="G825" s="1"/>
      <c r="H825" s="1"/>
      <c r="I825" s="1"/>
      <c r="J825" s="1"/>
      <c r="K825" s="2"/>
      <c r="L825" s="1"/>
      <c r="M825" s="3"/>
      <c r="N825" s="3"/>
      <c r="O825" s="4"/>
      <c r="P825" s="4"/>
      <c r="Q825" s="4"/>
      <c r="R825" s="4"/>
      <c r="S825" s="4"/>
      <c r="T825" s="4"/>
      <c r="U825" s="4"/>
      <c r="V825" s="4"/>
      <c r="W825" s="4"/>
      <c r="X825" s="3"/>
      <c r="Y825" s="2"/>
      <c r="Z825" s="2"/>
      <c r="AA825" s="1"/>
      <c r="AB825" s="1"/>
      <c r="AC825" s="1"/>
      <c r="AD825" s="1"/>
      <c r="AE825" s="1"/>
      <c r="AF825" s="1"/>
      <c r="AG825" s="1"/>
      <c r="AH825" s="1"/>
    </row>
    <row r="826" ht="13.5" customHeight="1">
      <c r="A826" s="1"/>
      <c r="B826" s="1"/>
      <c r="C826" s="3"/>
      <c r="D826" s="1"/>
      <c r="E826" s="1"/>
      <c r="F826" s="1"/>
      <c r="G826" s="1"/>
      <c r="H826" s="1"/>
      <c r="I826" s="1"/>
      <c r="J826" s="1"/>
      <c r="K826" s="2"/>
      <c r="L826" s="1"/>
      <c r="M826" s="3"/>
      <c r="N826" s="3"/>
      <c r="O826" s="4"/>
      <c r="P826" s="4"/>
      <c r="Q826" s="4"/>
      <c r="R826" s="4"/>
      <c r="S826" s="4"/>
      <c r="T826" s="4"/>
      <c r="U826" s="4"/>
      <c r="V826" s="4"/>
      <c r="W826" s="4"/>
      <c r="X826" s="3"/>
      <c r="Y826" s="2"/>
      <c r="Z826" s="2"/>
      <c r="AA826" s="1"/>
      <c r="AB826" s="1"/>
      <c r="AC826" s="1"/>
      <c r="AD826" s="1"/>
      <c r="AE826" s="1"/>
      <c r="AF826" s="1"/>
      <c r="AG826" s="1"/>
      <c r="AH826" s="1"/>
    </row>
    <row r="827" ht="13.5" customHeight="1">
      <c r="A827" s="1"/>
      <c r="B827" s="1"/>
      <c r="C827" s="3"/>
      <c r="D827" s="1"/>
      <c r="E827" s="1"/>
      <c r="F827" s="1"/>
      <c r="G827" s="1"/>
      <c r="H827" s="1"/>
      <c r="I827" s="1"/>
      <c r="J827" s="1"/>
      <c r="K827" s="2"/>
      <c r="L827" s="1"/>
      <c r="M827" s="3"/>
      <c r="N827" s="3"/>
      <c r="O827" s="4"/>
      <c r="P827" s="4"/>
      <c r="Q827" s="4"/>
      <c r="R827" s="4"/>
      <c r="S827" s="4"/>
      <c r="T827" s="4"/>
      <c r="U827" s="4"/>
      <c r="V827" s="4"/>
      <c r="W827" s="4"/>
      <c r="X827" s="3"/>
      <c r="Y827" s="2"/>
      <c r="Z827" s="2"/>
      <c r="AA827" s="1"/>
      <c r="AB827" s="1"/>
      <c r="AC827" s="1"/>
      <c r="AD827" s="1"/>
      <c r="AE827" s="1"/>
      <c r="AF827" s="1"/>
      <c r="AG827" s="1"/>
      <c r="AH827" s="1"/>
    </row>
    <row r="828" ht="13.5" customHeight="1">
      <c r="A828" s="1"/>
      <c r="B828" s="1"/>
      <c r="C828" s="3"/>
      <c r="D828" s="1"/>
      <c r="E828" s="1"/>
      <c r="F828" s="1"/>
      <c r="G828" s="1"/>
      <c r="H828" s="1"/>
      <c r="I828" s="1"/>
      <c r="J828" s="1"/>
      <c r="K828" s="2"/>
      <c r="L828" s="1"/>
      <c r="M828" s="3"/>
      <c r="N828" s="3"/>
      <c r="O828" s="4"/>
      <c r="P828" s="4"/>
      <c r="Q828" s="4"/>
      <c r="R828" s="4"/>
      <c r="S828" s="4"/>
      <c r="T828" s="4"/>
      <c r="U828" s="4"/>
      <c r="V828" s="4"/>
      <c r="W828" s="4"/>
      <c r="X828" s="3"/>
      <c r="Y828" s="2"/>
      <c r="Z828" s="2"/>
      <c r="AA828" s="1"/>
      <c r="AB828" s="1"/>
      <c r="AC828" s="1"/>
      <c r="AD828" s="1"/>
      <c r="AE828" s="1"/>
      <c r="AF828" s="1"/>
      <c r="AG828" s="1"/>
      <c r="AH828" s="1"/>
    </row>
    <row r="829" ht="13.5" customHeight="1">
      <c r="A829" s="1"/>
      <c r="B829" s="1"/>
      <c r="C829" s="3"/>
      <c r="D829" s="1"/>
      <c r="E829" s="1"/>
      <c r="F829" s="1"/>
      <c r="G829" s="1"/>
      <c r="H829" s="1"/>
      <c r="I829" s="1"/>
      <c r="J829" s="1"/>
      <c r="K829" s="2"/>
      <c r="L829" s="1"/>
      <c r="M829" s="3"/>
      <c r="N829" s="3"/>
      <c r="O829" s="4"/>
      <c r="P829" s="4"/>
      <c r="Q829" s="4"/>
      <c r="R829" s="4"/>
      <c r="S829" s="4"/>
      <c r="T829" s="4"/>
      <c r="U829" s="4"/>
      <c r="V829" s="4"/>
      <c r="W829" s="4"/>
      <c r="X829" s="3"/>
      <c r="Y829" s="2"/>
      <c r="Z829" s="2"/>
      <c r="AA829" s="1"/>
      <c r="AB829" s="1"/>
      <c r="AC829" s="1"/>
      <c r="AD829" s="1"/>
      <c r="AE829" s="1"/>
      <c r="AF829" s="1"/>
      <c r="AG829" s="1"/>
      <c r="AH829" s="1"/>
    </row>
    <row r="830" ht="13.5" customHeight="1">
      <c r="A830" s="1"/>
      <c r="B830" s="1"/>
      <c r="C830" s="3"/>
      <c r="D830" s="1"/>
      <c r="E830" s="1"/>
      <c r="F830" s="1"/>
      <c r="G830" s="1"/>
      <c r="H830" s="1"/>
      <c r="I830" s="1"/>
      <c r="J830" s="1"/>
      <c r="K830" s="2"/>
      <c r="L830" s="1"/>
      <c r="M830" s="3"/>
      <c r="N830" s="3"/>
      <c r="O830" s="4"/>
      <c r="P830" s="4"/>
      <c r="Q830" s="4"/>
      <c r="R830" s="4"/>
      <c r="S830" s="4"/>
      <c r="T830" s="4"/>
      <c r="U830" s="4"/>
      <c r="V830" s="4"/>
      <c r="W830" s="4"/>
      <c r="X830" s="3"/>
      <c r="Y830" s="2"/>
      <c r="Z830" s="2"/>
      <c r="AA830" s="1"/>
      <c r="AB830" s="1"/>
      <c r="AC830" s="1"/>
      <c r="AD830" s="1"/>
      <c r="AE830" s="1"/>
      <c r="AF830" s="1"/>
      <c r="AG830" s="1"/>
      <c r="AH830" s="1"/>
    </row>
    <row r="831" ht="13.5" customHeight="1">
      <c r="A831" s="1"/>
      <c r="B831" s="1"/>
      <c r="C831" s="3"/>
      <c r="D831" s="1"/>
      <c r="E831" s="1"/>
      <c r="F831" s="1"/>
      <c r="G831" s="1"/>
      <c r="H831" s="1"/>
      <c r="I831" s="1"/>
      <c r="J831" s="1"/>
      <c r="K831" s="2"/>
      <c r="L831" s="1"/>
      <c r="M831" s="3"/>
      <c r="N831" s="3"/>
      <c r="O831" s="4"/>
      <c r="P831" s="4"/>
      <c r="Q831" s="4"/>
      <c r="R831" s="4"/>
      <c r="S831" s="4"/>
      <c r="T831" s="4"/>
      <c r="U831" s="4"/>
      <c r="V831" s="4"/>
      <c r="W831" s="4"/>
      <c r="X831" s="3"/>
      <c r="Y831" s="2"/>
      <c r="Z831" s="2"/>
      <c r="AA831" s="1"/>
      <c r="AB831" s="1"/>
      <c r="AC831" s="1"/>
      <c r="AD831" s="1"/>
      <c r="AE831" s="1"/>
      <c r="AF831" s="1"/>
      <c r="AG831" s="1"/>
      <c r="AH831" s="1"/>
    </row>
    <row r="832" ht="13.5" customHeight="1">
      <c r="A832" s="1"/>
      <c r="B832" s="1"/>
      <c r="C832" s="3"/>
      <c r="D832" s="1"/>
      <c r="E832" s="1"/>
      <c r="F832" s="1"/>
      <c r="G832" s="1"/>
      <c r="H832" s="1"/>
      <c r="I832" s="1"/>
      <c r="J832" s="1"/>
      <c r="K832" s="2"/>
      <c r="L832" s="1"/>
      <c r="M832" s="3"/>
      <c r="N832" s="3"/>
      <c r="O832" s="4"/>
      <c r="P832" s="4"/>
      <c r="Q832" s="4"/>
      <c r="R832" s="4"/>
      <c r="S832" s="4"/>
      <c r="T832" s="4"/>
      <c r="U832" s="4"/>
      <c r="V832" s="4"/>
      <c r="W832" s="4"/>
      <c r="X832" s="3"/>
      <c r="Y832" s="2"/>
      <c r="Z832" s="2"/>
      <c r="AA832" s="1"/>
      <c r="AB832" s="1"/>
      <c r="AC832" s="1"/>
      <c r="AD832" s="1"/>
      <c r="AE832" s="1"/>
      <c r="AF832" s="1"/>
      <c r="AG832" s="1"/>
      <c r="AH832" s="1"/>
    </row>
    <row r="833" ht="13.5" customHeight="1">
      <c r="A833" s="1"/>
      <c r="B833" s="1"/>
      <c r="C833" s="3"/>
      <c r="D833" s="1"/>
      <c r="E833" s="1"/>
      <c r="F833" s="1"/>
      <c r="G833" s="1"/>
      <c r="H833" s="1"/>
      <c r="I833" s="1"/>
      <c r="J833" s="1"/>
      <c r="K833" s="2"/>
      <c r="L833" s="1"/>
      <c r="M833" s="3"/>
      <c r="N833" s="3"/>
      <c r="O833" s="4"/>
      <c r="P833" s="4"/>
      <c r="Q833" s="4"/>
      <c r="R833" s="4"/>
      <c r="S833" s="4"/>
      <c r="T833" s="4"/>
      <c r="U833" s="4"/>
      <c r="V833" s="4"/>
      <c r="W833" s="4"/>
      <c r="X833" s="3"/>
      <c r="Y833" s="2"/>
      <c r="Z833" s="2"/>
      <c r="AA833" s="1"/>
      <c r="AB833" s="1"/>
      <c r="AC833" s="1"/>
      <c r="AD833" s="1"/>
      <c r="AE833" s="1"/>
      <c r="AF833" s="1"/>
      <c r="AG833" s="1"/>
      <c r="AH833" s="1"/>
    </row>
    <row r="834" ht="13.5" customHeight="1">
      <c r="A834" s="1"/>
      <c r="B834" s="1"/>
      <c r="C834" s="3"/>
      <c r="D834" s="1"/>
      <c r="E834" s="1"/>
      <c r="F834" s="1"/>
      <c r="G834" s="1"/>
      <c r="H834" s="1"/>
      <c r="I834" s="1"/>
      <c r="J834" s="1"/>
      <c r="K834" s="2"/>
      <c r="L834" s="1"/>
      <c r="M834" s="3"/>
      <c r="N834" s="3"/>
      <c r="O834" s="4"/>
      <c r="P834" s="4"/>
      <c r="Q834" s="4"/>
      <c r="R834" s="4"/>
      <c r="S834" s="4"/>
      <c r="T834" s="4"/>
      <c r="U834" s="4"/>
      <c r="V834" s="4"/>
      <c r="W834" s="4"/>
      <c r="X834" s="3"/>
      <c r="Y834" s="2"/>
      <c r="Z834" s="2"/>
      <c r="AA834" s="1"/>
      <c r="AB834" s="1"/>
      <c r="AC834" s="1"/>
      <c r="AD834" s="1"/>
      <c r="AE834" s="1"/>
      <c r="AF834" s="1"/>
      <c r="AG834" s="1"/>
      <c r="AH834" s="1"/>
    </row>
    <row r="835" ht="13.5" customHeight="1">
      <c r="A835" s="1"/>
      <c r="B835" s="1"/>
      <c r="C835" s="3"/>
      <c r="D835" s="1"/>
      <c r="E835" s="1"/>
      <c r="F835" s="1"/>
      <c r="G835" s="1"/>
      <c r="H835" s="1"/>
      <c r="I835" s="1"/>
      <c r="J835" s="1"/>
      <c r="K835" s="2"/>
      <c r="L835" s="1"/>
      <c r="M835" s="3"/>
      <c r="N835" s="3"/>
      <c r="O835" s="4"/>
      <c r="P835" s="4"/>
      <c r="Q835" s="4"/>
      <c r="R835" s="4"/>
      <c r="S835" s="4"/>
      <c r="T835" s="4"/>
      <c r="U835" s="4"/>
      <c r="V835" s="4"/>
      <c r="W835" s="4"/>
      <c r="X835" s="3"/>
      <c r="Y835" s="2"/>
      <c r="Z835" s="2"/>
      <c r="AA835" s="1"/>
      <c r="AB835" s="1"/>
      <c r="AC835" s="1"/>
      <c r="AD835" s="1"/>
      <c r="AE835" s="1"/>
      <c r="AF835" s="1"/>
      <c r="AG835" s="1"/>
      <c r="AH835" s="1"/>
    </row>
    <row r="836" ht="13.5" customHeight="1">
      <c r="A836" s="1"/>
      <c r="B836" s="1"/>
      <c r="C836" s="3"/>
      <c r="D836" s="1"/>
      <c r="E836" s="1"/>
      <c r="F836" s="1"/>
      <c r="G836" s="1"/>
      <c r="H836" s="1"/>
      <c r="I836" s="1"/>
      <c r="J836" s="1"/>
      <c r="K836" s="2"/>
      <c r="L836" s="1"/>
      <c r="M836" s="3"/>
      <c r="N836" s="3"/>
      <c r="O836" s="4"/>
      <c r="P836" s="4"/>
      <c r="Q836" s="4"/>
      <c r="R836" s="4"/>
      <c r="S836" s="4"/>
      <c r="T836" s="4"/>
      <c r="U836" s="4"/>
      <c r="V836" s="4"/>
      <c r="W836" s="4"/>
      <c r="X836" s="3"/>
      <c r="Y836" s="2"/>
      <c r="Z836" s="2"/>
      <c r="AA836" s="1"/>
      <c r="AB836" s="1"/>
      <c r="AC836" s="1"/>
      <c r="AD836" s="1"/>
      <c r="AE836" s="1"/>
      <c r="AF836" s="1"/>
      <c r="AG836" s="1"/>
      <c r="AH836" s="1"/>
    </row>
    <row r="837" ht="13.5" customHeight="1">
      <c r="A837" s="1"/>
      <c r="B837" s="1"/>
      <c r="C837" s="3"/>
      <c r="D837" s="1"/>
      <c r="E837" s="1"/>
      <c r="F837" s="1"/>
      <c r="G837" s="1"/>
      <c r="H837" s="1"/>
      <c r="I837" s="1"/>
      <c r="J837" s="1"/>
      <c r="K837" s="2"/>
      <c r="L837" s="1"/>
      <c r="M837" s="3"/>
      <c r="N837" s="3"/>
      <c r="O837" s="4"/>
      <c r="P837" s="4"/>
      <c r="Q837" s="4"/>
      <c r="R837" s="4"/>
      <c r="S837" s="4"/>
      <c r="T837" s="4"/>
      <c r="U837" s="4"/>
      <c r="V837" s="4"/>
      <c r="W837" s="4"/>
      <c r="X837" s="3"/>
      <c r="Y837" s="2"/>
      <c r="Z837" s="2"/>
      <c r="AA837" s="1"/>
      <c r="AB837" s="1"/>
      <c r="AC837" s="1"/>
      <c r="AD837" s="1"/>
      <c r="AE837" s="1"/>
      <c r="AF837" s="1"/>
      <c r="AG837" s="1"/>
      <c r="AH837" s="1"/>
    </row>
    <row r="838" ht="13.5" customHeight="1">
      <c r="A838" s="1"/>
      <c r="B838" s="1"/>
      <c r="C838" s="3"/>
      <c r="D838" s="1"/>
      <c r="E838" s="1"/>
      <c r="F838" s="1"/>
      <c r="G838" s="1"/>
      <c r="H838" s="1"/>
      <c r="I838" s="1"/>
      <c r="J838" s="1"/>
      <c r="K838" s="2"/>
      <c r="L838" s="1"/>
      <c r="M838" s="3"/>
      <c r="N838" s="3"/>
      <c r="O838" s="4"/>
      <c r="P838" s="4"/>
      <c r="Q838" s="4"/>
      <c r="R838" s="4"/>
      <c r="S838" s="4"/>
      <c r="T838" s="4"/>
      <c r="U838" s="4"/>
      <c r="V838" s="4"/>
      <c r="W838" s="4"/>
      <c r="X838" s="3"/>
      <c r="Y838" s="2"/>
      <c r="Z838" s="2"/>
      <c r="AA838" s="1"/>
      <c r="AB838" s="1"/>
      <c r="AC838" s="1"/>
      <c r="AD838" s="1"/>
      <c r="AE838" s="1"/>
      <c r="AF838" s="1"/>
      <c r="AG838" s="1"/>
      <c r="AH838" s="1"/>
    </row>
    <row r="839" ht="13.5" customHeight="1">
      <c r="A839" s="1"/>
      <c r="B839" s="1"/>
      <c r="C839" s="3"/>
      <c r="D839" s="1"/>
      <c r="E839" s="1"/>
      <c r="F839" s="1"/>
      <c r="G839" s="1"/>
      <c r="H839" s="1"/>
      <c r="I839" s="1"/>
      <c r="J839" s="1"/>
      <c r="K839" s="2"/>
      <c r="L839" s="1"/>
      <c r="M839" s="3"/>
      <c r="N839" s="3"/>
      <c r="O839" s="4"/>
      <c r="P839" s="4"/>
      <c r="Q839" s="4"/>
      <c r="R839" s="4"/>
      <c r="S839" s="4"/>
      <c r="T839" s="4"/>
      <c r="U839" s="4"/>
      <c r="V839" s="4"/>
      <c r="W839" s="4"/>
      <c r="X839" s="3"/>
      <c r="Y839" s="2"/>
      <c r="Z839" s="2"/>
      <c r="AA839" s="1"/>
      <c r="AB839" s="1"/>
      <c r="AC839" s="1"/>
      <c r="AD839" s="1"/>
      <c r="AE839" s="1"/>
      <c r="AF839" s="1"/>
      <c r="AG839" s="1"/>
      <c r="AH839" s="1"/>
    </row>
    <row r="840" ht="13.5" customHeight="1">
      <c r="A840" s="1"/>
      <c r="B840" s="1"/>
      <c r="C840" s="3"/>
      <c r="D840" s="1"/>
      <c r="E840" s="1"/>
      <c r="F840" s="1"/>
      <c r="G840" s="1"/>
      <c r="H840" s="1"/>
      <c r="I840" s="1"/>
      <c r="J840" s="1"/>
      <c r="K840" s="2"/>
      <c r="L840" s="1"/>
      <c r="M840" s="3"/>
      <c r="N840" s="3"/>
      <c r="O840" s="4"/>
      <c r="P840" s="4"/>
      <c r="Q840" s="4"/>
      <c r="R840" s="4"/>
      <c r="S840" s="4"/>
      <c r="T840" s="4"/>
      <c r="U840" s="4"/>
      <c r="V840" s="4"/>
      <c r="W840" s="4"/>
      <c r="X840" s="3"/>
      <c r="Y840" s="2"/>
      <c r="Z840" s="2"/>
      <c r="AA840" s="1"/>
      <c r="AB840" s="1"/>
      <c r="AC840" s="1"/>
      <c r="AD840" s="1"/>
      <c r="AE840" s="1"/>
      <c r="AF840" s="1"/>
      <c r="AG840" s="1"/>
      <c r="AH840" s="1"/>
    </row>
    <row r="841" ht="13.5" customHeight="1">
      <c r="A841" s="1"/>
      <c r="B841" s="1"/>
      <c r="C841" s="3"/>
      <c r="D841" s="1"/>
      <c r="E841" s="1"/>
      <c r="F841" s="1"/>
      <c r="G841" s="1"/>
      <c r="H841" s="1"/>
      <c r="I841" s="1"/>
      <c r="J841" s="1"/>
      <c r="K841" s="2"/>
      <c r="L841" s="1"/>
      <c r="M841" s="3"/>
      <c r="N841" s="3"/>
      <c r="O841" s="4"/>
      <c r="P841" s="4"/>
      <c r="Q841" s="4"/>
      <c r="R841" s="4"/>
      <c r="S841" s="4"/>
      <c r="T841" s="4"/>
      <c r="U841" s="4"/>
      <c r="V841" s="4"/>
      <c r="W841" s="4"/>
      <c r="X841" s="3"/>
      <c r="Y841" s="2"/>
      <c r="Z841" s="2"/>
      <c r="AA841" s="1"/>
      <c r="AB841" s="1"/>
      <c r="AC841" s="1"/>
      <c r="AD841" s="1"/>
      <c r="AE841" s="1"/>
      <c r="AF841" s="1"/>
      <c r="AG841" s="1"/>
      <c r="AH841" s="1"/>
    </row>
    <row r="842" ht="13.5" customHeight="1">
      <c r="A842" s="1"/>
      <c r="B842" s="1"/>
      <c r="C842" s="3"/>
      <c r="D842" s="1"/>
      <c r="E842" s="1"/>
      <c r="F842" s="1"/>
      <c r="G842" s="1"/>
      <c r="H842" s="1"/>
      <c r="I842" s="1"/>
      <c r="J842" s="1"/>
      <c r="K842" s="2"/>
      <c r="L842" s="1"/>
      <c r="M842" s="3"/>
      <c r="N842" s="3"/>
      <c r="O842" s="4"/>
      <c r="P842" s="4"/>
      <c r="Q842" s="4"/>
      <c r="R842" s="4"/>
      <c r="S842" s="4"/>
      <c r="T842" s="4"/>
      <c r="U842" s="4"/>
      <c r="V842" s="4"/>
      <c r="W842" s="4"/>
      <c r="X842" s="3"/>
      <c r="Y842" s="2"/>
      <c r="Z842" s="2"/>
      <c r="AA842" s="1"/>
      <c r="AB842" s="1"/>
      <c r="AC842" s="1"/>
      <c r="AD842" s="1"/>
      <c r="AE842" s="1"/>
      <c r="AF842" s="1"/>
      <c r="AG842" s="1"/>
      <c r="AH842" s="1"/>
    </row>
    <row r="843" ht="13.5" customHeight="1">
      <c r="A843" s="1"/>
      <c r="B843" s="1"/>
      <c r="C843" s="3"/>
      <c r="D843" s="1"/>
      <c r="E843" s="1"/>
      <c r="F843" s="1"/>
      <c r="G843" s="1"/>
      <c r="H843" s="1"/>
      <c r="I843" s="1"/>
      <c r="J843" s="1"/>
      <c r="K843" s="2"/>
      <c r="L843" s="1"/>
      <c r="M843" s="3"/>
      <c r="N843" s="3"/>
      <c r="O843" s="4"/>
      <c r="P843" s="4"/>
      <c r="Q843" s="4"/>
      <c r="R843" s="4"/>
      <c r="S843" s="4"/>
      <c r="T843" s="4"/>
      <c r="U843" s="4"/>
      <c r="V843" s="4"/>
      <c r="W843" s="4"/>
      <c r="X843" s="3"/>
      <c r="Y843" s="2"/>
      <c r="Z843" s="2"/>
      <c r="AA843" s="1"/>
      <c r="AB843" s="1"/>
      <c r="AC843" s="1"/>
      <c r="AD843" s="1"/>
      <c r="AE843" s="1"/>
      <c r="AF843" s="1"/>
      <c r="AG843" s="1"/>
      <c r="AH843" s="1"/>
    </row>
    <row r="844" ht="13.5" customHeight="1">
      <c r="A844" s="1"/>
      <c r="B844" s="1"/>
      <c r="C844" s="3"/>
      <c r="D844" s="1"/>
      <c r="E844" s="1"/>
      <c r="F844" s="1"/>
      <c r="G844" s="1"/>
      <c r="H844" s="1"/>
      <c r="I844" s="1"/>
      <c r="J844" s="1"/>
      <c r="K844" s="2"/>
      <c r="L844" s="1"/>
      <c r="M844" s="3"/>
      <c r="N844" s="3"/>
      <c r="O844" s="4"/>
      <c r="P844" s="4"/>
      <c r="Q844" s="4"/>
      <c r="R844" s="4"/>
      <c r="S844" s="4"/>
      <c r="T844" s="4"/>
      <c r="U844" s="4"/>
      <c r="V844" s="4"/>
      <c r="W844" s="4"/>
      <c r="X844" s="3"/>
      <c r="Y844" s="2"/>
      <c r="Z844" s="2"/>
      <c r="AA844" s="1"/>
      <c r="AB844" s="1"/>
      <c r="AC844" s="1"/>
      <c r="AD844" s="1"/>
      <c r="AE844" s="1"/>
      <c r="AF844" s="1"/>
      <c r="AG844" s="1"/>
      <c r="AH844" s="1"/>
    </row>
    <row r="845" ht="13.5" customHeight="1">
      <c r="A845" s="1"/>
      <c r="B845" s="1"/>
      <c r="C845" s="3"/>
      <c r="D845" s="1"/>
      <c r="E845" s="1"/>
      <c r="F845" s="1"/>
      <c r="G845" s="1"/>
      <c r="H845" s="1"/>
      <c r="I845" s="1"/>
      <c r="J845" s="1"/>
      <c r="K845" s="2"/>
      <c r="L845" s="1"/>
      <c r="M845" s="3"/>
      <c r="N845" s="3"/>
      <c r="O845" s="4"/>
      <c r="P845" s="4"/>
      <c r="Q845" s="4"/>
      <c r="R845" s="4"/>
      <c r="S845" s="4"/>
      <c r="T845" s="4"/>
      <c r="U845" s="4"/>
      <c r="V845" s="4"/>
      <c r="W845" s="4"/>
      <c r="X845" s="3"/>
      <c r="Y845" s="2"/>
      <c r="Z845" s="2"/>
      <c r="AA845" s="1"/>
      <c r="AB845" s="1"/>
      <c r="AC845" s="1"/>
      <c r="AD845" s="1"/>
      <c r="AE845" s="1"/>
      <c r="AF845" s="1"/>
      <c r="AG845" s="1"/>
      <c r="AH845" s="1"/>
    </row>
    <row r="846" ht="13.5" customHeight="1">
      <c r="A846" s="1"/>
      <c r="B846" s="1"/>
      <c r="C846" s="3"/>
      <c r="D846" s="1"/>
      <c r="E846" s="1"/>
      <c r="F846" s="1"/>
      <c r="G846" s="1"/>
      <c r="H846" s="1"/>
      <c r="I846" s="1"/>
      <c r="J846" s="1"/>
      <c r="K846" s="2"/>
      <c r="L846" s="1"/>
      <c r="M846" s="3"/>
      <c r="N846" s="3"/>
      <c r="O846" s="4"/>
      <c r="P846" s="4"/>
      <c r="Q846" s="4"/>
      <c r="R846" s="4"/>
      <c r="S846" s="4"/>
      <c r="T846" s="4"/>
      <c r="U846" s="4"/>
      <c r="V846" s="4"/>
      <c r="W846" s="4"/>
      <c r="X846" s="3"/>
      <c r="Y846" s="2"/>
      <c r="Z846" s="2"/>
      <c r="AA846" s="1"/>
      <c r="AB846" s="1"/>
      <c r="AC846" s="1"/>
      <c r="AD846" s="1"/>
      <c r="AE846" s="1"/>
      <c r="AF846" s="1"/>
      <c r="AG846" s="1"/>
      <c r="AH846" s="1"/>
    </row>
    <row r="847" ht="13.5" customHeight="1">
      <c r="A847" s="1"/>
      <c r="B847" s="1"/>
      <c r="C847" s="3"/>
      <c r="D847" s="1"/>
      <c r="E847" s="1"/>
      <c r="F847" s="1"/>
      <c r="G847" s="1"/>
      <c r="H847" s="1"/>
      <c r="I847" s="1"/>
      <c r="J847" s="1"/>
      <c r="K847" s="2"/>
      <c r="L847" s="1"/>
      <c r="M847" s="3"/>
      <c r="N847" s="3"/>
      <c r="O847" s="4"/>
      <c r="P847" s="4"/>
      <c r="Q847" s="4"/>
      <c r="R847" s="4"/>
      <c r="S847" s="4"/>
      <c r="T847" s="4"/>
      <c r="U847" s="4"/>
      <c r="V847" s="4"/>
      <c r="W847" s="4"/>
      <c r="X847" s="3"/>
      <c r="Y847" s="2"/>
      <c r="Z847" s="2"/>
      <c r="AA847" s="1"/>
      <c r="AB847" s="1"/>
      <c r="AC847" s="1"/>
      <c r="AD847" s="1"/>
      <c r="AE847" s="1"/>
      <c r="AF847" s="1"/>
      <c r="AG847" s="1"/>
      <c r="AH847" s="1"/>
    </row>
    <row r="848" ht="13.5" customHeight="1">
      <c r="A848" s="1"/>
      <c r="B848" s="1"/>
      <c r="C848" s="3"/>
      <c r="D848" s="1"/>
      <c r="E848" s="1"/>
      <c r="F848" s="1"/>
      <c r="G848" s="1"/>
      <c r="H848" s="1"/>
      <c r="I848" s="1"/>
      <c r="J848" s="1"/>
      <c r="K848" s="2"/>
      <c r="L848" s="1"/>
      <c r="M848" s="3"/>
      <c r="N848" s="3"/>
      <c r="O848" s="4"/>
      <c r="P848" s="4"/>
      <c r="Q848" s="4"/>
      <c r="R848" s="4"/>
      <c r="S848" s="4"/>
      <c r="T848" s="4"/>
      <c r="U848" s="4"/>
      <c r="V848" s="4"/>
      <c r="W848" s="4"/>
      <c r="X848" s="3"/>
      <c r="Y848" s="2"/>
      <c r="Z848" s="2"/>
      <c r="AA848" s="1"/>
      <c r="AB848" s="1"/>
      <c r="AC848" s="1"/>
      <c r="AD848" s="1"/>
      <c r="AE848" s="1"/>
      <c r="AF848" s="1"/>
      <c r="AG848" s="1"/>
      <c r="AH848" s="1"/>
    </row>
    <row r="849" ht="13.5" customHeight="1">
      <c r="A849" s="1"/>
      <c r="B849" s="1"/>
      <c r="C849" s="3"/>
      <c r="D849" s="1"/>
      <c r="E849" s="1"/>
      <c r="F849" s="1"/>
      <c r="G849" s="1"/>
      <c r="H849" s="1"/>
      <c r="I849" s="1"/>
      <c r="J849" s="1"/>
      <c r="K849" s="2"/>
      <c r="L849" s="1"/>
      <c r="M849" s="3"/>
      <c r="N849" s="3"/>
      <c r="O849" s="4"/>
      <c r="P849" s="4"/>
      <c r="Q849" s="4"/>
      <c r="R849" s="4"/>
      <c r="S849" s="4"/>
      <c r="T849" s="4"/>
      <c r="U849" s="4"/>
      <c r="V849" s="4"/>
      <c r="W849" s="4"/>
      <c r="X849" s="3"/>
      <c r="Y849" s="2"/>
      <c r="Z849" s="2"/>
      <c r="AA849" s="1"/>
      <c r="AB849" s="1"/>
      <c r="AC849" s="1"/>
      <c r="AD849" s="1"/>
      <c r="AE849" s="1"/>
      <c r="AF849" s="1"/>
      <c r="AG849" s="1"/>
      <c r="AH849" s="1"/>
    </row>
    <row r="850" ht="13.5" customHeight="1">
      <c r="A850" s="1"/>
      <c r="B850" s="1"/>
      <c r="C850" s="3"/>
      <c r="D850" s="1"/>
      <c r="E850" s="1"/>
      <c r="F850" s="1"/>
      <c r="G850" s="1"/>
      <c r="H850" s="1"/>
      <c r="I850" s="1"/>
      <c r="J850" s="1"/>
      <c r="K850" s="2"/>
      <c r="L850" s="1"/>
      <c r="M850" s="3"/>
      <c r="N850" s="3"/>
      <c r="O850" s="4"/>
      <c r="P850" s="4"/>
      <c r="Q850" s="4"/>
      <c r="R850" s="4"/>
      <c r="S850" s="4"/>
      <c r="T850" s="4"/>
      <c r="U850" s="4"/>
      <c r="V850" s="4"/>
      <c r="W850" s="4"/>
      <c r="X850" s="3"/>
      <c r="Y850" s="2"/>
      <c r="Z850" s="2"/>
      <c r="AA850" s="1"/>
      <c r="AB850" s="1"/>
      <c r="AC850" s="1"/>
      <c r="AD850" s="1"/>
      <c r="AE850" s="1"/>
      <c r="AF850" s="1"/>
      <c r="AG850" s="1"/>
      <c r="AH850" s="1"/>
    </row>
    <row r="851" ht="13.5" customHeight="1">
      <c r="A851" s="1"/>
      <c r="B851" s="1"/>
      <c r="C851" s="3"/>
      <c r="D851" s="1"/>
      <c r="E851" s="1"/>
      <c r="F851" s="1"/>
      <c r="G851" s="1"/>
      <c r="H851" s="1"/>
      <c r="I851" s="1"/>
      <c r="J851" s="1"/>
      <c r="K851" s="2"/>
      <c r="L851" s="1"/>
      <c r="M851" s="3"/>
      <c r="N851" s="3"/>
      <c r="O851" s="4"/>
      <c r="P851" s="4"/>
      <c r="Q851" s="4"/>
      <c r="R851" s="4"/>
      <c r="S851" s="4"/>
      <c r="T851" s="4"/>
      <c r="U851" s="4"/>
      <c r="V851" s="4"/>
      <c r="W851" s="4"/>
      <c r="X851" s="3"/>
      <c r="Y851" s="2"/>
      <c r="Z851" s="2"/>
      <c r="AA851" s="1"/>
      <c r="AB851" s="1"/>
      <c r="AC851" s="1"/>
      <c r="AD851" s="1"/>
      <c r="AE851" s="1"/>
      <c r="AF851" s="1"/>
      <c r="AG851" s="1"/>
      <c r="AH851" s="1"/>
    </row>
    <row r="852" ht="13.5" customHeight="1">
      <c r="A852" s="1"/>
      <c r="B852" s="1"/>
      <c r="C852" s="3"/>
      <c r="D852" s="1"/>
      <c r="E852" s="1"/>
      <c r="F852" s="1"/>
      <c r="G852" s="1"/>
      <c r="H852" s="1"/>
      <c r="I852" s="1"/>
      <c r="J852" s="1"/>
      <c r="K852" s="2"/>
      <c r="L852" s="1"/>
      <c r="M852" s="3"/>
      <c r="N852" s="3"/>
      <c r="O852" s="4"/>
      <c r="P852" s="4"/>
      <c r="Q852" s="4"/>
      <c r="R852" s="4"/>
      <c r="S852" s="4"/>
      <c r="T852" s="4"/>
      <c r="U852" s="4"/>
      <c r="V852" s="4"/>
      <c r="W852" s="4"/>
      <c r="X852" s="3"/>
      <c r="Y852" s="2"/>
      <c r="Z852" s="2"/>
      <c r="AA852" s="1"/>
      <c r="AB852" s="1"/>
      <c r="AC852" s="1"/>
      <c r="AD852" s="1"/>
      <c r="AE852" s="1"/>
      <c r="AF852" s="1"/>
      <c r="AG852" s="1"/>
      <c r="AH852" s="1"/>
    </row>
    <row r="853" ht="13.5" customHeight="1">
      <c r="A853" s="1"/>
      <c r="B853" s="1"/>
      <c r="C853" s="3"/>
      <c r="D853" s="1"/>
      <c r="E853" s="1"/>
      <c r="F853" s="1"/>
      <c r="G853" s="1"/>
      <c r="H853" s="1"/>
      <c r="I853" s="1"/>
      <c r="J853" s="1"/>
      <c r="K853" s="2"/>
      <c r="L853" s="1"/>
      <c r="M853" s="3"/>
      <c r="N853" s="3"/>
      <c r="O853" s="4"/>
      <c r="P853" s="4"/>
      <c r="Q853" s="4"/>
      <c r="R853" s="4"/>
      <c r="S853" s="4"/>
      <c r="T853" s="4"/>
      <c r="U853" s="4"/>
      <c r="V853" s="4"/>
      <c r="W853" s="4"/>
      <c r="X853" s="3"/>
      <c r="Y853" s="2"/>
      <c r="Z853" s="2"/>
      <c r="AA853" s="1"/>
      <c r="AB853" s="1"/>
      <c r="AC853" s="1"/>
      <c r="AD853" s="1"/>
      <c r="AE853" s="1"/>
      <c r="AF853" s="1"/>
      <c r="AG853" s="1"/>
      <c r="AH853" s="1"/>
    </row>
    <row r="854" ht="13.5" customHeight="1">
      <c r="A854" s="1"/>
      <c r="B854" s="1"/>
      <c r="C854" s="3"/>
      <c r="D854" s="1"/>
      <c r="E854" s="1"/>
      <c r="F854" s="1"/>
      <c r="G854" s="1"/>
      <c r="H854" s="1"/>
      <c r="I854" s="1"/>
      <c r="J854" s="1"/>
      <c r="K854" s="2"/>
      <c r="L854" s="1"/>
      <c r="M854" s="3"/>
      <c r="N854" s="3"/>
      <c r="O854" s="4"/>
      <c r="P854" s="4"/>
      <c r="Q854" s="4"/>
      <c r="R854" s="4"/>
      <c r="S854" s="4"/>
      <c r="T854" s="4"/>
      <c r="U854" s="4"/>
      <c r="V854" s="4"/>
      <c r="W854" s="4"/>
      <c r="X854" s="3"/>
      <c r="Y854" s="2"/>
      <c r="Z854" s="2"/>
      <c r="AA854" s="1"/>
      <c r="AB854" s="1"/>
      <c r="AC854" s="1"/>
      <c r="AD854" s="1"/>
      <c r="AE854" s="1"/>
      <c r="AF854" s="1"/>
      <c r="AG854" s="1"/>
      <c r="AH854" s="1"/>
    </row>
    <row r="855" ht="13.5" customHeight="1">
      <c r="A855" s="1"/>
      <c r="B855" s="1"/>
      <c r="C855" s="3"/>
      <c r="D855" s="1"/>
      <c r="E855" s="1"/>
      <c r="F855" s="1"/>
      <c r="G855" s="1"/>
      <c r="H855" s="1"/>
      <c r="I855" s="1"/>
      <c r="J855" s="1"/>
      <c r="K855" s="2"/>
      <c r="L855" s="1"/>
      <c r="M855" s="3"/>
      <c r="N855" s="3"/>
      <c r="O855" s="4"/>
      <c r="P855" s="4"/>
      <c r="Q855" s="4"/>
      <c r="R855" s="4"/>
      <c r="S855" s="4"/>
      <c r="T855" s="4"/>
      <c r="U855" s="4"/>
      <c r="V855" s="4"/>
      <c r="W855" s="4"/>
      <c r="X855" s="3"/>
      <c r="Y855" s="2"/>
      <c r="Z855" s="2"/>
      <c r="AA855" s="1"/>
      <c r="AB855" s="1"/>
      <c r="AC855" s="1"/>
      <c r="AD855" s="1"/>
      <c r="AE855" s="1"/>
      <c r="AF855" s="1"/>
      <c r="AG855" s="1"/>
      <c r="AH855" s="1"/>
    </row>
    <row r="856" ht="13.5" customHeight="1">
      <c r="A856" s="1"/>
      <c r="B856" s="1"/>
      <c r="C856" s="3"/>
      <c r="D856" s="1"/>
      <c r="E856" s="1"/>
      <c r="F856" s="1"/>
      <c r="G856" s="1"/>
      <c r="H856" s="1"/>
      <c r="I856" s="1"/>
      <c r="J856" s="1"/>
      <c r="K856" s="2"/>
      <c r="L856" s="1"/>
      <c r="M856" s="3"/>
      <c r="N856" s="3"/>
      <c r="O856" s="4"/>
      <c r="P856" s="4"/>
      <c r="Q856" s="4"/>
      <c r="R856" s="4"/>
      <c r="S856" s="4"/>
      <c r="T856" s="4"/>
      <c r="U856" s="4"/>
      <c r="V856" s="4"/>
      <c r="W856" s="4"/>
      <c r="X856" s="3"/>
      <c r="Y856" s="2"/>
      <c r="Z856" s="2"/>
      <c r="AA856" s="1"/>
      <c r="AB856" s="1"/>
      <c r="AC856" s="1"/>
      <c r="AD856" s="1"/>
      <c r="AE856" s="1"/>
      <c r="AF856" s="1"/>
      <c r="AG856" s="1"/>
      <c r="AH856" s="1"/>
    </row>
    <row r="857" ht="13.5" customHeight="1">
      <c r="A857" s="1"/>
      <c r="B857" s="1"/>
      <c r="C857" s="3"/>
      <c r="D857" s="1"/>
      <c r="E857" s="1"/>
      <c r="F857" s="1"/>
      <c r="G857" s="1"/>
      <c r="H857" s="1"/>
      <c r="I857" s="1"/>
      <c r="J857" s="1"/>
      <c r="K857" s="2"/>
      <c r="L857" s="1"/>
      <c r="M857" s="3"/>
      <c r="N857" s="3"/>
      <c r="O857" s="4"/>
      <c r="P857" s="4"/>
      <c r="Q857" s="4"/>
      <c r="R857" s="4"/>
      <c r="S857" s="4"/>
      <c r="T857" s="4"/>
      <c r="U857" s="4"/>
      <c r="V857" s="4"/>
      <c r="W857" s="4"/>
      <c r="X857" s="3"/>
      <c r="Y857" s="2"/>
      <c r="Z857" s="2"/>
      <c r="AA857" s="1"/>
      <c r="AB857" s="1"/>
      <c r="AC857" s="1"/>
      <c r="AD857" s="1"/>
      <c r="AE857" s="1"/>
      <c r="AF857" s="1"/>
      <c r="AG857" s="1"/>
      <c r="AH857" s="1"/>
    </row>
    <row r="858" ht="13.5" customHeight="1">
      <c r="A858" s="1"/>
      <c r="B858" s="1"/>
      <c r="C858" s="3"/>
      <c r="D858" s="1"/>
      <c r="E858" s="1"/>
      <c r="F858" s="1"/>
      <c r="G858" s="1"/>
      <c r="H858" s="1"/>
      <c r="I858" s="1"/>
      <c r="J858" s="1"/>
      <c r="K858" s="2"/>
      <c r="L858" s="1"/>
      <c r="M858" s="3"/>
      <c r="N858" s="3"/>
      <c r="O858" s="4"/>
      <c r="P858" s="4"/>
      <c r="Q858" s="4"/>
      <c r="R858" s="4"/>
      <c r="S858" s="4"/>
      <c r="T858" s="4"/>
      <c r="U858" s="4"/>
      <c r="V858" s="4"/>
      <c r="W858" s="4"/>
      <c r="X858" s="3"/>
      <c r="Y858" s="2"/>
      <c r="Z858" s="2"/>
      <c r="AA858" s="1"/>
      <c r="AB858" s="1"/>
      <c r="AC858" s="1"/>
      <c r="AD858" s="1"/>
      <c r="AE858" s="1"/>
      <c r="AF858" s="1"/>
      <c r="AG858" s="1"/>
      <c r="AH858" s="1"/>
    </row>
    <row r="859" ht="13.5" customHeight="1">
      <c r="A859" s="1"/>
      <c r="B859" s="1"/>
      <c r="C859" s="3"/>
      <c r="D859" s="1"/>
      <c r="E859" s="1"/>
      <c r="F859" s="1"/>
      <c r="G859" s="1"/>
      <c r="H859" s="1"/>
      <c r="I859" s="1"/>
      <c r="J859" s="1"/>
      <c r="K859" s="2"/>
      <c r="L859" s="1"/>
      <c r="M859" s="3"/>
      <c r="N859" s="3"/>
      <c r="O859" s="4"/>
      <c r="P859" s="4"/>
      <c r="Q859" s="4"/>
      <c r="R859" s="4"/>
      <c r="S859" s="4"/>
      <c r="T859" s="4"/>
      <c r="U859" s="4"/>
      <c r="V859" s="4"/>
      <c r="W859" s="4"/>
      <c r="X859" s="3"/>
      <c r="Y859" s="2"/>
      <c r="Z859" s="2"/>
      <c r="AA859" s="1"/>
      <c r="AB859" s="1"/>
      <c r="AC859" s="1"/>
      <c r="AD859" s="1"/>
      <c r="AE859" s="1"/>
      <c r="AF859" s="1"/>
      <c r="AG859" s="1"/>
      <c r="AH859" s="1"/>
    </row>
    <row r="860" ht="13.5" customHeight="1">
      <c r="A860" s="1"/>
      <c r="B860" s="1"/>
      <c r="C860" s="3"/>
      <c r="D860" s="1"/>
      <c r="E860" s="1"/>
      <c r="F860" s="1"/>
      <c r="G860" s="1"/>
      <c r="H860" s="1"/>
      <c r="I860" s="1"/>
      <c r="J860" s="1"/>
      <c r="K860" s="2"/>
      <c r="L860" s="1"/>
      <c r="M860" s="3"/>
      <c r="N860" s="3"/>
      <c r="O860" s="4"/>
      <c r="P860" s="4"/>
      <c r="Q860" s="4"/>
      <c r="R860" s="4"/>
      <c r="S860" s="4"/>
      <c r="T860" s="4"/>
      <c r="U860" s="4"/>
      <c r="V860" s="4"/>
      <c r="W860" s="4"/>
      <c r="X860" s="3"/>
      <c r="Y860" s="2"/>
      <c r="Z860" s="2"/>
      <c r="AA860" s="1"/>
      <c r="AB860" s="1"/>
      <c r="AC860" s="1"/>
      <c r="AD860" s="1"/>
      <c r="AE860" s="1"/>
      <c r="AF860" s="1"/>
      <c r="AG860" s="1"/>
      <c r="AH860" s="1"/>
    </row>
    <row r="861" ht="13.5" customHeight="1">
      <c r="A861" s="1"/>
      <c r="B861" s="1"/>
      <c r="C861" s="3"/>
      <c r="D861" s="1"/>
      <c r="E861" s="1"/>
      <c r="F861" s="1"/>
      <c r="G861" s="1"/>
      <c r="H861" s="1"/>
      <c r="I861" s="1"/>
      <c r="J861" s="1"/>
      <c r="K861" s="2"/>
      <c r="L861" s="1"/>
      <c r="M861" s="3"/>
      <c r="N861" s="3"/>
      <c r="O861" s="4"/>
      <c r="P861" s="4"/>
      <c r="Q861" s="4"/>
      <c r="R861" s="4"/>
      <c r="S861" s="4"/>
      <c r="T861" s="4"/>
      <c r="U861" s="4"/>
      <c r="V861" s="4"/>
      <c r="W861" s="4"/>
      <c r="X861" s="3"/>
      <c r="Y861" s="2"/>
      <c r="Z861" s="2"/>
      <c r="AA861" s="1"/>
      <c r="AB861" s="1"/>
      <c r="AC861" s="1"/>
      <c r="AD861" s="1"/>
      <c r="AE861" s="1"/>
      <c r="AF861" s="1"/>
      <c r="AG861" s="1"/>
      <c r="AH861" s="1"/>
    </row>
    <row r="862" ht="13.5" customHeight="1">
      <c r="A862" s="1"/>
      <c r="B862" s="1"/>
      <c r="C862" s="3"/>
      <c r="D862" s="1"/>
      <c r="E862" s="1"/>
      <c r="F862" s="1"/>
      <c r="G862" s="1"/>
      <c r="H862" s="1"/>
      <c r="I862" s="1"/>
      <c r="J862" s="1"/>
      <c r="K862" s="2"/>
      <c r="L862" s="1"/>
      <c r="M862" s="3"/>
      <c r="N862" s="3"/>
      <c r="O862" s="4"/>
      <c r="P862" s="4"/>
      <c r="Q862" s="4"/>
      <c r="R862" s="4"/>
      <c r="S862" s="4"/>
      <c r="T862" s="4"/>
      <c r="U862" s="4"/>
      <c r="V862" s="4"/>
      <c r="W862" s="4"/>
      <c r="X862" s="3"/>
      <c r="Y862" s="2"/>
      <c r="Z862" s="2"/>
      <c r="AA862" s="1"/>
      <c r="AB862" s="1"/>
      <c r="AC862" s="1"/>
      <c r="AD862" s="1"/>
      <c r="AE862" s="1"/>
      <c r="AF862" s="1"/>
      <c r="AG862" s="1"/>
      <c r="AH862" s="1"/>
    </row>
    <row r="863" ht="13.5" customHeight="1">
      <c r="A863" s="1"/>
      <c r="B863" s="1"/>
      <c r="C863" s="3"/>
      <c r="D863" s="1"/>
      <c r="E863" s="1"/>
      <c r="F863" s="1"/>
      <c r="G863" s="1"/>
      <c r="H863" s="1"/>
      <c r="I863" s="1"/>
      <c r="J863" s="1"/>
      <c r="K863" s="2"/>
      <c r="L863" s="1"/>
      <c r="M863" s="3"/>
      <c r="N863" s="3"/>
      <c r="O863" s="4"/>
      <c r="P863" s="4"/>
      <c r="Q863" s="4"/>
      <c r="R863" s="4"/>
      <c r="S863" s="4"/>
      <c r="T863" s="4"/>
      <c r="U863" s="4"/>
      <c r="V863" s="4"/>
      <c r="W863" s="4"/>
      <c r="X863" s="3"/>
      <c r="Y863" s="2"/>
      <c r="Z863" s="2"/>
      <c r="AA863" s="1"/>
      <c r="AB863" s="1"/>
      <c r="AC863" s="1"/>
      <c r="AD863" s="1"/>
      <c r="AE863" s="1"/>
      <c r="AF863" s="1"/>
      <c r="AG863" s="1"/>
      <c r="AH863" s="1"/>
    </row>
    <row r="864" ht="13.5" customHeight="1">
      <c r="A864" s="1"/>
      <c r="B864" s="1"/>
      <c r="C864" s="3"/>
      <c r="D864" s="1"/>
      <c r="E864" s="1"/>
      <c r="F864" s="1"/>
      <c r="G864" s="1"/>
      <c r="H864" s="1"/>
      <c r="I864" s="1"/>
      <c r="J864" s="1"/>
      <c r="K864" s="2"/>
      <c r="L864" s="1"/>
      <c r="M864" s="3"/>
      <c r="N864" s="3"/>
      <c r="O864" s="4"/>
      <c r="P864" s="4"/>
      <c r="Q864" s="4"/>
      <c r="R864" s="4"/>
      <c r="S864" s="4"/>
      <c r="T864" s="4"/>
      <c r="U864" s="4"/>
      <c r="V864" s="4"/>
      <c r="W864" s="4"/>
      <c r="X864" s="3"/>
      <c r="Y864" s="2"/>
      <c r="Z864" s="2"/>
      <c r="AA864" s="1"/>
      <c r="AB864" s="1"/>
      <c r="AC864" s="1"/>
      <c r="AD864" s="1"/>
      <c r="AE864" s="1"/>
      <c r="AF864" s="1"/>
      <c r="AG864" s="1"/>
      <c r="AH864" s="1"/>
    </row>
    <row r="865" ht="13.5" customHeight="1">
      <c r="A865" s="1"/>
      <c r="B865" s="1"/>
      <c r="C865" s="3"/>
      <c r="D865" s="1"/>
      <c r="E865" s="1"/>
      <c r="F865" s="1"/>
      <c r="G865" s="1"/>
      <c r="H865" s="1"/>
      <c r="I865" s="1"/>
      <c r="J865" s="1"/>
      <c r="K865" s="2"/>
      <c r="L865" s="1"/>
      <c r="M865" s="3"/>
      <c r="N865" s="3"/>
      <c r="O865" s="4"/>
      <c r="P865" s="4"/>
      <c r="Q865" s="4"/>
      <c r="R865" s="4"/>
      <c r="S865" s="4"/>
      <c r="T865" s="4"/>
      <c r="U865" s="4"/>
      <c r="V865" s="4"/>
      <c r="W865" s="4"/>
      <c r="X865" s="3"/>
      <c r="Y865" s="2"/>
      <c r="Z865" s="2"/>
      <c r="AA865" s="1"/>
      <c r="AB865" s="1"/>
      <c r="AC865" s="1"/>
      <c r="AD865" s="1"/>
      <c r="AE865" s="1"/>
      <c r="AF865" s="1"/>
      <c r="AG865" s="1"/>
      <c r="AH865" s="1"/>
    </row>
    <row r="866" ht="13.5" customHeight="1">
      <c r="A866" s="1"/>
      <c r="B866" s="1"/>
      <c r="C866" s="3"/>
      <c r="D866" s="1"/>
      <c r="E866" s="1"/>
      <c r="F866" s="1"/>
      <c r="G866" s="1"/>
      <c r="H866" s="1"/>
      <c r="I866" s="1"/>
      <c r="J866" s="1"/>
      <c r="K866" s="2"/>
      <c r="L866" s="1"/>
      <c r="M866" s="3"/>
      <c r="N866" s="3"/>
      <c r="O866" s="4"/>
      <c r="P866" s="4"/>
      <c r="Q866" s="4"/>
      <c r="R866" s="4"/>
      <c r="S866" s="4"/>
      <c r="T866" s="4"/>
      <c r="U866" s="4"/>
      <c r="V866" s="4"/>
      <c r="W866" s="4"/>
      <c r="X866" s="3"/>
      <c r="Y866" s="2"/>
      <c r="Z866" s="2"/>
      <c r="AA866" s="1"/>
      <c r="AB866" s="1"/>
      <c r="AC866" s="1"/>
      <c r="AD866" s="1"/>
      <c r="AE866" s="1"/>
      <c r="AF866" s="1"/>
      <c r="AG866" s="1"/>
      <c r="AH866" s="1"/>
    </row>
    <row r="867" ht="13.5" customHeight="1">
      <c r="A867" s="1"/>
      <c r="B867" s="1"/>
      <c r="C867" s="3"/>
      <c r="D867" s="1"/>
      <c r="E867" s="1"/>
      <c r="F867" s="1"/>
      <c r="G867" s="1"/>
      <c r="H867" s="1"/>
      <c r="I867" s="1"/>
      <c r="J867" s="1"/>
      <c r="K867" s="2"/>
      <c r="L867" s="1"/>
      <c r="M867" s="3"/>
      <c r="N867" s="3"/>
      <c r="O867" s="4"/>
      <c r="P867" s="4"/>
      <c r="Q867" s="4"/>
      <c r="R867" s="4"/>
      <c r="S867" s="4"/>
      <c r="T867" s="4"/>
      <c r="U867" s="4"/>
      <c r="V867" s="4"/>
      <c r="W867" s="4"/>
      <c r="X867" s="3"/>
      <c r="Y867" s="2"/>
      <c r="Z867" s="2"/>
      <c r="AA867" s="1"/>
      <c r="AB867" s="1"/>
      <c r="AC867" s="1"/>
      <c r="AD867" s="1"/>
      <c r="AE867" s="1"/>
      <c r="AF867" s="1"/>
      <c r="AG867" s="1"/>
      <c r="AH867" s="1"/>
    </row>
    <row r="868" ht="13.5" customHeight="1">
      <c r="A868" s="1"/>
      <c r="B868" s="1"/>
      <c r="C868" s="3"/>
      <c r="D868" s="1"/>
      <c r="E868" s="1"/>
      <c r="F868" s="1"/>
      <c r="G868" s="1"/>
      <c r="H868" s="1"/>
      <c r="I868" s="1"/>
      <c r="J868" s="1"/>
      <c r="K868" s="2"/>
      <c r="L868" s="1"/>
      <c r="M868" s="3"/>
      <c r="N868" s="3"/>
      <c r="O868" s="4"/>
      <c r="P868" s="4"/>
      <c r="Q868" s="4"/>
      <c r="R868" s="4"/>
      <c r="S868" s="4"/>
      <c r="T868" s="4"/>
      <c r="U868" s="4"/>
      <c r="V868" s="4"/>
      <c r="W868" s="4"/>
      <c r="X868" s="3"/>
      <c r="Y868" s="2"/>
      <c r="Z868" s="2"/>
      <c r="AA868" s="1"/>
      <c r="AB868" s="1"/>
      <c r="AC868" s="1"/>
      <c r="AD868" s="1"/>
      <c r="AE868" s="1"/>
      <c r="AF868" s="1"/>
      <c r="AG868" s="1"/>
      <c r="AH868" s="1"/>
    </row>
    <row r="869" ht="13.5" customHeight="1">
      <c r="A869" s="1"/>
      <c r="B869" s="1"/>
      <c r="C869" s="3"/>
      <c r="D869" s="1"/>
      <c r="E869" s="1"/>
      <c r="F869" s="1"/>
      <c r="G869" s="1"/>
      <c r="H869" s="1"/>
      <c r="I869" s="1"/>
      <c r="J869" s="1"/>
      <c r="K869" s="2"/>
      <c r="L869" s="1"/>
      <c r="M869" s="3"/>
      <c r="N869" s="3"/>
      <c r="O869" s="4"/>
      <c r="P869" s="4"/>
      <c r="Q869" s="4"/>
      <c r="R869" s="4"/>
      <c r="S869" s="4"/>
      <c r="T869" s="4"/>
      <c r="U869" s="4"/>
      <c r="V869" s="4"/>
      <c r="W869" s="4"/>
      <c r="X869" s="3"/>
      <c r="Y869" s="2"/>
      <c r="Z869" s="2"/>
      <c r="AA869" s="1"/>
      <c r="AB869" s="1"/>
      <c r="AC869" s="1"/>
      <c r="AD869" s="1"/>
      <c r="AE869" s="1"/>
      <c r="AF869" s="1"/>
      <c r="AG869" s="1"/>
      <c r="AH869" s="1"/>
    </row>
    <row r="870" ht="13.5" customHeight="1">
      <c r="A870" s="1"/>
      <c r="B870" s="1"/>
      <c r="C870" s="3"/>
      <c r="D870" s="1"/>
      <c r="E870" s="1"/>
      <c r="F870" s="1"/>
      <c r="G870" s="1"/>
      <c r="H870" s="1"/>
      <c r="I870" s="1"/>
      <c r="J870" s="1"/>
      <c r="K870" s="2"/>
      <c r="L870" s="1"/>
      <c r="M870" s="3"/>
      <c r="N870" s="3"/>
      <c r="O870" s="4"/>
      <c r="P870" s="4"/>
      <c r="Q870" s="4"/>
      <c r="R870" s="4"/>
      <c r="S870" s="4"/>
      <c r="T870" s="4"/>
      <c r="U870" s="4"/>
      <c r="V870" s="4"/>
      <c r="W870" s="4"/>
      <c r="X870" s="3"/>
      <c r="Y870" s="2"/>
      <c r="Z870" s="2"/>
      <c r="AA870" s="1"/>
      <c r="AB870" s="1"/>
      <c r="AC870" s="1"/>
      <c r="AD870" s="1"/>
      <c r="AE870" s="1"/>
      <c r="AF870" s="1"/>
      <c r="AG870" s="1"/>
      <c r="AH870" s="1"/>
    </row>
    <row r="871" ht="13.5" customHeight="1">
      <c r="A871" s="1"/>
      <c r="B871" s="1"/>
      <c r="C871" s="3"/>
      <c r="D871" s="1"/>
      <c r="E871" s="1"/>
      <c r="F871" s="1"/>
      <c r="G871" s="1"/>
      <c r="H871" s="1"/>
      <c r="I871" s="1"/>
      <c r="J871" s="1"/>
      <c r="K871" s="2"/>
      <c r="L871" s="1"/>
      <c r="M871" s="3"/>
      <c r="N871" s="3"/>
      <c r="O871" s="4"/>
      <c r="P871" s="4"/>
      <c r="Q871" s="4"/>
      <c r="R871" s="4"/>
      <c r="S871" s="4"/>
      <c r="T871" s="4"/>
      <c r="U871" s="4"/>
      <c r="V871" s="4"/>
      <c r="W871" s="4"/>
      <c r="X871" s="3"/>
      <c r="Y871" s="2"/>
      <c r="Z871" s="2"/>
      <c r="AA871" s="1"/>
      <c r="AB871" s="1"/>
      <c r="AC871" s="1"/>
      <c r="AD871" s="1"/>
      <c r="AE871" s="1"/>
      <c r="AF871" s="1"/>
      <c r="AG871" s="1"/>
      <c r="AH871" s="1"/>
    </row>
    <row r="872" ht="13.5" customHeight="1">
      <c r="A872" s="1"/>
      <c r="B872" s="1"/>
      <c r="C872" s="3"/>
      <c r="D872" s="1"/>
      <c r="E872" s="1"/>
      <c r="F872" s="1"/>
      <c r="G872" s="1"/>
      <c r="H872" s="1"/>
      <c r="I872" s="1"/>
      <c r="J872" s="1"/>
      <c r="K872" s="2"/>
      <c r="L872" s="1"/>
      <c r="M872" s="3"/>
      <c r="N872" s="3"/>
      <c r="O872" s="4"/>
      <c r="P872" s="4"/>
      <c r="Q872" s="4"/>
      <c r="R872" s="4"/>
      <c r="S872" s="4"/>
      <c r="T872" s="4"/>
      <c r="U872" s="4"/>
      <c r="V872" s="4"/>
      <c r="W872" s="4"/>
      <c r="X872" s="3"/>
      <c r="Y872" s="2"/>
      <c r="Z872" s="2"/>
      <c r="AA872" s="1"/>
      <c r="AB872" s="1"/>
      <c r="AC872" s="1"/>
      <c r="AD872" s="1"/>
      <c r="AE872" s="1"/>
      <c r="AF872" s="1"/>
      <c r="AG872" s="1"/>
      <c r="AH872" s="1"/>
    </row>
    <row r="873" ht="13.5" customHeight="1">
      <c r="A873" s="1"/>
      <c r="B873" s="1"/>
      <c r="C873" s="3"/>
      <c r="D873" s="1"/>
      <c r="E873" s="1"/>
      <c r="F873" s="1"/>
      <c r="G873" s="1"/>
      <c r="H873" s="1"/>
      <c r="I873" s="1"/>
      <c r="J873" s="1"/>
      <c r="K873" s="2"/>
      <c r="L873" s="1"/>
      <c r="M873" s="3"/>
      <c r="N873" s="3"/>
      <c r="O873" s="4"/>
      <c r="P873" s="4"/>
      <c r="Q873" s="4"/>
      <c r="R873" s="4"/>
      <c r="S873" s="4"/>
      <c r="T873" s="4"/>
      <c r="U873" s="4"/>
      <c r="V873" s="4"/>
      <c r="W873" s="4"/>
      <c r="X873" s="3"/>
      <c r="Y873" s="2"/>
      <c r="Z873" s="2"/>
      <c r="AA873" s="1"/>
      <c r="AB873" s="1"/>
      <c r="AC873" s="1"/>
      <c r="AD873" s="1"/>
      <c r="AE873" s="1"/>
      <c r="AF873" s="1"/>
      <c r="AG873" s="1"/>
      <c r="AH873" s="1"/>
    </row>
    <row r="874" ht="13.5" customHeight="1">
      <c r="A874" s="1"/>
      <c r="B874" s="1"/>
      <c r="C874" s="3"/>
      <c r="D874" s="1"/>
      <c r="E874" s="1"/>
      <c r="F874" s="1"/>
      <c r="G874" s="1"/>
      <c r="H874" s="1"/>
      <c r="I874" s="1"/>
      <c r="J874" s="1"/>
      <c r="K874" s="2"/>
      <c r="L874" s="1"/>
      <c r="M874" s="3"/>
      <c r="N874" s="3"/>
      <c r="O874" s="4"/>
      <c r="P874" s="4"/>
      <c r="Q874" s="4"/>
      <c r="R874" s="4"/>
      <c r="S874" s="4"/>
      <c r="T874" s="4"/>
      <c r="U874" s="4"/>
      <c r="V874" s="4"/>
      <c r="W874" s="4"/>
      <c r="X874" s="3"/>
      <c r="Y874" s="2"/>
      <c r="Z874" s="2"/>
      <c r="AA874" s="1"/>
      <c r="AB874" s="1"/>
      <c r="AC874" s="1"/>
      <c r="AD874" s="1"/>
      <c r="AE874" s="1"/>
      <c r="AF874" s="1"/>
      <c r="AG874" s="1"/>
      <c r="AH874" s="1"/>
    </row>
    <row r="875" ht="13.5" customHeight="1">
      <c r="A875" s="1"/>
      <c r="B875" s="1"/>
      <c r="C875" s="3"/>
      <c r="D875" s="1"/>
      <c r="E875" s="1"/>
      <c r="F875" s="1"/>
      <c r="G875" s="1"/>
      <c r="H875" s="1"/>
      <c r="I875" s="1"/>
      <c r="J875" s="1"/>
      <c r="K875" s="2"/>
      <c r="L875" s="1"/>
      <c r="M875" s="3"/>
      <c r="N875" s="3"/>
      <c r="O875" s="4"/>
      <c r="P875" s="4"/>
      <c r="Q875" s="4"/>
      <c r="R875" s="4"/>
      <c r="S875" s="4"/>
      <c r="T875" s="4"/>
      <c r="U875" s="4"/>
      <c r="V875" s="4"/>
      <c r="W875" s="4"/>
      <c r="X875" s="3"/>
      <c r="Y875" s="2"/>
      <c r="Z875" s="2"/>
      <c r="AA875" s="1"/>
      <c r="AB875" s="1"/>
      <c r="AC875" s="1"/>
      <c r="AD875" s="1"/>
      <c r="AE875" s="1"/>
      <c r="AF875" s="1"/>
      <c r="AG875" s="1"/>
      <c r="AH875" s="1"/>
    </row>
    <row r="876" ht="13.5" customHeight="1">
      <c r="A876" s="1"/>
      <c r="B876" s="1"/>
      <c r="C876" s="3"/>
      <c r="D876" s="1"/>
      <c r="E876" s="1"/>
      <c r="F876" s="1"/>
      <c r="G876" s="1"/>
      <c r="H876" s="1"/>
      <c r="I876" s="1"/>
      <c r="J876" s="1"/>
      <c r="K876" s="2"/>
      <c r="L876" s="1"/>
      <c r="M876" s="3"/>
      <c r="N876" s="3"/>
      <c r="O876" s="4"/>
      <c r="P876" s="4"/>
      <c r="Q876" s="4"/>
      <c r="R876" s="4"/>
      <c r="S876" s="4"/>
      <c r="T876" s="4"/>
      <c r="U876" s="4"/>
      <c r="V876" s="4"/>
      <c r="W876" s="4"/>
      <c r="X876" s="3"/>
      <c r="Y876" s="2"/>
      <c r="Z876" s="2"/>
      <c r="AA876" s="1"/>
      <c r="AB876" s="1"/>
      <c r="AC876" s="1"/>
      <c r="AD876" s="1"/>
      <c r="AE876" s="1"/>
      <c r="AF876" s="1"/>
      <c r="AG876" s="1"/>
      <c r="AH876" s="1"/>
    </row>
    <row r="877" ht="13.5" customHeight="1">
      <c r="A877" s="1"/>
      <c r="B877" s="1"/>
      <c r="C877" s="3"/>
      <c r="D877" s="1"/>
      <c r="E877" s="1"/>
      <c r="F877" s="1"/>
      <c r="G877" s="1"/>
      <c r="H877" s="1"/>
      <c r="I877" s="1"/>
      <c r="J877" s="1"/>
      <c r="K877" s="2"/>
      <c r="L877" s="1"/>
      <c r="M877" s="3"/>
      <c r="N877" s="3"/>
      <c r="O877" s="4"/>
      <c r="P877" s="4"/>
      <c r="Q877" s="4"/>
      <c r="R877" s="4"/>
      <c r="S877" s="4"/>
      <c r="T877" s="4"/>
      <c r="U877" s="4"/>
      <c r="V877" s="4"/>
      <c r="W877" s="4"/>
      <c r="X877" s="3"/>
      <c r="Y877" s="2"/>
      <c r="Z877" s="2"/>
      <c r="AA877" s="1"/>
      <c r="AB877" s="1"/>
      <c r="AC877" s="1"/>
      <c r="AD877" s="1"/>
      <c r="AE877" s="1"/>
      <c r="AF877" s="1"/>
      <c r="AG877" s="1"/>
      <c r="AH877" s="1"/>
    </row>
    <row r="878" ht="13.5" customHeight="1">
      <c r="A878" s="1"/>
      <c r="B878" s="1"/>
      <c r="C878" s="3"/>
      <c r="D878" s="1"/>
      <c r="E878" s="1"/>
      <c r="F878" s="1"/>
      <c r="G878" s="1"/>
      <c r="H878" s="1"/>
      <c r="I878" s="1"/>
      <c r="J878" s="1"/>
      <c r="K878" s="2"/>
      <c r="L878" s="1"/>
      <c r="M878" s="3"/>
      <c r="N878" s="3"/>
      <c r="O878" s="4"/>
      <c r="P878" s="4"/>
      <c r="Q878" s="4"/>
      <c r="R878" s="4"/>
      <c r="S878" s="4"/>
      <c r="T878" s="4"/>
      <c r="U878" s="4"/>
      <c r="V878" s="4"/>
      <c r="W878" s="4"/>
      <c r="X878" s="3"/>
      <c r="Y878" s="2"/>
      <c r="Z878" s="2"/>
      <c r="AA878" s="1"/>
      <c r="AB878" s="1"/>
      <c r="AC878" s="1"/>
      <c r="AD878" s="1"/>
      <c r="AE878" s="1"/>
      <c r="AF878" s="1"/>
      <c r="AG878" s="1"/>
      <c r="AH878" s="1"/>
    </row>
    <row r="879" ht="13.5" customHeight="1">
      <c r="A879" s="1"/>
      <c r="B879" s="1"/>
      <c r="C879" s="3"/>
      <c r="D879" s="1"/>
      <c r="E879" s="1"/>
      <c r="F879" s="1"/>
      <c r="G879" s="1"/>
      <c r="H879" s="1"/>
      <c r="I879" s="1"/>
      <c r="J879" s="1"/>
      <c r="K879" s="2"/>
      <c r="L879" s="1"/>
      <c r="M879" s="3"/>
      <c r="N879" s="3"/>
      <c r="O879" s="4"/>
      <c r="P879" s="4"/>
      <c r="Q879" s="4"/>
      <c r="R879" s="4"/>
      <c r="S879" s="4"/>
      <c r="T879" s="4"/>
      <c r="U879" s="4"/>
      <c r="V879" s="4"/>
      <c r="W879" s="4"/>
      <c r="X879" s="3"/>
      <c r="Y879" s="2"/>
      <c r="Z879" s="2"/>
      <c r="AA879" s="1"/>
      <c r="AB879" s="1"/>
      <c r="AC879" s="1"/>
      <c r="AD879" s="1"/>
      <c r="AE879" s="1"/>
      <c r="AF879" s="1"/>
      <c r="AG879" s="1"/>
      <c r="AH879" s="1"/>
    </row>
    <row r="880" ht="13.5" customHeight="1">
      <c r="A880" s="1"/>
      <c r="B880" s="1"/>
      <c r="C880" s="3"/>
      <c r="D880" s="1"/>
      <c r="E880" s="1"/>
      <c r="F880" s="1"/>
      <c r="G880" s="1"/>
      <c r="H880" s="1"/>
      <c r="I880" s="1"/>
      <c r="J880" s="1"/>
      <c r="K880" s="2"/>
      <c r="L880" s="1"/>
      <c r="M880" s="3"/>
      <c r="N880" s="3"/>
      <c r="O880" s="4"/>
      <c r="P880" s="4"/>
      <c r="Q880" s="4"/>
      <c r="R880" s="4"/>
      <c r="S880" s="4"/>
      <c r="T880" s="4"/>
      <c r="U880" s="4"/>
      <c r="V880" s="4"/>
      <c r="W880" s="4"/>
      <c r="X880" s="3"/>
      <c r="Y880" s="2"/>
      <c r="Z880" s="2"/>
      <c r="AA880" s="1"/>
      <c r="AB880" s="1"/>
      <c r="AC880" s="1"/>
      <c r="AD880" s="1"/>
      <c r="AE880" s="1"/>
      <c r="AF880" s="1"/>
      <c r="AG880" s="1"/>
      <c r="AH880" s="1"/>
    </row>
    <row r="881" ht="13.5" customHeight="1">
      <c r="A881" s="1"/>
      <c r="B881" s="1"/>
      <c r="C881" s="3"/>
      <c r="D881" s="1"/>
      <c r="E881" s="1"/>
      <c r="F881" s="1"/>
      <c r="G881" s="1"/>
      <c r="H881" s="1"/>
      <c r="I881" s="1"/>
      <c r="J881" s="1"/>
      <c r="K881" s="2"/>
      <c r="L881" s="1"/>
      <c r="M881" s="3"/>
      <c r="N881" s="3"/>
      <c r="O881" s="4"/>
      <c r="P881" s="4"/>
      <c r="Q881" s="4"/>
      <c r="R881" s="4"/>
      <c r="S881" s="4"/>
      <c r="T881" s="4"/>
      <c r="U881" s="4"/>
      <c r="V881" s="4"/>
      <c r="W881" s="4"/>
      <c r="X881" s="3"/>
      <c r="Y881" s="2"/>
      <c r="Z881" s="2"/>
      <c r="AA881" s="1"/>
      <c r="AB881" s="1"/>
      <c r="AC881" s="1"/>
      <c r="AD881" s="1"/>
      <c r="AE881" s="1"/>
      <c r="AF881" s="1"/>
      <c r="AG881" s="1"/>
      <c r="AH881" s="1"/>
    </row>
    <row r="882" ht="13.5" customHeight="1">
      <c r="A882" s="1"/>
      <c r="B882" s="1"/>
      <c r="C882" s="3"/>
      <c r="D882" s="1"/>
      <c r="E882" s="1"/>
      <c r="F882" s="1"/>
      <c r="G882" s="1"/>
      <c r="H882" s="1"/>
      <c r="I882" s="1"/>
      <c r="J882" s="1"/>
      <c r="K882" s="2"/>
      <c r="L882" s="1"/>
      <c r="M882" s="3"/>
      <c r="N882" s="3"/>
      <c r="O882" s="4"/>
      <c r="P882" s="4"/>
      <c r="Q882" s="4"/>
      <c r="R882" s="4"/>
      <c r="S882" s="4"/>
      <c r="T882" s="4"/>
      <c r="U882" s="4"/>
      <c r="V882" s="4"/>
      <c r="W882" s="4"/>
      <c r="X882" s="3"/>
      <c r="Y882" s="2"/>
      <c r="Z882" s="2"/>
      <c r="AA882" s="1"/>
      <c r="AB882" s="1"/>
      <c r="AC882" s="1"/>
      <c r="AD882" s="1"/>
      <c r="AE882" s="1"/>
      <c r="AF882" s="1"/>
      <c r="AG882" s="1"/>
      <c r="AH882" s="1"/>
    </row>
    <row r="883" ht="13.5" customHeight="1">
      <c r="A883" s="1"/>
      <c r="B883" s="1"/>
      <c r="C883" s="3"/>
      <c r="D883" s="1"/>
      <c r="E883" s="1"/>
      <c r="F883" s="1"/>
      <c r="G883" s="1"/>
      <c r="H883" s="1"/>
      <c r="I883" s="1"/>
      <c r="J883" s="1"/>
      <c r="K883" s="2"/>
      <c r="L883" s="1"/>
      <c r="M883" s="3"/>
      <c r="N883" s="3"/>
      <c r="O883" s="4"/>
      <c r="P883" s="4"/>
      <c r="Q883" s="4"/>
      <c r="R883" s="4"/>
      <c r="S883" s="4"/>
      <c r="T883" s="4"/>
      <c r="U883" s="4"/>
      <c r="V883" s="4"/>
      <c r="W883" s="4"/>
      <c r="X883" s="3"/>
      <c r="Y883" s="2"/>
      <c r="Z883" s="2"/>
      <c r="AA883" s="1"/>
      <c r="AB883" s="1"/>
      <c r="AC883" s="1"/>
      <c r="AD883" s="1"/>
      <c r="AE883" s="1"/>
      <c r="AF883" s="1"/>
      <c r="AG883" s="1"/>
      <c r="AH883" s="1"/>
    </row>
    <row r="884" ht="13.5" customHeight="1">
      <c r="A884" s="1"/>
      <c r="B884" s="1"/>
      <c r="C884" s="3"/>
      <c r="D884" s="1"/>
      <c r="E884" s="1"/>
      <c r="F884" s="1"/>
      <c r="G884" s="1"/>
      <c r="H884" s="1"/>
      <c r="I884" s="1"/>
      <c r="J884" s="1"/>
      <c r="K884" s="2"/>
      <c r="L884" s="1"/>
      <c r="M884" s="3"/>
      <c r="N884" s="3"/>
      <c r="O884" s="4"/>
      <c r="P884" s="4"/>
      <c r="Q884" s="4"/>
      <c r="R884" s="4"/>
      <c r="S884" s="4"/>
      <c r="T884" s="4"/>
      <c r="U884" s="4"/>
      <c r="V884" s="4"/>
      <c r="W884" s="4"/>
      <c r="X884" s="3"/>
      <c r="Y884" s="2"/>
      <c r="Z884" s="2"/>
      <c r="AA884" s="1"/>
      <c r="AB884" s="1"/>
      <c r="AC884" s="1"/>
      <c r="AD884" s="1"/>
      <c r="AE884" s="1"/>
      <c r="AF884" s="1"/>
      <c r="AG884" s="1"/>
      <c r="AH884" s="1"/>
    </row>
    <row r="885" ht="13.5" customHeight="1">
      <c r="A885" s="1"/>
      <c r="B885" s="1"/>
      <c r="C885" s="3"/>
      <c r="D885" s="1"/>
      <c r="E885" s="1"/>
      <c r="F885" s="1"/>
      <c r="G885" s="1"/>
      <c r="H885" s="1"/>
      <c r="I885" s="1"/>
      <c r="J885" s="1"/>
      <c r="K885" s="2"/>
      <c r="L885" s="1"/>
      <c r="M885" s="3"/>
      <c r="N885" s="3"/>
      <c r="O885" s="4"/>
      <c r="P885" s="4"/>
      <c r="Q885" s="4"/>
      <c r="R885" s="4"/>
      <c r="S885" s="4"/>
      <c r="T885" s="4"/>
      <c r="U885" s="4"/>
      <c r="V885" s="4"/>
      <c r="W885" s="4"/>
      <c r="X885" s="3"/>
      <c r="Y885" s="2"/>
      <c r="Z885" s="2"/>
      <c r="AA885" s="1"/>
      <c r="AB885" s="1"/>
      <c r="AC885" s="1"/>
      <c r="AD885" s="1"/>
      <c r="AE885" s="1"/>
      <c r="AF885" s="1"/>
      <c r="AG885" s="1"/>
      <c r="AH885" s="1"/>
    </row>
    <row r="886" ht="13.5" customHeight="1">
      <c r="A886" s="1"/>
      <c r="B886" s="1"/>
      <c r="C886" s="3"/>
      <c r="D886" s="1"/>
      <c r="E886" s="1"/>
      <c r="F886" s="1"/>
      <c r="G886" s="1"/>
      <c r="H886" s="1"/>
      <c r="I886" s="1"/>
      <c r="J886" s="1"/>
      <c r="K886" s="2"/>
      <c r="L886" s="1"/>
      <c r="M886" s="3"/>
      <c r="N886" s="3"/>
      <c r="O886" s="4"/>
      <c r="P886" s="4"/>
      <c r="Q886" s="4"/>
      <c r="R886" s="4"/>
      <c r="S886" s="4"/>
      <c r="T886" s="4"/>
      <c r="U886" s="4"/>
      <c r="V886" s="4"/>
      <c r="W886" s="4"/>
      <c r="X886" s="3"/>
      <c r="Y886" s="2"/>
      <c r="Z886" s="2"/>
      <c r="AA886" s="1"/>
      <c r="AB886" s="1"/>
      <c r="AC886" s="1"/>
      <c r="AD886" s="1"/>
      <c r="AE886" s="1"/>
      <c r="AF886" s="1"/>
      <c r="AG886" s="1"/>
      <c r="AH886" s="1"/>
    </row>
    <row r="887" ht="13.5" customHeight="1">
      <c r="A887" s="1"/>
      <c r="B887" s="1"/>
      <c r="C887" s="3"/>
      <c r="D887" s="1"/>
      <c r="E887" s="1"/>
      <c r="F887" s="1"/>
      <c r="G887" s="1"/>
      <c r="H887" s="1"/>
      <c r="I887" s="1"/>
      <c r="J887" s="1"/>
      <c r="K887" s="2"/>
      <c r="L887" s="1"/>
      <c r="M887" s="3"/>
      <c r="N887" s="3"/>
      <c r="O887" s="4"/>
      <c r="P887" s="4"/>
      <c r="Q887" s="4"/>
      <c r="R887" s="4"/>
      <c r="S887" s="4"/>
      <c r="T887" s="4"/>
      <c r="U887" s="4"/>
      <c r="V887" s="4"/>
      <c r="W887" s="4"/>
      <c r="X887" s="3"/>
      <c r="Y887" s="2"/>
      <c r="Z887" s="2"/>
      <c r="AA887" s="1"/>
      <c r="AB887" s="1"/>
      <c r="AC887" s="1"/>
      <c r="AD887" s="1"/>
      <c r="AE887" s="1"/>
      <c r="AF887" s="1"/>
      <c r="AG887" s="1"/>
      <c r="AH887" s="1"/>
    </row>
    <row r="888" ht="13.5" customHeight="1">
      <c r="A888" s="1"/>
      <c r="B888" s="1"/>
      <c r="C888" s="3"/>
      <c r="D888" s="1"/>
      <c r="E888" s="1"/>
      <c r="F888" s="1"/>
      <c r="G888" s="1"/>
      <c r="H888" s="1"/>
      <c r="I888" s="1"/>
      <c r="J888" s="1"/>
      <c r="K888" s="2"/>
      <c r="L888" s="1"/>
      <c r="M888" s="3"/>
      <c r="N888" s="3"/>
      <c r="O888" s="4"/>
      <c r="P888" s="4"/>
      <c r="Q888" s="4"/>
      <c r="R888" s="4"/>
      <c r="S888" s="4"/>
      <c r="T888" s="4"/>
      <c r="U888" s="4"/>
      <c r="V888" s="4"/>
      <c r="W888" s="4"/>
      <c r="X888" s="3"/>
      <c r="Y888" s="2"/>
      <c r="Z888" s="2"/>
      <c r="AA888" s="1"/>
      <c r="AB888" s="1"/>
      <c r="AC888" s="1"/>
      <c r="AD888" s="1"/>
      <c r="AE888" s="1"/>
      <c r="AF888" s="1"/>
      <c r="AG888" s="1"/>
      <c r="AH888" s="1"/>
    </row>
    <row r="889" ht="13.5" customHeight="1">
      <c r="A889" s="1"/>
      <c r="B889" s="1"/>
      <c r="C889" s="3"/>
      <c r="D889" s="1"/>
      <c r="E889" s="1"/>
      <c r="F889" s="1"/>
      <c r="G889" s="1"/>
      <c r="H889" s="1"/>
      <c r="I889" s="1"/>
      <c r="J889" s="1"/>
      <c r="K889" s="2"/>
      <c r="L889" s="1"/>
      <c r="M889" s="3"/>
      <c r="N889" s="3"/>
      <c r="O889" s="4"/>
      <c r="P889" s="4"/>
      <c r="Q889" s="4"/>
      <c r="R889" s="4"/>
      <c r="S889" s="4"/>
      <c r="T889" s="4"/>
      <c r="U889" s="4"/>
      <c r="V889" s="4"/>
      <c r="W889" s="4"/>
      <c r="X889" s="3"/>
      <c r="Y889" s="2"/>
      <c r="Z889" s="2"/>
      <c r="AA889" s="1"/>
      <c r="AB889" s="1"/>
      <c r="AC889" s="1"/>
      <c r="AD889" s="1"/>
      <c r="AE889" s="1"/>
      <c r="AF889" s="1"/>
      <c r="AG889" s="1"/>
      <c r="AH889" s="1"/>
    </row>
    <row r="890" ht="13.5" customHeight="1">
      <c r="A890" s="1"/>
      <c r="B890" s="1"/>
      <c r="C890" s="3"/>
      <c r="D890" s="1"/>
      <c r="E890" s="1"/>
      <c r="F890" s="1"/>
      <c r="G890" s="1"/>
      <c r="H890" s="1"/>
      <c r="I890" s="1"/>
      <c r="J890" s="1"/>
      <c r="K890" s="2"/>
      <c r="L890" s="1"/>
      <c r="M890" s="3"/>
      <c r="N890" s="3"/>
      <c r="O890" s="4"/>
      <c r="P890" s="4"/>
      <c r="Q890" s="4"/>
      <c r="R890" s="4"/>
      <c r="S890" s="4"/>
      <c r="T890" s="4"/>
      <c r="U890" s="4"/>
      <c r="V890" s="4"/>
      <c r="W890" s="4"/>
      <c r="X890" s="3"/>
      <c r="Y890" s="2"/>
      <c r="Z890" s="2"/>
      <c r="AA890" s="1"/>
      <c r="AB890" s="1"/>
      <c r="AC890" s="1"/>
      <c r="AD890" s="1"/>
      <c r="AE890" s="1"/>
      <c r="AF890" s="1"/>
      <c r="AG890" s="1"/>
      <c r="AH890" s="1"/>
    </row>
    <row r="891" ht="13.5" customHeight="1">
      <c r="A891" s="1"/>
      <c r="B891" s="1"/>
      <c r="C891" s="3"/>
      <c r="D891" s="1"/>
      <c r="E891" s="1"/>
      <c r="F891" s="1"/>
      <c r="G891" s="1"/>
      <c r="H891" s="1"/>
      <c r="I891" s="1"/>
      <c r="J891" s="1"/>
      <c r="K891" s="2"/>
      <c r="L891" s="1"/>
      <c r="M891" s="3"/>
      <c r="N891" s="3"/>
      <c r="O891" s="4"/>
      <c r="P891" s="4"/>
      <c r="Q891" s="4"/>
      <c r="R891" s="4"/>
      <c r="S891" s="4"/>
      <c r="T891" s="4"/>
      <c r="U891" s="4"/>
      <c r="V891" s="4"/>
      <c r="W891" s="4"/>
      <c r="X891" s="3"/>
      <c r="Y891" s="2"/>
      <c r="Z891" s="2"/>
      <c r="AA891" s="1"/>
      <c r="AB891" s="1"/>
      <c r="AC891" s="1"/>
      <c r="AD891" s="1"/>
      <c r="AE891" s="1"/>
      <c r="AF891" s="1"/>
      <c r="AG891" s="1"/>
      <c r="AH891" s="1"/>
    </row>
    <row r="892" ht="13.5" customHeight="1">
      <c r="A892" s="1"/>
      <c r="B892" s="1"/>
      <c r="C892" s="3"/>
      <c r="D892" s="1"/>
      <c r="E892" s="1"/>
      <c r="F892" s="1"/>
      <c r="G892" s="1"/>
      <c r="H892" s="1"/>
      <c r="I892" s="1"/>
      <c r="J892" s="1"/>
      <c r="K892" s="2"/>
      <c r="L892" s="1"/>
      <c r="M892" s="3"/>
      <c r="N892" s="3"/>
      <c r="O892" s="4"/>
      <c r="P892" s="4"/>
      <c r="Q892" s="4"/>
      <c r="R892" s="4"/>
      <c r="S892" s="4"/>
      <c r="T892" s="4"/>
      <c r="U892" s="4"/>
      <c r="V892" s="4"/>
      <c r="W892" s="4"/>
      <c r="X892" s="3"/>
      <c r="Y892" s="2"/>
      <c r="Z892" s="2"/>
      <c r="AA892" s="1"/>
      <c r="AB892" s="1"/>
      <c r="AC892" s="1"/>
      <c r="AD892" s="1"/>
      <c r="AE892" s="1"/>
      <c r="AF892" s="1"/>
      <c r="AG892" s="1"/>
      <c r="AH892" s="1"/>
    </row>
    <row r="893" ht="13.5" customHeight="1">
      <c r="A893" s="1"/>
      <c r="B893" s="1"/>
      <c r="C893" s="3"/>
      <c r="D893" s="1"/>
      <c r="E893" s="1"/>
      <c r="F893" s="1"/>
      <c r="G893" s="1"/>
      <c r="H893" s="1"/>
      <c r="I893" s="1"/>
      <c r="J893" s="1"/>
      <c r="K893" s="2"/>
      <c r="L893" s="1"/>
      <c r="M893" s="3"/>
      <c r="N893" s="3"/>
      <c r="O893" s="4"/>
      <c r="P893" s="4"/>
      <c r="Q893" s="4"/>
      <c r="R893" s="4"/>
      <c r="S893" s="4"/>
      <c r="T893" s="4"/>
      <c r="U893" s="4"/>
      <c r="V893" s="4"/>
      <c r="W893" s="4"/>
      <c r="X893" s="3"/>
      <c r="Y893" s="2"/>
      <c r="Z893" s="2"/>
      <c r="AA893" s="1"/>
      <c r="AB893" s="1"/>
      <c r="AC893" s="1"/>
      <c r="AD893" s="1"/>
      <c r="AE893" s="1"/>
      <c r="AF893" s="1"/>
      <c r="AG893" s="1"/>
      <c r="AH893" s="1"/>
    </row>
    <row r="894" ht="13.5" customHeight="1">
      <c r="A894" s="1"/>
      <c r="B894" s="1"/>
      <c r="C894" s="3"/>
      <c r="D894" s="1"/>
      <c r="E894" s="1"/>
      <c r="F894" s="1"/>
      <c r="G894" s="1"/>
      <c r="H894" s="1"/>
      <c r="I894" s="1"/>
      <c r="J894" s="1"/>
      <c r="K894" s="2"/>
      <c r="L894" s="1"/>
      <c r="M894" s="3"/>
      <c r="N894" s="3"/>
      <c r="O894" s="4"/>
      <c r="P894" s="4"/>
      <c r="Q894" s="4"/>
      <c r="R894" s="4"/>
      <c r="S894" s="4"/>
      <c r="T894" s="4"/>
      <c r="U894" s="4"/>
      <c r="V894" s="4"/>
      <c r="W894" s="4"/>
      <c r="X894" s="3"/>
      <c r="Y894" s="2"/>
      <c r="Z894" s="2"/>
      <c r="AA894" s="1"/>
      <c r="AB894" s="1"/>
      <c r="AC894" s="1"/>
      <c r="AD894" s="1"/>
      <c r="AE894" s="1"/>
      <c r="AF894" s="1"/>
      <c r="AG894" s="1"/>
      <c r="AH894" s="1"/>
    </row>
    <row r="895" ht="13.5" customHeight="1">
      <c r="A895" s="1"/>
      <c r="B895" s="1"/>
      <c r="C895" s="3"/>
      <c r="D895" s="1"/>
      <c r="E895" s="1"/>
      <c r="F895" s="1"/>
      <c r="G895" s="1"/>
      <c r="H895" s="1"/>
      <c r="I895" s="1"/>
      <c r="J895" s="1"/>
      <c r="K895" s="2"/>
      <c r="L895" s="1"/>
      <c r="M895" s="3"/>
      <c r="N895" s="3"/>
      <c r="O895" s="4"/>
      <c r="P895" s="4"/>
      <c r="Q895" s="4"/>
      <c r="R895" s="4"/>
      <c r="S895" s="4"/>
      <c r="T895" s="4"/>
      <c r="U895" s="4"/>
      <c r="V895" s="4"/>
      <c r="W895" s="4"/>
      <c r="X895" s="3"/>
      <c r="Y895" s="2"/>
      <c r="Z895" s="2"/>
      <c r="AA895" s="1"/>
      <c r="AB895" s="1"/>
      <c r="AC895" s="1"/>
      <c r="AD895" s="1"/>
      <c r="AE895" s="1"/>
      <c r="AF895" s="1"/>
      <c r="AG895" s="1"/>
      <c r="AH895" s="1"/>
    </row>
    <row r="896" ht="13.5" customHeight="1">
      <c r="A896" s="1"/>
      <c r="B896" s="1"/>
      <c r="C896" s="3"/>
      <c r="D896" s="1"/>
      <c r="E896" s="1"/>
      <c r="F896" s="1"/>
      <c r="G896" s="1"/>
      <c r="H896" s="1"/>
      <c r="I896" s="1"/>
      <c r="J896" s="1"/>
      <c r="K896" s="2"/>
      <c r="L896" s="1"/>
      <c r="M896" s="3"/>
      <c r="N896" s="3"/>
      <c r="O896" s="4"/>
      <c r="P896" s="4"/>
      <c r="Q896" s="4"/>
      <c r="R896" s="4"/>
      <c r="S896" s="4"/>
      <c r="T896" s="4"/>
      <c r="U896" s="4"/>
      <c r="V896" s="4"/>
      <c r="W896" s="4"/>
      <c r="X896" s="3"/>
      <c r="Y896" s="2"/>
      <c r="Z896" s="2"/>
      <c r="AA896" s="1"/>
      <c r="AB896" s="1"/>
      <c r="AC896" s="1"/>
      <c r="AD896" s="1"/>
      <c r="AE896" s="1"/>
      <c r="AF896" s="1"/>
      <c r="AG896" s="1"/>
      <c r="AH896" s="1"/>
    </row>
    <row r="897" ht="13.5" customHeight="1">
      <c r="A897" s="1"/>
      <c r="B897" s="1"/>
      <c r="C897" s="3"/>
      <c r="D897" s="1"/>
      <c r="E897" s="1"/>
      <c r="F897" s="1"/>
      <c r="G897" s="1"/>
      <c r="H897" s="1"/>
      <c r="I897" s="1"/>
      <c r="J897" s="1"/>
      <c r="K897" s="2"/>
      <c r="L897" s="1"/>
      <c r="M897" s="3"/>
      <c r="N897" s="3"/>
      <c r="O897" s="4"/>
      <c r="P897" s="4"/>
      <c r="Q897" s="4"/>
      <c r="R897" s="4"/>
      <c r="S897" s="4"/>
      <c r="T897" s="4"/>
      <c r="U897" s="4"/>
      <c r="V897" s="4"/>
      <c r="W897" s="4"/>
      <c r="X897" s="3"/>
      <c r="Y897" s="2"/>
      <c r="Z897" s="2"/>
      <c r="AA897" s="1"/>
      <c r="AB897" s="1"/>
      <c r="AC897" s="1"/>
      <c r="AD897" s="1"/>
      <c r="AE897" s="1"/>
      <c r="AF897" s="1"/>
      <c r="AG897" s="1"/>
      <c r="AH897" s="1"/>
    </row>
    <row r="898" ht="13.5" customHeight="1">
      <c r="A898" s="1"/>
      <c r="B898" s="1"/>
      <c r="C898" s="3"/>
      <c r="D898" s="1"/>
      <c r="E898" s="1"/>
      <c r="F898" s="1"/>
      <c r="G898" s="1"/>
      <c r="H898" s="1"/>
      <c r="I898" s="1"/>
      <c r="J898" s="1"/>
      <c r="K898" s="2"/>
      <c r="L898" s="1"/>
      <c r="M898" s="3"/>
      <c r="N898" s="3"/>
      <c r="O898" s="4"/>
      <c r="P898" s="4"/>
      <c r="Q898" s="4"/>
      <c r="R898" s="4"/>
      <c r="S898" s="4"/>
      <c r="T898" s="4"/>
      <c r="U898" s="4"/>
      <c r="V898" s="4"/>
      <c r="W898" s="4"/>
      <c r="X898" s="3"/>
      <c r="Y898" s="2"/>
      <c r="Z898" s="2"/>
      <c r="AA898" s="1"/>
      <c r="AB898" s="1"/>
      <c r="AC898" s="1"/>
      <c r="AD898" s="1"/>
      <c r="AE898" s="1"/>
      <c r="AF898" s="1"/>
      <c r="AG898" s="1"/>
      <c r="AH898" s="1"/>
    </row>
    <row r="899" ht="13.5" customHeight="1">
      <c r="A899" s="1"/>
      <c r="B899" s="1"/>
      <c r="C899" s="3"/>
      <c r="D899" s="1"/>
      <c r="E899" s="1"/>
      <c r="F899" s="1"/>
      <c r="G899" s="1"/>
      <c r="H899" s="1"/>
      <c r="I899" s="1"/>
      <c r="J899" s="1"/>
      <c r="K899" s="2"/>
      <c r="L899" s="1"/>
      <c r="M899" s="3"/>
      <c r="N899" s="3"/>
      <c r="O899" s="4"/>
      <c r="P899" s="4"/>
      <c r="Q899" s="4"/>
      <c r="R899" s="4"/>
      <c r="S899" s="4"/>
      <c r="T899" s="4"/>
      <c r="U899" s="4"/>
      <c r="V899" s="4"/>
      <c r="W899" s="4"/>
      <c r="X899" s="3"/>
      <c r="Y899" s="2"/>
      <c r="Z899" s="2"/>
      <c r="AA899" s="1"/>
      <c r="AB899" s="1"/>
      <c r="AC899" s="1"/>
      <c r="AD899" s="1"/>
      <c r="AE899" s="1"/>
      <c r="AF899" s="1"/>
      <c r="AG899" s="1"/>
      <c r="AH899" s="1"/>
    </row>
    <row r="900" ht="13.5" customHeight="1">
      <c r="A900" s="1"/>
      <c r="B900" s="1"/>
      <c r="C900" s="3"/>
      <c r="D900" s="1"/>
      <c r="E900" s="1"/>
      <c r="F900" s="1"/>
      <c r="G900" s="1"/>
      <c r="H900" s="1"/>
      <c r="I900" s="1"/>
      <c r="J900" s="1"/>
      <c r="K900" s="2"/>
      <c r="L900" s="1"/>
      <c r="M900" s="3"/>
      <c r="N900" s="3"/>
      <c r="O900" s="4"/>
      <c r="P900" s="4"/>
      <c r="Q900" s="4"/>
      <c r="R900" s="4"/>
      <c r="S900" s="4"/>
      <c r="T900" s="4"/>
      <c r="U900" s="4"/>
      <c r="V900" s="4"/>
      <c r="W900" s="4"/>
      <c r="X900" s="3"/>
      <c r="Y900" s="2"/>
      <c r="Z900" s="2"/>
      <c r="AA900" s="1"/>
      <c r="AB900" s="1"/>
      <c r="AC900" s="1"/>
      <c r="AD900" s="1"/>
      <c r="AE900" s="1"/>
      <c r="AF900" s="1"/>
      <c r="AG900" s="1"/>
      <c r="AH900" s="1"/>
    </row>
    <row r="901" ht="13.5" customHeight="1">
      <c r="A901" s="1"/>
      <c r="B901" s="1"/>
      <c r="C901" s="3"/>
      <c r="D901" s="1"/>
      <c r="E901" s="1"/>
      <c r="F901" s="1"/>
      <c r="G901" s="1"/>
      <c r="H901" s="1"/>
      <c r="I901" s="1"/>
      <c r="J901" s="1"/>
      <c r="K901" s="2"/>
      <c r="L901" s="1"/>
      <c r="M901" s="3"/>
      <c r="N901" s="3"/>
      <c r="O901" s="4"/>
      <c r="P901" s="4"/>
      <c r="Q901" s="4"/>
      <c r="R901" s="4"/>
      <c r="S901" s="4"/>
      <c r="T901" s="4"/>
      <c r="U901" s="4"/>
      <c r="V901" s="4"/>
      <c r="W901" s="4"/>
      <c r="X901" s="3"/>
      <c r="Y901" s="2"/>
      <c r="Z901" s="2"/>
      <c r="AA901" s="1"/>
      <c r="AB901" s="1"/>
      <c r="AC901" s="1"/>
      <c r="AD901" s="1"/>
      <c r="AE901" s="1"/>
      <c r="AF901" s="1"/>
      <c r="AG901" s="1"/>
      <c r="AH901" s="1"/>
    </row>
    <row r="902" ht="13.5" customHeight="1">
      <c r="A902" s="1"/>
      <c r="B902" s="1"/>
      <c r="C902" s="3"/>
      <c r="D902" s="1"/>
      <c r="E902" s="1"/>
      <c r="F902" s="1"/>
      <c r="G902" s="1"/>
      <c r="H902" s="1"/>
      <c r="I902" s="1"/>
      <c r="J902" s="1"/>
      <c r="K902" s="2"/>
      <c r="L902" s="1"/>
      <c r="M902" s="3"/>
      <c r="N902" s="3"/>
      <c r="O902" s="4"/>
      <c r="P902" s="4"/>
      <c r="Q902" s="4"/>
      <c r="R902" s="4"/>
      <c r="S902" s="4"/>
      <c r="T902" s="4"/>
      <c r="U902" s="4"/>
      <c r="V902" s="4"/>
      <c r="W902" s="4"/>
      <c r="X902" s="3"/>
      <c r="Y902" s="2"/>
      <c r="Z902" s="2"/>
      <c r="AA902" s="1"/>
      <c r="AB902" s="1"/>
      <c r="AC902" s="1"/>
      <c r="AD902" s="1"/>
      <c r="AE902" s="1"/>
      <c r="AF902" s="1"/>
      <c r="AG902" s="1"/>
      <c r="AH902" s="1"/>
    </row>
    <row r="903" ht="13.5" customHeight="1">
      <c r="A903" s="1"/>
      <c r="B903" s="1"/>
      <c r="C903" s="3"/>
      <c r="D903" s="1"/>
      <c r="E903" s="1"/>
      <c r="F903" s="1"/>
      <c r="G903" s="1"/>
      <c r="H903" s="1"/>
      <c r="I903" s="1"/>
      <c r="J903" s="1"/>
      <c r="K903" s="2"/>
      <c r="L903" s="1"/>
      <c r="M903" s="3"/>
      <c r="N903" s="3"/>
      <c r="O903" s="4"/>
      <c r="P903" s="4"/>
      <c r="Q903" s="4"/>
      <c r="R903" s="4"/>
      <c r="S903" s="4"/>
      <c r="T903" s="4"/>
      <c r="U903" s="4"/>
      <c r="V903" s="4"/>
      <c r="W903" s="4"/>
      <c r="X903" s="3"/>
      <c r="Y903" s="2"/>
      <c r="Z903" s="2"/>
      <c r="AA903" s="1"/>
      <c r="AB903" s="1"/>
      <c r="AC903" s="1"/>
      <c r="AD903" s="1"/>
      <c r="AE903" s="1"/>
      <c r="AF903" s="1"/>
      <c r="AG903" s="1"/>
      <c r="AH903" s="1"/>
    </row>
    <row r="904" ht="13.5" customHeight="1">
      <c r="A904" s="1"/>
      <c r="B904" s="1"/>
      <c r="C904" s="3"/>
      <c r="D904" s="1"/>
      <c r="E904" s="1"/>
      <c r="F904" s="1"/>
      <c r="G904" s="1"/>
      <c r="H904" s="1"/>
      <c r="I904" s="1"/>
      <c r="J904" s="1"/>
      <c r="K904" s="2"/>
      <c r="L904" s="1"/>
      <c r="M904" s="3"/>
      <c r="N904" s="3"/>
      <c r="O904" s="4"/>
      <c r="P904" s="4"/>
      <c r="Q904" s="4"/>
      <c r="R904" s="4"/>
      <c r="S904" s="4"/>
      <c r="T904" s="4"/>
      <c r="U904" s="4"/>
      <c r="V904" s="4"/>
      <c r="W904" s="4"/>
      <c r="X904" s="3"/>
      <c r="Y904" s="2"/>
      <c r="Z904" s="2"/>
      <c r="AA904" s="1"/>
      <c r="AB904" s="1"/>
      <c r="AC904" s="1"/>
      <c r="AD904" s="1"/>
      <c r="AE904" s="1"/>
      <c r="AF904" s="1"/>
      <c r="AG904" s="1"/>
      <c r="AH904" s="1"/>
    </row>
    <row r="905" ht="13.5" customHeight="1">
      <c r="A905" s="1"/>
      <c r="B905" s="1"/>
      <c r="C905" s="3"/>
      <c r="D905" s="1"/>
      <c r="E905" s="1"/>
      <c r="F905" s="1"/>
      <c r="G905" s="1"/>
      <c r="H905" s="1"/>
      <c r="I905" s="1"/>
      <c r="J905" s="1"/>
      <c r="K905" s="2"/>
      <c r="L905" s="1"/>
      <c r="M905" s="3"/>
      <c r="N905" s="3"/>
      <c r="O905" s="4"/>
      <c r="P905" s="4"/>
      <c r="Q905" s="4"/>
      <c r="R905" s="4"/>
      <c r="S905" s="4"/>
      <c r="T905" s="4"/>
      <c r="U905" s="4"/>
      <c r="V905" s="4"/>
      <c r="W905" s="4"/>
      <c r="X905" s="3"/>
      <c r="Y905" s="2"/>
      <c r="Z905" s="2"/>
      <c r="AA905" s="1"/>
      <c r="AB905" s="1"/>
      <c r="AC905" s="1"/>
      <c r="AD905" s="1"/>
      <c r="AE905" s="1"/>
      <c r="AF905" s="1"/>
      <c r="AG905" s="1"/>
      <c r="AH905" s="1"/>
    </row>
    <row r="906" ht="13.5" customHeight="1">
      <c r="A906" s="1"/>
      <c r="B906" s="1"/>
      <c r="C906" s="3"/>
      <c r="D906" s="1"/>
      <c r="E906" s="1"/>
      <c r="F906" s="1"/>
      <c r="G906" s="1"/>
      <c r="H906" s="1"/>
      <c r="I906" s="1"/>
      <c r="J906" s="1"/>
      <c r="K906" s="2"/>
      <c r="L906" s="1"/>
      <c r="M906" s="3"/>
      <c r="N906" s="3"/>
      <c r="O906" s="4"/>
      <c r="P906" s="4"/>
      <c r="Q906" s="4"/>
      <c r="R906" s="4"/>
      <c r="S906" s="4"/>
      <c r="T906" s="4"/>
      <c r="U906" s="4"/>
      <c r="V906" s="4"/>
      <c r="W906" s="4"/>
      <c r="X906" s="3"/>
      <c r="Y906" s="2"/>
      <c r="Z906" s="2"/>
      <c r="AA906" s="1"/>
      <c r="AB906" s="1"/>
      <c r="AC906" s="1"/>
      <c r="AD906" s="1"/>
      <c r="AE906" s="1"/>
      <c r="AF906" s="1"/>
      <c r="AG906" s="1"/>
      <c r="AH906" s="1"/>
    </row>
    <row r="907" ht="13.5" customHeight="1">
      <c r="A907" s="1"/>
      <c r="B907" s="1"/>
      <c r="C907" s="3"/>
      <c r="D907" s="1"/>
      <c r="E907" s="1"/>
      <c r="F907" s="1"/>
      <c r="G907" s="1"/>
      <c r="H907" s="1"/>
      <c r="I907" s="1"/>
      <c r="J907" s="1"/>
      <c r="K907" s="2"/>
      <c r="L907" s="1"/>
      <c r="M907" s="3"/>
      <c r="N907" s="3"/>
      <c r="O907" s="4"/>
      <c r="P907" s="4"/>
      <c r="Q907" s="4"/>
      <c r="R907" s="4"/>
      <c r="S907" s="4"/>
      <c r="T907" s="4"/>
      <c r="U907" s="4"/>
      <c r="V907" s="4"/>
      <c r="W907" s="4"/>
      <c r="X907" s="3"/>
      <c r="Y907" s="2"/>
      <c r="Z907" s="2"/>
      <c r="AA907" s="1"/>
      <c r="AB907" s="1"/>
      <c r="AC907" s="1"/>
      <c r="AD907" s="1"/>
      <c r="AE907" s="1"/>
      <c r="AF907" s="1"/>
      <c r="AG907" s="1"/>
      <c r="AH907" s="1"/>
    </row>
    <row r="908" ht="13.5" customHeight="1">
      <c r="A908" s="1"/>
      <c r="B908" s="1"/>
      <c r="C908" s="3"/>
      <c r="D908" s="1"/>
      <c r="E908" s="1"/>
      <c r="F908" s="1"/>
      <c r="G908" s="1"/>
      <c r="H908" s="1"/>
      <c r="I908" s="1"/>
      <c r="J908" s="1"/>
      <c r="K908" s="2"/>
      <c r="L908" s="1"/>
      <c r="M908" s="3"/>
      <c r="N908" s="3"/>
      <c r="O908" s="4"/>
      <c r="P908" s="4"/>
      <c r="Q908" s="4"/>
      <c r="R908" s="4"/>
      <c r="S908" s="4"/>
      <c r="T908" s="4"/>
      <c r="U908" s="4"/>
      <c r="V908" s="4"/>
      <c r="W908" s="4"/>
      <c r="X908" s="3"/>
      <c r="Y908" s="2"/>
      <c r="Z908" s="2"/>
      <c r="AA908" s="1"/>
      <c r="AB908" s="1"/>
      <c r="AC908" s="1"/>
      <c r="AD908" s="1"/>
      <c r="AE908" s="1"/>
      <c r="AF908" s="1"/>
      <c r="AG908" s="1"/>
      <c r="AH908" s="1"/>
    </row>
    <row r="909" ht="13.5" customHeight="1">
      <c r="A909" s="1"/>
      <c r="B909" s="1"/>
      <c r="C909" s="3"/>
      <c r="D909" s="1"/>
      <c r="E909" s="1"/>
      <c r="F909" s="1"/>
      <c r="G909" s="1"/>
      <c r="H909" s="1"/>
      <c r="I909" s="1"/>
      <c r="J909" s="1"/>
      <c r="K909" s="2"/>
      <c r="L909" s="1"/>
      <c r="M909" s="3"/>
      <c r="N909" s="3"/>
      <c r="O909" s="4"/>
      <c r="P909" s="4"/>
      <c r="Q909" s="4"/>
      <c r="R909" s="4"/>
      <c r="S909" s="4"/>
      <c r="T909" s="4"/>
      <c r="U909" s="4"/>
      <c r="V909" s="4"/>
      <c r="W909" s="4"/>
      <c r="X909" s="3"/>
      <c r="Y909" s="2"/>
      <c r="Z909" s="2"/>
      <c r="AA909" s="1"/>
      <c r="AB909" s="1"/>
      <c r="AC909" s="1"/>
      <c r="AD909" s="1"/>
      <c r="AE909" s="1"/>
      <c r="AF909" s="1"/>
      <c r="AG909" s="1"/>
      <c r="AH909" s="1"/>
    </row>
    <row r="910" ht="13.5" customHeight="1">
      <c r="A910" s="1"/>
      <c r="B910" s="1"/>
      <c r="C910" s="3"/>
      <c r="D910" s="1"/>
      <c r="E910" s="1"/>
      <c r="F910" s="1"/>
      <c r="G910" s="1"/>
      <c r="H910" s="1"/>
      <c r="I910" s="1"/>
      <c r="J910" s="1"/>
      <c r="K910" s="2"/>
      <c r="L910" s="1"/>
      <c r="M910" s="3"/>
      <c r="N910" s="3"/>
      <c r="O910" s="4"/>
      <c r="P910" s="4"/>
      <c r="Q910" s="4"/>
      <c r="R910" s="4"/>
      <c r="S910" s="4"/>
      <c r="T910" s="4"/>
      <c r="U910" s="4"/>
      <c r="V910" s="4"/>
      <c r="W910" s="4"/>
      <c r="X910" s="3"/>
      <c r="Y910" s="2"/>
      <c r="Z910" s="2"/>
      <c r="AA910" s="1"/>
      <c r="AB910" s="1"/>
      <c r="AC910" s="1"/>
      <c r="AD910" s="1"/>
      <c r="AE910" s="1"/>
      <c r="AF910" s="1"/>
      <c r="AG910" s="1"/>
      <c r="AH910" s="1"/>
    </row>
    <row r="911" ht="13.5" customHeight="1">
      <c r="A911" s="1"/>
      <c r="B911" s="1"/>
      <c r="C911" s="3"/>
      <c r="D911" s="1"/>
      <c r="E911" s="1"/>
      <c r="F911" s="1"/>
      <c r="G911" s="1"/>
      <c r="H911" s="1"/>
      <c r="I911" s="1"/>
      <c r="J911" s="1"/>
      <c r="K911" s="2"/>
      <c r="L911" s="1"/>
      <c r="M911" s="3"/>
      <c r="N911" s="3"/>
      <c r="O911" s="4"/>
      <c r="P911" s="4"/>
      <c r="Q911" s="4"/>
      <c r="R911" s="4"/>
      <c r="S911" s="4"/>
      <c r="T911" s="4"/>
      <c r="U911" s="4"/>
      <c r="V911" s="4"/>
      <c r="W911" s="4"/>
      <c r="X911" s="3"/>
      <c r="Y911" s="2"/>
      <c r="Z911" s="2"/>
      <c r="AA911" s="1"/>
      <c r="AB911" s="1"/>
      <c r="AC911" s="1"/>
      <c r="AD911" s="1"/>
      <c r="AE911" s="1"/>
      <c r="AF911" s="1"/>
      <c r="AG911" s="1"/>
      <c r="AH911" s="1"/>
    </row>
    <row r="912" ht="13.5" customHeight="1">
      <c r="A912" s="1"/>
      <c r="B912" s="1"/>
      <c r="C912" s="3"/>
      <c r="D912" s="1"/>
      <c r="E912" s="1"/>
      <c r="F912" s="1"/>
      <c r="G912" s="1"/>
      <c r="H912" s="1"/>
      <c r="I912" s="1"/>
      <c r="J912" s="1"/>
      <c r="K912" s="2"/>
      <c r="L912" s="1"/>
      <c r="M912" s="3"/>
      <c r="N912" s="3"/>
      <c r="O912" s="4"/>
      <c r="P912" s="4"/>
      <c r="Q912" s="4"/>
      <c r="R912" s="4"/>
      <c r="S912" s="4"/>
      <c r="T912" s="4"/>
      <c r="U912" s="4"/>
      <c r="V912" s="4"/>
      <c r="W912" s="4"/>
      <c r="X912" s="3"/>
      <c r="Y912" s="2"/>
      <c r="Z912" s="2"/>
      <c r="AA912" s="1"/>
      <c r="AB912" s="1"/>
      <c r="AC912" s="1"/>
      <c r="AD912" s="1"/>
      <c r="AE912" s="1"/>
      <c r="AF912" s="1"/>
      <c r="AG912" s="1"/>
      <c r="AH912" s="1"/>
    </row>
    <row r="913" ht="13.5" customHeight="1">
      <c r="A913" s="1"/>
      <c r="B913" s="1"/>
      <c r="C913" s="3"/>
      <c r="D913" s="1"/>
      <c r="E913" s="1"/>
      <c r="F913" s="1"/>
      <c r="G913" s="1"/>
      <c r="H913" s="1"/>
      <c r="I913" s="1"/>
      <c r="J913" s="1"/>
      <c r="K913" s="2"/>
      <c r="L913" s="1"/>
      <c r="M913" s="3"/>
      <c r="N913" s="3"/>
      <c r="O913" s="4"/>
      <c r="P913" s="4"/>
      <c r="Q913" s="4"/>
      <c r="R913" s="4"/>
      <c r="S913" s="4"/>
      <c r="T913" s="4"/>
      <c r="U913" s="4"/>
      <c r="V913" s="4"/>
      <c r="W913" s="4"/>
      <c r="X913" s="3"/>
      <c r="Y913" s="2"/>
      <c r="Z913" s="2"/>
      <c r="AA913" s="1"/>
      <c r="AB913" s="1"/>
      <c r="AC913" s="1"/>
      <c r="AD913" s="1"/>
      <c r="AE913" s="1"/>
      <c r="AF913" s="1"/>
      <c r="AG913" s="1"/>
      <c r="AH913" s="1"/>
    </row>
    <row r="914" ht="13.5" customHeight="1">
      <c r="A914" s="1"/>
      <c r="B914" s="1"/>
      <c r="C914" s="3"/>
      <c r="D914" s="1"/>
      <c r="E914" s="1"/>
      <c r="F914" s="1"/>
      <c r="G914" s="1"/>
      <c r="H914" s="1"/>
      <c r="I914" s="1"/>
      <c r="J914" s="1"/>
      <c r="K914" s="2"/>
      <c r="L914" s="1"/>
      <c r="M914" s="3"/>
      <c r="N914" s="3"/>
      <c r="O914" s="4"/>
      <c r="P914" s="4"/>
      <c r="Q914" s="4"/>
      <c r="R914" s="4"/>
      <c r="S914" s="4"/>
      <c r="T914" s="4"/>
      <c r="U914" s="4"/>
      <c r="V914" s="4"/>
      <c r="W914" s="4"/>
      <c r="X914" s="3"/>
      <c r="Y914" s="2"/>
      <c r="Z914" s="2"/>
      <c r="AA914" s="1"/>
      <c r="AB914" s="1"/>
      <c r="AC914" s="1"/>
      <c r="AD914" s="1"/>
      <c r="AE914" s="1"/>
      <c r="AF914" s="1"/>
      <c r="AG914" s="1"/>
      <c r="AH914" s="1"/>
    </row>
    <row r="915" ht="13.5" customHeight="1">
      <c r="A915" s="1"/>
      <c r="B915" s="1"/>
      <c r="C915" s="3"/>
      <c r="D915" s="1"/>
      <c r="E915" s="1"/>
      <c r="F915" s="1"/>
      <c r="G915" s="1"/>
      <c r="H915" s="1"/>
      <c r="I915" s="1"/>
      <c r="J915" s="1"/>
      <c r="K915" s="2"/>
      <c r="L915" s="1"/>
      <c r="M915" s="3"/>
      <c r="N915" s="3"/>
      <c r="O915" s="4"/>
      <c r="P915" s="4"/>
      <c r="Q915" s="4"/>
      <c r="R915" s="4"/>
      <c r="S915" s="4"/>
      <c r="T915" s="4"/>
      <c r="U915" s="4"/>
      <c r="V915" s="4"/>
      <c r="W915" s="4"/>
      <c r="X915" s="3"/>
      <c r="Y915" s="2"/>
      <c r="Z915" s="2"/>
      <c r="AA915" s="1"/>
      <c r="AB915" s="1"/>
      <c r="AC915" s="1"/>
      <c r="AD915" s="1"/>
      <c r="AE915" s="1"/>
      <c r="AF915" s="1"/>
      <c r="AG915" s="1"/>
      <c r="AH915" s="1"/>
    </row>
    <row r="916" ht="13.5" customHeight="1">
      <c r="A916" s="1"/>
      <c r="B916" s="1"/>
      <c r="C916" s="3"/>
      <c r="D916" s="1"/>
      <c r="E916" s="1"/>
      <c r="F916" s="1"/>
      <c r="G916" s="1"/>
      <c r="H916" s="1"/>
      <c r="I916" s="1"/>
      <c r="J916" s="1"/>
      <c r="K916" s="2"/>
      <c r="L916" s="1"/>
      <c r="M916" s="3"/>
      <c r="N916" s="3"/>
      <c r="O916" s="4"/>
      <c r="P916" s="4"/>
      <c r="Q916" s="4"/>
      <c r="R916" s="4"/>
      <c r="S916" s="4"/>
      <c r="T916" s="4"/>
      <c r="U916" s="4"/>
      <c r="V916" s="4"/>
      <c r="W916" s="4"/>
      <c r="X916" s="3"/>
      <c r="Y916" s="2"/>
      <c r="Z916" s="2"/>
      <c r="AA916" s="1"/>
      <c r="AB916" s="1"/>
      <c r="AC916" s="1"/>
      <c r="AD916" s="1"/>
      <c r="AE916" s="1"/>
      <c r="AF916" s="1"/>
      <c r="AG916" s="1"/>
      <c r="AH916" s="1"/>
    </row>
    <row r="917" ht="13.5" customHeight="1">
      <c r="A917" s="1"/>
      <c r="B917" s="1"/>
      <c r="C917" s="3"/>
      <c r="D917" s="1"/>
      <c r="E917" s="1"/>
      <c r="F917" s="1"/>
      <c r="G917" s="1"/>
      <c r="H917" s="1"/>
      <c r="I917" s="1"/>
      <c r="J917" s="1"/>
      <c r="K917" s="2"/>
      <c r="L917" s="1"/>
      <c r="M917" s="3"/>
      <c r="N917" s="3"/>
      <c r="O917" s="4"/>
      <c r="P917" s="4"/>
      <c r="Q917" s="4"/>
      <c r="R917" s="4"/>
      <c r="S917" s="4"/>
      <c r="T917" s="4"/>
      <c r="U917" s="4"/>
      <c r="V917" s="4"/>
      <c r="W917" s="4"/>
      <c r="X917" s="3"/>
      <c r="Y917" s="2"/>
      <c r="Z917" s="2"/>
      <c r="AA917" s="1"/>
      <c r="AB917" s="1"/>
      <c r="AC917" s="1"/>
      <c r="AD917" s="1"/>
      <c r="AE917" s="1"/>
      <c r="AF917" s="1"/>
      <c r="AG917" s="1"/>
      <c r="AH917" s="1"/>
    </row>
    <row r="918" ht="13.5" customHeight="1">
      <c r="A918" s="1"/>
      <c r="B918" s="1"/>
      <c r="C918" s="3"/>
      <c r="D918" s="1"/>
      <c r="E918" s="1"/>
      <c r="F918" s="1"/>
      <c r="G918" s="1"/>
      <c r="H918" s="1"/>
      <c r="I918" s="1"/>
      <c r="J918" s="1"/>
      <c r="K918" s="2"/>
      <c r="L918" s="1"/>
      <c r="M918" s="3"/>
      <c r="N918" s="3"/>
      <c r="O918" s="4"/>
      <c r="P918" s="4"/>
      <c r="Q918" s="4"/>
      <c r="R918" s="4"/>
      <c r="S918" s="4"/>
      <c r="T918" s="4"/>
      <c r="U918" s="4"/>
      <c r="V918" s="4"/>
      <c r="W918" s="4"/>
      <c r="X918" s="3"/>
      <c r="Y918" s="2"/>
      <c r="Z918" s="2"/>
      <c r="AA918" s="1"/>
      <c r="AB918" s="1"/>
      <c r="AC918" s="1"/>
      <c r="AD918" s="1"/>
      <c r="AE918" s="1"/>
      <c r="AF918" s="1"/>
      <c r="AG918" s="1"/>
      <c r="AH918" s="1"/>
    </row>
    <row r="919" ht="13.5" customHeight="1">
      <c r="A919" s="1"/>
      <c r="B919" s="1"/>
      <c r="C919" s="3"/>
      <c r="D919" s="1"/>
      <c r="E919" s="1"/>
      <c r="F919" s="1"/>
      <c r="G919" s="1"/>
      <c r="H919" s="1"/>
      <c r="I919" s="1"/>
      <c r="J919" s="1"/>
      <c r="K919" s="2"/>
      <c r="L919" s="1"/>
      <c r="M919" s="3"/>
      <c r="N919" s="3"/>
      <c r="O919" s="4"/>
      <c r="P919" s="4"/>
      <c r="Q919" s="4"/>
      <c r="R919" s="4"/>
      <c r="S919" s="4"/>
      <c r="T919" s="4"/>
      <c r="U919" s="4"/>
      <c r="V919" s="4"/>
      <c r="W919" s="4"/>
      <c r="X919" s="3"/>
      <c r="Y919" s="2"/>
      <c r="Z919" s="2"/>
      <c r="AA919" s="1"/>
      <c r="AB919" s="1"/>
      <c r="AC919" s="1"/>
      <c r="AD919" s="1"/>
      <c r="AE919" s="1"/>
      <c r="AF919" s="1"/>
      <c r="AG919" s="1"/>
      <c r="AH919" s="1"/>
    </row>
    <row r="920" ht="13.5" customHeight="1">
      <c r="A920" s="1"/>
      <c r="B920" s="1"/>
      <c r="C920" s="3"/>
      <c r="D920" s="1"/>
      <c r="E920" s="1"/>
      <c r="F920" s="1"/>
      <c r="G920" s="1"/>
      <c r="H920" s="1"/>
      <c r="I920" s="1"/>
      <c r="J920" s="1"/>
      <c r="K920" s="2"/>
      <c r="L920" s="1"/>
      <c r="M920" s="3"/>
      <c r="N920" s="3"/>
      <c r="O920" s="4"/>
      <c r="P920" s="4"/>
      <c r="Q920" s="4"/>
      <c r="R920" s="4"/>
      <c r="S920" s="4"/>
      <c r="T920" s="4"/>
      <c r="U920" s="4"/>
      <c r="V920" s="4"/>
      <c r="W920" s="4"/>
      <c r="X920" s="3"/>
      <c r="Y920" s="2"/>
      <c r="Z920" s="2"/>
      <c r="AA920" s="1"/>
      <c r="AB920" s="1"/>
      <c r="AC920" s="1"/>
      <c r="AD920" s="1"/>
      <c r="AE920" s="1"/>
      <c r="AF920" s="1"/>
      <c r="AG920" s="1"/>
      <c r="AH920" s="1"/>
    </row>
    <row r="921" ht="13.5" customHeight="1">
      <c r="A921" s="1"/>
      <c r="B921" s="1"/>
      <c r="C921" s="3"/>
      <c r="D921" s="1"/>
      <c r="E921" s="1"/>
      <c r="F921" s="1"/>
      <c r="G921" s="1"/>
      <c r="H921" s="1"/>
      <c r="I921" s="1"/>
      <c r="J921" s="1"/>
      <c r="K921" s="2"/>
      <c r="L921" s="1"/>
      <c r="M921" s="3"/>
      <c r="N921" s="3"/>
      <c r="O921" s="4"/>
      <c r="P921" s="4"/>
      <c r="Q921" s="4"/>
      <c r="R921" s="4"/>
      <c r="S921" s="4"/>
      <c r="T921" s="4"/>
      <c r="U921" s="4"/>
      <c r="V921" s="4"/>
      <c r="W921" s="4"/>
      <c r="X921" s="3"/>
      <c r="Y921" s="2"/>
      <c r="Z921" s="2"/>
      <c r="AA921" s="1"/>
      <c r="AB921" s="1"/>
      <c r="AC921" s="1"/>
      <c r="AD921" s="1"/>
      <c r="AE921" s="1"/>
      <c r="AF921" s="1"/>
      <c r="AG921" s="1"/>
      <c r="AH921" s="1"/>
    </row>
    <row r="922" ht="13.5" customHeight="1">
      <c r="A922" s="1"/>
      <c r="B922" s="1"/>
      <c r="C922" s="3"/>
      <c r="D922" s="1"/>
      <c r="E922" s="1"/>
      <c r="F922" s="1"/>
      <c r="G922" s="1"/>
      <c r="H922" s="1"/>
      <c r="I922" s="1"/>
      <c r="J922" s="1"/>
      <c r="K922" s="2"/>
      <c r="L922" s="1"/>
      <c r="M922" s="3"/>
      <c r="N922" s="3"/>
      <c r="O922" s="4"/>
      <c r="P922" s="4"/>
      <c r="Q922" s="4"/>
      <c r="R922" s="4"/>
      <c r="S922" s="4"/>
      <c r="T922" s="4"/>
      <c r="U922" s="4"/>
      <c r="V922" s="4"/>
      <c r="W922" s="4"/>
      <c r="X922" s="3"/>
      <c r="Y922" s="2"/>
      <c r="Z922" s="2"/>
      <c r="AA922" s="1"/>
      <c r="AB922" s="1"/>
      <c r="AC922" s="1"/>
      <c r="AD922" s="1"/>
      <c r="AE922" s="1"/>
      <c r="AF922" s="1"/>
      <c r="AG922" s="1"/>
      <c r="AH922" s="1"/>
    </row>
    <row r="923" ht="13.5" customHeight="1">
      <c r="A923" s="1"/>
      <c r="B923" s="1"/>
      <c r="C923" s="3"/>
      <c r="D923" s="1"/>
      <c r="E923" s="1"/>
      <c r="F923" s="1"/>
      <c r="G923" s="1"/>
      <c r="H923" s="1"/>
      <c r="I923" s="1"/>
      <c r="J923" s="1"/>
      <c r="K923" s="2"/>
      <c r="L923" s="1"/>
      <c r="M923" s="3"/>
      <c r="N923" s="3"/>
      <c r="O923" s="4"/>
      <c r="P923" s="4"/>
      <c r="Q923" s="4"/>
      <c r="R923" s="4"/>
      <c r="S923" s="4"/>
      <c r="T923" s="4"/>
      <c r="U923" s="4"/>
      <c r="V923" s="4"/>
      <c r="W923" s="4"/>
      <c r="X923" s="3"/>
      <c r="Y923" s="2"/>
      <c r="Z923" s="2"/>
      <c r="AA923" s="1"/>
      <c r="AB923" s="1"/>
      <c r="AC923" s="1"/>
      <c r="AD923" s="1"/>
      <c r="AE923" s="1"/>
      <c r="AF923" s="1"/>
      <c r="AG923" s="1"/>
      <c r="AH923" s="1"/>
    </row>
    <row r="924" ht="13.5" customHeight="1">
      <c r="A924" s="1"/>
      <c r="B924" s="1"/>
      <c r="C924" s="3"/>
      <c r="D924" s="1"/>
      <c r="E924" s="1"/>
      <c r="F924" s="1"/>
      <c r="G924" s="1"/>
      <c r="H924" s="1"/>
      <c r="I924" s="1"/>
      <c r="J924" s="1"/>
      <c r="K924" s="2"/>
      <c r="L924" s="1"/>
      <c r="M924" s="3"/>
      <c r="N924" s="3"/>
      <c r="O924" s="4"/>
      <c r="P924" s="4"/>
      <c r="Q924" s="4"/>
      <c r="R924" s="4"/>
      <c r="S924" s="4"/>
      <c r="T924" s="4"/>
      <c r="U924" s="4"/>
      <c r="V924" s="4"/>
      <c r="W924" s="4"/>
      <c r="X924" s="3"/>
      <c r="Y924" s="2"/>
      <c r="Z924" s="2"/>
      <c r="AA924" s="1"/>
      <c r="AB924" s="1"/>
      <c r="AC924" s="1"/>
      <c r="AD924" s="1"/>
      <c r="AE924" s="1"/>
      <c r="AF924" s="1"/>
      <c r="AG924" s="1"/>
      <c r="AH924" s="1"/>
    </row>
    <row r="925" ht="13.5" customHeight="1">
      <c r="A925" s="1"/>
      <c r="B925" s="1"/>
      <c r="C925" s="3"/>
      <c r="D925" s="1"/>
      <c r="E925" s="1"/>
      <c r="F925" s="1"/>
      <c r="G925" s="1"/>
      <c r="H925" s="1"/>
      <c r="I925" s="1"/>
      <c r="J925" s="1"/>
      <c r="K925" s="2"/>
      <c r="L925" s="1"/>
      <c r="M925" s="3"/>
      <c r="N925" s="3"/>
      <c r="O925" s="4"/>
      <c r="P925" s="4"/>
      <c r="Q925" s="4"/>
      <c r="R925" s="4"/>
      <c r="S925" s="4"/>
      <c r="T925" s="4"/>
      <c r="U925" s="4"/>
      <c r="V925" s="4"/>
      <c r="W925" s="4"/>
      <c r="X925" s="3"/>
      <c r="Y925" s="2"/>
      <c r="Z925" s="2"/>
      <c r="AA925" s="1"/>
      <c r="AB925" s="1"/>
      <c r="AC925" s="1"/>
      <c r="AD925" s="1"/>
      <c r="AE925" s="1"/>
      <c r="AF925" s="1"/>
      <c r="AG925" s="1"/>
      <c r="AH925" s="1"/>
    </row>
    <row r="926" ht="13.5" customHeight="1">
      <c r="A926" s="1"/>
      <c r="B926" s="1"/>
      <c r="C926" s="3"/>
      <c r="D926" s="1"/>
      <c r="E926" s="1"/>
      <c r="F926" s="1"/>
      <c r="G926" s="1"/>
      <c r="H926" s="1"/>
      <c r="I926" s="1"/>
      <c r="J926" s="1"/>
      <c r="K926" s="2"/>
      <c r="L926" s="1"/>
      <c r="M926" s="3"/>
      <c r="N926" s="3"/>
      <c r="O926" s="4"/>
      <c r="P926" s="4"/>
      <c r="Q926" s="4"/>
      <c r="R926" s="4"/>
      <c r="S926" s="4"/>
      <c r="T926" s="4"/>
      <c r="U926" s="4"/>
      <c r="V926" s="4"/>
      <c r="W926" s="4"/>
      <c r="X926" s="3"/>
      <c r="Y926" s="2"/>
      <c r="Z926" s="2"/>
      <c r="AA926" s="1"/>
      <c r="AB926" s="1"/>
      <c r="AC926" s="1"/>
      <c r="AD926" s="1"/>
      <c r="AE926" s="1"/>
      <c r="AF926" s="1"/>
      <c r="AG926" s="1"/>
      <c r="AH926" s="1"/>
    </row>
    <row r="927" ht="13.5" customHeight="1">
      <c r="A927" s="1"/>
      <c r="B927" s="1"/>
      <c r="C927" s="3"/>
      <c r="D927" s="1"/>
      <c r="E927" s="1"/>
      <c r="F927" s="1"/>
      <c r="G927" s="1"/>
      <c r="H927" s="1"/>
      <c r="I927" s="1"/>
      <c r="J927" s="1"/>
      <c r="K927" s="2"/>
      <c r="L927" s="1"/>
      <c r="M927" s="3"/>
      <c r="N927" s="3"/>
      <c r="O927" s="4"/>
      <c r="P927" s="4"/>
      <c r="Q927" s="4"/>
      <c r="R927" s="4"/>
      <c r="S927" s="4"/>
      <c r="T927" s="4"/>
      <c r="U927" s="4"/>
      <c r="V927" s="4"/>
      <c r="W927" s="4"/>
      <c r="X927" s="3"/>
      <c r="Y927" s="2"/>
      <c r="Z927" s="2"/>
      <c r="AA927" s="1"/>
      <c r="AB927" s="1"/>
      <c r="AC927" s="1"/>
      <c r="AD927" s="1"/>
      <c r="AE927" s="1"/>
      <c r="AF927" s="1"/>
      <c r="AG927" s="1"/>
      <c r="AH927" s="1"/>
    </row>
    <row r="928" ht="13.5" customHeight="1">
      <c r="A928" s="1"/>
      <c r="B928" s="1"/>
      <c r="C928" s="3"/>
      <c r="D928" s="1"/>
      <c r="E928" s="1"/>
      <c r="F928" s="1"/>
      <c r="G928" s="1"/>
      <c r="H928" s="1"/>
      <c r="I928" s="1"/>
      <c r="J928" s="1"/>
      <c r="K928" s="2"/>
      <c r="L928" s="1"/>
      <c r="M928" s="3"/>
      <c r="N928" s="3"/>
      <c r="O928" s="4"/>
      <c r="P928" s="4"/>
      <c r="Q928" s="4"/>
      <c r="R928" s="4"/>
      <c r="S928" s="4"/>
      <c r="T928" s="4"/>
      <c r="U928" s="4"/>
      <c r="V928" s="4"/>
      <c r="W928" s="4"/>
      <c r="X928" s="3"/>
      <c r="Y928" s="2"/>
      <c r="Z928" s="2"/>
      <c r="AA928" s="1"/>
      <c r="AB928" s="1"/>
      <c r="AC928" s="1"/>
      <c r="AD928" s="1"/>
      <c r="AE928" s="1"/>
      <c r="AF928" s="1"/>
      <c r="AG928" s="1"/>
      <c r="AH928" s="1"/>
    </row>
    <row r="929" ht="13.5" customHeight="1">
      <c r="A929" s="1"/>
      <c r="B929" s="1"/>
      <c r="C929" s="3"/>
      <c r="D929" s="1"/>
      <c r="E929" s="1"/>
      <c r="F929" s="1"/>
      <c r="G929" s="1"/>
      <c r="H929" s="1"/>
      <c r="I929" s="1"/>
      <c r="J929" s="1"/>
      <c r="K929" s="2"/>
      <c r="L929" s="1"/>
      <c r="M929" s="3"/>
      <c r="N929" s="3"/>
      <c r="O929" s="4"/>
      <c r="P929" s="4"/>
      <c r="Q929" s="4"/>
      <c r="R929" s="4"/>
      <c r="S929" s="4"/>
      <c r="T929" s="4"/>
      <c r="U929" s="4"/>
      <c r="V929" s="4"/>
      <c r="W929" s="4"/>
      <c r="X929" s="3"/>
      <c r="Y929" s="2"/>
      <c r="Z929" s="2"/>
      <c r="AA929" s="1"/>
      <c r="AB929" s="1"/>
      <c r="AC929" s="1"/>
      <c r="AD929" s="1"/>
      <c r="AE929" s="1"/>
      <c r="AF929" s="1"/>
      <c r="AG929" s="1"/>
      <c r="AH929" s="1"/>
    </row>
    <row r="930" ht="13.5" customHeight="1">
      <c r="A930" s="1"/>
      <c r="B930" s="1"/>
      <c r="C930" s="3"/>
      <c r="D930" s="1"/>
      <c r="E930" s="1"/>
      <c r="F930" s="1"/>
      <c r="G930" s="1"/>
      <c r="H930" s="1"/>
      <c r="I930" s="1"/>
      <c r="J930" s="1"/>
      <c r="K930" s="2"/>
      <c r="L930" s="1"/>
      <c r="M930" s="3"/>
      <c r="N930" s="3"/>
      <c r="O930" s="4"/>
      <c r="P930" s="4"/>
      <c r="Q930" s="4"/>
      <c r="R930" s="4"/>
      <c r="S930" s="4"/>
      <c r="T930" s="4"/>
      <c r="U930" s="4"/>
      <c r="V930" s="4"/>
      <c r="W930" s="4"/>
      <c r="X930" s="3"/>
      <c r="Y930" s="2"/>
      <c r="Z930" s="2"/>
      <c r="AA930" s="1"/>
      <c r="AB930" s="1"/>
      <c r="AC930" s="1"/>
      <c r="AD930" s="1"/>
      <c r="AE930" s="1"/>
      <c r="AF930" s="1"/>
      <c r="AG930" s="1"/>
      <c r="AH930" s="1"/>
    </row>
    <row r="931" ht="13.5" customHeight="1">
      <c r="A931" s="1"/>
      <c r="B931" s="1"/>
      <c r="C931" s="3"/>
      <c r="D931" s="1"/>
      <c r="E931" s="1"/>
      <c r="F931" s="1"/>
      <c r="G931" s="1"/>
      <c r="H931" s="1"/>
      <c r="I931" s="1"/>
      <c r="J931" s="1"/>
      <c r="K931" s="2"/>
      <c r="L931" s="1"/>
      <c r="M931" s="3"/>
      <c r="N931" s="3"/>
      <c r="O931" s="4"/>
      <c r="P931" s="4"/>
      <c r="Q931" s="4"/>
      <c r="R931" s="4"/>
      <c r="S931" s="4"/>
      <c r="T931" s="4"/>
      <c r="U931" s="4"/>
      <c r="V931" s="4"/>
      <c r="W931" s="4"/>
      <c r="X931" s="3"/>
      <c r="Y931" s="2"/>
      <c r="Z931" s="2"/>
      <c r="AA931" s="1"/>
      <c r="AB931" s="1"/>
      <c r="AC931" s="1"/>
      <c r="AD931" s="1"/>
      <c r="AE931" s="1"/>
      <c r="AF931" s="1"/>
      <c r="AG931" s="1"/>
      <c r="AH931" s="1"/>
    </row>
    <row r="932" ht="13.5" customHeight="1">
      <c r="A932" s="1"/>
      <c r="B932" s="1"/>
      <c r="C932" s="3"/>
      <c r="D932" s="1"/>
      <c r="E932" s="1"/>
      <c r="F932" s="1"/>
      <c r="G932" s="1"/>
      <c r="H932" s="1"/>
      <c r="I932" s="1"/>
      <c r="J932" s="1"/>
      <c r="K932" s="2"/>
      <c r="L932" s="1"/>
      <c r="M932" s="3"/>
      <c r="N932" s="3"/>
      <c r="O932" s="4"/>
      <c r="P932" s="4"/>
      <c r="Q932" s="4"/>
      <c r="R932" s="4"/>
      <c r="S932" s="4"/>
      <c r="T932" s="4"/>
      <c r="U932" s="4"/>
      <c r="V932" s="4"/>
      <c r="W932" s="4"/>
      <c r="X932" s="3"/>
      <c r="Y932" s="2"/>
      <c r="Z932" s="2"/>
      <c r="AA932" s="1"/>
      <c r="AB932" s="1"/>
      <c r="AC932" s="1"/>
      <c r="AD932" s="1"/>
      <c r="AE932" s="1"/>
      <c r="AF932" s="1"/>
      <c r="AG932" s="1"/>
      <c r="AH932" s="1"/>
    </row>
    <row r="933" ht="13.5" customHeight="1">
      <c r="A933" s="1"/>
      <c r="B933" s="1"/>
      <c r="C933" s="3"/>
      <c r="D933" s="1"/>
      <c r="E933" s="1"/>
      <c r="F933" s="1"/>
      <c r="G933" s="1"/>
      <c r="H933" s="1"/>
      <c r="I933" s="1"/>
      <c r="J933" s="1"/>
      <c r="K933" s="2"/>
      <c r="L933" s="1"/>
      <c r="M933" s="3"/>
      <c r="N933" s="3"/>
      <c r="O933" s="4"/>
      <c r="P933" s="4"/>
      <c r="Q933" s="4"/>
      <c r="R933" s="4"/>
      <c r="S933" s="4"/>
      <c r="T933" s="4"/>
      <c r="U933" s="4"/>
      <c r="V933" s="4"/>
      <c r="W933" s="4"/>
      <c r="X933" s="3"/>
      <c r="Y933" s="2"/>
      <c r="Z933" s="2"/>
      <c r="AA933" s="1"/>
      <c r="AB933" s="1"/>
      <c r="AC933" s="1"/>
      <c r="AD933" s="1"/>
      <c r="AE933" s="1"/>
      <c r="AF933" s="1"/>
      <c r="AG933" s="1"/>
      <c r="AH933" s="1"/>
    </row>
    <row r="934" ht="13.5" customHeight="1">
      <c r="A934" s="1"/>
      <c r="B934" s="1"/>
      <c r="C934" s="3"/>
      <c r="D934" s="1"/>
      <c r="E934" s="1"/>
      <c r="F934" s="1"/>
      <c r="G934" s="1"/>
      <c r="H934" s="1"/>
      <c r="I934" s="1"/>
      <c r="J934" s="1"/>
      <c r="K934" s="2"/>
      <c r="L934" s="1"/>
      <c r="M934" s="3"/>
      <c r="N934" s="3"/>
      <c r="O934" s="4"/>
      <c r="P934" s="4"/>
      <c r="Q934" s="4"/>
      <c r="R934" s="4"/>
      <c r="S934" s="4"/>
      <c r="T934" s="4"/>
      <c r="U934" s="4"/>
      <c r="V934" s="4"/>
      <c r="W934" s="4"/>
      <c r="X934" s="3"/>
      <c r="Y934" s="2"/>
      <c r="Z934" s="2"/>
      <c r="AA934" s="1"/>
      <c r="AB934" s="1"/>
      <c r="AC934" s="1"/>
      <c r="AD934" s="1"/>
      <c r="AE934" s="1"/>
      <c r="AF934" s="1"/>
      <c r="AG934" s="1"/>
      <c r="AH934" s="1"/>
    </row>
    <row r="935" ht="13.5" customHeight="1">
      <c r="A935" s="1"/>
      <c r="B935" s="1"/>
      <c r="C935" s="3"/>
      <c r="D935" s="1"/>
      <c r="E935" s="1"/>
      <c r="F935" s="1"/>
      <c r="G935" s="1"/>
      <c r="H935" s="1"/>
      <c r="I935" s="1"/>
      <c r="J935" s="1"/>
      <c r="K935" s="2"/>
      <c r="L935" s="1"/>
      <c r="M935" s="3"/>
      <c r="N935" s="3"/>
      <c r="O935" s="4"/>
      <c r="P935" s="4"/>
      <c r="Q935" s="4"/>
      <c r="R935" s="4"/>
      <c r="S935" s="4"/>
      <c r="T935" s="4"/>
      <c r="U935" s="4"/>
      <c r="V935" s="4"/>
      <c r="W935" s="4"/>
      <c r="X935" s="3"/>
      <c r="Y935" s="2"/>
      <c r="Z935" s="2"/>
      <c r="AA935" s="1"/>
      <c r="AB935" s="1"/>
      <c r="AC935" s="1"/>
      <c r="AD935" s="1"/>
      <c r="AE935" s="1"/>
      <c r="AF935" s="1"/>
      <c r="AG935" s="1"/>
      <c r="AH935" s="1"/>
    </row>
    <row r="936" ht="13.5" customHeight="1">
      <c r="A936" s="1"/>
      <c r="B936" s="1"/>
      <c r="C936" s="3"/>
      <c r="D936" s="1"/>
      <c r="E936" s="1"/>
      <c r="F936" s="1"/>
      <c r="G936" s="1"/>
      <c r="H936" s="1"/>
      <c r="I936" s="1"/>
      <c r="J936" s="1"/>
      <c r="K936" s="2"/>
      <c r="L936" s="1"/>
      <c r="M936" s="3"/>
      <c r="N936" s="3"/>
      <c r="O936" s="4"/>
      <c r="P936" s="4"/>
      <c r="Q936" s="4"/>
      <c r="R936" s="4"/>
      <c r="S936" s="4"/>
      <c r="T936" s="4"/>
      <c r="U936" s="4"/>
      <c r="V936" s="4"/>
      <c r="W936" s="4"/>
      <c r="X936" s="3"/>
      <c r="Y936" s="2"/>
      <c r="Z936" s="2"/>
      <c r="AA936" s="1"/>
      <c r="AB936" s="1"/>
      <c r="AC936" s="1"/>
      <c r="AD936" s="1"/>
      <c r="AE936" s="1"/>
      <c r="AF936" s="1"/>
      <c r="AG936" s="1"/>
      <c r="AH936" s="1"/>
    </row>
    <row r="937" ht="13.5" customHeight="1">
      <c r="A937" s="1"/>
      <c r="B937" s="1"/>
      <c r="C937" s="3"/>
      <c r="D937" s="1"/>
      <c r="E937" s="1"/>
      <c r="F937" s="1"/>
      <c r="G937" s="1"/>
      <c r="H937" s="1"/>
      <c r="I937" s="1"/>
      <c r="J937" s="1"/>
      <c r="K937" s="2"/>
      <c r="L937" s="1"/>
      <c r="M937" s="3"/>
      <c r="N937" s="3"/>
      <c r="O937" s="4"/>
      <c r="P937" s="4"/>
      <c r="Q937" s="4"/>
      <c r="R937" s="4"/>
      <c r="S937" s="4"/>
      <c r="T937" s="4"/>
      <c r="U937" s="4"/>
      <c r="V937" s="4"/>
      <c r="W937" s="4"/>
      <c r="X937" s="3"/>
      <c r="Y937" s="2"/>
      <c r="Z937" s="2"/>
      <c r="AA937" s="1"/>
      <c r="AB937" s="1"/>
      <c r="AC937" s="1"/>
      <c r="AD937" s="1"/>
      <c r="AE937" s="1"/>
      <c r="AF937" s="1"/>
      <c r="AG937" s="1"/>
      <c r="AH937" s="1"/>
    </row>
    <row r="938" ht="13.5" customHeight="1">
      <c r="A938" s="1"/>
      <c r="B938" s="1"/>
      <c r="C938" s="3"/>
      <c r="D938" s="1"/>
      <c r="E938" s="1"/>
      <c r="F938" s="1"/>
      <c r="G938" s="1"/>
      <c r="H938" s="1"/>
      <c r="I938" s="1"/>
      <c r="J938" s="1"/>
      <c r="K938" s="2"/>
      <c r="L938" s="1"/>
      <c r="M938" s="3"/>
      <c r="N938" s="3"/>
      <c r="O938" s="4"/>
      <c r="P938" s="4"/>
      <c r="Q938" s="4"/>
      <c r="R938" s="4"/>
      <c r="S938" s="4"/>
      <c r="T938" s="4"/>
      <c r="U938" s="4"/>
      <c r="V938" s="4"/>
      <c r="W938" s="4"/>
      <c r="X938" s="3"/>
      <c r="Y938" s="2"/>
      <c r="Z938" s="2"/>
      <c r="AA938" s="1"/>
      <c r="AB938" s="1"/>
      <c r="AC938" s="1"/>
      <c r="AD938" s="1"/>
      <c r="AE938" s="1"/>
      <c r="AF938" s="1"/>
      <c r="AG938" s="1"/>
      <c r="AH938" s="1"/>
    </row>
    <row r="939" ht="13.5" customHeight="1">
      <c r="A939" s="1"/>
      <c r="B939" s="1"/>
      <c r="C939" s="3"/>
      <c r="D939" s="1"/>
      <c r="E939" s="1"/>
      <c r="F939" s="1"/>
      <c r="G939" s="1"/>
      <c r="H939" s="1"/>
      <c r="I939" s="1"/>
      <c r="J939" s="1"/>
      <c r="K939" s="2"/>
      <c r="L939" s="1"/>
      <c r="M939" s="3"/>
      <c r="N939" s="3"/>
      <c r="O939" s="4"/>
      <c r="P939" s="4"/>
      <c r="Q939" s="4"/>
      <c r="R939" s="4"/>
      <c r="S939" s="4"/>
      <c r="T939" s="4"/>
      <c r="U939" s="4"/>
      <c r="V939" s="4"/>
      <c r="W939" s="4"/>
      <c r="X939" s="3"/>
      <c r="Y939" s="2"/>
      <c r="Z939" s="2"/>
      <c r="AA939" s="1"/>
      <c r="AB939" s="1"/>
      <c r="AC939" s="1"/>
      <c r="AD939" s="1"/>
      <c r="AE939" s="1"/>
      <c r="AF939" s="1"/>
      <c r="AG939" s="1"/>
      <c r="AH939" s="1"/>
    </row>
    <row r="940" ht="13.5" customHeight="1">
      <c r="A940" s="1"/>
      <c r="B940" s="1"/>
      <c r="C940" s="3"/>
      <c r="D940" s="1"/>
      <c r="E940" s="1"/>
      <c r="F940" s="1"/>
      <c r="G940" s="1"/>
      <c r="H940" s="1"/>
      <c r="I940" s="1"/>
      <c r="J940" s="1"/>
      <c r="K940" s="2"/>
      <c r="L940" s="1"/>
      <c r="M940" s="3"/>
      <c r="N940" s="3"/>
      <c r="O940" s="4"/>
      <c r="P940" s="4"/>
      <c r="Q940" s="4"/>
      <c r="R940" s="4"/>
      <c r="S940" s="4"/>
      <c r="T940" s="4"/>
      <c r="U940" s="4"/>
      <c r="V940" s="4"/>
      <c r="W940" s="4"/>
      <c r="X940" s="3"/>
      <c r="Y940" s="2"/>
      <c r="Z940" s="2"/>
      <c r="AA940" s="1"/>
      <c r="AB940" s="1"/>
      <c r="AC940" s="1"/>
      <c r="AD940" s="1"/>
      <c r="AE940" s="1"/>
      <c r="AF940" s="1"/>
      <c r="AG940" s="1"/>
      <c r="AH940" s="1"/>
    </row>
    <row r="941" ht="13.5" customHeight="1">
      <c r="A941" s="1"/>
      <c r="B941" s="1"/>
      <c r="C941" s="3"/>
      <c r="D941" s="1"/>
      <c r="E941" s="1"/>
      <c r="F941" s="1"/>
      <c r="G941" s="1"/>
      <c r="H941" s="1"/>
      <c r="I941" s="1"/>
      <c r="J941" s="1"/>
      <c r="K941" s="2"/>
      <c r="L941" s="1"/>
      <c r="M941" s="3"/>
      <c r="N941" s="3"/>
      <c r="O941" s="4"/>
      <c r="P941" s="4"/>
      <c r="Q941" s="4"/>
      <c r="R941" s="4"/>
      <c r="S941" s="4"/>
      <c r="T941" s="4"/>
      <c r="U941" s="4"/>
      <c r="V941" s="4"/>
      <c r="W941" s="4"/>
      <c r="X941" s="3"/>
      <c r="Y941" s="2"/>
      <c r="Z941" s="2"/>
      <c r="AA941" s="1"/>
      <c r="AB941" s="1"/>
      <c r="AC941" s="1"/>
      <c r="AD941" s="1"/>
      <c r="AE941" s="1"/>
      <c r="AF941" s="1"/>
      <c r="AG941" s="1"/>
      <c r="AH941" s="1"/>
    </row>
    <row r="942" ht="13.5" customHeight="1">
      <c r="A942" s="1"/>
      <c r="B942" s="1"/>
      <c r="C942" s="3"/>
      <c r="D942" s="1"/>
      <c r="E942" s="1"/>
      <c r="F942" s="1"/>
      <c r="G942" s="1"/>
      <c r="H942" s="1"/>
      <c r="I942" s="1"/>
      <c r="J942" s="1"/>
      <c r="K942" s="2"/>
      <c r="L942" s="1"/>
      <c r="M942" s="3"/>
      <c r="N942" s="3"/>
      <c r="O942" s="4"/>
      <c r="P942" s="4"/>
      <c r="Q942" s="4"/>
      <c r="R942" s="4"/>
      <c r="S942" s="4"/>
      <c r="T942" s="4"/>
      <c r="U942" s="4"/>
      <c r="V942" s="4"/>
      <c r="W942" s="4"/>
      <c r="X942" s="3"/>
      <c r="Y942" s="2"/>
      <c r="Z942" s="2"/>
      <c r="AA942" s="1"/>
      <c r="AB942" s="1"/>
      <c r="AC942" s="1"/>
      <c r="AD942" s="1"/>
      <c r="AE942" s="1"/>
      <c r="AF942" s="1"/>
      <c r="AG942" s="1"/>
      <c r="AH942" s="1"/>
    </row>
    <row r="943" ht="13.5" customHeight="1">
      <c r="A943" s="1"/>
      <c r="B943" s="1"/>
      <c r="C943" s="3"/>
      <c r="D943" s="1"/>
      <c r="E943" s="1"/>
      <c r="F943" s="1"/>
      <c r="G943" s="1"/>
      <c r="H943" s="1"/>
      <c r="I943" s="1"/>
      <c r="J943" s="1"/>
      <c r="K943" s="2"/>
      <c r="L943" s="1"/>
      <c r="M943" s="3"/>
      <c r="N943" s="3"/>
      <c r="O943" s="4"/>
      <c r="P943" s="4"/>
      <c r="Q943" s="4"/>
      <c r="R943" s="4"/>
      <c r="S943" s="4"/>
      <c r="T943" s="4"/>
      <c r="U943" s="4"/>
      <c r="V943" s="4"/>
      <c r="W943" s="4"/>
      <c r="X943" s="3"/>
      <c r="Y943" s="2"/>
      <c r="Z943" s="2"/>
      <c r="AA943" s="1"/>
      <c r="AB943" s="1"/>
      <c r="AC943" s="1"/>
      <c r="AD943" s="1"/>
      <c r="AE943" s="1"/>
      <c r="AF943" s="1"/>
      <c r="AG943" s="1"/>
      <c r="AH943" s="1"/>
    </row>
    <row r="944" ht="13.5" customHeight="1">
      <c r="A944" s="1"/>
      <c r="B944" s="1"/>
      <c r="C944" s="3"/>
      <c r="D944" s="1"/>
      <c r="E944" s="1"/>
      <c r="F944" s="1"/>
      <c r="G944" s="1"/>
      <c r="H944" s="1"/>
      <c r="I944" s="1"/>
      <c r="J944" s="1"/>
      <c r="K944" s="2"/>
      <c r="L944" s="1"/>
      <c r="M944" s="3"/>
      <c r="N944" s="3"/>
      <c r="O944" s="4"/>
      <c r="P944" s="4"/>
      <c r="Q944" s="4"/>
      <c r="R944" s="4"/>
      <c r="S944" s="4"/>
      <c r="T944" s="4"/>
      <c r="U944" s="4"/>
      <c r="V944" s="4"/>
      <c r="W944" s="4"/>
      <c r="X944" s="3"/>
      <c r="Y944" s="2"/>
      <c r="Z944" s="2"/>
      <c r="AA944" s="1"/>
      <c r="AB944" s="1"/>
      <c r="AC944" s="1"/>
      <c r="AD944" s="1"/>
      <c r="AE944" s="1"/>
      <c r="AF944" s="1"/>
      <c r="AG944" s="1"/>
      <c r="AH944" s="1"/>
    </row>
    <row r="945" ht="13.5" customHeight="1">
      <c r="A945" s="1"/>
      <c r="B945" s="1"/>
      <c r="C945" s="3"/>
      <c r="D945" s="1"/>
      <c r="E945" s="1"/>
      <c r="F945" s="1"/>
      <c r="G945" s="1"/>
      <c r="H945" s="1"/>
      <c r="I945" s="1"/>
      <c r="J945" s="1"/>
      <c r="K945" s="2"/>
      <c r="L945" s="1"/>
      <c r="M945" s="3"/>
      <c r="N945" s="3"/>
      <c r="O945" s="4"/>
      <c r="P945" s="4"/>
      <c r="Q945" s="4"/>
      <c r="R945" s="4"/>
      <c r="S945" s="4"/>
      <c r="T945" s="4"/>
      <c r="U945" s="4"/>
      <c r="V945" s="4"/>
      <c r="W945" s="4"/>
      <c r="X945" s="3"/>
      <c r="Y945" s="2"/>
      <c r="Z945" s="2"/>
      <c r="AA945" s="1"/>
      <c r="AB945" s="1"/>
      <c r="AC945" s="1"/>
      <c r="AD945" s="1"/>
      <c r="AE945" s="1"/>
      <c r="AF945" s="1"/>
      <c r="AG945" s="1"/>
      <c r="AH945" s="1"/>
    </row>
    <row r="946" ht="13.5" customHeight="1">
      <c r="A946" s="1"/>
      <c r="B946" s="1"/>
      <c r="C946" s="3"/>
      <c r="D946" s="1"/>
      <c r="E946" s="1"/>
      <c r="F946" s="1"/>
      <c r="G946" s="1"/>
      <c r="H946" s="1"/>
      <c r="I946" s="1"/>
      <c r="J946" s="1"/>
      <c r="K946" s="2"/>
      <c r="L946" s="1"/>
      <c r="M946" s="3"/>
      <c r="N946" s="3"/>
      <c r="O946" s="4"/>
      <c r="P946" s="4"/>
      <c r="Q946" s="4"/>
      <c r="R946" s="4"/>
      <c r="S946" s="4"/>
      <c r="T946" s="4"/>
      <c r="U946" s="4"/>
      <c r="V946" s="4"/>
      <c r="W946" s="4"/>
      <c r="X946" s="3"/>
      <c r="Y946" s="2"/>
      <c r="Z946" s="2"/>
      <c r="AA946" s="1"/>
      <c r="AB946" s="1"/>
      <c r="AC946" s="1"/>
      <c r="AD946" s="1"/>
      <c r="AE946" s="1"/>
      <c r="AF946" s="1"/>
      <c r="AG946" s="1"/>
      <c r="AH946" s="1"/>
    </row>
    <row r="947" ht="13.5" customHeight="1">
      <c r="A947" s="1"/>
      <c r="B947" s="1"/>
      <c r="C947" s="3"/>
      <c r="D947" s="1"/>
      <c r="E947" s="1"/>
      <c r="F947" s="1"/>
      <c r="G947" s="1"/>
      <c r="H947" s="1"/>
      <c r="I947" s="1"/>
      <c r="J947" s="1"/>
      <c r="K947" s="2"/>
      <c r="L947" s="1"/>
      <c r="M947" s="3"/>
      <c r="N947" s="3"/>
      <c r="O947" s="4"/>
      <c r="P947" s="4"/>
      <c r="Q947" s="4"/>
      <c r="R947" s="4"/>
      <c r="S947" s="4"/>
      <c r="T947" s="4"/>
      <c r="U947" s="4"/>
      <c r="V947" s="4"/>
      <c r="W947" s="4"/>
      <c r="X947" s="3"/>
      <c r="Y947" s="2"/>
      <c r="Z947" s="2"/>
      <c r="AA947" s="1"/>
      <c r="AB947" s="1"/>
      <c r="AC947" s="1"/>
      <c r="AD947" s="1"/>
      <c r="AE947" s="1"/>
      <c r="AF947" s="1"/>
      <c r="AG947" s="1"/>
      <c r="AH947" s="1"/>
    </row>
    <row r="948" ht="13.5" customHeight="1">
      <c r="A948" s="1"/>
      <c r="B948" s="1"/>
      <c r="C948" s="3"/>
      <c r="D948" s="1"/>
      <c r="E948" s="1"/>
      <c r="F948" s="1"/>
      <c r="G948" s="1"/>
      <c r="H948" s="1"/>
      <c r="I948" s="1"/>
      <c r="J948" s="1"/>
      <c r="K948" s="2"/>
      <c r="L948" s="1"/>
      <c r="M948" s="3"/>
      <c r="N948" s="3"/>
      <c r="O948" s="4"/>
      <c r="P948" s="4"/>
      <c r="Q948" s="4"/>
      <c r="R948" s="4"/>
      <c r="S948" s="4"/>
      <c r="T948" s="4"/>
      <c r="U948" s="4"/>
      <c r="V948" s="4"/>
      <c r="W948" s="4"/>
      <c r="X948" s="3"/>
      <c r="Y948" s="2"/>
      <c r="Z948" s="2"/>
      <c r="AA948" s="1"/>
      <c r="AB948" s="1"/>
      <c r="AC948" s="1"/>
      <c r="AD948" s="1"/>
      <c r="AE948" s="1"/>
      <c r="AF948" s="1"/>
      <c r="AG948" s="1"/>
      <c r="AH948" s="1"/>
    </row>
    <row r="949" ht="13.5" customHeight="1">
      <c r="A949" s="1"/>
      <c r="B949" s="1"/>
      <c r="C949" s="3"/>
      <c r="D949" s="1"/>
      <c r="E949" s="1"/>
      <c r="F949" s="1"/>
      <c r="G949" s="1"/>
      <c r="H949" s="1"/>
      <c r="I949" s="1"/>
      <c r="J949" s="1"/>
      <c r="K949" s="2"/>
      <c r="L949" s="1"/>
      <c r="M949" s="3"/>
      <c r="N949" s="3"/>
      <c r="O949" s="4"/>
      <c r="P949" s="4"/>
      <c r="Q949" s="4"/>
      <c r="R949" s="4"/>
      <c r="S949" s="4"/>
      <c r="T949" s="4"/>
      <c r="U949" s="4"/>
      <c r="V949" s="4"/>
      <c r="W949" s="4"/>
      <c r="X949" s="3"/>
      <c r="Y949" s="2"/>
      <c r="Z949" s="2"/>
      <c r="AA949" s="1"/>
      <c r="AB949" s="1"/>
      <c r="AC949" s="1"/>
      <c r="AD949" s="1"/>
      <c r="AE949" s="1"/>
      <c r="AF949" s="1"/>
      <c r="AG949" s="1"/>
      <c r="AH949" s="1"/>
    </row>
    <row r="950" ht="13.5" customHeight="1">
      <c r="A950" s="1"/>
      <c r="B950" s="1"/>
      <c r="C950" s="3"/>
      <c r="D950" s="1"/>
      <c r="E950" s="1"/>
      <c r="F950" s="1"/>
      <c r="G950" s="1"/>
      <c r="H950" s="1"/>
      <c r="I950" s="1"/>
      <c r="J950" s="1"/>
      <c r="K950" s="2"/>
      <c r="L950" s="1"/>
      <c r="M950" s="3"/>
      <c r="N950" s="3"/>
      <c r="O950" s="4"/>
      <c r="P950" s="4"/>
      <c r="Q950" s="4"/>
      <c r="R950" s="4"/>
      <c r="S950" s="4"/>
      <c r="T950" s="4"/>
      <c r="U950" s="4"/>
      <c r="V950" s="4"/>
      <c r="W950" s="4"/>
      <c r="X950" s="3"/>
      <c r="Y950" s="2"/>
      <c r="Z950" s="2"/>
      <c r="AA950" s="1"/>
      <c r="AB950" s="1"/>
      <c r="AC950" s="1"/>
      <c r="AD950" s="1"/>
      <c r="AE950" s="1"/>
      <c r="AF950" s="1"/>
      <c r="AG950" s="1"/>
      <c r="AH950" s="1"/>
    </row>
    <row r="951" ht="13.5" customHeight="1">
      <c r="A951" s="1"/>
      <c r="B951" s="1"/>
      <c r="C951" s="3"/>
      <c r="D951" s="1"/>
      <c r="E951" s="1"/>
      <c r="F951" s="1"/>
      <c r="G951" s="1"/>
      <c r="H951" s="1"/>
      <c r="I951" s="1"/>
      <c r="J951" s="1"/>
      <c r="K951" s="2"/>
      <c r="L951" s="1"/>
      <c r="M951" s="3"/>
      <c r="N951" s="3"/>
      <c r="O951" s="4"/>
      <c r="P951" s="4"/>
      <c r="Q951" s="4"/>
      <c r="R951" s="4"/>
      <c r="S951" s="4"/>
      <c r="T951" s="4"/>
      <c r="U951" s="4"/>
      <c r="V951" s="4"/>
      <c r="W951" s="4"/>
      <c r="X951" s="3"/>
      <c r="Y951" s="2"/>
      <c r="Z951" s="2"/>
      <c r="AA951" s="1"/>
      <c r="AB951" s="1"/>
      <c r="AC951" s="1"/>
      <c r="AD951" s="1"/>
      <c r="AE951" s="1"/>
      <c r="AF951" s="1"/>
      <c r="AG951" s="1"/>
      <c r="AH951" s="1"/>
    </row>
    <row r="952" ht="13.5" customHeight="1">
      <c r="A952" s="1"/>
      <c r="B952" s="1"/>
      <c r="C952" s="3"/>
      <c r="D952" s="1"/>
      <c r="E952" s="1"/>
      <c r="F952" s="1"/>
      <c r="G952" s="1"/>
      <c r="H952" s="1"/>
      <c r="I952" s="1"/>
      <c r="J952" s="1"/>
      <c r="K952" s="2"/>
      <c r="L952" s="1"/>
      <c r="M952" s="3"/>
      <c r="N952" s="3"/>
      <c r="O952" s="4"/>
      <c r="P952" s="4"/>
      <c r="Q952" s="4"/>
      <c r="R952" s="4"/>
      <c r="S952" s="4"/>
      <c r="T952" s="4"/>
      <c r="U952" s="4"/>
      <c r="V952" s="4"/>
      <c r="W952" s="4"/>
      <c r="X952" s="3"/>
      <c r="Y952" s="2"/>
      <c r="Z952" s="2"/>
      <c r="AA952" s="1"/>
      <c r="AB952" s="1"/>
      <c r="AC952" s="1"/>
      <c r="AD952" s="1"/>
      <c r="AE952" s="1"/>
      <c r="AF952" s="1"/>
      <c r="AG952" s="1"/>
      <c r="AH952" s="1"/>
    </row>
    <row r="953" ht="13.5" customHeight="1">
      <c r="A953" s="1"/>
      <c r="B953" s="1"/>
      <c r="C953" s="3"/>
      <c r="D953" s="1"/>
      <c r="E953" s="1"/>
      <c r="F953" s="1"/>
      <c r="G953" s="1"/>
      <c r="H953" s="1"/>
      <c r="I953" s="1"/>
      <c r="J953" s="1"/>
      <c r="K953" s="2"/>
      <c r="L953" s="1"/>
      <c r="M953" s="3"/>
      <c r="N953" s="3"/>
      <c r="O953" s="4"/>
      <c r="P953" s="4"/>
      <c r="Q953" s="4"/>
      <c r="R953" s="4"/>
      <c r="S953" s="4"/>
      <c r="T953" s="4"/>
      <c r="U953" s="4"/>
      <c r="V953" s="4"/>
      <c r="W953" s="4"/>
      <c r="X953" s="3"/>
      <c r="Y953" s="2"/>
      <c r="Z953" s="2"/>
      <c r="AA953" s="1"/>
      <c r="AB953" s="1"/>
      <c r="AC953" s="1"/>
      <c r="AD953" s="1"/>
      <c r="AE953" s="1"/>
      <c r="AF953" s="1"/>
      <c r="AG953" s="1"/>
      <c r="AH953" s="1"/>
    </row>
    <row r="954" ht="13.5" customHeight="1">
      <c r="A954" s="1"/>
      <c r="B954" s="1"/>
      <c r="C954" s="3"/>
      <c r="D954" s="1"/>
      <c r="E954" s="1"/>
      <c r="F954" s="1"/>
      <c r="G954" s="1"/>
      <c r="H954" s="1"/>
      <c r="I954" s="1"/>
      <c r="J954" s="1"/>
      <c r="K954" s="2"/>
      <c r="L954" s="1"/>
      <c r="M954" s="3"/>
      <c r="N954" s="3"/>
      <c r="O954" s="4"/>
      <c r="P954" s="4"/>
      <c r="Q954" s="4"/>
      <c r="R954" s="4"/>
      <c r="S954" s="4"/>
      <c r="T954" s="4"/>
      <c r="U954" s="4"/>
      <c r="V954" s="4"/>
      <c r="W954" s="4"/>
      <c r="X954" s="3"/>
      <c r="Y954" s="2"/>
      <c r="Z954" s="2"/>
      <c r="AA954" s="1"/>
      <c r="AB954" s="1"/>
      <c r="AC954" s="1"/>
      <c r="AD954" s="1"/>
      <c r="AE954" s="1"/>
      <c r="AF954" s="1"/>
      <c r="AG954" s="1"/>
      <c r="AH954" s="1"/>
    </row>
    <row r="955" ht="13.5" customHeight="1">
      <c r="A955" s="1"/>
      <c r="B955" s="1"/>
      <c r="C955" s="3"/>
      <c r="D955" s="1"/>
      <c r="E955" s="1"/>
      <c r="F955" s="1"/>
      <c r="G955" s="1"/>
      <c r="H955" s="1"/>
      <c r="I955" s="1"/>
      <c r="J955" s="1"/>
      <c r="K955" s="2"/>
      <c r="L955" s="1"/>
      <c r="M955" s="3"/>
      <c r="N955" s="3"/>
      <c r="O955" s="4"/>
      <c r="P955" s="4"/>
      <c r="Q955" s="4"/>
      <c r="R955" s="4"/>
      <c r="S955" s="4"/>
      <c r="T955" s="4"/>
      <c r="U955" s="4"/>
      <c r="V955" s="4"/>
      <c r="W955" s="4"/>
      <c r="X955" s="3"/>
      <c r="Y955" s="2"/>
      <c r="Z955" s="2"/>
      <c r="AA955" s="1"/>
      <c r="AB955" s="1"/>
      <c r="AC955" s="1"/>
      <c r="AD955" s="1"/>
      <c r="AE955" s="1"/>
      <c r="AF955" s="1"/>
      <c r="AG955" s="1"/>
      <c r="AH955" s="1"/>
    </row>
    <row r="956" ht="13.5" customHeight="1">
      <c r="A956" s="1"/>
      <c r="B956" s="1"/>
      <c r="C956" s="3"/>
      <c r="D956" s="1"/>
      <c r="E956" s="1"/>
      <c r="F956" s="1"/>
      <c r="G956" s="1"/>
      <c r="H956" s="1"/>
      <c r="I956" s="1"/>
      <c r="J956" s="1"/>
      <c r="K956" s="2"/>
      <c r="L956" s="1"/>
      <c r="M956" s="3"/>
      <c r="N956" s="3"/>
      <c r="O956" s="4"/>
      <c r="P956" s="4"/>
      <c r="Q956" s="4"/>
      <c r="R956" s="4"/>
      <c r="S956" s="4"/>
      <c r="T956" s="4"/>
      <c r="U956" s="4"/>
      <c r="V956" s="4"/>
      <c r="W956" s="4"/>
      <c r="X956" s="3"/>
      <c r="Y956" s="2"/>
      <c r="Z956" s="2"/>
      <c r="AA956" s="1"/>
      <c r="AB956" s="1"/>
      <c r="AC956" s="1"/>
      <c r="AD956" s="1"/>
      <c r="AE956" s="1"/>
      <c r="AF956" s="1"/>
      <c r="AG956" s="1"/>
      <c r="AH956" s="1"/>
    </row>
    <row r="957" ht="13.5" customHeight="1">
      <c r="A957" s="1"/>
      <c r="B957" s="1"/>
      <c r="C957" s="3"/>
      <c r="D957" s="1"/>
      <c r="E957" s="1"/>
      <c r="F957" s="1"/>
      <c r="G957" s="1"/>
      <c r="H957" s="1"/>
      <c r="I957" s="1"/>
      <c r="J957" s="1"/>
      <c r="K957" s="2"/>
      <c r="L957" s="1"/>
      <c r="M957" s="3"/>
      <c r="N957" s="3"/>
      <c r="O957" s="4"/>
      <c r="P957" s="4"/>
      <c r="Q957" s="4"/>
      <c r="R957" s="4"/>
      <c r="S957" s="4"/>
      <c r="T957" s="4"/>
      <c r="U957" s="4"/>
      <c r="V957" s="4"/>
      <c r="W957" s="4"/>
      <c r="X957" s="3"/>
      <c r="Y957" s="2"/>
      <c r="Z957" s="2"/>
      <c r="AA957" s="1"/>
      <c r="AB957" s="1"/>
      <c r="AC957" s="1"/>
      <c r="AD957" s="1"/>
      <c r="AE957" s="1"/>
      <c r="AF957" s="1"/>
      <c r="AG957" s="1"/>
      <c r="AH957" s="1"/>
    </row>
    <row r="958" ht="13.5" customHeight="1">
      <c r="A958" s="1"/>
      <c r="B958" s="1"/>
      <c r="C958" s="3"/>
      <c r="D958" s="1"/>
      <c r="E958" s="1"/>
      <c r="F958" s="1"/>
      <c r="G958" s="1"/>
      <c r="H958" s="1"/>
      <c r="I958" s="1"/>
      <c r="J958" s="1"/>
      <c r="K958" s="2"/>
      <c r="L958" s="1"/>
      <c r="M958" s="3"/>
      <c r="N958" s="3"/>
      <c r="O958" s="4"/>
      <c r="P958" s="4"/>
      <c r="Q958" s="4"/>
      <c r="R958" s="4"/>
      <c r="S958" s="4"/>
      <c r="T958" s="4"/>
      <c r="U958" s="4"/>
      <c r="V958" s="4"/>
      <c r="W958" s="4"/>
      <c r="X958" s="3"/>
      <c r="Y958" s="2"/>
      <c r="Z958" s="2"/>
      <c r="AA958" s="1"/>
      <c r="AB958" s="1"/>
      <c r="AC958" s="1"/>
      <c r="AD958" s="1"/>
      <c r="AE958" s="1"/>
      <c r="AF958" s="1"/>
      <c r="AG958" s="1"/>
      <c r="AH958" s="1"/>
    </row>
    <row r="959" ht="13.5" customHeight="1">
      <c r="A959" s="1"/>
      <c r="B959" s="1"/>
      <c r="C959" s="3"/>
      <c r="D959" s="1"/>
      <c r="E959" s="1"/>
      <c r="F959" s="1"/>
      <c r="G959" s="1"/>
      <c r="H959" s="1"/>
      <c r="I959" s="1"/>
      <c r="J959" s="1"/>
      <c r="K959" s="2"/>
      <c r="L959" s="1"/>
      <c r="M959" s="3"/>
      <c r="N959" s="3"/>
      <c r="O959" s="4"/>
      <c r="P959" s="4"/>
      <c r="Q959" s="4"/>
      <c r="R959" s="4"/>
      <c r="S959" s="4"/>
      <c r="T959" s="4"/>
      <c r="U959" s="4"/>
      <c r="V959" s="4"/>
      <c r="W959" s="4"/>
      <c r="X959" s="3"/>
      <c r="Y959" s="2"/>
      <c r="Z959" s="2"/>
      <c r="AA959" s="1"/>
      <c r="AB959" s="1"/>
      <c r="AC959" s="1"/>
      <c r="AD959" s="1"/>
      <c r="AE959" s="1"/>
      <c r="AF959" s="1"/>
      <c r="AG959" s="1"/>
      <c r="AH959" s="1"/>
    </row>
    <row r="960" ht="13.5" customHeight="1">
      <c r="A960" s="1"/>
      <c r="B960" s="1"/>
      <c r="C960" s="3"/>
      <c r="D960" s="1"/>
      <c r="E960" s="1"/>
      <c r="F960" s="1"/>
      <c r="G960" s="1"/>
      <c r="H960" s="1"/>
      <c r="I960" s="1"/>
      <c r="J960" s="1"/>
      <c r="K960" s="2"/>
      <c r="L960" s="1"/>
      <c r="M960" s="3"/>
      <c r="N960" s="3"/>
      <c r="O960" s="4"/>
      <c r="P960" s="4"/>
      <c r="Q960" s="4"/>
      <c r="R960" s="4"/>
      <c r="S960" s="4"/>
      <c r="T960" s="4"/>
      <c r="U960" s="4"/>
      <c r="V960" s="4"/>
      <c r="W960" s="4"/>
      <c r="X960" s="3"/>
      <c r="Y960" s="2"/>
      <c r="Z960" s="2"/>
      <c r="AA960" s="1"/>
      <c r="AB960" s="1"/>
      <c r="AC960" s="1"/>
      <c r="AD960" s="1"/>
      <c r="AE960" s="1"/>
      <c r="AF960" s="1"/>
      <c r="AG960" s="1"/>
      <c r="AH960" s="1"/>
    </row>
    <row r="961" ht="13.5" customHeight="1">
      <c r="A961" s="1"/>
      <c r="B961" s="1"/>
      <c r="C961" s="3"/>
      <c r="D961" s="1"/>
      <c r="E961" s="1"/>
      <c r="F961" s="1"/>
      <c r="G961" s="1"/>
      <c r="H961" s="1"/>
      <c r="I961" s="1"/>
      <c r="J961" s="1"/>
      <c r="K961" s="2"/>
      <c r="L961" s="1"/>
      <c r="M961" s="3"/>
      <c r="N961" s="3"/>
      <c r="O961" s="4"/>
      <c r="P961" s="4"/>
      <c r="Q961" s="4"/>
      <c r="R961" s="4"/>
      <c r="S961" s="4"/>
      <c r="T961" s="4"/>
      <c r="U961" s="4"/>
      <c r="V961" s="4"/>
      <c r="W961" s="4"/>
      <c r="X961" s="3"/>
      <c r="Y961" s="2"/>
      <c r="Z961" s="2"/>
      <c r="AA961" s="1"/>
      <c r="AB961" s="1"/>
      <c r="AC961" s="1"/>
      <c r="AD961" s="1"/>
      <c r="AE961" s="1"/>
      <c r="AF961" s="1"/>
      <c r="AG961" s="1"/>
      <c r="AH961" s="1"/>
    </row>
    <row r="962" ht="13.5" customHeight="1">
      <c r="A962" s="1"/>
      <c r="B962" s="1"/>
      <c r="C962" s="3"/>
      <c r="D962" s="1"/>
      <c r="E962" s="1"/>
      <c r="F962" s="1"/>
      <c r="G962" s="1"/>
      <c r="H962" s="1"/>
      <c r="I962" s="1"/>
      <c r="J962" s="1"/>
      <c r="K962" s="2"/>
      <c r="L962" s="1"/>
      <c r="M962" s="3"/>
      <c r="N962" s="3"/>
      <c r="O962" s="4"/>
      <c r="P962" s="4"/>
      <c r="Q962" s="4"/>
      <c r="R962" s="4"/>
      <c r="S962" s="4"/>
      <c r="T962" s="4"/>
      <c r="U962" s="4"/>
      <c r="V962" s="4"/>
      <c r="W962" s="4"/>
      <c r="X962" s="3"/>
      <c r="Y962" s="2"/>
      <c r="Z962" s="2"/>
      <c r="AA962" s="1"/>
      <c r="AB962" s="1"/>
      <c r="AC962" s="1"/>
      <c r="AD962" s="1"/>
      <c r="AE962" s="1"/>
      <c r="AF962" s="1"/>
      <c r="AG962" s="1"/>
      <c r="AH962" s="1"/>
    </row>
    <row r="963" ht="13.5" customHeight="1">
      <c r="A963" s="1"/>
      <c r="B963" s="1"/>
      <c r="C963" s="3"/>
      <c r="D963" s="1"/>
      <c r="E963" s="1"/>
      <c r="F963" s="1"/>
      <c r="G963" s="1"/>
      <c r="H963" s="1"/>
      <c r="I963" s="1"/>
      <c r="J963" s="1"/>
      <c r="K963" s="2"/>
      <c r="L963" s="1"/>
      <c r="M963" s="3"/>
      <c r="N963" s="3"/>
      <c r="O963" s="4"/>
      <c r="P963" s="4"/>
      <c r="Q963" s="4"/>
      <c r="R963" s="4"/>
      <c r="S963" s="4"/>
      <c r="T963" s="4"/>
      <c r="U963" s="4"/>
      <c r="V963" s="4"/>
      <c r="W963" s="4"/>
      <c r="X963" s="3"/>
      <c r="Y963" s="2"/>
      <c r="Z963" s="2"/>
      <c r="AA963" s="1"/>
      <c r="AB963" s="1"/>
      <c r="AC963" s="1"/>
      <c r="AD963" s="1"/>
      <c r="AE963" s="1"/>
      <c r="AF963" s="1"/>
      <c r="AG963" s="1"/>
      <c r="AH963" s="1"/>
    </row>
    <row r="964" ht="13.5" customHeight="1">
      <c r="A964" s="1"/>
      <c r="B964" s="1"/>
      <c r="C964" s="3"/>
      <c r="D964" s="1"/>
      <c r="E964" s="1"/>
      <c r="F964" s="1"/>
      <c r="G964" s="1"/>
      <c r="H964" s="1"/>
      <c r="I964" s="1"/>
      <c r="J964" s="1"/>
      <c r="K964" s="2"/>
      <c r="L964" s="1"/>
      <c r="M964" s="3"/>
      <c r="N964" s="3"/>
      <c r="O964" s="4"/>
      <c r="P964" s="4"/>
      <c r="Q964" s="4"/>
      <c r="R964" s="4"/>
      <c r="S964" s="4"/>
      <c r="T964" s="4"/>
      <c r="U964" s="4"/>
      <c r="V964" s="4"/>
      <c r="W964" s="4"/>
      <c r="X964" s="3"/>
      <c r="Y964" s="2"/>
      <c r="Z964" s="2"/>
      <c r="AA964" s="1"/>
      <c r="AB964" s="1"/>
      <c r="AC964" s="1"/>
      <c r="AD964" s="1"/>
      <c r="AE964" s="1"/>
      <c r="AF964" s="1"/>
      <c r="AG964" s="1"/>
      <c r="AH964" s="1"/>
    </row>
    <row r="965" ht="13.5" customHeight="1">
      <c r="A965" s="1"/>
      <c r="B965" s="1"/>
      <c r="C965" s="3"/>
      <c r="D965" s="1"/>
      <c r="E965" s="1"/>
      <c r="F965" s="1"/>
      <c r="G965" s="1"/>
      <c r="H965" s="1"/>
      <c r="I965" s="1"/>
      <c r="J965" s="1"/>
      <c r="K965" s="2"/>
      <c r="L965" s="1"/>
      <c r="M965" s="3"/>
      <c r="N965" s="3"/>
      <c r="O965" s="4"/>
      <c r="P965" s="4"/>
      <c r="Q965" s="4"/>
      <c r="R965" s="4"/>
      <c r="S965" s="4"/>
      <c r="T965" s="4"/>
      <c r="U965" s="4"/>
      <c r="V965" s="4"/>
      <c r="W965" s="4"/>
      <c r="X965" s="3"/>
      <c r="Y965" s="2"/>
      <c r="Z965" s="2"/>
      <c r="AA965" s="1"/>
      <c r="AB965" s="1"/>
      <c r="AC965" s="1"/>
      <c r="AD965" s="1"/>
      <c r="AE965" s="1"/>
      <c r="AF965" s="1"/>
      <c r="AG965" s="1"/>
      <c r="AH965" s="1"/>
    </row>
    <row r="966" ht="13.5" customHeight="1">
      <c r="A966" s="1"/>
      <c r="B966" s="1"/>
      <c r="C966" s="3"/>
      <c r="D966" s="1"/>
      <c r="E966" s="1"/>
      <c r="F966" s="1"/>
      <c r="G966" s="1"/>
      <c r="H966" s="1"/>
      <c r="I966" s="1"/>
      <c r="J966" s="1"/>
      <c r="K966" s="2"/>
      <c r="L966" s="1"/>
      <c r="M966" s="3"/>
      <c r="N966" s="3"/>
      <c r="O966" s="4"/>
      <c r="P966" s="4"/>
      <c r="Q966" s="4"/>
      <c r="R966" s="4"/>
      <c r="S966" s="4"/>
      <c r="T966" s="4"/>
      <c r="U966" s="4"/>
      <c r="V966" s="4"/>
      <c r="W966" s="4"/>
      <c r="X966" s="3"/>
      <c r="Y966" s="2"/>
      <c r="Z966" s="2"/>
      <c r="AA966" s="1"/>
      <c r="AB966" s="1"/>
      <c r="AC966" s="1"/>
      <c r="AD966" s="1"/>
      <c r="AE966" s="1"/>
      <c r="AF966" s="1"/>
      <c r="AG966" s="1"/>
      <c r="AH966" s="1"/>
    </row>
    <row r="967" ht="13.5" customHeight="1">
      <c r="A967" s="1"/>
      <c r="B967" s="1"/>
      <c r="C967" s="3"/>
      <c r="D967" s="1"/>
      <c r="E967" s="1"/>
      <c r="F967" s="1"/>
      <c r="G967" s="1"/>
      <c r="H967" s="1"/>
      <c r="I967" s="1"/>
      <c r="J967" s="1"/>
      <c r="K967" s="2"/>
      <c r="L967" s="1"/>
      <c r="M967" s="3"/>
      <c r="N967" s="3"/>
      <c r="O967" s="4"/>
      <c r="P967" s="4"/>
      <c r="Q967" s="4"/>
      <c r="R967" s="4"/>
      <c r="S967" s="4"/>
      <c r="T967" s="4"/>
      <c r="U967" s="4"/>
      <c r="V967" s="4"/>
      <c r="W967" s="4"/>
      <c r="X967" s="3"/>
      <c r="Y967" s="2"/>
      <c r="Z967" s="2"/>
      <c r="AA967" s="1"/>
      <c r="AB967" s="1"/>
      <c r="AC967" s="1"/>
      <c r="AD967" s="1"/>
      <c r="AE967" s="1"/>
      <c r="AF967" s="1"/>
      <c r="AG967" s="1"/>
      <c r="AH967" s="1"/>
    </row>
    <row r="968" ht="13.5" customHeight="1">
      <c r="A968" s="1"/>
      <c r="B968" s="1"/>
      <c r="C968" s="3"/>
      <c r="D968" s="1"/>
      <c r="E968" s="1"/>
      <c r="F968" s="1"/>
      <c r="G968" s="1"/>
      <c r="H968" s="1"/>
      <c r="I968" s="1"/>
      <c r="J968" s="1"/>
      <c r="K968" s="2"/>
      <c r="L968" s="1"/>
      <c r="M968" s="3"/>
      <c r="N968" s="3"/>
      <c r="O968" s="4"/>
      <c r="P968" s="4"/>
      <c r="Q968" s="4"/>
      <c r="R968" s="4"/>
      <c r="S968" s="4"/>
      <c r="T968" s="4"/>
      <c r="U968" s="4"/>
      <c r="V968" s="4"/>
      <c r="W968" s="4"/>
      <c r="X968" s="3"/>
      <c r="Y968" s="2"/>
      <c r="Z968" s="2"/>
      <c r="AA968" s="1"/>
      <c r="AB968" s="1"/>
      <c r="AC968" s="1"/>
      <c r="AD968" s="1"/>
      <c r="AE968" s="1"/>
      <c r="AF968" s="1"/>
      <c r="AG968" s="1"/>
      <c r="AH968" s="1"/>
    </row>
    <row r="969" ht="13.5" customHeight="1">
      <c r="A969" s="1"/>
      <c r="B969" s="1"/>
      <c r="C969" s="3"/>
      <c r="D969" s="1"/>
      <c r="E969" s="1"/>
      <c r="F969" s="1"/>
      <c r="G969" s="1"/>
      <c r="H969" s="1"/>
      <c r="I969" s="1"/>
      <c r="J969" s="1"/>
      <c r="K969" s="2"/>
      <c r="L969" s="1"/>
      <c r="M969" s="3"/>
      <c r="N969" s="3"/>
      <c r="O969" s="4"/>
      <c r="P969" s="4"/>
      <c r="Q969" s="4"/>
      <c r="R969" s="4"/>
      <c r="S969" s="4"/>
      <c r="T969" s="4"/>
      <c r="U969" s="4"/>
      <c r="V969" s="4"/>
      <c r="W969" s="4"/>
      <c r="X969" s="3"/>
      <c r="Y969" s="2"/>
      <c r="Z969" s="2"/>
      <c r="AA969" s="1"/>
      <c r="AB969" s="1"/>
      <c r="AC969" s="1"/>
      <c r="AD969" s="1"/>
      <c r="AE969" s="1"/>
      <c r="AF969" s="1"/>
      <c r="AG969" s="1"/>
      <c r="AH969" s="1"/>
    </row>
    <row r="970" ht="13.5" customHeight="1">
      <c r="A970" s="1"/>
      <c r="B970" s="1"/>
      <c r="C970" s="3"/>
      <c r="D970" s="1"/>
      <c r="E970" s="1"/>
      <c r="F970" s="1"/>
      <c r="G970" s="1"/>
      <c r="H970" s="1"/>
      <c r="I970" s="1"/>
      <c r="J970" s="1"/>
      <c r="K970" s="2"/>
      <c r="L970" s="1"/>
      <c r="M970" s="3"/>
      <c r="N970" s="3"/>
      <c r="O970" s="4"/>
      <c r="P970" s="4"/>
      <c r="Q970" s="4"/>
      <c r="R970" s="4"/>
      <c r="S970" s="4"/>
      <c r="T970" s="4"/>
      <c r="U970" s="4"/>
      <c r="V970" s="4"/>
      <c r="W970" s="4"/>
      <c r="X970" s="3"/>
      <c r="Y970" s="2"/>
      <c r="Z970" s="2"/>
      <c r="AA970" s="1"/>
      <c r="AB970" s="1"/>
      <c r="AC970" s="1"/>
      <c r="AD970" s="1"/>
      <c r="AE970" s="1"/>
      <c r="AF970" s="1"/>
      <c r="AG970" s="1"/>
      <c r="AH970" s="1"/>
    </row>
    <row r="971" ht="13.5" customHeight="1">
      <c r="A971" s="1"/>
      <c r="B971" s="1"/>
      <c r="C971" s="3"/>
      <c r="D971" s="1"/>
      <c r="E971" s="1"/>
      <c r="F971" s="1"/>
      <c r="G971" s="1"/>
      <c r="H971" s="1"/>
      <c r="I971" s="1"/>
      <c r="J971" s="1"/>
      <c r="K971" s="2"/>
      <c r="L971" s="1"/>
      <c r="M971" s="3"/>
      <c r="N971" s="3"/>
      <c r="O971" s="4"/>
      <c r="P971" s="4"/>
      <c r="Q971" s="4"/>
      <c r="R971" s="4"/>
      <c r="S971" s="4"/>
      <c r="T971" s="4"/>
      <c r="U971" s="4"/>
      <c r="V971" s="4"/>
      <c r="W971" s="4"/>
      <c r="X971" s="3"/>
      <c r="Y971" s="2"/>
      <c r="Z971" s="2"/>
      <c r="AA971" s="1"/>
      <c r="AB971" s="1"/>
      <c r="AC971" s="1"/>
      <c r="AD971" s="1"/>
      <c r="AE971" s="1"/>
      <c r="AF971" s="1"/>
      <c r="AG971" s="1"/>
      <c r="AH971" s="1"/>
    </row>
    <row r="972" ht="13.5" customHeight="1">
      <c r="A972" s="1"/>
      <c r="B972" s="1"/>
      <c r="C972" s="3"/>
      <c r="D972" s="1"/>
      <c r="E972" s="1"/>
      <c r="F972" s="1"/>
      <c r="G972" s="1"/>
      <c r="H972" s="1"/>
      <c r="I972" s="1"/>
      <c r="J972" s="1"/>
      <c r="K972" s="2"/>
      <c r="L972" s="1"/>
      <c r="M972" s="3"/>
      <c r="N972" s="3"/>
      <c r="O972" s="4"/>
      <c r="P972" s="4"/>
      <c r="Q972" s="4"/>
      <c r="R972" s="4"/>
      <c r="S972" s="4"/>
      <c r="T972" s="4"/>
      <c r="U972" s="4"/>
      <c r="V972" s="4"/>
      <c r="W972" s="4"/>
      <c r="X972" s="3"/>
      <c r="Y972" s="2"/>
      <c r="Z972" s="2"/>
      <c r="AA972" s="1"/>
      <c r="AB972" s="1"/>
      <c r="AC972" s="1"/>
      <c r="AD972" s="1"/>
      <c r="AE972" s="1"/>
      <c r="AF972" s="1"/>
      <c r="AG972" s="1"/>
      <c r="AH972" s="1"/>
    </row>
    <row r="973" ht="13.5" customHeight="1">
      <c r="A973" s="1"/>
      <c r="B973" s="1"/>
      <c r="C973" s="3"/>
      <c r="D973" s="1"/>
      <c r="E973" s="1"/>
      <c r="F973" s="1"/>
      <c r="G973" s="1"/>
      <c r="H973" s="1"/>
      <c r="I973" s="1"/>
      <c r="J973" s="1"/>
      <c r="K973" s="2"/>
      <c r="L973" s="1"/>
      <c r="M973" s="3"/>
      <c r="N973" s="3"/>
      <c r="O973" s="4"/>
      <c r="P973" s="4"/>
      <c r="Q973" s="4"/>
      <c r="R973" s="4"/>
      <c r="S973" s="4"/>
      <c r="T973" s="4"/>
      <c r="U973" s="4"/>
      <c r="V973" s="4"/>
      <c r="W973" s="4"/>
      <c r="X973" s="3"/>
      <c r="Y973" s="2"/>
      <c r="Z973" s="2"/>
      <c r="AA973" s="1"/>
      <c r="AB973" s="1"/>
      <c r="AC973" s="1"/>
      <c r="AD973" s="1"/>
      <c r="AE973" s="1"/>
      <c r="AF973" s="1"/>
      <c r="AG973" s="1"/>
      <c r="AH973" s="1"/>
    </row>
    <row r="974" ht="13.5" customHeight="1">
      <c r="A974" s="1"/>
      <c r="B974" s="1"/>
      <c r="C974" s="3"/>
      <c r="D974" s="1"/>
      <c r="E974" s="1"/>
      <c r="F974" s="1"/>
      <c r="G974" s="1"/>
      <c r="H974" s="1"/>
      <c r="I974" s="1"/>
      <c r="J974" s="1"/>
      <c r="K974" s="2"/>
      <c r="L974" s="1"/>
      <c r="M974" s="3"/>
      <c r="N974" s="3"/>
      <c r="O974" s="4"/>
      <c r="P974" s="4"/>
      <c r="Q974" s="4"/>
      <c r="R974" s="4"/>
      <c r="S974" s="4"/>
      <c r="T974" s="4"/>
      <c r="U974" s="4"/>
      <c r="V974" s="4"/>
      <c r="W974" s="4"/>
      <c r="X974" s="3"/>
      <c r="Y974" s="2"/>
      <c r="Z974" s="2"/>
      <c r="AA974" s="1"/>
      <c r="AB974" s="1"/>
      <c r="AC974" s="1"/>
      <c r="AD974" s="1"/>
      <c r="AE974" s="1"/>
      <c r="AF974" s="1"/>
      <c r="AG974" s="1"/>
      <c r="AH974" s="1"/>
    </row>
    <row r="975" ht="13.5" customHeight="1">
      <c r="A975" s="1"/>
      <c r="B975" s="1"/>
      <c r="C975" s="3"/>
      <c r="D975" s="1"/>
      <c r="E975" s="1"/>
      <c r="F975" s="1"/>
      <c r="G975" s="1"/>
      <c r="H975" s="1"/>
      <c r="I975" s="1"/>
      <c r="J975" s="1"/>
      <c r="K975" s="2"/>
      <c r="L975" s="1"/>
      <c r="M975" s="3"/>
      <c r="N975" s="3"/>
      <c r="O975" s="4"/>
      <c r="P975" s="4"/>
      <c r="Q975" s="4"/>
      <c r="R975" s="4"/>
      <c r="S975" s="4"/>
      <c r="T975" s="4"/>
      <c r="U975" s="4"/>
      <c r="V975" s="4"/>
      <c r="W975" s="4"/>
      <c r="X975" s="3"/>
      <c r="Y975" s="2"/>
      <c r="Z975" s="2"/>
      <c r="AA975" s="1"/>
      <c r="AB975" s="1"/>
      <c r="AC975" s="1"/>
      <c r="AD975" s="1"/>
      <c r="AE975" s="1"/>
      <c r="AF975" s="1"/>
      <c r="AG975" s="1"/>
      <c r="AH975" s="1"/>
    </row>
    <row r="976" ht="13.5" customHeight="1">
      <c r="A976" s="1"/>
      <c r="B976" s="1"/>
      <c r="C976" s="3"/>
      <c r="D976" s="1"/>
      <c r="E976" s="1"/>
      <c r="F976" s="1"/>
      <c r="G976" s="1"/>
      <c r="H976" s="1"/>
      <c r="I976" s="1"/>
      <c r="J976" s="1"/>
      <c r="K976" s="2"/>
      <c r="L976" s="1"/>
      <c r="M976" s="3"/>
      <c r="N976" s="3"/>
      <c r="O976" s="4"/>
      <c r="P976" s="4"/>
      <c r="Q976" s="4"/>
      <c r="R976" s="4"/>
      <c r="S976" s="4"/>
      <c r="T976" s="4"/>
      <c r="U976" s="4"/>
      <c r="V976" s="4"/>
      <c r="W976" s="4"/>
      <c r="X976" s="3"/>
      <c r="Y976" s="2"/>
      <c r="Z976" s="2"/>
      <c r="AA976" s="1"/>
      <c r="AB976" s="1"/>
      <c r="AC976" s="1"/>
      <c r="AD976" s="1"/>
      <c r="AE976" s="1"/>
      <c r="AF976" s="1"/>
      <c r="AG976" s="1"/>
      <c r="AH976" s="1"/>
    </row>
    <row r="977" ht="13.5" customHeight="1">
      <c r="A977" s="1"/>
      <c r="B977" s="1"/>
      <c r="C977" s="3"/>
      <c r="D977" s="1"/>
      <c r="E977" s="1"/>
      <c r="F977" s="1"/>
      <c r="G977" s="1"/>
      <c r="H977" s="1"/>
      <c r="I977" s="1"/>
      <c r="J977" s="1"/>
      <c r="K977" s="2"/>
      <c r="L977" s="1"/>
      <c r="M977" s="3"/>
      <c r="N977" s="3"/>
      <c r="O977" s="4"/>
      <c r="P977" s="4"/>
      <c r="Q977" s="4"/>
      <c r="R977" s="4"/>
      <c r="S977" s="4"/>
      <c r="T977" s="4"/>
      <c r="U977" s="4"/>
      <c r="V977" s="4"/>
      <c r="W977" s="4"/>
      <c r="X977" s="3"/>
      <c r="Y977" s="2"/>
      <c r="Z977" s="2"/>
      <c r="AA977" s="1"/>
      <c r="AB977" s="1"/>
      <c r="AC977" s="1"/>
      <c r="AD977" s="1"/>
      <c r="AE977" s="1"/>
      <c r="AF977" s="1"/>
      <c r="AG977" s="1"/>
      <c r="AH977" s="1"/>
    </row>
    <row r="978" ht="13.5" customHeight="1">
      <c r="A978" s="1"/>
      <c r="B978" s="1"/>
      <c r="C978" s="3"/>
      <c r="D978" s="1"/>
      <c r="E978" s="1"/>
      <c r="F978" s="1"/>
      <c r="G978" s="1"/>
      <c r="H978" s="1"/>
      <c r="I978" s="1"/>
      <c r="J978" s="1"/>
      <c r="K978" s="2"/>
      <c r="L978" s="1"/>
      <c r="M978" s="3"/>
      <c r="N978" s="3"/>
      <c r="O978" s="4"/>
      <c r="P978" s="4"/>
      <c r="Q978" s="4"/>
      <c r="R978" s="4"/>
      <c r="S978" s="4"/>
      <c r="T978" s="4"/>
      <c r="U978" s="4"/>
      <c r="V978" s="4"/>
      <c r="W978" s="4"/>
      <c r="X978" s="3"/>
      <c r="Y978" s="2"/>
      <c r="Z978" s="2"/>
      <c r="AA978" s="1"/>
      <c r="AB978" s="1"/>
      <c r="AC978" s="1"/>
      <c r="AD978" s="1"/>
      <c r="AE978" s="1"/>
      <c r="AF978" s="1"/>
      <c r="AG978" s="1"/>
      <c r="AH978" s="1"/>
    </row>
    <row r="979" ht="13.5" customHeight="1">
      <c r="A979" s="1"/>
      <c r="B979" s="1"/>
      <c r="C979" s="3"/>
      <c r="D979" s="1"/>
      <c r="E979" s="1"/>
      <c r="F979" s="1"/>
      <c r="G979" s="1"/>
      <c r="H979" s="1"/>
      <c r="I979" s="1"/>
      <c r="J979" s="1"/>
      <c r="K979" s="2"/>
      <c r="L979" s="1"/>
      <c r="M979" s="3"/>
      <c r="N979" s="3"/>
      <c r="O979" s="4"/>
      <c r="P979" s="4"/>
      <c r="Q979" s="4"/>
      <c r="R979" s="4"/>
      <c r="S979" s="4"/>
      <c r="T979" s="4"/>
      <c r="U979" s="4"/>
      <c r="V979" s="4"/>
      <c r="W979" s="4"/>
      <c r="X979" s="3"/>
      <c r="Y979" s="2"/>
      <c r="Z979" s="2"/>
      <c r="AA979" s="1"/>
      <c r="AB979" s="1"/>
      <c r="AC979" s="1"/>
      <c r="AD979" s="1"/>
      <c r="AE979" s="1"/>
      <c r="AF979" s="1"/>
      <c r="AG979" s="1"/>
      <c r="AH979" s="1"/>
    </row>
    <row r="980" ht="13.5" customHeight="1">
      <c r="A980" s="1"/>
      <c r="B980" s="1"/>
      <c r="C980" s="3"/>
      <c r="D980" s="1"/>
      <c r="E980" s="1"/>
      <c r="F980" s="1"/>
      <c r="G980" s="1"/>
      <c r="H980" s="1"/>
      <c r="I980" s="1"/>
      <c r="J980" s="1"/>
      <c r="K980" s="2"/>
      <c r="L980" s="1"/>
      <c r="M980" s="3"/>
      <c r="N980" s="3"/>
      <c r="O980" s="4"/>
      <c r="P980" s="4"/>
      <c r="Q980" s="4"/>
      <c r="R980" s="4"/>
      <c r="S980" s="4"/>
      <c r="T980" s="4"/>
      <c r="U980" s="4"/>
      <c r="V980" s="4"/>
      <c r="W980" s="4"/>
      <c r="X980" s="3"/>
      <c r="Y980" s="2"/>
      <c r="Z980" s="2"/>
      <c r="AA980" s="1"/>
      <c r="AB980" s="1"/>
      <c r="AC980" s="1"/>
      <c r="AD980" s="1"/>
      <c r="AE980" s="1"/>
      <c r="AF980" s="1"/>
      <c r="AG980" s="1"/>
      <c r="AH980" s="1"/>
    </row>
    <row r="981" ht="13.5" customHeight="1">
      <c r="A981" s="1"/>
      <c r="B981" s="1"/>
      <c r="C981" s="3"/>
      <c r="D981" s="1"/>
      <c r="E981" s="1"/>
      <c r="F981" s="1"/>
      <c r="G981" s="1"/>
      <c r="H981" s="1"/>
      <c r="I981" s="1"/>
      <c r="J981" s="1"/>
      <c r="K981" s="2"/>
      <c r="L981" s="1"/>
      <c r="M981" s="3"/>
      <c r="N981" s="3"/>
      <c r="O981" s="4"/>
      <c r="P981" s="4"/>
      <c r="Q981" s="4"/>
      <c r="R981" s="4"/>
      <c r="S981" s="4"/>
      <c r="T981" s="4"/>
      <c r="U981" s="4"/>
      <c r="V981" s="4"/>
      <c r="W981" s="4"/>
      <c r="X981" s="3"/>
      <c r="Y981" s="2"/>
      <c r="Z981" s="2"/>
      <c r="AA981" s="1"/>
      <c r="AB981" s="1"/>
      <c r="AC981" s="1"/>
      <c r="AD981" s="1"/>
      <c r="AE981" s="1"/>
      <c r="AF981" s="1"/>
      <c r="AG981" s="1"/>
      <c r="AH981" s="1"/>
    </row>
    <row r="982" ht="13.5" customHeight="1">
      <c r="A982" s="1"/>
      <c r="B982" s="1"/>
      <c r="C982" s="3"/>
      <c r="D982" s="1"/>
      <c r="E982" s="1"/>
      <c r="F982" s="1"/>
      <c r="G982" s="1"/>
      <c r="H982" s="1"/>
      <c r="I982" s="1"/>
      <c r="J982" s="1"/>
      <c r="K982" s="2"/>
      <c r="L982" s="1"/>
      <c r="M982" s="3"/>
      <c r="N982" s="3"/>
      <c r="O982" s="4"/>
      <c r="P982" s="4"/>
      <c r="Q982" s="4"/>
      <c r="R982" s="4"/>
      <c r="S982" s="4"/>
      <c r="T982" s="4"/>
      <c r="U982" s="4"/>
      <c r="V982" s="4"/>
      <c r="W982" s="4"/>
      <c r="X982" s="3"/>
      <c r="Y982" s="2"/>
      <c r="Z982" s="2"/>
      <c r="AA982" s="1"/>
      <c r="AB982" s="1"/>
      <c r="AC982" s="1"/>
      <c r="AD982" s="1"/>
      <c r="AE982" s="1"/>
      <c r="AF982" s="1"/>
      <c r="AG982" s="1"/>
      <c r="AH982" s="1"/>
    </row>
    <row r="983" ht="13.5" customHeight="1">
      <c r="A983" s="1"/>
      <c r="B983" s="1"/>
      <c r="C983" s="3"/>
      <c r="D983" s="1"/>
      <c r="E983" s="1"/>
      <c r="F983" s="1"/>
      <c r="G983" s="1"/>
      <c r="H983" s="1"/>
      <c r="I983" s="1"/>
      <c r="J983" s="1"/>
      <c r="K983" s="2"/>
      <c r="L983" s="1"/>
      <c r="M983" s="3"/>
      <c r="N983" s="3"/>
      <c r="O983" s="4"/>
      <c r="P983" s="4"/>
      <c r="Q983" s="4"/>
      <c r="R983" s="4"/>
      <c r="S983" s="4"/>
      <c r="T983" s="4"/>
      <c r="U983" s="4"/>
      <c r="V983" s="4"/>
      <c r="W983" s="4"/>
      <c r="X983" s="3"/>
      <c r="Y983" s="2"/>
      <c r="Z983" s="2"/>
      <c r="AA983" s="1"/>
      <c r="AB983" s="1"/>
      <c r="AC983" s="1"/>
      <c r="AD983" s="1"/>
      <c r="AE983" s="1"/>
      <c r="AF983" s="1"/>
      <c r="AG983" s="1"/>
      <c r="AH983" s="1"/>
    </row>
    <row r="984" ht="13.5" customHeight="1">
      <c r="A984" s="1"/>
      <c r="B984" s="1"/>
      <c r="C984" s="3"/>
      <c r="D984" s="1"/>
      <c r="E984" s="1"/>
      <c r="F984" s="1"/>
      <c r="G984" s="1"/>
      <c r="H984" s="1"/>
      <c r="I984" s="1"/>
      <c r="J984" s="1"/>
      <c r="K984" s="2"/>
      <c r="L984" s="1"/>
      <c r="M984" s="3"/>
      <c r="N984" s="3"/>
      <c r="O984" s="4"/>
      <c r="P984" s="4"/>
      <c r="Q984" s="4"/>
      <c r="R984" s="4"/>
      <c r="S984" s="4"/>
      <c r="T984" s="4"/>
      <c r="U984" s="4"/>
      <c r="V984" s="4"/>
      <c r="W984" s="4"/>
      <c r="X984" s="3"/>
      <c r="Y984" s="2"/>
      <c r="Z984" s="2"/>
      <c r="AA984" s="1"/>
      <c r="AB984" s="1"/>
      <c r="AC984" s="1"/>
      <c r="AD984" s="1"/>
      <c r="AE984" s="1"/>
      <c r="AF984" s="1"/>
      <c r="AG984" s="1"/>
      <c r="AH984" s="1"/>
    </row>
    <row r="985" ht="13.5" customHeight="1">
      <c r="A985" s="1"/>
      <c r="B985" s="1"/>
      <c r="C985" s="3"/>
      <c r="D985" s="1"/>
      <c r="E985" s="1"/>
      <c r="F985" s="1"/>
      <c r="G985" s="1"/>
      <c r="H985" s="1"/>
      <c r="I985" s="1"/>
      <c r="J985" s="1"/>
      <c r="K985" s="2"/>
      <c r="L985" s="1"/>
      <c r="M985" s="3"/>
      <c r="N985" s="3"/>
      <c r="O985" s="4"/>
      <c r="P985" s="4"/>
      <c r="Q985" s="4"/>
      <c r="R985" s="4"/>
      <c r="S985" s="4"/>
      <c r="T985" s="4"/>
      <c r="U985" s="4"/>
      <c r="V985" s="4"/>
      <c r="W985" s="4"/>
      <c r="X985" s="3"/>
      <c r="Y985" s="2"/>
      <c r="Z985" s="2"/>
      <c r="AA985" s="1"/>
      <c r="AB985" s="1"/>
      <c r="AC985" s="1"/>
      <c r="AD985" s="1"/>
      <c r="AE985" s="1"/>
      <c r="AF985" s="1"/>
      <c r="AG985" s="1"/>
      <c r="AH985" s="1"/>
    </row>
    <row r="986" ht="13.5" customHeight="1">
      <c r="A986" s="1"/>
      <c r="B986" s="1"/>
      <c r="C986" s="3"/>
      <c r="D986" s="1"/>
      <c r="E986" s="1"/>
      <c r="F986" s="1"/>
      <c r="G986" s="1"/>
      <c r="H986" s="1"/>
      <c r="I986" s="1"/>
      <c r="J986" s="1"/>
      <c r="K986" s="2"/>
      <c r="L986" s="1"/>
      <c r="M986" s="3"/>
      <c r="N986" s="3"/>
      <c r="O986" s="4"/>
      <c r="P986" s="4"/>
      <c r="Q986" s="4"/>
      <c r="R986" s="4"/>
      <c r="S986" s="4"/>
      <c r="T986" s="4"/>
      <c r="U986" s="4"/>
      <c r="V986" s="4"/>
      <c r="W986" s="4"/>
      <c r="X986" s="3"/>
      <c r="Y986" s="2"/>
      <c r="Z986" s="2"/>
      <c r="AA986" s="1"/>
      <c r="AB986" s="1"/>
      <c r="AC986" s="1"/>
      <c r="AD986" s="1"/>
      <c r="AE986" s="1"/>
      <c r="AF986" s="1"/>
      <c r="AG986" s="1"/>
      <c r="AH986" s="1"/>
    </row>
    <row r="987" ht="13.5" customHeight="1">
      <c r="A987" s="1"/>
      <c r="B987" s="1"/>
      <c r="C987" s="3"/>
      <c r="D987" s="1"/>
      <c r="E987" s="1"/>
      <c r="F987" s="1"/>
      <c r="G987" s="1"/>
      <c r="H987" s="1"/>
      <c r="I987" s="1"/>
      <c r="J987" s="1"/>
      <c r="K987" s="2"/>
      <c r="L987" s="1"/>
      <c r="M987" s="3"/>
      <c r="N987" s="3"/>
      <c r="O987" s="4"/>
      <c r="P987" s="4"/>
      <c r="Q987" s="4"/>
      <c r="R987" s="4"/>
      <c r="S987" s="4"/>
      <c r="T987" s="4"/>
      <c r="U987" s="4"/>
      <c r="V987" s="4"/>
      <c r="W987" s="4"/>
      <c r="X987" s="3"/>
      <c r="Y987" s="2"/>
      <c r="Z987" s="2"/>
      <c r="AA987" s="1"/>
      <c r="AB987" s="1"/>
      <c r="AC987" s="1"/>
      <c r="AD987" s="1"/>
      <c r="AE987" s="1"/>
      <c r="AF987" s="1"/>
      <c r="AG987" s="1"/>
      <c r="AH987" s="1"/>
    </row>
    <row r="988" ht="13.5" customHeight="1">
      <c r="A988" s="1"/>
      <c r="B988" s="1"/>
      <c r="C988" s="3"/>
      <c r="D988" s="1"/>
      <c r="E988" s="1"/>
      <c r="F988" s="1"/>
      <c r="G988" s="1"/>
      <c r="H988" s="1"/>
      <c r="I988" s="1"/>
      <c r="J988" s="1"/>
      <c r="K988" s="2"/>
      <c r="L988" s="1"/>
      <c r="M988" s="3"/>
      <c r="N988" s="3"/>
      <c r="O988" s="4"/>
      <c r="P988" s="4"/>
      <c r="Q988" s="4"/>
      <c r="R988" s="4"/>
      <c r="S988" s="4"/>
      <c r="T988" s="4"/>
      <c r="U988" s="4"/>
      <c r="V988" s="4"/>
      <c r="W988" s="4"/>
      <c r="X988" s="3"/>
      <c r="Y988" s="2"/>
      <c r="Z988" s="2"/>
      <c r="AA988" s="1"/>
      <c r="AB988" s="1"/>
      <c r="AC988" s="1"/>
      <c r="AD988" s="1"/>
      <c r="AE988" s="1"/>
      <c r="AF988" s="1"/>
      <c r="AG988" s="1"/>
      <c r="AH988" s="1"/>
    </row>
    <row r="989" ht="13.5" customHeight="1">
      <c r="A989" s="1"/>
      <c r="B989" s="1"/>
      <c r="C989" s="3"/>
      <c r="D989" s="1"/>
      <c r="E989" s="1"/>
      <c r="F989" s="1"/>
      <c r="G989" s="1"/>
      <c r="H989" s="1"/>
      <c r="I989" s="1"/>
      <c r="J989" s="1"/>
      <c r="K989" s="2"/>
      <c r="L989" s="1"/>
      <c r="M989" s="3"/>
      <c r="N989" s="3"/>
      <c r="O989" s="4"/>
      <c r="P989" s="4"/>
      <c r="Q989" s="4"/>
      <c r="R989" s="4"/>
      <c r="S989" s="4"/>
      <c r="T989" s="4"/>
      <c r="U989" s="4"/>
      <c r="V989" s="4"/>
      <c r="W989" s="4"/>
      <c r="X989" s="3"/>
      <c r="Y989" s="2"/>
      <c r="Z989" s="2"/>
      <c r="AA989" s="1"/>
      <c r="AB989" s="1"/>
      <c r="AC989" s="1"/>
      <c r="AD989" s="1"/>
      <c r="AE989" s="1"/>
      <c r="AF989" s="1"/>
      <c r="AG989" s="1"/>
      <c r="AH989" s="1"/>
    </row>
    <row r="990" ht="13.5" customHeight="1">
      <c r="A990" s="1"/>
      <c r="B990" s="1"/>
      <c r="C990" s="3"/>
      <c r="D990" s="1"/>
      <c r="E990" s="1"/>
      <c r="F990" s="1"/>
      <c r="G990" s="1"/>
      <c r="H990" s="1"/>
      <c r="I990" s="1"/>
      <c r="J990" s="1"/>
      <c r="K990" s="2"/>
      <c r="L990" s="1"/>
      <c r="M990" s="3"/>
      <c r="N990" s="3"/>
      <c r="O990" s="4"/>
      <c r="P990" s="4"/>
      <c r="Q990" s="4"/>
      <c r="R990" s="4"/>
      <c r="S990" s="4"/>
      <c r="T990" s="4"/>
      <c r="U990" s="4"/>
      <c r="V990" s="4"/>
      <c r="W990" s="4"/>
      <c r="X990" s="3"/>
      <c r="Y990" s="2"/>
      <c r="Z990" s="2"/>
      <c r="AA990" s="1"/>
      <c r="AB990" s="1"/>
      <c r="AC990" s="1"/>
      <c r="AD990" s="1"/>
      <c r="AE990" s="1"/>
      <c r="AF990" s="1"/>
      <c r="AG990" s="1"/>
      <c r="AH990" s="1"/>
    </row>
    <row r="991" ht="13.5" customHeight="1">
      <c r="A991" s="1"/>
      <c r="B991" s="1"/>
      <c r="C991" s="3"/>
      <c r="D991" s="1"/>
      <c r="E991" s="1"/>
      <c r="F991" s="1"/>
      <c r="G991" s="1"/>
      <c r="H991" s="1"/>
      <c r="I991" s="1"/>
      <c r="J991" s="1"/>
      <c r="K991" s="2"/>
      <c r="L991" s="1"/>
      <c r="M991" s="3"/>
      <c r="N991" s="3"/>
      <c r="O991" s="4"/>
      <c r="P991" s="4"/>
      <c r="Q991" s="4"/>
      <c r="R991" s="4"/>
      <c r="S991" s="4"/>
      <c r="T991" s="4"/>
      <c r="U991" s="4"/>
      <c r="V991" s="4"/>
      <c r="W991" s="4"/>
      <c r="X991" s="3"/>
      <c r="Y991" s="2"/>
      <c r="Z991" s="2"/>
      <c r="AA991" s="1"/>
      <c r="AB991" s="1"/>
      <c r="AC991" s="1"/>
      <c r="AD991" s="1"/>
      <c r="AE991" s="1"/>
      <c r="AF991" s="1"/>
      <c r="AG991" s="1"/>
      <c r="AH991" s="1"/>
    </row>
    <row r="992" ht="13.5" customHeight="1">
      <c r="A992" s="1"/>
      <c r="B992" s="1"/>
      <c r="C992" s="3"/>
      <c r="D992" s="1"/>
      <c r="E992" s="1"/>
      <c r="F992" s="1"/>
      <c r="G992" s="1"/>
      <c r="H992" s="1"/>
      <c r="I992" s="1"/>
      <c r="J992" s="1"/>
      <c r="K992" s="2"/>
      <c r="L992" s="1"/>
      <c r="M992" s="3"/>
      <c r="N992" s="3"/>
      <c r="O992" s="4"/>
      <c r="P992" s="4"/>
      <c r="Q992" s="4"/>
      <c r="R992" s="4"/>
      <c r="S992" s="4"/>
      <c r="T992" s="4"/>
      <c r="U992" s="4"/>
      <c r="V992" s="4"/>
      <c r="W992" s="4"/>
      <c r="X992" s="3"/>
      <c r="Y992" s="2"/>
      <c r="Z992" s="2"/>
      <c r="AA992" s="1"/>
      <c r="AB992" s="1"/>
      <c r="AC992" s="1"/>
      <c r="AD992" s="1"/>
      <c r="AE992" s="1"/>
      <c r="AF992" s="1"/>
      <c r="AG992" s="1"/>
      <c r="AH992" s="1"/>
    </row>
    <row r="993" ht="13.5" customHeight="1">
      <c r="A993" s="1"/>
      <c r="B993" s="1"/>
      <c r="C993" s="3"/>
      <c r="D993" s="1"/>
      <c r="E993" s="1"/>
      <c r="F993" s="1"/>
      <c r="G993" s="1"/>
      <c r="H993" s="1"/>
      <c r="I993" s="1"/>
      <c r="J993" s="1"/>
      <c r="K993" s="2"/>
      <c r="L993" s="1"/>
      <c r="M993" s="3"/>
      <c r="N993" s="3"/>
      <c r="O993" s="4"/>
      <c r="P993" s="4"/>
      <c r="Q993" s="4"/>
      <c r="R993" s="4"/>
      <c r="S993" s="4"/>
      <c r="T993" s="4"/>
      <c r="U993" s="4"/>
      <c r="V993" s="4"/>
      <c r="W993" s="4"/>
      <c r="X993" s="3"/>
      <c r="Y993" s="2"/>
      <c r="Z993" s="2"/>
      <c r="AA993" s="1"/>
      <c r="AB993" s="1"/>
      <c r="AC993" s="1"/>
      <c r="AD993" s="1"/>
      <c r="AE993" s="1"/>
      <c r="AF993" s="1"/>
      <c r="AG993" s="1"/>
      <c r="AH993" s="1"/>
    </row>
    <row r="994" ht="13.5" customHeight="1">
      <c r="A994" s="1"/>
      <c r="B994" s="1"/>
      <c r="C994" s="3"/>
      <c r="D994" s="1"/>
      <c r="E994" s="1"/>
      <c r="F994" s="1"/>
      <c r="G994" s="1"/>
      <c r="H994" s="1"/>
      <c r="I994" s="1"/>
      <c r="J994" s="1"/>
      <c r="K994" s="2"/>
      <c r="L994" s="1"/>
      <c r="M994" s="3"/>
      <c r="N994" s="3"/>
      <c r="O994" s="4"/>
      <c r="P994" s="4"/>
      <c r="Q994" s="4"/>
      <c r="R994" s="4"/>
      <c r="S994" s="4"/>
      <c r="T994" s="4"/>
      <c r="U994" s="4"/>
      <c r="V994" s="4"/>
      <c r="W994" s="4"/>
      <c r="X994" s="3"/>
      <c r="Y994" s="2"/>
      <c r="Z994" s="2"/>
      <c r="AA994" s="1"/>
      <c r="AB994" s="1"/>
      <c r="AC994" s="1"/>
      <c r="AD994" s="1"/>
      <c r="AE994" s="1"/>
      <c r="AF994" s="1"/>
      <c r="AG994" s="1"/>
      <c r="AH994" s="1"/>
    </row>
    <row r="995" ht="13.5" customHeight="1">
      <c r="A995" s="1"/>
      <c r="B995" s="1"/>
      <c r="C995" s="3"/>
      <c r="D995" s="1"/>
      <c r="E995" s="1"/>
      <c r="F995" s="1"/>
      <c r="G995" s="1"/>
      <c r="H995" s="1"/>
      <c r="I995" s="1"/>
      <c r="J995" s="1"/>
      <c r="K995" s="2"/>
      <c r="L995" s="1"/>
      <c r="M995" s="3"/>
      <c r="N995" s="3"/>
      <c r="O995" s="4"/>
      <c r="P995" s="4"/>
      <c r="Q995" s="4"/>
      <c r="R995" s="4"/>
      <c r="S995" s="4"/>
      <c r="T995" s="4"/>
      <c r="U995" s="4"/>
      <c r="V995" s="4"/>
      <c r="W995" s="4"/>
      <c r="X995" s="3"/>
      <c r="Y995" s="2"/>
      <c r="Z995" s="2"/>
      <c r="AA995" s="1"/>
      <c r="AB995" s="1"/>
      <c r="AC995" s="1"/>
      <c r="AD995" s="1"/>
      <c r="AE995" s="1"/>
      <c r="AF995" s="1"/>
      <c r="AG995" s="1"/>
      <c r="AH995" s="1"/>
    </row>
    <row r="996" ht="13.5" customHeight="1">
      <c r="A996" s="1"/>
      <c r="B996" s="1"/>
      <c r="C996" s="3"/>
      <c r="D996" s="1"/>
      <c r="E996" s="1"/>
      <c r="F996" s="1"/>
      <c r="G996" s="1"/>
      <c r="H996" s="1"/>
      <c r="I996" s="1"/>
      <c r="J996" s="1"/>
      <c r="K996" s="2"/>
      <c r="L996" s="1"/>
      <c r="M996" s="3"/>
      <c r="N996" s="3"/>
      <c r="O996" s="4"/>
      <c r="P996" s="4"/>
      <c r="Q996" s="4"/>
      <c r="R996" s="4"/>
      <c r="S996" s="4"/>
      <c r="T996" s="4"/>
      <c r="U996" s="4"/>
      <c r="V996" s="4"/>
      <c r="W996" s="4"/>
      <c r="X996" s="3"/>
      <c r="Y996" s="2"/>
      <c r="Z996" s="2"/>
      <c r="AA996" s="1"/>
      <c r="AB996" s="1"/>
      <c r="AC996" s="1"/>
      <c r="AD996" s="1"/>
      <c r="AE996" s="1"/>
      <c r="AF996" s="1"/>
      <c r="AG996" s="1"/>
      <c r="AH996" s="1"/>
    </row>
    <row r="997" ht="13.5" customHeight="1">
      <c r="A997" s="1"/>
      <c r="B997" s="1"/>
      <c r="C997" s="3"/>
      <c r="D997" s="1"/>
      <c r="E997" s="1"/>
      <c r="F997" s="1"/>
      <c r="G997" s="1"/>
      <c r="H997" s="1"/>
      <c r="I997" s="1"/>
      <c r="J997" s="1"/>
      <c r="K997" s="2"/>
      <c r="L997" s="1"/>
      <c r="M997" s="3"/>
      <c r="N997" s="3"/>
      <c r="O997" s="4"/>
      <c r="P997" s="4"/>
      <c r="Q997" s="4"/>
      <c r="R997" s="4"/>
      <c r="S997" s="4"/>
      <c r="T997" s="4"/>
      <c r="U997" s="4"/>
      <c r="V997" s="4"/>
      <c r="W997" s="4"/>
      <c r="X997" s="3"/>
      <c r="Y997" s="2"/>
      <c r="Z997" s="2"/>
      <c r="AA997" s="1"/>
      <c r="AB997" s="1"/>
      <c r="AC997" s="1"/>
      <c r="AD997" s="1"/>
      <c r="AE997" s="1"/>
      <c r="AF997" s="1"/>
      <c r="AG997" s="1"/>
      <c r="AH997" s="1"/>
    </row>
    <row r="998" ht="13.5" customHeight="1">
      <c r="A998" s="1"/>
      <c r="B998" s="1"/>
      <c r="C998" s="3"/>
      <c r="D998" s="1"/>
      <c r="E998" s="1"/>
      <c r="F998" s="1"/>
      <c r="G998" s="1"/>
      <c r="H998" s="1"/>
      <c r="I998" s="1"/>
      <c r="J998" s="1"/>
      <c r="K998" s="2"/>
      <c r="L998" s="1"/>
      <c r="M998" s="3"/>
      <c r="N998" s="3"/>
      <c r="O998" s="4"/>
      <c r="P998" s="4"/>
      <c r="Q998" s="4"/>
      <c r="R998" s="4"/>
      <c r="S998" s="4"/>
      <c r="T998" s="4"/>
      <c r="U998" s="4"/>
      <c r="V998" s="4"/>
      <c r="W998" s="4"/>
      <c r="X998" s="3"/>
      <c r="Y998" s="2"/>
      <c r="Z998" s="2"/>
      <c r="AA998" s="1"/>
      <c r="AB998" s="1"/>
      <c r="AC998" s="1"/>
      <c r="AD998" s="1"/>
      <c r="AE998" s="1"/>
      <c r="AF998" s="1"/>
      <c r="AG998" s="1"/>
      <c r="AH998" s="1"/>
    </row>
    <row r="999" ht="13.5" customHeight="1">
      <c r="A999" s="1"/>
      <c r="B999" s="1"/>
      <c r="C999" s="3"/>
      <c r="D999" s="1"/>
      <c r="E999" s="1"/>
      <c r="F999" s="1"/>
      <c r="G999" s="1"/>
      <c r="H999" s="1"/>
      <c r="I999" s="1"/>
      <c r="J999" s="1"/>
      <c r="K999" s="2"/>
      <c r="L999" s="1"/>
      <c r="M999" s="3"/>
      <c r="N999" s="3"/>
      <c r="O999" s="4"/>
      <c r="P999" s="4"/>
      <c r="Q999" s="4"/>
      <c r="R999" s="4"/>
      <c r="S999" s="4"/>
      <c r="T999" s="4"/>
      <c r="U999" s="4"/>
      <c r="V999" s="4"/>
      <c r="W999" s="4"/>
      <c r="X999" s="3"/>
      <c r="Y999" s="2"/>
      <c r="Z999" s="2"/>
      <c r="AA999" s="1"/>
      <c r="AB999" s="1"/>
      <c r="AC999" s="1"/>
      <c r="AD999" s="1"/>
      <c r="AE999" s="1"/>
      <c r="AF999" s="1"/>
      <c r="AG999" s="1"/>
      <c r="AH999" s="1"/>
    </row>
    <row r="1000" ht="13.5" customHeight="1">
      <c r="A1000" s="1"/>
      <c r="B1000" s="1"/>
      <c r="C1000" s="3"/>
      <c r="D1000" s="1"/>
      <c r="E1000" s="1"/>
      <c r="F1000" s="1"/>
      <c r="G1000" s="1"/>
      <c r="H1000" s="1"/>
      <c r="I1000" s="1"/>
      <c r="J1000" s="1"/>
      <c r="K1000" s="2"/>
      <c r="L1000" s="1"/>
      <c r="M1000" s="3"/>
      <c r="N1000" s="3"/>
      <c r="O1000" s="4"/>
      <c r="P1000" s="4"/>
      <c r="Q1000" s="4"/>
      <c r="R1000" s="4"/>
      <c r="S1000" s="4"/>
      <c r="T1000" s="4"/>
      <c r="U1000" s="4"/>
      <c r="V1000" s="4"/>
      <c r="W1000" s="4"/>
      <c r="X1000" s="3"/>
      <c r="Y1000" s="2"/>
      <c r="Z1000" s="2"/>
      <c r="AA1000" s="1"/>
      <c r="AB1000" s="1"/>
      <c r="AC1000" s="1"/>
      <c r="AD1000" s="1"/>
      <c r="AE1000" s="1"/>
      <c r="AF1000" s="1"/>
      <c r="AG1000" s="1"/>
      <c r="AH1000" s="1"/>
    </row>
  </sheetData>
  <customSheetViews>
    <customSheetView guid="{BD30BB9D-17A9-411B-BBB8-CEE6A91F0EF2}" filter="1" showAutoFilter="1">
      <autoFilter ref="$A$2:$AA$235"/>
      <extLst>
        <ext uri="GoogleSheetsCustomDataVersion1">
          <go:sheetsCustomData xmlns:go="http://customooxmlschemas.google.com/" filterViewId="301264179"/>
        </ext>
      </extLst>
    </customSheetView>
  </customSheetViews>
  <conditionalFormatting sqref="A1:Z2 A3:J3 A4:E30 A31 A32:E38 A39:B39 A40:E69 A192:F192 A193 A194:F194 A195:A196 A222:F224 A225 A226:B226 A227:A234 A235:F235 A236:Z1000 B70:E78 B105:E106 B107:D113 B117:D117 B118:B120 B121:D121 B122:F167 B169:F174 B177:F180 B182:F191 B197:F221 C31:E31 C79:E79 C114:D116 C168:F168 C181:F181 D39:E39 D118:D120 D175:F176 D195:F196 D225:F234 E107:E121 F4:F79 F105:F121 G4:G235 H4:J21 H22:I22 H23:J101 H105:J174 H177:J191 H192:L192 H194:Z195 H196:R196 H197:J208 H209:I210 H211:J222 H223:X223 H224:Z224 H225:X233 H234:Z235 I175:J176 I193:M193 M3:X4 M5:N5 M6:X18 M20:X35 M43:X43 M46:X79 M80:W83 M85:X85 M86:W87 M88:X90 M92:X92 M96:X101 M102:M105 M106:X112 M113:Z113 M114:X119 M120:W120 M121:X122 M123:O123 M124:X126 M127:W127 M128:X129 M130:W130 M131:X131 M132:W132 M133:X136 M137:W138 M139:X143 M159:X164 M166:X169 M171:X171 M172:W172 M174:X174 M175:N176 M177:X177 M179:X181 M182:W182 M186:W186 M197:W200 M202:N215 M216:W218 M219:X222 N145:W146 N150:W152 N153:X156 N157:W157 N158:X158 N165:P165 N192:Z192 N201 O105:X105 P175 P176:W176 Q123:X123 Q173:X173 T196:Z196 X5 X19 X36:X42 X44:X45 X80:X84 X91 X93:X95 X144:X146 X165 X170 X178 X182:X191 X197:X218 Z225:Z233">
    <cfRule type="cellIs" dxfId="3" priority="1" operator="equal">
      <formula>"סיכון גבוה"</formula>
    </cfRule>
  </conditionalFormatting>
  <conditionalFormatting sqref="B175:C176">
    <cfRule type="cellIs" dxfId="3" priority="2" operator="equal">
      <formula>"סיכון גבוה"</formula>
    </cfRule>
  </conditionalFormatting>
  <conditionalFormatting sqref="B80:F102 B104:F104">
    <cfRule type="cellIs" dxfId="3" priority="3" operator="equal">
      <formula>"סיכון גבוה"</formula>
    </cfRule>
  </conditionalFormatting>
  <conditionalFormatting sqref="E193">
    <cfRule type="cellIs" dxfId="3" priority="4" operator="equal">
      <formula>"סיכון גבוה"</formula>
    </cfRule>
  </conditionalFormatting>
  <conditionalFormatting sqref="E103:F103">
    <cfRule type="cellIs" dxfId="3" priority="5" operator="equal">
      <formula>"סיכון גבוה"</formula>
    </cfRule>
  </conditionalFormatting>
  <conditionalFormatting sqref="F193">
    <cfRule type="cellIs" dxfId="3" priority="6" operator="equal">
      <formula>"סיכון גבוה"</formula>
    </cfRule>
  </conditionalFormatting>
  <conditionalFormatting sqref="B103:D103 H102:H104">
    <cfRule type="cellIs" dxfId="3" priority="7" operator="equal">
      <formula>"סיכון גבוה"</formula>
    </cfRule>
  </conditionalFormatting>
  <conditionalFormatting sqref="H175:H176">
    <cfRule type="cellIs" dxfId="3" priority="8" operator="equal">
      <formula>"סיכון גבוה"</formula>
    </cfRule>
  </conditionalFormatting>
  <conditionalFormatting sqref="I1:I102 I104:I1000">
    <cfRule type="cellIs" dxfId="4" priority="9" operator="equal">
      <formula>"סיכון נמוך"</formula>
    </cfRule>
  </conditionalFormatting>
  <conditionalFormatting sqref="I1:I102 I104:I1000">
    <cfRule type="cellIs" dxfId="5" priority="10" operator="equal">
      <formula>"סיכון בינוני"</formula>
    </cfRule>
  </conditionalFormatting>
  <conditionalFormatting sqref="I102:I104">
    <cfRule type="cellIs" dxfId="3" priority="11" operator="equal">
      <formula>"סיכון גבוה"</formula>
    </cfRule>
  </conditionalFormatting>
  <conditionalFormatting sqref="J103">
    <cfRule type="cellIs" dxfId="3" priority="12" operator="equal">
      <formula>"סיכון גבוה"</formula>
    </cfRule>
  </conditionalFormatting>
  <conditionalFormatting sqref="J209:J210">
    <cfRule type="cellIs" dxfId="3" priority="13" operator="equal">
      <formula>"סיכון גבוה"</formula>
    </cfRule>
  </conditionalFormatting>
  <conditionalFormatting sqref="M144:M158">
    <cfRule type="cellIs" dxfId="3" priority="14" operator="equal">
      <formula>"סיכון גבוה"</formula>
    </cfRule>
  </conditionalFormatting>
  <conditionalFormatting sqref="N102:N105">
    <cfRule type="cellIs" dxfId="3" priority="15" operator="equal">
      <formula>"סיכון גבוה"</formula>
    </cfRule>
  </conditionalFormatting>
  <conditionalFormatting sqref="O175:O176">
    <cfRule type="cellIs" dxfId="3" priority="16" operator="equal">
      <formula>"סיכון גבוה"</formula>
    </cfRule>
  </conditionalFormatting>
  <conditionalFormatting sqref="O102:W102">
    <cfRule type="cellIs" dxfId="3" priority="17" operator="equal">
      <formula>"סיכון גבוה"</formula>
    </cfRule>
  </conditionalFormatting>
  <conditionalFormatting sqref="O201:W215">
    <cfRule type="cellIs" dxfId="3" priority="18" operator="equal">
      <formula>"סיכון גבוה"</formula>
    </cfRule>
  </conditionalFormatting>
  <conditionalFormatting sqref="P123">
    <cfRule type="cellIs" dxfId="3" priority="19" operator="equal">
      <formula>"סיכון גבוה"</formula>
    </cfRule>
  </conditionalFormatting>
  <conditionalFormatting sqref="P84:W84">
    <cfRule type="cellIs" dxfId="3" priority="20" operator="equal">
      <formula>"סיכון גבוה"</formula>
    </cfRule>
  </conditionalFormatting>
  <conditionalFormatting sqref="P183:W183">
    <cfRule type="cellIs" dxfId="3" priority="21" operator="equal">
      <formula>"סיכון גבוה"</formula>
    </cfRule>
  </conditionalFormatting>
  <conditionalFormatting sqref="Q175">
    <cfRule type="cellIs" dxfId="3" priority="22" operator="equal">
      <formula>"סיכון גבוה"</formula>
    </cfRule>
  </conditionalFormatting>
  <conditionalFormatting sqref="R175:W175">
    <cfRule type="cellIs" dxfId="3" priority="23" operator="equal">
      <formula>"סיכון גבוה"</formula>
    </cfRule>
  </conditionalFormatting>
  <conditionalFormatting sqref="X104">
    <cfRule type="cellIs" dxfId="3" priority="24" operator="equal">
      <formula>"סיכון גבוה"</formula>
    </cfRule>
  </conditionalFormatting>
  <conditionalFormatting sqref="X132">
    <cfRule type="cellIs" dxfId="3" priority="25" operator="equal">
      <formula>"סיכון גבוה"</formula>
    </cfRule>
  </conditionalFormatting>
  <conditionalFormatting sqref="X175:X176">
    <cfRule type="cellIs" dxfId="3" priority="26" operator="equal">
      <formula>"סיכון גבוה"</formula>
    </cfRule>
  </conditionalFormatting>
  <conditionalFormatting sqref="X127:Y127">
    <cfRule type="cellIs" dxfId="3" priority="27" operator="equal">
      <formula>"סיכון גבוה"</formula>
    </cfRule>
  </conditionalFormatting>
  <conditionalFormatting sqref="X130:Y130">
    <cfRule type="cellIs" dxfId="3" priority="28" operator="equal">
      <formula>"סיכון גבוה"</formula>
    </cfRule>
  </conditionalFormatting>
  <conditionalFormatting sqref="X138:Y138">
    <cfRule type="cellIs" dxfId="3" priority="29" operator="equal">
      <formula>"סיכון גבוה"</formula>
    </cfRule>
  </conditionalFormatting>
  <conditionalFormatting sqref="Y193">
    <cfRule type="cellIs" dxfId="3" priority="30" operator="equal">
      <formula>"סיכון גבוה"</formula>
    </cfRule>
  </conditionalFormatting>
  <conditionalFormatting sqref="Z130">
    <cfRule type="cellIs" dxfId="3" priority="31" operator="equal">
      <formula>"סיכון גבוה"</formula>
    </cfRule>
  </conditionalFormatting>
  <dataValidations>
    <dataValidation type="list" allowBlank="1" showErrorMessage="1" sqref="F3:F101 F105:F235">
      <formula1>'גיליון1'!$K$5:$K$11</formula1>
    </dataValidation>
    <dataValidation type="list" allowBlank="1" showErrorMessage="1" sqref="I9">
      <formula1>'גיליון1'!$B$8:$B$16</formula1>
    </dataValidation>
    <dataValidation type="list" allowBlank="1" showErrorMessage="1" sqref="AE18 AE35 Y3:Z112 Y114:Z126 Z127 Y128:Z129 Y131:Z137 Y138 Y139:Z151 Y153:Z156 Z157 Y158:Z192 Y193 M195:N195 Y194:Z224 Y225:Y233">
      <formula1>'גיליון1'!$F$8:$F$17</formula1>
    </dataValidation>
    <dataValidation type="list" allowBlank="1" showErrorMessage="1" sqref="E3:E101 E105:E235">
      <formula1>'גיליון1'!$I$5:$I$27</formula1>
    </dataValidation>
    <dataValidation type="list" allowBlank="1" showErrorMessage="1" sqref="J1:J21 J23:J101 J105:J194 I195 J196:J1000">
      <formula1>'גיליון1'!$B$5:$B$18</formula1>
    </dataValidation>
    <dataValidation type="list" allowBlank="1" showErrorMessage="1" sqref="I3:I8 I10:I102 I104:I158">
      <formula1>'גיליון1'!$D$8:$D$10</formula1>
    </dataValidation>
  </dataValidations>
  <hyperlinks>
    <hyperlink r:id="rId2" location="/project/5147099/details" ref="C195"/>
  </hyperlinks>
  <printOptions/>
  <pageMargins bottom="0.75" footer="0.0" header="0.0" left="0.7" right="0.7" top="0.75"/>
  <pageSetup paperSize="9" orientation="landscape"/>
  <drawing r:id="rId3"/>
  <legacyDrawing r:id="rId4"/>
  <tableParts count="1">
    <tablePart r:id="rId6"/>
  </tableParts>
  <extLst>
    <ext uri="{3A4CF648-6AED-40f4-86FF-DC5316D8AED3}">
      <x14:slicerList>
        <x14:slicer r:id="rId7"/>
      </x14:slicerList>
    </ext>
  </extLst>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2025-08-12T04:07:28Z</dcterms:created>
  <dc:creator>סטאמקר לינוי</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0x0101008DDB11D9B6DCE54093A9CA3A13E28498</vt:lpwstr>
  </property>
</Properties>
</file>