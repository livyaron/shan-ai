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codeName="חוברת_עבודה_זו"/>
  <mc:AlternateContent xmlns:mc="http://schemas.openxmlformats.org/markup-compatibility/2006">
    <mc:Choice Requires="x15">
      <x15ac:absPath xmlns:x15ac="http://schemas.microsoft.com/office/spreadsheetml/2010/11/ac" url="W:\iec\a04.substations\H\668\תוב רב פרויקטלי\דוחות\דוח שבועי _סמנכל\2026\06.26\"/>
    </mc:Choice>
  </mc:AlternateContent>
  <xr:revisionPtr revIDLastSave="0" documentId="8_{530CF0DF-DBC1-41FA-8364-34BD17CD4AAF}" xr6:coauthVersionLast="47" xr6:coauthVersionMax="47" xr10:uidLastSave="{00000000-0000-0000-0000-000000000000}"/>
  <bookViews>
    <workbookView xWindow="-108" yWindow="-108" windowWidth="23256" windowHeight="13896" tabRatio="867" firstSheet="3" activeTab="3" xr2:uid="{00000000-000D-0000-FFFF-FFFF00000000}"/>
  </bookViews>
  <sheets>
    <sheet name="מאקרו1" sheetId="4" state="hidden" r:id="rId1"/>
    <sheet name="דוח שבועי טיוטה" sheetId="3" state="hidden" r:id="rId2"/>
    <sheet name="גיליון1" sheetId="2" state="hidden" r:id="rId3"/>
    <sheet name="דוח שבועי עדכני" sheetId="5" r:id="rId4"/>
  </sheets>
  <externalReferences>
    <externalReference r:id="rId5"/>
  </externalReferences>
  <definedNames>
    <definedName name="_xlnm._FilterDatabase" localSheetId="3" hidden="1">'דוח שבועי עדכני'!$A$1:$X$1</definedName>
    <definedName name="Slicer_חוסר_בבודקים">#N/A</definedName>
    <definedName name="Slicer_חוסר_במשגיחים">#N/A</definedName>
    <definedName name="Slicer_חסם">#N/A</definedName>
    <definedName name="Slicer_חסם1">#N/A</definedName>
    <definedName name="Slicer_לדיווח">#N/A</definedName>
    <definedName name="Slicer_לטיפול">#N/A</definedName>
    <definedName name="Slicer_מנה_פ">#N/A</definedName>
    <definedName name="Slicer_מנה_פ1">#N/A</definedName>
    <definedName name="Slicer_סוג_תחנה">#N/A</definedName>
    <definedName name="Slicer_סוג_תחנה1">#N/A</definedName>
    <definedName name="Slicer_סטטוס_הפרויקט_על_ציר_הזמן">#N/A</definedName>
    <definedName name="Slicer_סטטוס_הפרויקט_על_ציר_הזמן1">#N/A</definedName>
    <definedName name="Slicer_סיכון">#N/A</definedName>
    <definedName name="Slicer_תו_ב">#N/A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7" i="5" l="1"/>
  <c r="W249" i="5"/>
  <c r="W248" i="5"/>
  <c r="W247" i="5"/>
  <c r="W246" i="5"/>
  <c r="W245" i="5"/>
  <c r="W244" i="5"/>
  <c r="W243" i="5"/>
  <c r="W235" i="5"/>
  <c r="W234" i="5"/>
  <c r="W233" i="5"/>
  <c r="W232" i="5"/>
  <c r="W231" i="5"/>
  <c r="W230" i="5"/>
  <c r="W229" i="5"/>
  <c r="W228" i="5"/>
  <c r="W227" i="5"/>
  <c r="W226" i="5"/>
  <c r="W225" i="5"/>
  <c r="W224" i="5"/>
  <c r="W223" i="5"/>
  <c r="W222" i="5"/>
  <c r="W221" i="5"/>
  <c r="W220" i="5"/>
  <c r="W219" i="5"/>
  <c r="W218" i="5"/>
  <c r="W217" i="5"/>
  <c r="W216" i="5"/>
  <c r="W208" i="5"/>
  <c r="W207" i="5"/>
  <c r="W206" i="5"/>
  <c r="W205" i="5"/>
  <c r="W203" i="5"/>
  <c r="W202" i="5"/>
  <c r="W200" i="5"/>
  <c r="W199" i="5"/>
  <c r="W198" i="5"/>
  <c r="W196" i="5"/>
  <c r="W195" i="5"/>
  <c r="W194" i="5"/>
  <c r="W193" i="5"/>
  <c r="W192" i="5"/>
  <c r="W191" i="5"/>
  <c r="W190" i="5"/>
  <c r="W189" i="5"/>
  <c r="W188" i="5"/>
  <c r="W187" i="5"/>
  <c r="W185" i="5"/>
  <c r="W184" i="5"/>
  <c r="W183" i="5"/>
  <c r="W182" i="5"/>
  <c r="W181" i="5"/>
  <c r="W180" i="5"/>
  <c r="W179" i="5"/>
  <c r="W178" i="5"/>
  <c r="W177" i="5"/>
  <c r="W175" i="5"/>
  <c r="W174" i="5"/>
  <c r="W173" i="5"/>
  <c r="W172" i="5"/>
  <c r="W170" i="5"/>
  <c r="W169" i="5"/>
  <c r="W168" i="5"/>
  <c r="W167" i="5"/>
  <c r="W166" i="5"/>
  <c r="W165" i="5"/>
  <c r="W164" i="5"/>
  <c r="W163" i="5"/>
  <c r="W162" i="5"/>
  <c r="W161" i="5"/>
  <c r="W160" i="5"/>
  <c r="W159" i="5"/>
  <c r="W158" i="5"/>
  <c r="W157" i="5"/>
  <c r="W156" i="5"/>
  <c r="W155" i="5"/>
  <c r="W154" i="5"/>
  <c r="W153" i="5"/>
  <c r="W152" i="5"/>
  <c r="W151" i="5"/>
  <c r="W150" i="5"/>
  <c r="W149" i="5"/>
  <c r="W148" i="5"/>
  <c r="W147" i="5"/>
  <c r="W146" i="5"/>
  <c r="W145" i="5"/>
  <c r="W144" i="5"/>
  <c r="W143" i="5"/>
  <c r="W142" i="5"/>
  <c r="W141" i="5"/>
  <c r="W140" i="5"/>
  <c r="W139" i="5"/>
  <c r="W138" i="5"/>
  <c r="W137" i="5"/>
  <c r="W136" i="5"/>
  <c r="W135" i="5"/>
  <c r="W134" i="5"/>
  <c r="W133" i="5"/>
  <c r="W132" i="5"/>
  <c r="W131" i="5"/>
  <c r="W130" i="5"/>
  <c r="W129" i="5"/>
  <c r="W128" i="5"/>
  <c r="W126" i="5"/>
  <c r="W122" i="5"/>
  <c r="W121" i="5"/>
  <c r="W119" i="5"/>
  <c r="W116" i="5"/>
  <c r="W115" i="5"/>
  <c r="W114" i="5"/>
  <c r="W113" i="5"/>
  <c r="W111" i="5"/>
  <c r="W110" i="5"/>
  <c r="W109" i="5"/>
  <c r="W108" i="5"/>
  <c r="W107" i="5"/>
  <c r="W106" i="5"/>
  <c r="W105" i="5"/>
  <c r="W104" i="5"/>
  <c r="W103" i="5"/>
  <c r="W102" i="5"/>
  <c r="W101" i="5"/>
  <c r="W100" i="5"/>
  <c r="W99" i="5"/>
  <c r="W98" i="5"/>
  <c r="W97" i="5"/>
  <c r="W96" i="5"/>
  <c r="W95" i="5"/>
  <c r="W94" i="5"/>
  <c r="W93" i="5"/>
  <c r="W92" i="5"/>
  <c r="W91" i="5"/>
  <c r="W88" i="5"/>
  <c r="W86" i="5"/>
  <c r="W82" i="5"/>
  <c r="W81" i="5"/>
  <c r="W80" i="5"/>
  <c r="W77" i="5"/>
  <c r="W75" i="5"/>
  <c r="W74" i="5"/>
  <c r="W71" i="5"/>
  <c r="W70" i="5"/>
  <c r="W69" i="5"/>
  <c r="W67" i="5"/>
  <c r="W62" i="5"/>
  <c r="W61" i="5"/>
  <c r="W60" i="5"/>
  <c r="W59" i="5"/>
  <c r="W58" i="5"/>
  <c r="W57" i="5"/>
  <c r="W56" i="5"/>
  <c r="W55" i="5"/>
  <c r="W54" i="5"/>
  <c r="W53" i="5"/>
  <c r="W52" i="5"/>
  <c r="W51" i="5"/>
  <c r="W50" i="5"/>
  <c r="W49" i="5"/>
  <c r="W48" i="5"/>
  <c r="W47" i="5"/>
  <c r="W46" i="5"/>
  <c r="W45" i="5"/>
  <c r="W44" i="5"/>
  <c r="W43" i="5"/>
  <c r="W42" i="5"/>
  <c r="W39" i="5"/>
  <c r="W38" i="5"/>
  <c r="W37" i="5"/>
  <c r="W36" i="5"/>
  <c r="W35" i="5"/>
  <c r="W34" i="5"/>
  <c r="W33" i="5"/>
  <c r="W32" i="5"/>
  <c r="W31" i="5"/>
  <c r="W30" i="5"/>
  <c r="W29" i="5"/>
  <c r="W28" i="5"/>
  <c r="W27" i="5"/>
  <c r="W26" i="5"/>
  <c r="W25" i="5"/>
  <c r="W24" i="5"/>
  <c r="W23" i="5"/>
  <c r="W22" i="5"/>
  <c r="W21" i="5"/>
  <c r="W20" i="5"/>
  <c r="W19" i="5"/>
  <c r="W18" i="5"/>
  <c r="W17" i="5"/>
  <c r="W16" i="5"/>
  <c r="W15" i="5"/>
  <c r="W14" i="5"/>
  <c r="W13" i="5"/>
  <c r="W12" i="5"/>
  <c r="W11" i="5"/>
  <c r="W10" i="5"/>
  <c r="W9" i="5"/>
  <c r="W8" i="5"/>
  <c r="W7" i="5"/>
  <c r="W6" i="5"/>
  <c r="W5" i="5"/>
  <c r="W4" i="5"/>
  <c r="W3" i="5"/>
  <c r="I72" i="5"/>
  <c r="I15" i="5"/>
  <c r="I73" i="5" l="1"/>
  <c r="I79" i="5" l="1"/>
  <c r="I78" i="5"/>
  <c r="I248" i="5"/>
  <c r="I249" i="5"/>
  <c r="I45" i="5"/>
  <c r="I192" i="5" l="1"/>
  <c r="I193" i="5"/>
  <c r="I247" i="5"/>
  <c r="I246" i="5"/>
  <c r="I245" i="5"/>
  <c r="I71" i="5" l="1"/>
  <c r="I156" i="5"/>
  <c r="I89" i="5"/>
  <c r="I244" i="5"/>
  <c r="I37" i="5" l="1"/>
  <c r="I209" i="5"/>
  <c r="I208" i="5"/>
  <c r="I66" i="5"/>
  <c r="I28" i="5"/>
  <c r="I243" i="5"/>
  <c r="I242" i="5" l="1"/>
  <c r="I241" i="5"/>
  <c r="I240" i="5" l="1"/>
  <c r="I239" i="5"/>
  <c r="I238" i="5"/>
  <c r="I205" i="5" l="1"/>
  <c r="I207" i="5"/>
  <c r="I204" i="5"/>
  <c r="I203" i="5"/>
  <c r="I186" i="5" l="1"/>
  <c r="I92" i="5"/>
  <c r="I149" i="5"/>
  <c r="I150" i="5"/>
  <c r="I191" i="5"/>
  <c r="I185" i="5"/>
  <c r="I112" i="5" l="1"/>
  <c r="I234" i="5"/>
  <c r="I233" i="5"/>
  <c r="I111" i="5"/>
  <c r="I113" i="5"/>
  <c r="I232" i="5"/>
  <c r="I231" i="5"/>
  <c r="I230" i="5"/>
  <c r="I229" i="5"/>
  <c r="I228" i="5"/>
  <c r="I86" i="5"/>
  <c r="I214" i="5"/>
  <c r="I215" i="5"/>
  <c r="I184" i="5"/>
  <c r="I237" i="5"/>
  <c r="I236" i="5"/>
  <c r="I216" i="5"/>
  <c r="I178" i="5"/>
  <c r="I171" i="5"/>
  <c r="I219" i="5"/>
  <c r="I222" i="5"/>
  <c r="I226" i="5"/>
  <c r="I227" i="5"/>
  <c r="I235" i="5"/>
  <c r="I39" i="5"/>
  <c r="I63" i="5"/>
  <c r="I64" i="5"/>
  <c r="I65" i="5"/>
  <c r="I68" i="5"/>
  <c r="I76" i="5"/>
  <c r="I85" i="5"/>
  <c r="I90" i="5"/>
  <c r="I107" i="5"/>
  <c r="I120" i="5"/>
  <c r="I123" i="5"/>
  <c r="I124" i="5"/>
  <c r="I125" i="5"/>
  <c r="I127" i="5"/>
  <c r="I128" i="5"/>
  <c r="I129" i="5"/>
  <c r="I133" i="5"/>
  <c r="I176" i="5"/>
  <c r="I118" i="5"/>
  <c r="I117" i="5"/>
  <c r="I223" i="5"/>
  <c r="I224" i="5"/>
  <c r="I225" i="5"/>
  <c r="I218" i="5"/>
  <c r="I220" i="5"/>
  <c r="I221" i="5"/>
  <c r="I210" i="5"/>
  <c r="I211" i="5"/>
  <c r="I212" i="5"/>
  <c r="I213" i="5"/>
  <c r="I217" i="5"/>
  <c r="I40" i="5"/>
  <c r="I41" i="5"/>
  <c r="I197" i="5"/>
  <c r="I84" i="5"/>
  <c r="I83" i="5"/>
  <c r="I189" i="5" l="1"/>
  <c r="I93" i="5"/>
  <c r="I10" i="5"/>
  <c r="I177" i="5"/>
  <c r="I97" i="5"/>
  <c r="I25" i="5"/>
  <c r="I9" i="5"/>
  <c r="I11" i="5"/>
  <c r="I110" i="5"/>
  <c r="I187" i="5"/>
  <c r="I146" i="5"/>
  <c r="I173" i="5"/>
  <c r="I151" i="5"/>
  <c r="I48" i="5"/>
  <c r="I106" i="5"/>
  <c r="I88" i="5"/>
  <c r="I77" i="5"/>
  <c r="I57" i="5"/>
  <c r="I109" i="5"/>
  <c r="I100" i="5"/>
  <c r="I190" i="5"/>
  <c r="I102" i="5"/>
  <c r="I135" i="5"/>
  <c r="I81" i="5"/>
  <c r="I32" i="5"/>
  <c r="I33" i="5"/>
  <c r="I34" i="5"/>
  <c r="I62" i="5"/>
  <c r="I31" i="5"/>
  <c r="I132" i="5"/>
  <c r="I29" i="5"/>
  <c r="I131" i="5"/>
  <c r="I44" i="5"/>
  <c r="I16" i="5"/>
  <c r="I99" i="5"/>
  <c r="I56" i="5"/>
  <c r="I18" i="5"/>
  <c r="I43" i="5"/>
  <c r="I30" i="5"/>
  <c r="I147" i="5"/>
  <c r="I17" i="5"/>
  <c r="I101" i="5"/>
  <c r="I166" i="5"/>
  <c r="I159" i="5"/>
  <c r="I158" i="5"/>
  <c r="I161" i="5"/>
  <c r="I22" i="5"/>
  <c r="I152" i="5"/>
  <c r="I42" i="5"/>
  <c r="I24" i="5"/>
  <c r="I155" i="5"/>
  <c r="I167" i="5"/>
  <c r="I154" i="5"/>
  <c r="I153" i="5"/>
  <c r="I50" i="5"/>
  <c r="I21" i="5"/>
  <c r="I23" i="5"/>
  <c r="I19" i="5"/>
  <c r="I202" i="5"/>
  <c r="I91" i="5"/>
  <c r="I121" i="5"/>
  <c r="I179" i="5"/>
  <c r="I114" i="5"/>
  <c r="I169" i="5"/>
  <c r="I116" i="5"/>
  <c r="I95" i="5"/>
  <c r="I7" i="5"/>
  <c r="I60" i="5"/>
  <c r="I103" i="5"/>
  <c r="I188" i="5"/>
  <c r="I183" i="5"/>
  <c r="I175" i="5"/>
  <c r="I163" i="5"/>
  <c r="I74" i="5"/>
  <c r="I162" i="5"/>
  <c r="I165" i="5"/>
  <c r="I174" i="5"/>
  <c r="I94" i="5"/>
  <c r="I52" i="5"/>
  <c r="I80" i="5"/>
  <c r="I53" i="5"/>
  <c r="I126" i="5"/>
  <c r="I199" i="5"/>
  <c r="I160" i="5"/>
  <c r="I69" i="5"/>
  <c r="I134" i="5"/>
  <c r="I180" i="5"/>
  <c r="I36" i="5"/>
  <c r="I139" i="5"/>
  <c r="I98" i="5"/>
  <c r="I148" i="5"/>
  <c r="I96" i="5"/>
  <c r="I59" i="5"/>
  <c r="I61" i="5"/>
  <c r="I157" i="5"/>
  <c r="I26" i="5"/>
  <c r="I136" i="5"/>
  <c r="I54" i="5"/>
  <c r="I35" i="5"/>
  <c r="I195" i="5"/>
  <c r="I119" i="5"/>
  <c r="I164" i="5"/>
  <c r="I4" i="5"/>
  <c r="I13" i="5"/>
  <c r="I140" i="5"/>
  <c r="I168" i="5"/>
  <c r="I145" i="5"/>
  <c r="I141" i="5"/>
  <c r="I198" i="5"/>
  <c r="I38" i="5"/>
  <c r="I144" i="5"/>
  <c r="I172" i="5"/>
  <c r="I67" i="5"/>
  <c r="I137" i="5"/>
  <c r="I143" i="5"/>
  <c r="I12" i="5"/>
  <c r="I6" i="5"/>
  <c r="I170" i="5"/>
  <c r="I181" i="5"/>
  <c r="I70" i="5"/>
  <c r="I8" i="5"/>
  <c r="I138" i="5"/>
  <c r="I58" i="5"/>
  <c r="I49" i="5"/>
  <c r="I104" i="5"/>
  <c r="I55" i="5"/>
  <c r="I82" i="5"/>
  <c r="I115" i="5"/>
  <c r="I122" i="5"/>
  <c r="I194" i="5"/>
  <c r="I196" i="5"/>
  <c r="I51" i="5"/>
  <c r="I182" i="5"/>
  <c r="I105" i="5"/>
  <c r="I142" i="5"/>
  <c r="I200" i="5"/>
  <c r="I3" i="5"/>
  <c r="I46" i="5"/>
  <c r="I75" i="5"/>
  <c r="I130" i="5"/>
  <c r="I5" i="5"/>
  <c r="I108" i="5"/>
  <c r="I20" i="5"/>
  <c r="I47" i="5"/>
  <c r="I27" i="5"/>
  <c r="I14" i="5"/>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Q3" i="3"/>
  <c r="Q4" i="3"/>
  <c r="Q5" i="3"/>
  <c r="Q6" i="3"/>
  <c r="Q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סטאמקר לינוי</author>
  </authors>
  <commentList>
    <comment ref="A177" authorId="0" shapeId="0" xr:uid="{00000000-0006-0000-0300-00000D000000}">
      <text>
        <r>
          <rPr>
            <b/>
            <sz val="9"/>
            <color indexed="81"/>
            <rFont val="Tahoma"/>
            <family val="2"/>
          </rPr>
          <t>סטאמקר לינוי:</t>
        </r>
        <r>
          <rPr>
            <sz val="9"/>
            <color indexed="81"/>
            <rFont val="Tahoma"/>
            <family val="2"/>
          </rPr>
          <t xml:space="preserve">
</t>
        </r>
        <r>
          <rPr>
            <sz val="11"/>
            <color indexed="81"/>
            <rFont val="Tahoma"/>
            <family val="2"/>
          </rPr>
          <t>יחד עם WBE297</t>
        </r>
      </text>
    </comment>
    <comment ref="A198" authorId="0" shapeId="0" xr:uid="{0E88ECDE-DD66-40BE-B957-A1F45E1FBFA0}">
      <text>
        <r>
          <rPr>
            <b/>
            <sz val="9"/>
            <color indexed="81"/>
            <rFont val="Tahoma"/>
            <family val="2"/>
          </rPr>
          <t>סטאמקר לינוי:</t>
        </r>
        <r>
          <rPr>
            <sz val="9"/>
            <color indexed="81"/>
            <rFont val="Tahoma"/>
            <family val="2"/>
          </rPr>
          <t xml:space="preserve">
יחד עם WBE296</t>
        </r>
      </text>
    </comment>
  </commentList>
</comments>
</file>

<file path=xl/sharedStrings.xml><?xml version="1.0" encoding="utf-8"?>
<sst xmlns="http://schemas.openxmlformats.org/spreadsheetml/2006/main" count="3781" uniqueCount="1569">
  <si>
    <t>לדיווח</t>
  </si>
  <si>
    <t>WBS2</t>
  </si>
  <si>
    <t>סוג תחנה</t>
  </si>
  <si>
    <t>שם הפרויקט</t>
  </si>
  <si>
    <t>מנה"פ</t>
  </si>
  <si>
    <t xml:space="preserve">יעד תכנית פיתוח </t>
  </si>
  <si>
    <t>יעד מסתמן</t>
  </si>
  <si>
    <t>סיכון</t>
  </si>
  <si>
    <t>סטטוס הפרויקט על ציר הזמן</t>
  </si>
  <si>
    <t>עמודה2</t>
  </si>
  <si>
    <t>פירוט שבועי</t>
  </si>
  <si>
    <t>חסם</t>
  </si>
  <si>
    <t xml:space="preserve">פירוט החסם </t>
  </si>
  <si>
    <t>כן</t>
  </si>
  <si>
    <r>
      <t>WBJ-002</t>
    </r>
    <r>
      <rPr>
        <sz val="11"/>
        <color rgb="FF000000"/>
        <rFont val="Arial"/>
        <family val="2"/>
        <scheme val="minor"/>
      </rPr>
      <t> </t>
    </r>
  </si>
  <si>
    <t>הקמה</t>
  </si>
  <si>
    <r>
      <t>תחמ"ג גליל מזרחי</t>
    </r>
    <r>
      <rPr>
        <sz val="11"/>
        <color rgb="FF000000"/>
        <rFont val="Arial"/>
        <family val="2"/>
        <scheme val="minor"/>
      </rPr>
      <t> </t>
    </r>
  </si>
  <si>
    <t>מזרחי, סולי</t>
  </si>
  <si>
    <t>סיכון נמוך</t>
  </si>
  <si>
    <t>הרכבה חשמלית</t>
  </si>
  <si>
    <t>אוטו שנאים - בשלב עבודות השמן - שנאי שני סיום
עד 30/9 שנאי שלישי יישאר בוואקום יטופל בהמשך .
מסדר 161 ק"ו - סיום עבודות ההרכבה מסדר סוף חודש
9/2025 . יח' תחמ"ש צפון אחזקה ומבדקה משתלבים
בבדיקות מסדר 161 ק"ו. הכנסה לניצול עד 12/2025.
מסדר 400 ק"ו - השלמת עבודות אזרחיות. התקיימה
הרכבה חשמלית + סופרוויזר החלו בהתארגנות במסדר -
שלב ראשון הצבת לוחות LCC .
מבנה תחמ"ש 24 ק"ו – צפי ליציקת קירות מרתף 18/9
תואם מול רת"ק הולכה הנחת כבלי מתח עליון לתחמ"ג –
אמצע חודש 10/25 תתכן הקדמה מותנה בסיום השלמת
היציאות CABLEBOX.
השלמת ציוד לשדות 11-12 בטיפול מגזר ביצוע .</t>
  </si>
  <si>
    <t>אין חסם לטיפול ההנהלה</t>
  </si>
  <si>
    <t>WBC-024</t>
  </si>
  <si>
    <t>אוניברסיטה ת"א
הקמת תחמ"ש פנימית</t>
  </si>
  <si>
    <t>31/04/2026</t>
  </si>
  <si>
    <t>סיכון בינוני</t>
  </si>
  <si>
    <t>מסדר 161 ק"ו - הרכבה חשמלית ממשיכים בהרכבת
כולל לוחות בחדר פיקוד הנחת כבלים וחוו ט .
מיום 25/8 החל ו בדיקות של מגזר ביצוע יחד עם בודק יח'
תחמ"ש דרום.
צפי חשמול התחמ"ש חודש 03/2026
מסדר 24 ק"ו – השלמת עבודות אזרחיות , יימסר להרכבה
חשמלית בסוף חודש 9/2025 , כולל מוכנות הנחת כבלי מ"ג
מדרון ציר D ע"י המחוז .
שנאים - טרם הושלם תכנון להעמדת מנופים להכנסת.
השטח הגובל עם כביש "משל ירוחם ", נדרשות עבודות
אזרחיות כולל יציקות לחיזוק כהכנה לעמידה בעומס
ממתינים לקבלת התכנון מהמח' האזרחיות.
התקיימה ישיבת מנהלת 10/9 בין היתר לדון בנושא קידום
בדיקות וחוסר בציוד במסדר 161 ק"ו .
באחריות רת"ק לקבלת התייחסות/אישור נגה לחשמול
התחמ"ש באמצעות מעגל מ"ע אחד בשלב א' 3/2026 עד
להגעת קו מ"ע דרומי רבעון אחרון 2026 .</t>
  </si>
  <si>
    <t>חסם לטיפול מנהל מגזר תכנון</t>
  </si>
  <si>
    <t>חוסר בציוד למסדר 160</t>
  </si>
  <si>
    <t>WBE-108</t>
  </si>
  <si>
    <t>הרחבה</t>
  </si>
  <si>
    <t>צומת כרמיה PV
הוספת שנאי רביעי 50
מגו"א</t>
  </si>
  <si>
    <t>סיכון גבוה</t>
  </si>
  <si>
    <t xml:space="preserve">בדיקות </t>
  </si>
  <si>
    <t>היזם חובר דרך מעגל אחר מהתחנה.
המכולה חושמלה. הרכבה חשמלית סיימו את העבודות על
השנאי כולל בדיקות מגזר ביצוע.
השנאי חושמל בתאריך 1/4 .
טרם התקבל מדידת AS MADE מהקבלן לסיום העבודה.
•
התקיימה מסירת עבודות אזרחיות בתאריך 22/7
קיימת חריגה בתקציב השקעה כוללת 2/2025 )בגין
התמשכות עבודות מבדקה והוספת תכולות לקבלן אזרחי .</t>
  </si>
  <si>
    <t>WBC-067</t>
  </si>
  <si>
    <t>אבליים -
הקמת תחמ"ש חיצונית</t>
  </si>
  <si>
    <t>אוחנה, אלי</t>
  </si>
  <si>
    <t>בתהליך של בדיקות והכנסה לניצול של יח' התחמ"ש
אספקת קו מים בתחנה- בטיפולו של מנהל הפרויקט מול
עירית שפרעם .
יעד מסתמן להכנסה לניצול הינו 09/2025 .- נדחה בשל
אילוצי יח' התחמ"ש
הוגשו המסכמים לות"ל לקבלת טופס 4.
דרישת יח' התחמ"ש לדחיית מועד הכנסה לניצול
11/2025 - הנושא הועבר ע"י מנהל האגף, , להתייחסות
הרצל פרידמן- טרם התקבלה תשובה )כרגע מתבצעות
המשך בדיקות ע"י יח' תחמ"ש אך טרם נמסר מועד מוכנות
לחשמול )
עבודות ביצוע הרכבה חשמלית הסתיימו בתחנה.</t>
  </si>
  <si>
    <t>חסם לטיפול מנהל אגף</t>
  </si>
  <si>
    <t>הגדלת כמות בודקים</t>
  </si>
  <si>
    <t>WBE-175</t>
  </si>
  <si>
    <t>פתח תקווה -
הוספת שנאי 525 161/24 ק"ו
50 מ</t>
  </si>
  <si>
    <t>בר אור, מעיין</t>
  </si>
  <si>
    <t xml:space="preserve">עבודה אזרחית </t>
  </si>
  <si>
    <t>נבחר קבלן אזרחי - "פלוס חזם הנדסה "
10/06/25 - עליה לקרקע .
29/09 - צפי תחילת עבודות הרכבה חשמלית ועבודות
רת"ק .
יש בעיתיות בציר גישה לתחמ"ג ויש לתקנה לטובת הבאת
השנאי
27/08 - עבודות צמ"ן למיקום יסודות טרומיים חלקי</t>
  </si>
  <si>
    <t>חסם לטיפול מנהל מגזר ביצוע</t>
  </si>
  <si>
    <t>WBE-179</t>
  </si>
  <si>
    <t>גבעת שאול- הרחבת מסדר
161 ק"ו והתקנת שנא</t>
  </si>
  <si>
    <t xml:space="preserve">פוטרמן שרון </t>
  </si>
  <si>
    <t>29/02/2026</t>
  </si>
  <si>
    <t>תכנון</t>
  </si>
  <si>
    <t>הצגת תכנון אזרחי הושלמה ביום 31.7.25 . עם קבלת
השרטוטים וכתב הכמויות יועברו הערות מגזר פיקוח .
ב 1.7 תחילת קידום פטור מהיתר. נספח 5 א נרשם חלקית
עד קבלת הערות מגזר פיקוח. השנאי הועבר לאחסון
בתחמ"ש .
בהמתנה לקבלת חבילת תכנון, אמור היה להגיע ב
31/8/25 , טרם הועבר, ממתינים להתייחסות.</t>
  </si>
  <si>
    <t>זירוז קבלת כתבי כמויות</t>
  </si>
  <si>
    <t xml:space="preserve">רשימת בחירה </t>
  </si>
  <si>
    <t>חסמים לטיפול</t>
  </si>
  <si>
    <t xml:space="preserve">מנה"פ </t>
  </si>
  <si>
    <t>תו"ב</t>
  </si>
  <si>
    <t>משגיחים</t>
  </si>
  <si>
    <t xml:space="preserve">בודקים </t>
  </si>
  <si>
    <t>הקפאת תכולה</t>
  </si>
  <si>
    <t>אוברקוביץ, ענת</t>
  </si>
  <si>
    <t xml:space="preserve">בסיל כהן יפעת </t>
  </si>
  <si>
    <t>הקפאת תצורה</t>
  </si>
  <si>
    <t>אוחייון, איתן</t>
  </si>
  <si>
    <t>גולדשטיין אורית</t>
  </si>
  <si>
    <t>הלוי בת אל</t>
  </si>
  <si>
    <t>קבלת היתר</t>
  </si>
  <si>
    <t>אוקון שמעון</t>
  </si>
  <si>
    <t>סויסה ענת</t>
  </si>
  <si>
    <t>בחירת קבלן</t>
  </si>
  <si>
    <t>חסם לטיפול רב פרויקטלי</t>
  </si>
  <si>
    <t xml:space="preserve">אוריאל שטרית </t>
  </si>
  <si>
    <t>קיעביץ יוסף</t>
  </si>
  <si>
    <t>לקראת ביצוע</t>
  </si>
  <si>
    <t xml:space="preserve">חסם לטיפול מנהלת מחלקה </t>
  </si>
  <si>
    <t>אין מנה"פ</t>
  </si>
  <si>
    <t>רביפור פריד</t>
  </si>
  <si>
    <t>אלטחן, קובי</t>
  </si>
  <si>
    <t>רחאנה ענבל עינב</t>
  </si>
  <si>
    <t>עבודה אזרחית והרכבות</t>
  </si>
  <si>
    <t>חסם לטיפול סמנכ"ל</t>
  </si>
  <si>
    <t>אלמארו זיאמר</t>
  </si>
  <si>
    <t xml:space="preserve">חסם לטיפול מנהל אגף תפעול השנאה </t>
  </si>
  <si>
    <t>ארליך-בקיש, רחלי</t>
  </si>
  <si>
    <t>הרכבה חשמלית ובדיקות</t>
  </si>
  <si>
    <t>אשקבנד, נסים</t>
  </si>
  <si>
    <t xml:space="preserve">בן חמו, דביר </t>
  </si>
  <si>
    <t>טופס 4</t>
  </si>
  <si>
    <t>חסם לטיפול מנהל מגזר בפיקוח</t>
  </si>
  <si>
    <t xml:space="preserve">הסכם- אגירת אנרגיה </t>
  </si>
  <si>
    <t>אחר</t>
  </si>
  <si>
    <t>ברח'ד, טובה</t>
  </si>
  <si>
    <t xml:space="preserve">הסתיים </t>
  </si>
  <si>
    <t>ברקוביץ, משה</t>
  </si>
  <si>
    <t>גולן, לירון</t>
  </si>
  <si>
    <t>יהודר בכר, אורית</t>
  </si>
  <si>
    <t>יעקבי, ניר</t>
  </si>
  <si>
    <t>כהן (סקאלי), כוכבה</t>
  </si>
  <si>
    <t>לופטון כהן, אדווה</t>
  </si>
  <si>
    <t>סבג, מאיר</t>
  </si>
  <si>
    <t xml:space="preserve">פוטרמן, שרון </t>
  </si>
  <si>
    <t>עין חרוד</t>
  </si>
  <si>
    <t>חוסר במשאבי יח' תחמש</t>
  </si>
  <si>
    <t>זיהוי</t>
  </si>
  <si>
    <t>יעד חשמול מסתמן</t>
  </si>
  <si>
    <t>זיהוי2</t>
  </si>
  <si>
    <t>פירוט שבועי 20/05/2026</t>
  </si>
  <si>
    <t>פירוט שבועי 27/05/2026</t>
  </si>
  <si>
    <t>פירוט שבועי 03/06/2026</t>
  </si>
  <si>
    <t>פירוט שבועי 10/06/2026</t>
  </si>
  <si>
    <t>פירוט שבועי 17/06/2026</t>
  </si>
  <si>
    <t>פירוט שבועי 24/06/2026</t>
  </si>
  <si>
    <t>פירוט שבועי 01/07/2026</t>
  </si>
  <si>
    <t xml:space="preserve">פירוט סיכונים וחסמים עיקריים </t>
  </si>
  <si>
    <t>לטיפול</t>
  </si>
  <si>
    <t>לטיפול נוסף (במידה ונדרש)</t>
  </si>
  <si>
    <t xml:space="preserve">חוסר במשגיחים </t>
  </si>
  <si>
    <t xml:space="preserve">חוסר בבודקים </t>
  </si>
  <si>
    <t>אומדן- השקעה כוללת, אש"ח</t>
  </si>
  <si>
    <t>WBC-064</t>
  </si>
  <si>
    <t>רעות - הקמת תחמ"ש פנימית 161/24 ק"ו</t>
  </si>
  <si>
    <t xml:space="preserve">תאגיד המים - הצעת המחיר לחיבור המים לאורך תוואי הכביש אושרה ע"י מנהל אגף. הועברה לאישור ועדת מכרזים.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</si>
  <si>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 xml:space="preserve">תאגיד המים - הצעת המחיר לחיבור המים לאורך תוואי הכביש אושרה ע"י מנהל אגף. הועברה לאישור ועדת מכרזים . במקביל ימשיך מול רשות המים תהליך משפטי בנושא.  צומת מכביש 443-מתנהלים מול נת"י, מחכים לבדיקת התוכניות וקבלת אומדן לעבודה. סוכם מול המושב שנסדיר את הדרך ונשלם 20 אש"ח בשנה עד הסדרת הצומת מכביש 443. הועבר למנר"א להסדרת הסכם משפטי. סיור קבלנים 09.06.26.צפי קבלת היתר 18.08.26
</t>
  </si>
  <si>
    <t>הצעת המחיר לחיבור המים אושר ע"י ועדת מכרזים. נספח סניטרי מעודכן הוגש שוב לתאגיד לבדיקה נוספת.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09.06.26.צפי קבלת היתר 18.08.26</t>
  </si>
  <si>
    <t xml:space="preserve">נספח סניטרי - נדרש להסדיר מספר סעיפים נוספים לבקשת התאגיד. בטיפול לסיום השבוע!  צומת מכביש 443-מתנהלים מול נת"י, מחכים לבדיקת התוכניות וקבלת אומדן לעבודה. סוכם מול המושב שנסדיר את הדרך ונשלם 20 אש"ח בשנה עד הסדרת הצומת מכביש 443. נמצא באישור ועדת מכרזים והועבר למנר"א להסדרת הסכם משפטי. סיור קבלנים נדחה ל18.06 בעקבות המצב הבטחוני. </t>
  </si>
  <si>
    <t xml:space="preserve">נספח סניטרי - אושר. המשך טיפול רישוי מול הועדה.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 יוצג למושב ב 18.6. סיור קבלנים 22.6. </t>
  </si>
  <si>
    <t xml:space="preserve">הוגשה הבקשה להיתר בשנית לאחר הזנת כל התנאים.  צומת מכביש 443-מתנהלים מול נת"י, מחכים לבדיקת התוכניות וקבלת אומדן לעבודה. וועדת מכרזים אישרה קידום הסכם מול המושב לתוואי דרך זמנית. באחריות מנר"א קידום הסכם משפטי. הסדרת תוואי דרך-בוצע תכנון,הוצג למושב ב 18.6, מחכים לאישור הועד.  סיור קבלנים 24.6. </t>
  </si>
  <si>
    <t xml:space="preserve">התקיים סיור קבלנים ב 24.06. צפי בחירת קבלן-אמצע אוגוסט. צפי קבלת היתר-אמצע אוגוסט. מחכים לגיבוש הסכם משפטי מול המושב בנושא הכניסה דרך תוואי הדרך הזמנית והסדרתה. </t>
  </si>
  <si>
    <t xml:space="preserve">1. חיבור מים למגרש - הוחלט להניח צנרת לאורך כביש גישה. יש לבצע תיאום עבודה מול קבלן שייבצע את הסדרת הדרך. 2. שטח התארגנות מצומצם רק בשטח העבודות בלבד. 3. קבלת היתר לפי לו"ז מתוכנן -אוגוסט.  4. מכרז לבחירת קבלן בשל עיכובים ברכש. 5. עבודות חפירה ודיפון משמעותיות שיכולות להאריך את העבודה. 6. כביש גישה - חסם עיקרי כרגע! לא ניתן להתחיל עבודות בשטח ללא הסדרת דרך גישה. בשל בעיות בהסדרי תנועה זמניים, העבודה חייבת להתבצע דרך המעבר מכפר רות. במקביל נשלח לארז סרי לבחינת צורך בהיתרים. </t>
  </si>
  <si>
    <t>WBE-158</t>
  </si>
  <si>
    <t>ראש העין-הוספת שנאי 521 והרחבת פ"צ 161</t>
  </si>
  <si>
    <t>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ישיבת  משותפת של כלל הגורמים תתקיים ב 18.05</t>
  </si>
  <si>
    <t xml:space="preserve">ציוד התקבל במחסן אשדוד ב 17.5.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</si>
  <si>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מתארגנים להעברת הציוד בשבועיים הקרובים. </t>
  </si>
  <si>
    <t xml:space="preserve"> מחכים לתשובות מGE לתאריך הגעת מומחים לארץ. במקביל נעשים נסיונות מרחוק עם סיוע של GE מול יחידת התחמ"ש להתמודד עם בעיות התקשורת והבקרים בתחנה זו. יש צורך לפנות ציוד קיים מאולם 161 בהקדם-הועבר לטיפול טארק מול יח' התחמ"ש. הוחלט לקדם את הפרויקט במקביל בשני מישורים – המשך עבודות ההרכבה לצד בדיקה וטיפול במערכת הקיימת – תוך פנייה ליצרן לקבלת הצעות והמשך טיפול הנדסי. ה.חשמלית העבירו את הציוד לאתר ב 08.06. נדרש לקבל התחייבות מצד יחידת התחמ"ש שזמינים לביצוע הפרויקט!! כרגע אין התחייבות מצידם. הנושא עלה לשמוליק וינדר ושרון עיני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</si>
  <si>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ציוד 161 פונה מהמחסן ונמצא באתר. במהלך העבודה נפל ארגז עם גרמושקה. מחכים לבחינת GE לנזק שנגרם ומשמעותו. לגבי ציוד מפירוק שקיים באתר - בסיור מול יעקב בונן סוכם כי יפנה את רובו לגריטה ומה שלא, יצמיד לקירות ויקרב לפתח הכניסה להרחקה ממיקום עתידי של שדה השנאי. </t>
  </si>
  <si>
    <t xml:space="preserve">הוחלט לקדם את הפרויקט במקביל בשני מישורים – המשך עבודות ההרכבה לצד בדיקה וטיפול במערכת הקיימת – תוך פנייה ליצרן לקבלת הצעות והמשך טיפול הנדסי. ייפתח פרויקט שו"ש מקביל לכשיהיו תשובות מסודרות מול GE.  העבודה מתוכננת להתחיל ב 30.6 עם הגעת המומחה. לגבי הציוד שנפל במהלך הפריקה - יצאה הודעה מ GE שאינו תקין ושיבדקו חלופות. </t>
  </si>
  <si>
    <t>תחילת עבודת הרכבה עם מומחה ב 30.06. GE הציעו לקחת את הציוד מגבעת שאול לטובת ראש העין ובמקביל לייצר חדש. עדיין נדרשת התייחסות למומחה DCS ולבעיות התפעוליות בתחנה מצד GE</t>
  </si>
  <si>
    <t xml:space="preserve">1.הגעת מומחה עבור נושא המחשוב. 2. התייחסות לתקלות בבקרים C264 המהוות קושי לחיבור שדה חדש למערכת. 3. ציוד פגום יילקח מגבעת שאול-נדרש לקבל לו"ז להגעת החלק </t>
  </si>
  <si>
    <t>WBE-188</t>
  </si>
  <si>
    <t>אור יהודה -התקנת שנאי רביעי 161/24 ק"ו, 50 מגוו"א וסוללת קבלים</t>
  </si>
  <si>
    <t xml:space="preserve">נמשכות עבודות מבדקת תחמ"ש עבור פרויקט מקדים WBM-10562-ST1 . בדיקות מתח יתר נדחו לעוד שבועיים עקב הבעיה שזוהתה במ"ז שסופק ע"י אפקון. צוות אפקון מגיע היום (18.5) לפרק מ"ז במסדרים במחסן אשדוד על מנת להרכיב באור יהודה.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</si>
  <si>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 xml:space="preserve">נמשכות עבודות מבדקת תחמ"ש עבור פרויקט מקדים WBM-10562-ST1 . בדיקות מתח יתר צפויות עוד כשבוע.  צפי חשמול מסדר עדיין אמצע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t>
  </si>
  <si>
    <t>נמשכות עבודות מבדקת תחמ"ש עבור פרויקט מקדים WBM-10562-ST1 . בדיקות מתח יתר צפויות עוד כשבוע.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</si>
  <si>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בדיקת מתח יתר למקשרים 1-2 ו-1-4 הסתיימה ב 07.06.  צפי חשמול מסדר סוף יוני 2026.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16.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</si>
  <si>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יוני 2026.-תחילת יולי.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</si>
  <si>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נמשכות עבודות מבדקת תחמ"ש עבור פרויקט מקדים WBM-10562-ST1 . צפי חשמול מסדר סוף יולי 2026 עקב עדכונים שקיימים בהגנות. עבור פרויקטים WBM-10562-ST2+WBE-188 יצאה הזמנה לתכנון אזרחי ב 21.04.26. מבחינת ציוד לפרויקט ההרחבה, הזמנה עדיין לא יצאה! ישנו פער גדול בהצעה של GE מול האומדן שהתקבל, הועבר לרכש להמשך מו"מ מול GE. כמו כן, GE הודיעו על הארכת אספקה מ 12 חודשים ל 17. לו"ז הפרויקט אינו אפשרי. עם העדכון על ההזמנה יבוצע עדכון בתוכנית הפיתוח בהתאם מול מטה החטיבה</t>
  </si>
  <si>
    <t xml:space="preserve">צפי הגעת מסדר 161-אוקטובר 2027. נדרש יהיה לעדכן את לו"ז הפרויקט בהתאם. הפרויקט נמצא בשלב תכנון אזרחי. מתואמת ישיבה מול יחידת התחמ"ש ותכנון בנושא שלביות ביצוע העבודה עבור החלפת מערכת SCS. </t>
  </si>
  <si>
    <t>לא ניתן יהיה לעמוד בלו"ז הפרויקט</t>
  </si>
  <si>
    <t>WBE-196</t>
  </si>
  <si>
    <t>"בארות יצחק – הרחבת פ""צ והוספת שנאי חמישי 161/24 ק""ו, 50 מגוו""א וסוללות קבלים."</t>
  </si>
  <si>
    <t xml:space="preserve"> פרויקט WBE-196 (הרחבת פ"צ והוספת שנאי חמישי+מכולת מ"ג): נמצא בשלב תכנון אזרחי. במקביל מתקיימות ישיבות מול חטיבת רשת להגדרת תכולות וצרכים בתחנה זו. ב 13.5 תתקיים ישיבה אצל הסמנכ"ל. בהתקבלו תוצאות אוקסודיגו לתכנון קידוח כבלי מ"ג. התגלו פערים בתכנון מ"ג מול אזרחי. הנושא בבדיקה. </t>
  </si>
  <si>
    <t xml:space="preserve"> פרויקט WBE-196 (הרחבת פ"צ והוספת שנאי חמישי+מכולת מ"ג): נמצא בשלב תכנון אזרחי. במקביל מתקיימות ישיבות מול חטיבת רשת להגדרת תכולות וצרכים בתחנה זו. ב 31.5 תתקיים ישיבה מול אגף רשת ירושלים ונגב ומרחב איילון לקבלת החלטות. התקבלו תוצאות אוקסודיגו לתכנון קידוח כבלי מ"ג. התגלו פערים בתכנון מ"ג מול אזרחי. הנושא בבדיקה.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</si>
  <si>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t>
  </si>
  <si>
    <t xml:space="preserve">בישיבה מול אגף רשת ירושלים ונגב סוכם כי ככל הנראה נלך על פתרון של ניידת. ישיבה נוספת תתקיים עוד שבועיים לטיוב תכולות ודיוק תיאום העבודה. בכל מקרה, יש לבחון את נושא הגנת פ"צ והזזת עמוד מ"ע שנדרש לטובת הארכת פ"צ . חשוב להדגיש כי יציאות מ"ג יהיו רק לקראת רבעון ראשון של 2027. נקבעה ישיבה ב 16.06 לטובת מתן מענה לחטיבת הרשת. </t>
  </si>
  <si>
    <t xml:space="preserve">תתקיים ישיבה ביום חמישי 25.6 מול אגף רשת לטובת קבלת הסכמת כל הצדדים לחלופה המצועת - החלפת 4 שנאים ל 75 מגוו"א והצבת ארבע מכולות. </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</si>
  <si>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ב 5.7 מתואם סיור עם יחידת התחמ"ש, פיקוח אזרחי ותכנון אזרחי לטובת דיוק שלבי הביצוע והבנת מורכבותו. </t>
  </si>
  <si>
    <t>1. לא ניתן לעמוד בתאריך יעד תכנית הפיתוח. הועברה בקשה לשינוי. 2. עמידה בלו"ז הפצת כתב כמויות. 3. אישור נגה ושינוי תכולות הפרויקטים</t>
  </si>
  <si>
    <t>WBE-125</t>
  </si>
  <si>
    <t>תמנע-רב-שלבי,שדרוג מסדר 161 ק"ו מע' עזר</t>
  </si>
  <si>
    <t>חומר עבר לחוזים, מארגנים לפני העברה לרכש
נספח 5 בהכנה</t>
  </si>
  <si>
    <t>נספח 5 בחתימה
יידרש תיעדוף ברכש ליציאה למכרז</t>
  </si>
  <si>
    <t>WBE-200</t>
  </si>
  <si>
    <t>תמנע-הוספת שנאי שני 50 מגוו"א</t>
  </si>
  <si>
    <t>הוגשה בקשה לקדם בתכנון להוסיף כתכולה לקבלן שיבחר ל WBE125
נדרש תכנון אזרחי  לביצוע WBE-200 עד 31/12/2026</t>
  </si>
  <si>
    <t>יקודם בתכנון להוסיף כתכולה לקבלן שיבחר ל WBE125
נדרש תכנון אזרחי  לביצוע WBE-200 עד 31/12/2026</t>
  </si>
  <si>
    <t>WBE-235</t>
  </si>
  <si>
    <t>צומת כרמיה – הקמת 2 שדות מ"ע חדשים והתאמת שדה 1 לזרם 2000 א'. משיק ל-WBO-824, WBO-823 .</t>
  </si>
  <si>
    <t>נקבע קבלן זוכה
שיחת פתיחה עם הקבלן נדחתה ל 19/5</t>
  </si>
  <si>
    <t>נקבע קבלן זוכה
צפי עליה לקרקע 8/6/2026</t>
  </si>
  <si>
    <t>נקבע קבלן זוכה, עבר הדרכת בטיחות
צפי עליה לקרקע 8/6/2026</t>
  </si>
  <si>
    <t>קבלן עלה לשטח 7/6/2026</t>
  </si>
  <si>
    <t>קבלן עלה לשטח 7/6/2026
תחילת עבודות על מסדרי אפס</t>
  </si>
  <si>
    <t>WBE-260</t>
  </si>
  <si>
    <t>מצפה רמון - התקנת שנאי מס' 531- מערכתי</t>
  </si>
  <si>
    <t>נקבע קבלן זוכה
עליה לקרקע צפויה בסוף מאי</t>
  </si>
  <si>
    <t>נקבע קבלן זוכה
עליה לקרקע צפויה באמצע יוני</t>
  </si>
  <si>
    <t>נקבע קבלן זוכה, השבוע שיחת פתיחה
צפי עליה לקרקע צפויה בשבוע הבא</t>
  </si>
  <si>
    <t>שיחת פתיחה עם הקבלן נדחתה ל 21/6/2026
צפי עליה לקרקע צפויה בעוד כשבועיים</t>
  </si>
  <si>
    <t>עליה לקרקע נקבעה ל 5/7/2026</t>
  </si>
  <si>
    <t>אי עמידה בתכנית פיתוח
נדרש עדכון ת.פ.</t>
  </si>
  <si>
    <t>WBE-259</t>
  </si>
  <si>
    <t>מצפה רמון - החלפת שנאי מס' 532- מערכתי</t>
  </si>
  <si>
    <t xml:space="preserve">תכולה אזרחית נכללה כאופציה במכרז של WBE260. לאחר שיבחר קבלן ובהתאם לביצועים שלו יוחלט אם נדרש תכנון למכרז או לביצוע
</t>
  </si>
  <si>
    <t xml:space="preserve">תכולה אזרחית נכללה כאופציה במכרז של WBE260. לאחר שקבלן יתחיל בעבודות, ובהתאם לביצועים שלו יוחלט אם נדרש תכנון למכרז או לביצוע
</t>
  </si>
  <si>
    <t>WBE-118</t>
  </si>
  <si>
    <t>יוטבתה - החלפת שנאי 531 ועיגון השנאי</t>
  </si>
  <si>
    <t>השנאי הוחלף, לא בוצעו תכולות אזרחיות. יבוצעו בסיום WBE202 הוספת שנאי 533
הוגשה בקשה להכללת התכולות הנותרות בפרויקט ההרחבה WBE-120
התכנון לא החל לתכנן מאחר ולא נכנס לתכנית העבודה
נדרש לבצע תיאום מחודש של סדרי הפעילויות שיתאים עם הריסת מבנה הפיקוד הישן -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</si>
  <si>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t>
  </si>
  <si>
    <t>השנאי הוחלף, לא בוצעו תכולות אזרחיות. יבוצעו בסיום WBE202 הוספת שנאי 533
הוגשה בקשה להכללת התכולות הנותרות בפרויקט ההרחבה WBE-120
 יש להוציא את התכולות שנותרו יחד עם תכולות שקבלן אזרחי לא יוכל לבצע לתיחור מחדש 1/2027</t>
  </si>
  <si>
    <t>WBE-120</t>
  </si>
  <si>
    <t>יוטבתה-שדרוג התחמ"ש-רב שלבי</t>
  </si>
  <si>
    <t>30/09/2026
שדות 3+9</t>
  </si>
  <si>
    <t>בשלב הרכבת ציוד מ"ע בשדות
1. הרכבה חשמלית בעבודה - נדרש תיאום קבלן להשחלת כבלים ותיאום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</si>
  <si>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 מתוכנן סיור בשבוע הבא
2. הולכה לא ביצעו סיבוב עמוד (הפסקת קו למספר ימים), הוכנס לתכנית העבודה ובקשת הפסקות בהתאם - ידחה לעונת הפסקות הבאה - מעכב את הפרויקט</t>
  </si>
  <si>
    <t>בשלב הרכבת ציוד מ"ע בשדות
1. הרכבה חשמלית בעבודה -  קבלן להשחלת כבלים החל בעבודה שבוע שעבר אך לא ממשיך השבוע, תיאום בדיקות עם אפרת קריטי 
2. הולכה לא ביצעו סיבוב עמוד (הפסקת קו למספר ימים), הוכנס לתכנית העבודה ובקשת הפסקות בהתאם - ידחה לעונת הפסקות הבאה - מעכב את הפרויקט</t>
  </si>
  <si>
    <t>בדיקת ציוד מ"ע בשדות נקבעה ל 14/6/2026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</si>
  <si>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תתחיל ב 15/6/2026
1. הרכבה חשמלית בעבודה -  קבלן להשחלת כבלים החל בעבודה. חסרים כבלים, בבדיקת השלמות
2. הולכה לא ביצעו סיבוב עמוד (הפסקת קו למספר ימים), הוכנס לתכנית העבודה ובקשת הפסקות בהתאם - ידחה לעונת הפסקות הבאה - מעכב את הפרויקט</t>
  </si>
  <si>
    <t>בדיקת ציוד מ"ע בשדות  החל, ממשיכים ב 28/6
1. הרכבה חשמלית בעבודה -  קבלן להשחלת כבלים החל בעבודה. חסרים כבלים, בבדיקת השלמות - ימשיך ב 28/6
2. הולכה לא ביצעו סיבוב עמוד (הפסקת קו למספר ימים), הוכנס לתכנית העבודה ובקשת הפסקות בהתאם - ידחה לעונת הפסקות הבאה - מעכב את הפרויקט</t>
  </si>
  <si>
    <t>בביצוע בדיקת ציוד מ"ע בשדות 
הרכבה חשמלית בעבודה -  קבלן להשחלת כבלים החל בעבודה. 
קבלן אזרחי חוזר להשלמות ב 30/6/2026
בדיקת הארקות מתוכננת ל 30/6/2026
הולכה לא ביצעו סיבוב עמוד (הפסקת קו למספר ימים), הוכנס לתכנית העבודה ובקשת הפסקות בהתאם - ידחה לעונת הפסקות הבאה</t>
  </si>
  <si>
    <t>ללא סיבוב עמוד כוכב, לא ניתן להעביר את הטיילים לשדות החדשים ולהכניסם לעבודה. דרישת הפסקות של הולכה
כרגע נדחה לנובמבר 2026, ביקשתי ישקדימו לתחילת עונת הפסקות בספטמבר</t>
  </si>
  <si>
    <t>WBE-202</t>
  </si>
  <si>
    <t>יוטבתה-הוספת שנאי 532 161/36 ק"ו 50 מגוו"א</t>
  </si>
  <si>
    <t>יבוצע בסיום WBE120</t>
  </si>
  <si>
    <t>WBE-312</t>
  </si>
  <si>
    <t>נאות סמדר-הוספת 2 שנאי חח"י 50 מגוו"א</t>
  </si>
  <si>
    <t>בעבודה על נספח 2 - מסמך תכולות לקביעת גבולות היזם ודרישות חח"י מהיזם לביצוע עבודות</t>
  </si>
  <si>
    <t>WBC-099</t>
  </si>
  <si>
    <t>אשקלון צפון-הקמת תחמ"ש חיצונית 161/24 ק"</t>
  </si>
  <si>
    <t>בוצע תיאום לביסוס יסודות עמודי מ"ע ע"י קבלן אזרחי שלנו - טרם התקבלה תכנית ביסוס ולא הוכנס לכ"כ
ברכש ליציאה למכרז, צפי קבלן זוכה 30/5/2026 - טרם נקבע סיור קבלנים
,צפי להיתר  7/2026
חתימה מול רמ"י צפויה בתחילת יוני</t>
  </si>
  <si>
    <t>בוצע תיאום לביסוס יסודות עמודי מ"ע ע"י קבלן אזרחי שלנו - טרם התקבלה תכנית ביסוס ולא הוכנס לכ"כ
ברכש ליציאה למכרז,  - טרם נקבע סיור קבלנים
,צפי להיתר  7/2026
חתימה מול רמ"י צפויה בתחילת יוני, שטח התארגנות נחתם</t>
  </si>
  <si>
    <t xml:space="preserve">בוצע תיאום לביסוס יסודות עמודי מ"ע ע"י קבלן אזרחי שלנו - טרם התקבלה תכנית ביסוס ולא הוכנס לכ"כ
ברכש ליציאה למכרז,  - טרם נקבע סיור קבלנים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</si>
  <si>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נקבע סיור קבלנים ל 10/6/2026
,צפי להיתר  7/2026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</si>
  <si>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8/2026
רמ"י חתמו על החוזה1.6.26 </t>
  </si>
  <si>
    <t xml:space="preserve">בוצע תיאום לביסוס יסודות עמודי מ"ע ע"י קבלן אזרחי שלנו - טרם התקבלה תכנית ביסוס ולא הוכנס לכ"כ
ברכש ליציאה למכרז,  - התקיים סיור קבלנים ל 10/6/2026, הגשת הצעות עד 6/7/2026
,צפי להיתר  7/2026
</t>
  </si>
  <si>
    <t xml:space="preserve">בוצע תיאום לביסוס יסודות עמודי מ"ע ע"י קבלן אזרחי שלנו - טרם התקבלה תכנית ביסוס ולא הוכנס לכ"כ
מכרז קבלן אזרחי  - התקיים סיור קבלנים ל 10/6/2026, הגשת הצעות עד 6/7/2026
צפי להיתר  7/2026 - ממתין לקבלת אגרות לתשלום
</t>
  </si>
  <si>
    <t>WBD-001</t>
  </si>
  <si>
    <t>שפרעם ניידת-פירוק התחמ"ש הניידת</t>
  </si>
  <si>
    <t>ניידת</t>
  </si>
  <si>
    <t>בטיפול המחוז להסטת תשתיות
בישיבה שנערכה ב- 11.05.2026 צפי להסטת תשתיות סוף 2026 תחילת 2027</t>
  </si>
  <si>
    <t>WBC-121</t>
  </si>
  <si>
    <t>רוקח(רמת אביב חדשה)-הקמת תחמ"ש פנימית</t>
  </si>
  <si>
    <t>אושר כיבוי אש, הגעת האישור במהלך הימים הקרובים
האישור יאפשר סגירת אישור מול תאגיד המים והשלמת תנאי ההיתר.
טרם הוסדר נושא רכישת הקרקע - לא יהווה חסם להיתר.
נבחר קבלן זוכה- שטאנג.
טרם הוסרה תשתית קו הביוב משטח התחנה- באחריות עיריית תל אביב. (הנושא הוסדר עם גורמי העירייה)
שלב העתקת וכריתת העצים הסתיים
הוסדרו ותואמו חיבור המערכות במובל בין יח' התחמ"ש ליח' ההולכה
קיים חסם בנוגע לשילוב מערכות ובדיקת אינטגרציה בין שוחת המובל למבנה התחמ"ש- הנושא ייבדק לעומק.
עלות שינויים תכנון וביצוע של חיבור המובל (מוערכת כ- 700 אש"ח) תוגש לוועדת שינויים
כתוצאה משינויים אלה תוכניות לביצוע יוגשו באיחור של כחודש וחצי.</t>
  </si>
  <si>
    <r>
      <rPr>
        <sz val="12"/>
        <rFont val="Arial"/>
        <family val="2"/>
        <scheme val="minor"/>
      </rPr>
      <t>אושר כיבוי אש, הועלו כל הדרישות לאתר העיריה לקבלת היתר
טרם הוסדר נושא רכישת הקרקע - לא יהווה חסם להיתר.
בסיור שבוצע בשטח יתגלה שעיריית ת"א הפקיעה חלק משטח התחמ"ש לטובת נת"ע ובשטח הנתון בוצע תוואי של עמודי תאורה מה שיוצר מצב שבתוך שטח התחנה קיים שטח השייך לנת"ע. הבעיה הועלתה ליוסי דגן לטיפול מול רישוי ונכסים בעיריה - חסם משמועיתי לתחילת עבודות
נבחר קבלן זוכה- שטאנג.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r>
  </si>
  <si>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הבעיה הועלתה ליוסי דגן לטיפול מול רישוי ונכסים בעיריה - חסם משמועיתי לתחילת עבודות
נבחר קבלן זוכה- שטאנג, תיאום תחילת עבודות נקבע עם יח' הפיקוח ב-04.06.2026
טרם הוסרה תשתית קו הביוב משטח התחנה- באחריות עיריית תל אביב. (הנושא הוסדר עם גורמי העירייה)
שלב העתקת וכריתת העצים הסתיים
טרם התקבל אישור סופי מההולכה לתיאומים שבוצעו בתכנון- מהווה חסם להשלמת התוכניות לביצוע (בוצעו מספר פניות להולכה ולרוני אטרקצי ולא התקבלו תשובות)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</si>
  <si>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</si>
  <si>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כל דרישות ההיתר ממתינים לאישור העיריה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בשלבי תכנון לביצוע -חסם שמועיתי לתחילת עבודות
נבחר קבלן זוכה- שטאנג, בוצע תיאום תחילת עבודות עם יח' הפיקוח ב-04.06.2026
שטח ההתארגנות יימסר לקבלן לטובת הכנות מקדימות ב- 28.06.2026-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</si>
  <si>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הושלמו דרישות ההיתר למעט מי אביבים - צפי 02.07.2026
טרם הוסדר נושא רכישת הקרקע - לא יהווה חסם להיתר.
בסיור שבוצע בשטח התגלה שעיריית ת"א הפקיעה חלק משטח התחמ"ש לטובת נת"ע ובשטח הנתון בוצע תוואי של עמודי תאורה , הנושא טופל ע"י מנהל הפרויקט מול גורמי עיריית ת"א אך טרם הושלם בשל התנגדות נת"ע לביטול ההפקעה- חסם משמעותי לתחילת עבודות
נבחר קבלן זוכה- שטאנג, בוצע תיאום תחילת עבודות עם יח' הפיקוח ב-04.06.2026
שטח ההתארגנות יימסר לקבלן לטובת הכנות מקדימות ב- 01.07.2026- טרם קבלת ההיתר 
טרם הוסרה תשתית קו הביוב משטח התחנה- באחריות עיריית תל אביב. (הנושא הוסדר עם גורמי העירייה)
שלב העתקת וכריתת העצים הסתיים
 התקבל אישור סופי מההולכה לתיאומים שבוצעו בתכנון
כתוצאה משינויים אלה תוכניות לביצוע יוגשו באיחור של כחודש וחצי.</t>
  </si>
  <si>
    <t>השלמת תהליך רכישת הקרקע ע"י מנר"א
עמידת ההולכה בלו"ז לביצוע תשתית מ"ע.
הסדרת הפקעת השטח מנת"ע</t>
  </si>
  <si>
    <t>WBD-124</t>
  </si>
  <si>
    <t>חפר ארעית- הקמת תחמ"ש ארעית</t>
  </si>
  <si>
    <t xml:space="preserve">המשך בדיקות והכנסה לניצול
החלה עבודת הרת"ק בהכנת ראשים לכבלי מ"ג
</t>
  </si>
  <si>
    <t xml:space="preserve">המשך בדיקות והכנסה לניצול
הסתיימה עבודת הרת"ק בהכנת ראשים לכבלי מ"ג
</t>
  </si>
  <si>
    <t xml:space="preserve">המשך בדיקות והכנסה לניצול, מסתמן עיכוב של כשבועיים בהכנסה לניצול בשל עומס בנגה להשלמת התיאומים מול יח' התחמ"ש.
הסתיימה עבודת הרת"ק בהכנת ראשים לכבלי מ"ג
</t>
  </si>
  <si>
    <t>WBJ-004</t>
  </si>
  <si>
    <t>חפר-הקמת תחמ"ג 400/161 ק"ו,650*3 מגוו"א- שנאי קישור שלישי 454 יותקן ולא יחושמל-רב שלבי</t>
  </si>
  <si>
    <t xml:space="preserve">החלו  עבודות הקבלן </t>
  </si>
  <si>
    <t>לקראת סיום ביצוע כלונסאות
עמוד מתח על הוצב בשטח התחמ"ש לצורך קידום הפרויקט</t>
  </si>
  <si>
    <t>חל עיכוב בביצוע קידוח הכלונסאות של כשבועיים- שלושה- הנושא הועבר ליח' הפיקוח להתייחסות
עמוד מתח על הוצב בשטח התחמ"ש לצורך קידום הפרויקט</t>
  </si>
  <si>
    <t>עמוד מתח על הוצב בשטח התחמ"ש לצורך קידום הפרויקט</t>
  </si>
  <si>
    <t>עמוד מתח על הוצב בשטח התחמ"ש לצורך קידום הפרויקט
לקראת סיום קידוחי כלונסאות במפלס המרתף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</si>
  <si>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השלמת תכנון של מסדרי 400 ק"ו ומגבילי זרם עם קבלת נתוני הציוד.
צפי קבלת נתונים 25.05.2026- נדחה בשנית ל- 31.07.2026
מסתמן עיכוב בהסטת קווי מתח עליון בשלב סירוב הפיקוח על העומס לאפשר את ההסטה במהלך חודש 08.26- נדחה ל- 10.26</t>
  </si>
  <si>
    <t>WBD-120</t>
  </si>
  <si>
    <t>תפוח- הצבת תחמ"ש ניידת</t>
  </si>
  <si>
    <t>אין עדכונים - עדיין בבדיקות תכנון ומול נגה</t>
  </si>
  <si>
    <t>בבדיקות תכנון ומול נגה</t>
  </si>
  <si>
    <t>מיקום בבחינה</t>
  </si>
  <si>
    <t>WBD-090</t>
  </si>
  <si>
    <t>ענתות-הצבת תחמ"ש ניידת 30 מגוו"א</t>
  </si>
  <si>
    <t>בטיפול נכסים מול תפ"ט אפוטרופוס</t>
  </si>
  <si>
    <t xml:space="preserve">לא ניתן לקדם את הפרויקט בשלב זה </t>
  </si>
  <si>
    <t>WBD-121</t>
  </si>
  <si>
    <t>עמנואל 2 ניידת- הצבת תחמ"ש ניידת</t>
  </si>
  <si>
    <t>הניידת בתיקונים במודיעין, מתוכננת להובלה לתחמ"ש ב18.6.2026, חשמול מוערך עד סוף יוני.</t>
  </si>
  <si>
    <t>הכנסת הניידת לתחמ"ש בלילה יום חמישי 18.6, חשמול נדחה לתחילת 2027 עקב סדרי עדיפויות אזוריות של התחמשים</t>
  </si>
  <si>
    <t>הניידת מוקמה בתחמ"ש - חישמול מתוכנן לתחילת 2027 עפ"י מכתב תיעדוף עבודות שהתקבל מיחידת התחמ"ש</t>
  </si>
  <si>
    <t>דחיה של חצי שנה בחישמול עקב תיעדוף יחידת התחמש</t>
  </si>
  <si>
    <t>WBD-096</t>
  </si>
  <si>
    <t>א.ת. מכבים- הצבת תחמ"ש ניידת 161/33 ק"ו, 20 מגוו"א</t>
  </si>
  <si>
    <t>הסכם סופי נשלח מהקבלן לאישור חח"י וייכנס תוך שבוע לאישור והזמנה בוועדת מכרזים. עבודות יחלו מיד עם צאת ההזמנה ומוערכות כחצי שנה עד הכנסת הניידות. חשמול מסתמן בתחילת 2027 לשתי הניידות.</t>
  </si>
  <si>
    <t>התקבל תאריך לועדת מכרזים מהרכש - 31.5.26</t>
  </si>
  <si>
    <t>אושר הקבלן בוועדת מכרזים 31.5.26 כעת ממתינים לחתימות והזמנה</t>
  </si>
  <si>
    <t>צפי להשלמת חתימות להזמנה עד סוף השבוע הקרוב 18.6</t>
  </si>
  <si>
    <t>הסכם נחתם עם קבלן עבודות אזרחיות ב 21.06.2026, עבודות יחלו בשבוע הבא</t>
  </si>
  <si>
    <t>WBD-123</t>
  </si>
  <si>
    <t>א.ת. מכבים- הצבת תחמ"ש ניידת 161/24 ק"ו, 20 מגוו"א</t>
  </si>
  <si>
    <t>WBE-288</t>
  </si>
  <si>
    <t>שפרינצק-התקנת שנאי רביעי מס' 524, 50 מגוו"א וסוללות קבלים</t>
  </si>
  <si>
    <t>טרם נקבע</t>
  </si>
  <si>
    <t>מגזר תכנון הודיע כי יקדם השנה את התכנון למיכל והמשאבה (שוש WBM-60211) עבור היתר, כך שלא יפגע בחישמול השנאי ב 2028.</t>
  </si>
  <si>
    <t>WBE-290</t>
  </si>
  <si>
    <t>איילון- התקנת שנאי רביעי 75 מגוו"א 161/24 ק"ו</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</si>
  <si>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t>
  </si>
  <si>
    <t xml:space="preserve">עבודה תתבצע ללא קבלן אזרחי. תמיכות לקונסטרוקציה פלדה עבור תכנון אזרחי נשלחו לא"מ לטובת שליחה לאגרומטל. תכנון אזרחי יכין חבילת עבודה לה.חשמלית ולניצן שגב. רת"ק לא התחילו לבצע תכנון!! עלול להוות חסם.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</si>
  <si>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t>
  </si>
  <si>
    <t>עבודה תתבצע ללא קבלן אזרחי. תמיכות לקונסטרוקציה פלדה עבור תכנון אזרחי נשלחו לאגרומטל. תכנון אזרחי יכין חבילת עבודה לה.חשמלית ולניצן שגב. רת"ק לא התחילו לבצע תכנון!! עלול להוות חסם - נקבעה ישיבה מולם ב 10.06</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</si>
  <si>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ישיבה מול רת"ק נקבעה ל 16.06. </t>
  </si>
  <si>
    <t xml:space="preserve">עבודה תתבצע ללא קבלן אזרחי. תמיכות לקונסטרוקציה פלדה עבור תכנון אזרחי נשלחו לאגרומטל. תכנון אזרחי יכין חבילת עבודה לה.חשמלית ולניצן שגב. רת"ק התחילו לתכנן ותואם סיור מולם שבוע הבא. בוצעה ישיבה מול רת"ק ונקבע סיור לבחינת השטח ל 2.7. </t>
  </si>
  <si>
    <t xml:space="preserve">עמידה בלו"ז </t>
  </si>
  <si>
    <t>WBD-128</t>
  </si>
  <si>
    <t>תימורים- תכנון הצבת 2 תחמ"ש ניידות,30 מגוו"א כ"א</t>
  </si>
  <si>
    <t>בשלב תכנון אזרחי, ממתינים לעדכון מנכסים לעניין הצו שר</t>
  </si>
  <si>
    <t>התכנון האזרחי מתעכב בעקבות נתונים חסרים על הניידות - ממתינים לקבל את הנתונים מהיצרן. כמו כן, הניידות שהוקצו לטובת הפרויקט מסוג קונטרולמטיק תקולות ואינן במצב תפעולי כלל - תיקון הניידות הינו תלוי בתגובת היצרן שבשלב זה לא נותן מענה. מצב הניידות מעמיד בסיכון את היכולת בעמידה בלוחות הזמנים- נדרש לבחון אם ניתן להחליף את הניידות לסוג אחר
הבקשה לצו השר הועבר למינהל התכנון</t>
  </si>
  <si>
    <t xml:space="preserve">עדיין מנסים לתת פתרון לניידות התקולות כמו כן מחכים לצו השר </t>
  </si>
  <si>
    <t xml:space="preserve">הניידות תקולות
</t>
  </si>
  <si>
    <t>WBC-075</t>
  </si>
  <si>
    <t>תימורים-הקמת תחמ"ש חיצונית 161/24 ק"ו</t>
  </si>
  <si>
    <t>נשאר תנאי יחיד של נספח סניטרי, פועלים לאשרו. מתיאום מול המט"ש מתברר שיש תוואי נוסף של קו הסניקה שנמצא בתוך המגרש - נדרש להעתיק גם אותו.הנושא נבדק מול המט"ש</t>
  </si>
  <si>
    <t>נשאר תנאי יחיד של נספח סניטרי, פועלים לאשרו אך חווים קשיים. מתיאום מול המט"ש מתברר שיש תוואי נוסף של קו הסניקה שנמצא בתוך המגרש - ישנם קשיים רבים במציאת תוואי מוסכם על כל הגורמים.</t>
  </si>
  <si>
    <t>עדיין יש צורך באישור משרד הבריאות לצורך אישור תאגיד מים, בטיפול.   מקדמים את הפתרון לקו הסניקה</t>
  </si>
  <si>
    <t>קו הסניקה הקיים בשטח מהווה חסם לעלייה לקרקע.</t>
  </si>
  <si>
    <t>WBC-123</t>
  </si>
  <si>
    <t>שחר(כוכב מיכאל)-הקמת תחמ"ש חיצונית</t>
  </si>
  <si>
    <t xml:space="preserve">נמצאים במילוי תנאי התכן
צפי קבלת היתר באוגוסט </t>
  </si>
  <si>
    <t>נמצאים במילוי תנאי התכן</t>
  </si>
  <si>
    <t>נמצאים במילוי תנאי התכן
פועלים להעתקה של העצים שבמגרש ע"י הקיבוץ</t>
  </si>
  <si>
    <t>עדיין בטיפול בתנאי התכן</t>
  </si>
  <si>
    <t>סיכון - מטע הזיתים שקיים בשטח היה אמור להיות מפונה. עד כה המטע לא פונה.</t>
  </si>
  <si>
    <t>WBC-072</t>
  </si>
  <si>
    <t>ראשון תעשיה- הקמת תחמ"ש פנימית 161/24 ק"</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</si>
  <si>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מתוכננת ישיבה נוספת עם מנכ"ל העירייה בתאריך 20.5.26</t>
  </si>
  <si>
    <t>העירייה הגיעה להסדר עם מפ"י לגבי תיקון התוכנית הכללית שתאפשר את רישום הזכויות על העירייה וכעת נדרש לבצע רישום בטאבו. במקביל מתקדמים לעבר הסכם. צפי כי הנושא יוסדר בחודשיים הקרובים. הישיבה עם מנכ"ל העירייה בוטלה</t>
  </si>
  <si>
    <t>העירייה הגיעה להסדר עם מפ"י לגבי תיקון התוכנית הכללית שתאפשר את רישום הזכויות על העירייה וכעת נדרש לבצע רישום בטאבו. במקביל מתקדמים לעבר הסכם - ישנם מס' נושאים שבמחלוקות עם העירייה מקווים שיפתר בקרוב. צפי כי הנושא יוסדר בחודש הקרוב</t>
  </si>
  <si>
    <t>עדיין מחכים לחתימה של העירייה, בטיפול</t>
  </si>
  <si>
    <t xml:space="preserve">עיכוב בנושא הסדרת הזכויות על הקרקע
</t>
  </si>
  <si>
    <t>WBC-057</t>
  </si>
  <si>
    <t>ליילנד-הקמת תחמ"ש פנימית 161/24ק"ו 50*2</t>
  </si>
  <si>
    <t>-</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</si>
  <si>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 והקושי בהבאת 40 מערכות כבלים שיזינו את העיר. יחד עם זאת ייתכן כי החיבור מ"ע יהיה תת"ק</t>
  </si>
  <si>
    <t>התקיימה פגישה עם מהנדס העיר וסוכם כי ייבחנו 2 נושאים:
1. חח"י תבחן אפשרות לעיצוב אדריכלי שיענה לדרישות ראש העיר מכיוון שהמבנה הינו בכניסה לעיר - יועברו הדמיות שעל בסיסן מהנדס העיר יבקש את אישור ראש העיר לתחמ"ש.
2. חח"י יבחנו שטח חלופי לבניית התחמ"ש - הנושא נבחן ונפסל ע"י אגף הרשת עקב המרחק מהעיר והקושי בהבאת 40 מערכות כבלים שיזינו את העיר. יחד עם זאת ייתכן כי החיבור מ"ע יהיה תת"ק</t>
  </si>
  <si>
    <t>עמדת הולכה-ישימות נמוכה מאוד למתווה תת קרעי שהוצג.דחיה של כ5 שנים.יקח חצי שנה בדיקת תשתית לוודא בוודאות התכנות לתת קרקע.הוצע לנוגה להתחיל עילי ובהמשך לעבור לתחתי.הועבר לעיריה המידע הרלוונטי מהתכנון.ממתינים לפגישה עם עיריה עם מהנדס העיר ב25.6</t>
  </si>
  <si>
    <t>בטיפול מח' אסדרה סביבתית</t>
  </si>
  <si>
    <t>WBC-061</t>
  </si>
  <si>
    <t>גן רווה-הקמת תחמ"ש חיצונית קבועה 161/24 ק"ו</t>
  </si>
  <si>
    <t>חושמל ב30/06/2025</t>
  </si>
  <si>
    <t>התגלה זיהום קרקע בדיגום שבוצע - מחכים להנחיות המשרד להגנת הסביבה. ייתכן כי נושא זה יגרום לדחייה</t>
  </si>
  <si>
    <t>התגלה זיהום קרקע בדיגום שבוצע - מחכים להנחיות המשרד להגנת הסביבה. ייתכן כי נושא זה יגרום לדחייה
במקביל הקבלן מתקדם נכון לעכשיו בפיתוח השטח</t>
  </si>
  <si>
    <t>המתנה למשרד להגנת הסביבה - מעמיד בסיכון את יעד סיום הפרויקט</t>
  </si>
  <si>
    <t>WBC-066</t>
  </si>
  <si>
    <t>בית הלוחם- הקמת תחמ"ש פנימית</t>
  </si>
  <si>
    <t>חושמל 18/06/2025</t>
  </si>
  <si>
    <t xml:space="preserve">תוכנית שינויים הועברה לעירייה
</t>
  </si>
  <si>
    <t xml:space="preserve">תוכנית שינויים הועברה לעירייה בבדיקה
</t>
  </si>
  <si>
    <t>WBE-285</t>
  </si>
  <si>
    <t>איתן - הקמת שדה מס' 1 במסדר 161 ק"ו. יכולת זרם 2000 א'. משיק ל- WBM-40241.</t>
  </si>
  <si>
    <t>עד כה בוצעו 7 קידוחים ויציקות מתוך 11. ישנה התנגדות גדולה של המושב לביצוע העבודות עקב הרעש. שעות ההפסקה הוקדמו על מנת להפחית את הרעש בשעות המאוחרות. מנסה לקדם הפסקות להצבת רגלי העמוד על ראש הכלונס</t>
  </si>
  <si>
    <t>עד כה בוצעו 10 קידוחים ויציקות מתוך 11. מנסה לקדם הפסקות להצבת רגלי העמוד על ראש הכלונס</t>
  </si>
  <si>
    <t>עבודת קידוחי הכלונסאות של שורת הפורטלים הסתיימה, עמחר מתחילים בעבודות ראשי הכלונס שצפויות להסתיים עד ה 21.6 - בתאריך זה תחל עבודת הקבל על שדה 1</t>
  </si>
  <si>
    <t>עבודת קידוחי הכלונסאות של שורת הפורטלים הסתיימה, התחילו בעבודות ראשי הכלונס שצפויות להסתיים עד ה 21.6 - בתאריך זה תחל עבודת הקבלן על שדה 1</t>
  </si>
  <si>
    <t>עבודת קידוחי הכלונסאות של שורת הפורטלים הסתיימה, התחילו בעבודות ראשי הכלונס שצפויות להסתיים עד ה 01.07 - בתאריך זה תחל עבודת הקבלן על שדה 1</t>
  </si>
  <si>
    <t>עבודת קידוחי הכלונסאות של שורת הפורטלים הסתיימה,  בעבודות ראשי הכלונס שצפויות להסתיים עד ה 01.07 - בתאריך זה תחל עבודת הקבלן על שדה 1</t>
  </si>
  <si>
    <t>WBE-087</t>
  </si>
  <si>
    <t>איתן-החל' שנאים ומסדרים-4 שלבים</t>
  </si>
  <si>
    <t>בבדיקות הכנסה לניצול - צפי חשמול שנאי 524 הינו ב 11.6.26</t>
  </si>
  <si>
    <t>שנאי 524 צפוי להיות מחושמל ב 11.6, מיד לאחר מכן יחל פירוק שנאי 523 ומסירה לקבלן של יסוד השנאי ושדה שנאי (שדה 8).
בוצע תיאום להעתקת קווי מ"ג מפ"צ 524 ל פ"צ 523 החל מ 14.6.26</t>
  </si>
  <si>
    <t>שנאי 524 צפוי להיות מחושמל ב 17.6, מיד לאחר מכן יחל פירוק שנאי 523 ומסירה לקבלן של יסוד השנאי ושדה שנאי (שדה 8).
בוצע תיאום להעתקת קווי מ"ג מפ"צ 524 ל פ"צ 523 החל מ 21.6.26</t>
  </si>
  <si>
    <t>שנאי 524 צפוי להיות מחושמל ב 16.6, מיד לאחר מכן יחל פירוק שנאי 523 ומסירה לקבלן של יסוד השנאי ושדה שנאי (שדה 8).
בוצע תיאום להעתקת קווי מ"ג מפ"צ 524 ל פ"צ 523 החל מ 21.6.26</t>
  </si>
  <si>
    <t xml:space="preserve">  523 החל פירוק, 524 חושמל. העתקת קוי מ"ג בביצוע. הכנה לתחילת עבודות קבלן לחיזוק יסוד</t>
  </si>
  <si>
    <t>WBE-309</t>
  </si>
  <si>
    <t>גילת-חח"י-הוספת 2 שנאי חח"י 50 מגו"א</t>
  </si>
  <si>
    <t>30.1.2029</t>
  </si>
  <si>
    <t>מתקיימות פגישות לתיאום טכני בהובלה של נגה</t>
  </si>
  <si>
    <t>מתקיימות פגישות לתיאום טכני בהובלה של נגה. בתאריך 3/6/26 בוצע פגישה להצגת הפרויקט ותיאום ציפיות חח"י יזם</t>
  </si>
  <si>
    <t>מתקיימות פגישות לתיאום טכני בהובלה של נגה. בתאריך 3/6/26 בוצע פגישה להצגת הפרויקט ותיאום ציפיות חח"י יזם. בסוף חודש 6/26 עתידים לקבל הצעת מחיר מהיזם להרחבת התחמ"ש עבור חח"י</t>
  </si>
  <si>
    <t>WBE-232</t>
  </si>
  <si>
    <t>קרית המודיעין-הת' 2 שנאים 161/24ק'50 מגוו"א כ"א וסוללות קבלים</t>
  </si>
  <si>
    <t>בתאריך 3/5/26 בוצע סיור עם נציג הרכבה חשמלית והעבודות להכנת השטח לצורך כניסת הרכבות חשמליות ממשיכות עדיין השטח לא מוכן, הרכבות חשמליות יכנסו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</si>
  <si>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t>
  </si>
  <si>
    <t xml:space="preserve"> הרכבות חשמליות נכנסו לעבודות במ"ג בתאריך 18/5.  קיים עיכוב באספקת ציוד (שנאי הארקה 8/26, ובסליל כיבוי 1/27 ). נקבע סיור עם צמ"ן לבחינת מסלול הכנסת השנאים</t>
  </si>
  <si>
    <t xml:space="preserve"> הרכבות חשמליות נכנסו לעבודות במ"ג בתאריך 18/5.  קיים עיכוב באספקת ציוד (שנאי הארקה 8/26, ובסליל כיבוי 1/27 ). נקבע סיור  9/6/26 עם צמ"ן לבחינת מסלול הכנסת השנאים</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</si>
  <si>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</si>
  <si>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נקבע מועד להכנסת השנאים 7.7.26 במקביל עבודות הרכבה חשמלית באתר ממשיכות  </t>
  </si>
  <si>
    <t xml:space="preserve"> הרכבות חשמליות נכנסו לעבודות במ"ג בתאריך 18/5.  קיים עיכוב באספקת ציוד (שנאי הארקה 8/26, ובסליל כיבוי 1/27 ). בוצע סיור עם מח' צמ"ן ונבדק מסלול להכנסת השנאים. במקביל עבודות הרכבה חשמלית באתר ממשיכות. תאריך להובלת השנאי נדחה ל 12/7/26   </t>
  </si>
  <si>
    <t xml:space="preserve">תכנון, ביצוע ופיקוח ע"י היזם - מעורבות חח"י מוגבלת. חסם בנושא ציוד - לטיפול מח' ציוד </t>
  </si>
  <si>
    <t>WBE-236</t>
  </si>
  <si>
    <t>נתיבות-הקמת שדה קו 161 ק"ו חדש מס' 9 יכולת 3000 א'</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</si>
  <si>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 </t>
  </si>
  <si>
    <t>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t>
  </si>
  <si>
    <t xml:space="preserve">בשלב תכנון ובדיקת לו"ז הפרויקט מול קשטן אלעזר. . הייתקיימה  פגישה מול נגה בתאריך 4.5 הוצע ע"י נגה לבחון את שלביות ביצוע אשכול הפרוקיטם בנתיבות . בטיפול אצל קשטן.עד לתאריך 10.6.26 לקבל את התייחסותו של קשטן. ממתינים ללו"ז ושלביות מאושרים לאשכול הפרויקטים </t>
  </si>
  <si>
    <t>WBM-40525</t>
  </si>
  <si>
    <t>נתיבות - שדרוג שדה 3 ליכולת 2000A</t>
  </si>
  <si>
    <t>שוש</t>
  </si>
  <si>
    <t xml:space="preserve">בתאריך 8.3.26 בוצע הקפאת תצורה, מתקדמים בתכנון, הוזמן תכנון אזרחי </t>
  </si>
  <si>
    <t xml:space="preserve">בתאריך 8.3.26 בוצע הקפאת תצורה, מתקדמים בתכנון, הוזמן תכנון אזרחי. נדרש לבחון מחדש עם קבלת התייחסותו של קשטן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</si>
  <si>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t>
  </si>
  <si>
    <t xml:space="preserve">בתאריך 8.3.26 בוצע הקפאת תצורה, מתקדמים בתכנון, הוזמן תכנון אזרחי. נדרש לבחון מחדש עם קבלת התייחסותו של קשטן. הוחלט לשלב פרויקט זה עם אשכול הפרויקטים. עד לאישור של הלו"ז והשלביות של הפרויקט, הוקפאה התכנון לשדה 3   </t>
  </si>
  <si>
    <t>WBM-70032</t>
  </si>
  <si>
    <t xml:space="preserve">נתיבות - פירוק סוללת קבלים והתקנת 4 סוללות מודולריות  חדשות </t>
  </si>
  <si>
    <t>בתאריך 8.3.26 בוצע הקפאת תצורה, מתקדמים בתכנון, הוזמן תכנון אזרחי . בפגישה שהתקיימה מול נגה סוכם שנגה יבחנו אם ניתן לבטל את פרויקט סוללות הקבלנים, ממתינים להתייחסות נגה בנוגע לסוללות קבלים</t>
  </si>
  <si>
    <t>עפי מזכר מנגה וסיכום הדברים מתאריך25/5/26, לבטל את שדרוג סוללות הקבלנים ולשמור מקום בתכנון העתידי</t>
  </si>
  <si>
    <t>WBD-093</t>
  </si>
  <si>
    <t>ניר יצחק ניידת-הצבת 2 תחמ"ש ניידות</t>
  </si>
  <si>
    <t>התקבל אישור מהנדס הוועדה להציב את הניידות בפטור מהיתר, במקביל מקדמים תכנון והתארגנות לביצוע העבודות. בתאריך 17/5/26 מ"ע יבצעו ביסוס לעמודים</t>
  </si>
  <si>
    <t>התקבל אישור מהנדס הוועדה להציב את הניידות בפטור מהיתר, במקביל מקדמים תכנון והתארגנות לביצוע העבודות. בתאריך 17/5/26 בוצע שלב ראשון של עמודים מ"ע</t>
  </si>
  <si>
    <t xml:space="preserve">התקבל אישור מהנדס הוועדה להציב את הניידות בפטור מהיתר, במקביל מקדמים תכנון והתארגנות לביצוע העבודות. בתאריך 17/5/26 בוצע שלב ראשון של עמודים מ"ע. חל עיכוב בקבלת חבילת תכנון לביצוע ממגזר תכנון </t>
  </si>
  <si>
    <t>התקבל אישור מהנדס הוועדה להציב את הניידות בפטור מהיתר, במקביל מקדמים תכנון והתארגנות לביצוע העבודות. עבודות מ"ע לקראת סיום . בתאריך 11/6 חבילת תכנון לביצוע הועברה למח' הפיקוח</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</si>
  <si>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t>
  </si>
  <si>
    <t xml:space="preserve">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נקבע סיור עם הקבלן לתאריך 29/7/26 לאחר הסיור יקבע מועד לתחילת העבודות </t>
  </si>
  <si>
    <t>מתן עדיפות לפרויקט</t>
  </si>
  <si>
    <t>WBC-122</t>
  </si>
  <si>
    <t>ניר יצחק-הקמת תחמ"ש חיצונית ו- 2 שלבים</t>
  </si>
  <si>
    <t xml:space="preserve"> מקדמים התקשרות מול מקורות לתכנון העתקת תשתיות מדרך הגישה . פועלים מול מקורות לחיבור נק' מים לתחמ"ש.  בתאריך 17/5/26 נבחר קבלן זוכה במכרז - לסיכו בע"מ</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</si>
  <si>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</si>
  <si>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</si>
  <si>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WBC-083</t>
  </si>
  <si>
    <t>בית הגדי- הקמת תחמ"ש חיצונית 161/24 ק"ו</t>
  </si>
  <si>
    <t>בשלבים מתקדמים של תכנון למכרז,  חבילת תכנון להערות הפיקוח נשלח בתאריך 30/4/26 .  קיים עיכוב בלו"ז עקב המלחמה. בוצע  פגישת RFT , ממתינים להתייחסות מגזר תכנון להערות הפיקוח והפצת מסמך FRT</t>
  </si>
  <si>
    <t xml:space="preserve">מסך RFT חתום וחבילת תכנון למכרז  התקבל בתאריך 28/5/26. בתאריך 31/5/26 החומר הועבר לרכש עבור מכרז  </t>
  </si>
  <si>
    <t xml:space="preserve">מסך RFT חתום וחבילת תכנון למכרז  התקבל בתאריך 28/5/26. בתאריך 31/5/26 החומר הועבר לרכש עבור מכרז . בתאריך 8/6/26 התקבל היתר בניה </t>
  </si>
  <si>
    <t>מסך RFT חתום וחבילת תכנון למכרז  התקבל בתאריך 28/5/26. בתאריך 31/5/26 החומר הועבר לרכש עבור מכרז . בתאריך 8/6/26 התקבל היתר בניה . נקבע מועד לסיור קבלנים 16/7/26</t>
  </si>
  <si>
    <t xml:space="preserve">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הנושא בבדיקה </t>
  </si>
  <si>
    <t>פרויקט ללא בנמ, קיצור לו"ז הליך מכרז</t>
  </si>
  <si>
    <t>WBE-310</t>
  </si>
  <si>
    <t>יפתח-הוספת 2 שנאי חח"י 50 מגו"א</t>
  </si>
  <si>
    <t>הפרויקט הועבר אליי בתאריך 28/5/26 מתאמים פגישת הנעה מול צוות הפרויקט</t>
  </si>
  <si>
    <t xml:space="preserve">הפרויקט הועבר אליי בתאריך 28/5/26 מתאמים פגישת הנעה מול צוות הפרויקט. בתאריך 8/6/26 בוצע פגישה ראשונה מול נגה </t>
  </si>
  <si>
    <t xml:space="preserve">הפרויקט הועבר אליי בתאריך 28/5/26 מתאמים פגישת הנעה מול צוות הפרויקט. בתאריך 8/6/26 בוצע פגישה ראשונה מול נגה. נקבע סדרת פגישות לקידום ההליך המסחרי </t>
  </si>
  <si>
    <t xml:space="preserve"> בתאריך 8/6/26 בוצע פגישה ראשונה מול נגה. נקבע סדרת פגישות לקידום ההליך המסחרי . לקראת גיבוש נספח תכולות עבודה סופי.</t>
  </si>
  <si>
    <t>WBE-177</t>
  </si>
  <si>
    <t>אורים -חח"י-הוספת 2 שנאים 50 מגוו"א</t>
  </si>
  <si>
    <t>בתאריך 20/4 הוועדה אישרה את ההתקשרות מול היזם להקמת תחמ"ש אורים. כעת בשלב הכנת החוזה לחתימת הצדדים. במקביל העבודות באתר ממשיכות.</t>
  </si>
  <si>
    <t xml:space="preserve">בתאריך 20/4 הוועדה אישרה את ההתקשרות מול היזם להקמת תחמ"ש אורים. כעת בשלב הכנת החוזה לחתימת הצדדים. במקביל העבודות באתר ממשיכות. בתאריך 27/5/26 בוצע סיור בתחמ"ש עם הפיקוח, יח' התחמ"ש להכרות הפרויקט </t>
  </si>
  <si>
    <t xml:space="preserve">בתאריך7/6/26 נחתם הסכם בין הצדדים . בתאריך 27/5/26 בוצע סיור בתחמ"ש עם הפיקוח, יח' התחמ"ש להכרות הפרויקט </t>
  </si>
  <si>
    <t>בתאריך7/6/26 נחתם הסכם בין הצדדים . בתאריך 27/5/26 בוצע סיור בתחמ"ש עם הפיקוח, יח' התחמ"ש להכרות הפרויקט . העבודות מתקדמות בשטח</t>
  </si>
  <si>
    <t xml:space="preserve">בתאריך7/6/26 נחתם הסכם בין הצדדים . בתאריך 27/5/26 בוצע סיור בתחמ"ש עם הפיקוח, יח' התחמ"ש להכרות הפרויקט . העבודות מתקדמות בשטח. נקבע מועד 9/7/26 לסיור עבור מסירת חלק מאבני הדרך </t>
  </si>
  <si>
    <t>WBE-237</t>
  </si>
  <si>
    <t>אופקים-הקמת שדה קו 161 ק"ו (מס' 1)</t>
  </si>
  <si>
    <t>נקבע פגישה לתאריך 31/5/26 להתנעת הפרויקט, במקביל נדרש לסגור מול קשטן תכולות פרויקט</t>
  </si>
  <si>
    <t>נדרש לסגור תכולת הפרויקט מול קשטן</t>
  </si>
  <si>
    <t>WBE-210</t>
  </si>
  <si>
    <t>אופקים-הוספת שנאי רביעי ( 524) 50 מגוו"א</t>
  </si>
  <si>
    <t xml:space="preserve">נדרש לסגור תכולת הפרויקט מול קשטן </t>
  </si>
  <si>
    <t xml:space="preserve">לפרויקט יש STAGE הנדרש ל2027 יש להתחיל להניע את הפרויקט </t>
  </si>
  <si>
    <t>WBE-018</t>
  </si>
  <si>
    <t>ת"א צפון-החלפת 2 שנאים 50  ל- 75 מגוו"א</t>
  </si>
  <si>
    <t>שנאי 1 - 31/06/27
שנאי 2 - 31/10/27</t>
  </si>
  <si>
    <t xml:space="preserve">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t>
  </si>
  <si>
    <t>השנאים 75 מגוו"א הוסטו לפרויקט בת ים.  כניסה לתחילת הרכבות נדחתה לאביב 2027
התקבל מידע מאלי קשטן שבוחנים אפשרות לקחת שנאי 75 מת"א לבארות יצחק ושוב לדחות את הפרויקט בת"א - ממתינים לתשובות</t>
  </si>
  <si>
    <t>דחיית מועד סיום הפרויקט בגלל חוסר ציוד</t>
  </si>
  <si>
    <t>WBD-119</t>
  </si>
  <si>
    <t>שערי עכו- הצבת 2 תחמ"ש ניידות, 30 מגוו"ט כ"א</t>
  </si>
  <si>
    <t>הועבר לארז סרי מסמך עמדה והתייחסות לטיפול בהיפוך ההחלטה ולקבל אישור צו שר למיקום המקורי</t>
  </si>
  <si>
    <t>קיים סיכון באי קבלת אישור צו שר לאור דחייה קודמת</t>
  </si>
  <si>
    <t>WBE-282</t>
  </si>
  <si>
    <t>שירת הדבורה-חח"י – התקנת שנאי שלישי 161/24 ק"ו, 50 מגוו"א מס' 523</t>
  </si>
  <si>
    <t xml:space="preserve">נעשה תיאום עם יח' התחמ"ש והרכבה חשמלית. עפ"י סדרי עדיפויות. בדיקות הכנסה לניצול יחלו ב 30/06 ויסתיימו ב 31/08/26. </t>
  </si>
  <si>
    <t>נעשה תיאום עם יח' התחמ"ש והרכבה חשמלית. עפ"י סדרי עדיפויות. בדיקות הכנסה לניצול יחלו ב 30/06 ויסתיימו ב 31/08/26. 
ב 11/06/26 היזם השלים קירות בטון לבנין המסדרים.</t>
  </si>
  <si>
    <t xml:space="preserve">נעשה תיאום עם יח' התחמ"ש והרכבה חשמלית. עפ"י סדרי עדיפויות. בדיקות הכנסה לניצול יחלו ב 30/06 ויסתיימו ב 31/08/26. 
ב 11/06/26 היזם השלים קירות בטון לבנין המסדרים. </t>
  </si>
  <si>
    <t>WBE-167</t>
  </si>
  <si>
    <t>שירת דבורה - תחמ"ש -הוספת 2 שנאי חח"י 50 מו"א</t>
  </si>
  <si>
    <t xml:space="preserve">חושמל 04/12/2025 </t>
  </si>
  <si>
    <t>התקבלו נתונים מהרכבה חשמלית, מועבר לבדיקת עלויות של אמל ולאחריו נסכם ונזמין את היזם לסגירת חוזה.</t>
  </si>
  <si>
    <t>התקבלו נתונים מהרכבה חשמלית, מועבר לבדיקת עלויות של אמל ולאחריו נסכם ונזמין את היזם לסגירת חוזה - טרם הסתיים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</si>
  <si>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t>
  </si>
  <si>
    <t>התקבלו נתונים מהרכבה חשמלית, מועבר לבדיקת עלויות של אמל ולאחריו נסכם ונזמין את היזם לסגירת חוזה - טרם הסתיים 
נקבעה פגישה וסיור מחר 24.6.26 באתר עם היזם וטכנו כלכליים לסגירת הנושאים הכלכליים- בוצע, בימים הקרובים נתכנס לסיכום עלויות</t>
  </si>
  <si>
    <t>. .</t>
  </si>
  <si>
    <t>WBE-229</t>
  </si>
  <si>
    <t>קצרין- רב שלבי-החלפת 3 ניידות 20 מגוו"א ל2 שנאים 50 מגוו"א</t>
  </si>
  <si>
    <t>בוצע  ב 11/3 חושמלו הקווים ונותקו מהניידת</t>
  </si>
  <si>
    <t xml:space="preserve"> הוצאת הניידת נקבעה ב 19/05/26. בוצע טסט והכנת הניידת להובלה ע"י מח' התחבורה
לאחר מכן כניסת קבלן כבלים לפינוי הכבלים ותשתיות נותרות באתר.</t>
  </si>
  <si>
    <t xml:space="preserve"> ב 19/05/26 הושלמה הוצאת הניידת .  
ב 25/05/26 נכנס צוות הרכבה חשמלית + קבלן כבלים לחיווטים ופינוי הכבלים והתשתיות שנותרו באתר.</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</si>
  <si>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עד 09/06/26 וצוות המחוז להטמנת כבלים של הניידת + תיקונים ונקיונות.</t>
  </si>
  <si>
    <t xml:space="preserve"> ב 19/05/26 הושלמה הוצאת הניידת .  
ב 25/05/26 נכנס צוות הרכבה חשמלית + קבלן כבלים לחיווטים ופינוי הכבלים והתשתיות שנותרו באתר. השבוע יסיים קבלן הכבלים את העבודה. קבלן אזרחי מטעם המחוז יגיע ב 16/06/26 וצוות המחוז להטמנת כבלים של הניידת + תיקונים ונקיונות.</t>
  </si>
  <si>
    <t xml:space="preserve">הושלם </t>
  </si>
  <si>
    <t>WBE-100</t>
  </si>
  <si>
    <t>נייר חדרה - שידרוג התחמ"ש</t>
  </si>
  <si>
    <t>התקבלה הודעה שהתוכנית צפויה לקבל אישור ואגרה תוך חודשיים. המשמעות היא שניתן לפתוח תיק להיתר רק לאחר קבלת התב"ע המעודכנת ולכן צריך לדחות את סיום הפרויקט בהתאם.</t>
  </si>
  <si>
    <t>WBE-249</t>
  </si>
  <si>
    <t>יאסיף-התקנת שני שנאים בהספק 50 מגו"א כ"א</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</si>
  <si>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נקבעה פגישה למנכ"ל אנרג'יקס אצל מנהל האגף ב 26/05/26</t>
  </si>
  <si>
    <t>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t>
  </si>
  <si>
    <t xml:space="preserve">המשך עבודות הרכבה חשמלית.
התקבל עדכון מה. חשמלית כי חסר ציוד וברגי עיגון - יצאה הזמנה, בוחנים השפעה על לו"ז הפרויקט.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</si>
  <si>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התקבל עדכון מה. חשמלית כי ב 11/06/26 התקבל הציוד וברגי העיגון - המשך עבודות.
תכנון תקשורת וארונות התקשורת לא סונכרנו עם הקדמת הפרויקט - פועלים להקדימם.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</si>
  <si>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 xml:space="preserve">המשך עבודות הרכבה חשמלית.
 צפי מסירה לבדיקות 30/7/2026
השלמת חוזה עם היזם: בעקבות חילוקי דעות על עלות החוזה בין חח"י לאנרג'יקס התקיימה פגישה עם מנכ"ל אנרג'יקס אצל מנהל האגף ב 26/05/26 סוכם כי מנהל האגף ומנכ"ל אנרג'יקס יתאמו פגישה אישית להגעה להבנות. ב 07/06/26 התקבלה הודעה כי חברת אנרג'יקס וחח"י סיכמו תשלום עפ"י החוזה </t>
  </si>
  <si>
    <t>המשך עבודות הרכבה חשמלית.
 צפי מסירה לבדיקות 30/7/2026
ב 07/06/26 התקבלה הודעה כי חברת אנרג'יקס וחח"י סיכמו תשלום עפ"י החוזה 
באחריות רחלי להשלים מסמך לאישור הפשרה בועדת מכרזים</t>
  </si>
  <si>
    <t xml:space="preserve"> לא נעמוד ביעד הפנימי שהוגדר ע"י החטיבה. </t>
  </si>
  <si>
    <t>WBC-119</t>
  </si>
  <si>
    <t>בראון (עמק הבכא)-הרחבת תחמ"ש פרטי(לחח"י)</t>
  </si>
  <si>
    <t>שנאי 1 חושמל 13/05/25 
צפי חישמול לשנאי ה- 2 ה- 25/6
 שנאי 3 - 31/12/26 או לפי סדר עדיפות יח' התחמ"ש</t>
  </si>
  <si>
    <r>
      <rPr>
        <sz val="12"/>
        <rFont val="Arial"/>
        <family val="2"/>
        <scheme val="minor"/>
      </rPr>
      <t>צוות יח' התחמ"ש הוצאו לעבודה בהדרי שאן וכרמיאל,  סיכון שהתממש. הצוות לא יוכל להשלים הכנסה לניצול של השנאי עד סוף מאי 26</t>
    </r>
  </si>
  <si>
    <t>צוות יח' התחמ"ש הוצאו לעבודה בהדרי שאן וכרמיאל,  סיכון שהתממש. הצוות לא יוכל להשלים הכנסה לניצול של השנאי עד סוף מאי 26 וטרם צפי מעודכן לסיום.</t>
  </si>
  <si>
    <t>צוות יח' התחמ"ש הוצאו לעבודה בהדרי שאן וכרמיאל,  סיכון שהתממש. הצוות לא יוכל להשלים הכנסה לניצול של השנאי עד סוף מאי 26 וטרם התקבל צפי מעודכן לסיום.</t>
  </si>
  <si>
    <t>צוות יח' התחמ"ש הוצאו לעבודה בהדרי שאן וכרמיאל,  סיכון שהתממש. 
הצוות ישלים הכנסה לניצול של השנאי  ה 2 עד 24/06/26
 וטרם התקבל צפי מעודכן לסיום חישמול השנאי ה 3.</t>
  </si>
  <si>
    <t>השנאי  ה 2 -התקיימה ב23/6 וועדת חשמול צפי חשמול 25/6/26
 וטרם התקבל צפי מעודכן לסיום חישמול השנאי ה 3.</t>
  </si>
  <si>
    <t>סיכון התממש - אי עמידה ביעד חישמול של השנאי</t>
  </si>
  <si>
    <t>WBE-192</t>
  </si>
  <si>
    <t>בראון- התקנת שנאי רביעי 161/36 ק"ו, 50 מגוו"א</t>
  </si>
  <si>
    <t xml:space="preserve">פרויקט מוקפא </t>
  </si>
  <si>
    <t>פרויקט מוקפא - לשיקולכם האם להסיר מהדוח?</t>
  </si>
  <si>
    <t>WBE-191</t>
  </si>
  <si>
    <t>בר לב - התקנת שנאי שלישי 161/24 ק"ו , 50 מגוו"א</t>
  </si>
  <si>
    <t>המכרז אושר  בוועדת מכרזים  ב 06/05/26 ופורסם.   
סיור קבלנים נקבע ל 19/05/26.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</si>
  <si>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התנה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t>
  </si>
  <si>
    <t>המכרז אושר  בוועדת מכרזים  ב 06/05/26 ופורסם.   
התבצע סיור קבלנים ב 19/05/26. 
לבקשת הקבלנים, בעקבות החג ניתנה תוספת של שבוע להגשה עד 09/06/26
צפי לקבלת הודעת קבלן זוכה - 17/06/26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</si>
  <si>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המכרז אושר  בוועדת מכרזים  ב 06/05/26 ופורסם.   
התבצע סיור קבלנים ב 19/05/26. 
לבקשת הקבלנים, בעקבות החג ניתנה תוספת של שבוע להגשה 
התקבלו הצעות הקבלנים ב 09/06/26
צפי לקבלת הודעת קבלן זוכה - 24/06/26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</si>
  <si>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</si>
  <si>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נבחר קבלן זוכה ממתינים לעדכון דוח קרקע חווד שנייה וצפי תחילת עבודות 15/7/2026- התקבל דוח קרקע והוחלט לשנות את היסודות מכלונסאות ליסודות רדודים והחלפת קרקע, התכנון יעדכן את התוכניות לפי סדר עדיפויות, קודם שנאי ולאחר מכן מסדרי אפס על מנת לא לעכב את הקבלן.
נקבעה פגישת התנעה עם הקבלן הזוכה ב- 06.07.2026 
מערכת SCS חדשה של סימנס: ב 13/05/26 הושלם סיווג המערכת והוקמה הזמנה לסימנס. המנכ"ל חתם על ההזמנה ביום א' 17/05/26, נעשה תיאום מול נציגי סימנס לקיצור הזמנים עבור המערכת לברלב וקבלת הציוד לאתר ב 10/26 כולל בדיקות ראשוניות שייעשו יחד עם צוותי חח"י וסימנס. במעקב.</t>
  </si>
  <si>
    <t>WBE-223</t>
  </si>
  <si>
    <t>בית שאן-התקנת שנאי חמישי 161/24 ק"ו 50 מ</t>
  </si>
  <si>
    <t>1. מסירה שניה של 2 שדות 161 ק"ו שנקבעה ל 23/05/26 נדחית ל 30/05/26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תתקיים פגישה של הרכבה חשמלית עם התכנון של המחוז ותכנון תחמ"ש לשינוי החיבור לחשמל הזמני, גם עבור הקבלן וגם עבור עובדי הרכבה משנאי בית הנמצא מחוץ לשטח התחנה.</t>
  </si>
  <si>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t>
  </si>
  <si>
    <r>
      <rPr>
        <sz val="12"/>
        <rFont val="Arial"/>
        <family val="2"/>
        <scheme val="minor"/>
      </rPr>
      <t>1. מסירה שניה של 2 שדות 161 ק"ו שנקבעה ל 23/05/26 נדחית ל 07/06/26 בעקבות טעות בתכנון להרכבת הקונסטרוקציות הדורש פירוק והרכבה מחדש.
2. המסירה של המבנה שנקבעה ל 04/06/26 זזה ל 10/06/26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t>
    </r>
    <r>
      <rPr>
        <u/>
        <sz val="12"/>
        <rFont val="Arial"/>
        <family val="2"/>
        <scheme val="minor"/>
      </rPr>
      <t>צאה הזמנה לתכנון המחוז להעתקת החיבור לשנאי החיצונ</t>
    </r>
    <r>
      <rPr>
        <sz val="12"/>
        <rFont val="Arial"/>
        <family val="2"/>
        <scheme val="minor"/>
      </rPr>
      <t>י. ממתינים לצוות המחוז שיגיע לביצוע.</t>
    </r>
  </si>
  <si>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</si>
  <si>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</si>
  <si>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</si>
  <si>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1. בוצע סיור מסירה שניה של 3 שדות 161 ק"ו ב 11/06/26. קיימים ריג'קטים שבטיפול- תוקנו
2. המסירה של המבנה שנקבעה ל 04/06/26 זזה ל 23/06/26 בגלל חוסר בפועלים בימי החג המוסלמי. נדחה לתאריך 30/6/2026,נדחה ל- 12.07.2026 ,נעשתה בדיקה עם הקבלן לקבל את אולם המסדרים שבוע לפני. ב- 30.06.2026 לבקשת הנהלת החטיבה יתקיים מיני קייזן לניתוח השלבים לטובת הכנסה לניצול של שנאי אחד עד סוף שנה.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
29.06.2026 אמור לצאת תיק לביצוע ותתואם העבודה בתחנה</t>
  </si>
  <si>
    <t>WBE-162</t>
  </si>
  <si>
    <t>בית שאן- הקמת מסדר 161, בניין מסדרים מ"ג והחלפת שנאים 521,522,531</t>
  </si>
  <si>
    <r>
      <rPr>
        <sz val="12"/>
        <rFont val="Arial"/>
        <family val="2"/>
      </rPr>
      <t>1. מסירה שניה של 3 שדות 161 ק"ו שנקבעה ל 23/05/26 נדחתה ל 10/06/26 בעקבות טעות בתכנון להרכבת הקונסטרוקציות הדורש פירוק והרכבה מחדש.
2. המסירה של המבנה שנקבעה ל 04/06/26 זזה ל 23/06/26 בגלל חוסר בפועלים בימי החג המוסלמי.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t>
    </r>
  </si>
  <si>
    <t>1. בוצע סיור מסירה שניה של 3 שדות 161 ק"ו ב 11/06/26. קיימים ריג'קטים שבטיפול.
2. המסירה של המבנה שנקבעה ל 04/06/26 זזה ל 23/06/26 בגלל חוסר בפועלים בימי החג המוסלמי. נדחה לתאריך 30/6/2027
3. חשמל זמני: החשמל הזמני לקבלן חובר משנאי בית שנמצא בתוך השטח התפעולי. עם כניסת עובדי הרכבה חשמלית נמצא כי החיבור אינו בטיחותי.  ב 18/05/26 התקיימה פגישה של הרכבה חשמלית עם התכנון של המחוז ותכנון תחמ"ש לשינוי החיבור לחשמל הזמני, גם עבור הקבלן וגם עבור עובדי הרכבה משנאי בית הנמצא מחוץ לשטח התחנה. בעקבות הפגישה יצאה הזמנה לתכנון המחוז להעתקת החיבור לשנאי החיצוני. ממתינים לצוות המחוז שיגיע לביצוע .
עבודות הקבלן ליציקת 2 יסודות שנאי מערביים נעצרו לטובת הנפת עמודי מתח עליון בתחנה שיבוצע ב25/6/2026 ובמוצש וביום ראשון יחזרו לעבוד כרגיל.</t>
  </si>
  <si>
    <t>WBE-286</t>
  </si>
  <si>
    <t>אלעד-התקנת שנאי שלישי 50 מגוו"א 161/24 ק"ו מס' 523</t>
  </si>
  <si>
    <t xml:space="preserve">23.2 התקיימה ישיבה לבקשת המחוז, לטובת הוספת קווים. נתבקשנו לבחון אפשרות של הקדמת הוספת המסדר 24 ק"ו  עוד לפני השנאי. </t>
  </si>
  <si>
    <t>ב 26/05/26 תתקיים מנהלת יציאות מ"ג תחמ"ש אלעד, לאח מכן נבחן נחיצות השנאי והמסדרים בהתאם לת.פ</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</si>
  <si>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בבדיקת מנה"פ מול מח' ציודים.</t>
  </si>
  <si>
    <t>ב 26/05/26 התקיימה מנהלת יציאות מ"ג לתחמ"ש אלעד, אנשי המחוז הציגו סוגייה כי לא ניתן להשלים קווים ולהשאירם לא מחוברים בצד המסדר, ולכן ביקשו לבחון אפשרות של התקנת המסדר מוקדם יותר מתוך הפרויקט של הוספת שנאי 3 (לפצל את העבודה ולהקדים את התקנת המסדר) - ממתינים לתשובה ממח' ציודים.</t>
  </si>
  <si>
    <t>WBC-068</t>
  </si>
  <si>
    <t>אלעד- הקמת תחמ"ש חיצונית, 161/24 ק"ו</t>
  </si>
  <si>
    <t>חושמל 30/09/2025</t>
  </si>
  <si>
    <t>נותר השלמת פיתוח נופי, מותנה בהקמת קו מים קבוע ע"י העירייה.</t>
  </si>
  <si>
    <t>נותר השלמת פיתוח נופי, מותנה בהקמת קו מים קבוע ע"י העירייה. העירייה דיווחה על צפי 08/2026 לקו המים הקבוע</t>
  </si>
  <si>
    <t>WBM-40194</t>
  </si>
  <si>
    <t>תל אביב דרום - החלפת שנאי 512 ל-56 מגו"א</t>
  </si>
  <si>
    <t xml:space="preserve">נדחה לתאריך 31/03/2028. עדיין אין תכנון </t>
  </si>
  <si>
    <t>מכיוון שאני לא קיבלתי הקפאת תכולה , או מסמך כלשהוא בנדון  ומכיוון שפרויקט זה לא נמצא בסדר עדיפות של תכנון לשנת 2026/7 אינני יכול לקדם זאת</t>
  </si>
  <si>
    <t>פרויקט זה לא הוכנס לתכנית עבודה של תכנון בשנת 2026.</t>
  </si>
  <si>
    <t xml:space="preserve">לא  הגיע לידי התכנון  והם לא מטפלים </t>
  </si>
  <si>
    <t>WBM-40276</t>
  </si>
  <si>
    <t>באר שבע - שדרוג שדות 5, 13, שדרוג מקשר 7-8 והחלפת פ"צ</t>
  </si>
  <si>
    <t>ממתין לקבלת הפסקות:  להחלפת פס צבירה 1 ,זה יקרה רק בתום חשמול 2 השנאים ברמת חובב כולל מסדרי מ"ג - צפי 06.2026 , לכן החלפת פ"צ 2 תהיב בסתין 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</si>
  <si>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הפסקות:  להחלפת פס צבירה 1 ,זה יקרה רק בתום חשמול 2 השנאים ברמת חובב כולל מסדרי מ"ג - צפי 09.2026 , לכן החלפת פ"צ 2 תהיה לאחר 09.2026   , החלפת פ"צ מס' 2 עדיין אין לכך תכנון וצפי ככל הנראה אביב 2027 , החלפת מנתק פ"צ 2 נקבעה להפסקות אביב 2026  נדחה בעקבות המצב הבטחוני לתאריך לא ידוע. הנושא הועבר לעזרתו של קשטן אליעזר</t>
  </si>
  <si>
    <t>ממתין לקבלת יעד הפסקות: 
1- להחלפת מנתק פ"צ 2. 
2- ממתין לקבלת יעד הפסקה להחלפת פ"צ 2.
3- כרגע לא ידוע יעד קבלת הפסקה להחלפת פ"צ 1</t>
  </si>
  <si>
    <t xml:space="preserve">אין סיכונים כרגע , פשוט נדרש לסיים זאת </t>
  </si>
  <si>
    <t>WBM-40221</t>
  </si>
  <si>
    <t>כורנוב- תוספת שדה מספר 1 ושדרוג שדה 7.</t>
  </si>
  <si>
    <t>12.2027      12.2028</t>
  </si>
  <si>
    <t xml:space="preserve">בתאריך30.04.26 הסתיים ת, אלק"מ והועבר לתכנון אזרחי בקשה להכנת ת, אזרחי למכרז , נקבע סיור באתר לתאריך 25.05.26 , צפי קבלת ת, אזרחי למכרז 07.2026 ועליית קבלן לקרקע 11.2026
</t>
  </si>
  <si>
    <t>בתאריך30.04.26 הסתיים ת, אלק"מ והועבר לתכנון אזרחי בקשה להכנת ת, אזרחי למכרז ,בוצע סיור באתר בתאריך 25.05.26 לצורך הקפאת תצורה , צפי קבלת ת, אזרחי למכרז 07.2026 ועליית קבלן לקרקע 11.2026</t>
  </si>
  <si>
    <t>עדכון הזמנת תכנון אזרחי בוצע בתאריך 03.06.26 , סיום הזמנת תכנון אזרחי נדרש עד 07.2026, לדברי המתכנן קאטל אורי לא נמצא בסדר עדיפות כרגע , שלחתי מייל לתובית מגזר תכנון ופניארז לימור</t>
  </si>
  <si>
    <t>קבלת תכנון אזרחי נקבע עד 31/08/2026</t>
  </si>
  <si>
    <t>נדרש סיום תכנון אזרחי עד 08.2026</t>
  </si>
  <si>
    <t>WBM-40611</t>
  </si>
  <si>
    <t>שער הגיא- פירוק מסדר מ"ג מסוג BEU3  והתקנת מסדר מ"ג חדש</t>
  </si>
  <si>
    <t>יבוצע רק לאחר חשמול שנאי 524 שצפוי להסתיים עד תאריך 30/06/2027</t>
  </si>
  <si>
    <t>WBE-189</t>
  </si>
  <si>
    <t>שער הגיא- הוספת שנאי שלישי 161/24 ק"ו, 50 מגוו"א מס' 524</t>
  </si>
  <si>
    <t>בתאריך 25.03.2026 החומר הועבר לטיפול מח' מכרזים , הודעה מתאריך 27.04.26  כי צפי בחירת קבלן זוכה 15.08.26, שצפי תחילת עבודות אזרחיות 01.09.2026</t>
  </si>
  <si>
    <t>בתאריך 25.03.2026 החומר הועבר לטיפול מח' מכרזים , הודעה מתאריך 27.04.26  כי צפי בחירת קבלן זוכה 15.08.26, צפי תחילת עבודות אזרחיות 01.09.2026</t>
  </si>
  <si>
    <t xml:space="preserve">עמידה ביעדי הפרויקט </t>
  </si>
  <si>
    <t>WBM-40275</t>
  </si>
  <si>
    <t>רמת חובב - שדרוג שדות 20 , 21
החלפת כל ציוד השדות</t>
  </si>
  <si>
    <t xml:space="preserve">שדה 20 חושמל ב-04/05/2026. החל מתאריך 05/05/2026 התחלנו בשדרוג שדה 21, שצפי סיומו 12/06/2026. </t>
  </si>
  <si>
    <t xml:space="preserve">שדה 20 חושמל ב-04/05/2026. החל מתאריך 05/05/2026 התחלנו בשדרוג שדה 21, שצפי סיומו בין התאריכים 12/06/2026- 04.06.25 </t>
  </si>
  <si>
    <t>שדה 20 חושמל ב-04/05/2026. החל מתאריך 05/05/2026 התחלנו בשדרוג שדה 21, צפי חשמול 10.6.26</t>
  </si>
  <si>
    <t>שדה 20 חושמל ב-04/05/2026. החל מתאריך 05/05/2026 התחלנו בשדרוג שדה 21, צפי חשמול 09-10.06.26</t>
  </si>
  <si>
    <t>הסתיים</t>
  </si>
  <si>
    <t>WBE-184</t>
  </si>
  <si>
    <t>רמת חובב-החלפת שנאי 33 מגוו"א 522 מגוו"א ל-50 מגוו"א</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</si>
  <si>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עדיין לא התקבל יעד ההפסקה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</si>
  <si>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</si>
  <si>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לסתיו בסיומו נשדרג את שדה 23  מ"ג בו יידרש הפסקת שנאי 522 למשך שלושה שבועות  </t>
  </si>
  <si>
    <t xml:space="preserve">קבלן אזרחי ממתין לבצע זאת ונדחה שוב ושוב , לא ניתן לשדרג פסי צבירה בב"ש עד ששרוג שדות אלו יסתיימו </t>
  </si>
  <si>
    <t>WBE-178</t>
  </si>
  <si>
    <t>רמת חובב-החלפת שנאי 33 מגוו"א 521 מגוו"א ל-50 מגוו"א</t>
  </si>
  <si>
    <t>שנאי חושמל , נשאר מ"ג</t>
  </si>
  <si>
    <t>WBE-305</t>
  </si>
  <si>
    <t>רמת חובב - הוספת שנאי שלישי 50 מגוו"א, שדה שנאי, מכולת מ"ג</t>
  </si>
  <si>
    <t>לא ידוע משום שתכנון אלק"מ טרם קיבל טיפול בנושא</t>
  </si>
  <si>
    <t>טרם התקבל מזכר רשמי לפרויקט זה ולכן תכנון אלק"מ לא החל בתכנון למרות שבוצע סיור בשטח לבדיקת מיקום השנאי.</t>
  </si>
  <si>
    <t xml:space="preserve">אני מצטט את דברי ופניארז לימור nתאריך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
</t>
  </si>
  <si>
    <t>אני מצטט את דברי ופניארז לימור מתאריך 20.05.26 "מבקשת שיתקיים דיון מרוכז לכל המתפרצים האחרונים כגון רמת חובב, דימונה, יוטבתה וכו' כפי שציינתי מטה נווה אמר שיועלה לדיון אצל גלי. שלא תהיינה אי הבנות – אין לי אישור כרגע מנווה להכניס את העבודות לתוכנית עבודה 2026, כיוצא בכך הן לא מקודמות בתכנון.</t>
  </si>
  <si>
    <t>מכיוון שלא החל תכנון יעד חשמול 09/2027 בספק רב</t>
  </si>
  <si>
    <t>WBM-40506</t>
  </si>
  <si>
    <t xml:space="preserve">רמת חובב שדה 2 - החלפת מפסק, החלפת 4 מנתקים, החלפת משנה זרם ( שנאי 522) </t>
  </si>
  <si>
    <t>31.03.2027</t>
  </si>
  <si>
    <t>31.12.2027</t>
  </si>
  <si>
    <t xml:space="preserve">הפרויקט עדיין לא נכלל  בתכנית עבודת התכנון לשנת 2026 ולכן אין כל סיכוי שיסתיים בתאריך 03.2027.
יחד עם זאת בכדי לשדרג השדה נדרש חודשיים הפסקת שנאי שלא יינתן , בהתייעצות עם נפת ב"ש הוצע תחילה להוסיף שנאי ( פרויקט 305) ולאחר מכן לשדרג את השדה , הודעתי זאת לנווה כהן ולקשטן אליעזר ( 17.06.26)  ואני עדיין ממתין לתשובות </t>
  </si>
  <si>
    <t xml:space="preserve">אי עמידה ביעד חשמול </t>
  </si>
  <si>
    <t>WBM-00594</t>
  </si>
  <si>
    <t>רמת חובב - הפרדת סוללות מצברים 220 וולט ב-2 חדרי מצברים נפרדים. התקנת 2 ממירים 220/60 וולט וביטול מצברים 60 וולט</t>
  </si>
  <si>
    <t>פרויקט חדש שנוסף</t>
  </si>
  <si>
    <t>הפרויקט טרם הועבר למנה"פ</t>
  </si>
  <si>
    <t>WBE-138</t>
  </si>
  <si>
    <t>רותם-הקמת שני שדות והתקנת שני שנאים 161 כולל תוספת מפסק ומ"ז בשדה מקשר</t>
  </si>
  <si>
    <t>חושמל</t>
  </si>
  <si>
    <t>בפרויקט זה השנאים חושמלו אך נדרש להשלים החלפת סליל כיבוי ותוספת מפסק ומ"ז בשדה מקשר.
הרכבה חשמלית הודיעה כי פרויקט זה לא נמצא בסדר עדיפות בעקבות ריבוי משימות , אני ממתין להחלטתם לתחילת עבודות  , ביקשתי טיפול של מנהל מגזר כבר חודשיים ויותר  ימים ללא מענה . בנוסף בתאריך 10/05/2026 הודעתי לתפעול ב"ש כי נדרש לקדם ולהתחיל עבודות אלו. לדבריהם עקב ריבוי משימות פרויקט זה לא בסדר עדיפויות ואין משגיחים</t>
  </si>
  <si>
    <t>בפרויקט זה השנאים חושמלו אך נדרש להשלים החלפת סליל כיבוי ותוספת מפסק ומ"ז בשדה מקשר.
 בתאריך 10/05/2026 הודעתי לתפעול ב"ש כי נדרש לקדם ולהתחיל עבודות אלו. לדבריהם עקב ריבוי משימות פרויקט זה לא בסדר עדיפויות ויתבצע בסוף 2026</t>
  </si>
  <si>
    <t xml:space="preserve">אמנם החלפתי את שני הניידות בשתי שנאים  אך הפרויקט לא הסתיים  ממס סיבות שבעיקרן הפסקות שלא ניתנו  ולו"ז  תפעול  , עדיין לא סגרתי את הפרויקט מבחינה תקציבית </t>
  </si>
  <si>
    <t>WBE-181</t>
  </si>
  <si>
    <t>רותם- התקנת 2 שדות קווים 1 , 7  לקליטת קו מערד</t>
  </si>
  <si>
    <t xml:space="preserve">בתאריך 15/03/2026 התקבלה הודעת מערכת תבונה כי הפרויקט נדחה לתאריך 31/12/2029 לכן עדיין מוקדם לקדם הפרויקט אך אני מבקש לקבל מסמך רשמי בנושא </t>
  </si>
  <si>
    <t>WBM-40195</t>
  </si>
  <si>
    <t>רמת אביב – החלפת שנאים 511 ו-512</t>
  </si>
  <si>
    <t xml:space="preserve">נדרש לקבל תשובות מPMO עבור נחיצות הפרויקט,זמן רב אני מבקש תשובות לפרויקט זה  ללא מענה  ולכן מעביר לטיפול מנהל האגף . מה שחשוב שחצי שנה מנה"פ מעיר הערה זו ואף אחד לא מגיב </t>
  </si>
  <si>
    <t>בלשב זה הפרויקט מוקפא, לדברי קשטן אליעזר</t>
  </si>
  <si>
    <t>WBM-00358</t>
  </si>
  <si>
    <t>לא ידוע</t>
  </si>
  <si>
    <t>WBE-193</t>
  </si>
  <si>
    <t>עטרות– התקנת שנאי חמישי 161/36 ק"ו</t>
  </si>
  <si>
    <t>מסירה אזרחית שבוצע בתאריך 12/05/2026 נמצאו ליקויים שמטופלים ע"י צוות מחלקת בנין.
הרכבה חשמלית ממשיכה בעבודות חיווט, צפי סיום 28/05/2026.
צפי חשמול 30/06/2026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</si>
  <si>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30.06.26</t>
  </si>
  <si>
    <t>מסירה אזרחית שבוצע בתאריך 12/05/2026 נמצאו ליקויים שמטופלים ע"י צוות מחלקת בנין.
הרכבה חשמלית ממשיכה בעבודות חיווט, צפי סיום 04.06.2026, חסר מתמרים מעל חודש מחלקת ציוד לא מטפלת היטב בנושא 
אין מספיק בודקים ולכן חשמול לא יתאפשר בתאריך 30.06.27</t>
  </si>
  <si>
    <t xml:space="preserve">מסירה אזרחית בוצעה.
הרכבה חשמלית ממשיכה בעבודות חיווט, צפי סיום 21.06.2026, מ"ז בשנאי נמצאו לא תקינים אנו יחד עם היצרן פועלים לתיקון 
אין מספיק בודקים ולכן חשמול לא יתאפשר בתאריך 30.06.27 ויידחה בחודש </t>
  </si>
  <si>
    <t xml:space="preserve">למרות דחיית הפרוייקט לתאריך 31.07.26 , לדברי תפעול ים חשמול עד סוף חודש 08.2026,נושא החלפת מ"ז לא תקינים על השנאי בטיפול </t>
  </si>
  <si>
    <t>חוסר במשאבים לביצוע בדיקות והכנסה לניצול.אי עמידה בלו"ז</t>
  </si>
  <si>
    <t>WBM-10317</t>
  </si>
  <si>
    <t>עטרות - פירוק ציוד הצמדה  בשדה 5</t>
  </si>
  <si>
    <t>לדברי אשכנזי אילן מתקשורת הולכה 
המשנק במעגל עטרות – תעשיה אדומים משמש כדרך תקשורת לפיקוח של תעשיה אדומים . 
אין לפרק את המשנק עד שהמעגל לא יוטמן באדמה.</t>
  </si>
  <si>
    <t>אי עמידה בלו"ז</t>
  </si>
  <si>
    <t>עטרות - 1. פירוק 4 סוללות קבלים חיצוניות קיימות. .2 העתקת עמוד שנאי בית. .3התקנת 5 סוללות קבלים חדשות, בהספק של 2*5 מגווא"ר כ"א לשנאים 531, 532, 533, 534, 535.</t>
  </si>
  <si>
    <t>08.06.26 : לדברי שירן " בשל אילוצי תיעדוף מגזר תכנון אינו הכניס את הפרויקט לתכנון השנה, הועבר לבחינה של אגף תפעול תחמ"ש באגף החדש"</t>
  </si>
  <si>
    <t>WBE-206</t>
  </si>
  <si>
    <t>להבים-התקנת שנאי שלישי 50 מגוו"א</t>
  </si>
  <si>
    <t>31.05.26</t>
  </si>
  <si>
    <t>בתאריך 14/05/2026 בוצע ועדת חשמול, צפי חשמול עד 31/05/2026</t>
  </si>
  <si>
    <t>חושמל בתאריך 27.05.26</t>
  </si>
  <si>
    <t xml:space="preserve">חושמל בתאריך 27.05.27 </t>
  </si>
  <si>
    <t xml:space="preserve">חושמל </t>
  </si>
  <si>
    <t>WBC-050</t>
  </si>
  <si>
    <t>טרומן - הקמת תחמ"ש פנימית 161/24 ק"ו</t>
  </si>
  <si>
    <t>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דיון שהתקיים עם  פיקוח אזרחי נאמר שככל הנראה יצוצמו תאריכי מסירות אזרחיות</t>
  </si>
  <si>
    <t>WBE-280</t>
  </si>
  <si>
    <t>דימונה סולארי- הקמת שדות 19 ו-21 במסדר 161 ק"ו</t>
  </si>
  <si>
    <t>מנה"פ ביקש מהרכבה חשמלית להיערך לתחילת עבודתם, מנהל המחלקה עדני יורם אמר שיוכלו להיכנס בסוף 05.2026.
בנוסף עד 31/05/2026 לא יהיה משגיח</t>
  </si>
  <si>
    <t>תחילת עבודות ביצוע ככל הנראה החל מתאריך 14.06.26 וזאת בעקבות מצוקת משגיחים</t>
  </si>
  <si>
    <t xml:space="preserve">תחילת עבודות ביצוע ככל הנראה החל מתאריך 21.06.26 וזאת בעקבות מצוקת משגיחים אין מים לחתנה ולכן לא ניתן להתחיל את העבודה </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</si>
  <si>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
בתאריך 22/06/2026 התקבלה הודעה מנירים שלומי כי עבודות לחיבור המים ע"י מעיינות דרום יקחו עוד חודש ימים.</t>
  </si>
  <si>
    <t xml:space="preserve">אי עמידה בלו"ז  </t>
  </si>
  <si>
    <t>WBM-40507</t>
  </si>
  <si>
    <t xml:space="preserve">דימונה - שדה 6 </t>
  </si>
  <si>
    <t>בתאריך 17/05/2026 קבלן אזרחי החל עבודתו</t>
  </si>
  <si>
    <t>בתאריך 17/05/2026 קבלן אזרחי החל עבודתו , צפי סיום וחשמול 10.2026</t>
  </si>
  <si>
    <t>WBM-40523</t>
  </si>
  <si>
    <t>דימונה - שדרוג שדה 13</t>
  </si>
  <si>
    <t xml:space="preserve">שדרוג השדה הסתיים ללא בדיקות ,ממתינים להפסקת פ"צ לצורך הרכבת מנתק פ"צ </t>
  </si>
  <si>
    <t xml:space="preserve">צוות הרכבה חשמלית חזר לאתר בתאריך 26.05.26 והחל לסיים את החיווטים וההגנות ,ממתינים להפסקת פ"צ לצורך הרכבת מנתק פ"צ , </t>
  </si>
  <si>
    <t xml:space="preserve">צוות הרכבה חשמלית חזר לאתר בתאריך 26.05.26 והחל לסיים את החיווטים וההגנות - סיים זאת בתאריך 11.06.26 ,ממתינים להפסקת פ"צ לצורך הרכבת מנתק פ"צ ולאחר שבועיים  חשמול </t>
  </si>
  <si>
    <t xml:space="preserve">ממתינים להפסקת פ"צ לצורך הרכבת מנתק פ"צ ולאחר שבועיים  חשמול </t>
  </si>
  <si>
    <t>WBM-10432</t>
  </si>
  <si>
    <t xml:space="preserve">בתאריך 13/04/2026 נערך סיור באתר ונמצא פתרון להקמת העמוד, סיכום הסיור נשלח לנציגי תכנון לבדיקה ואישור </t>
  </si>
  <si>
    <t>WBM-40062</t>
  </si>
  <si>
    <t>דימונה - שדרוג שדה 14 - התאמת יכולת ל-1600 א'</t>
  </si>
  <si>
    <t>יבוצע רק לאחר סיום שדה 6 כנראה יתחיל בשנת 2027</t>
  </si>
  <si>
    <r>
      <t>WBE</t>
    </r>
    <r>
      <rPr>
        <sz val="12"/>
        <rFont val="Arial"/>
        <family val="2"/>
        <charset val="1"/>
      </rPr>
      <t>-289</t>
    </r>
  </si>
  <si>
    <t>דימונה-התאמת שדה 7 לדימונה סולארי ל-2500 א'</t>
  </si>
  <si>
    <t>כל עוד לא יסתיים שדרוג שדות 19,21 בדימונה סולארי לא ניתן לשדרג את שדה 7 בתחמ"ש דימונה . מנה"פ דרש את סיום התכנון וסיום כתב כמויות עד 31/12/2026 כאשר צפי תחילת עבודות אזרחיות 03/2027</t>
  </si>
  <si>
    <t xml:space="preserve">אי חשמול ביעד הנדרש </t>
  </si>
  <si>
    <t>דימונה - בחינת הפורטל לכוחות החדשים של תיילים בחתך 1*774 הנובעים מפרויקט הולכה WBO-483. התאמת הירידות, התיילים והמהדקים מקו ההולכה לפורטל בשדות: 20, 6 לחתך 1*774</t>
  </si>
  <si>
    <t>WBE-088</t>
  </si>
  <si>
    <t>דימונה- התקנת שנאי שלישי 33 ק"ו 50 מגו"א</t>
  </si>
  <si>
    <t>פגישה שנערכה בתאריך 06.04.26  עם הסמנכל ורמי שטרן  התרעתי  שנדרש חשמול דחוף , רמי שטרן הבטיח טיפול וחשמול בהקדם . בשלב זה מנהל הפרויקט לא רואה שום התקדמות</t>
  </si>
  <si>
    <t>פגישה שנערכה בתאריך 06.04.26  עם הסמנכל ורמי שטרן  התרעתי  שנדרש חשמול דחוף , רמי שטרן הבטיח טיפול וחשמול בהקדם . בשלב זה מנהל הפרויקט לא רואה שום התקדמות , לדברי טל אריאל " נדרש בדיקות על חי – טרם נקבע תאריך לביצוע סימולציה ואפליקציה</t>
  </si>
  <si>
    <t>WBM-01445</t>
  </si>
  <si>
    <t>קרית גת-החלפת ציוד בשדות 5, 13 ומקשר</t>
  </si>
  <si>
    <t>נישאר לשדרג את שדה 13 אשר אינו בניצול ומ"ז ומנתק פ"צ 2 בשדה מקשר.
הועברה בקשה ליובל נויהוז ולדבריו "ננסה לקבל שוב את ההפסקות מאינטל".</t>
  </si>
  <si>
    <t>נותר לשדרג את שדה 13 אשר אינו בניצול ומ"ז ומנתק פ"צ 2 בשדה מקשר.
הועברה בקשה ליובל נויהוז ולדבריו "ננסה לקבל שוב את ההפסקות מאינטל".</t>
  </si>
  <si>
    <t>WBM-01448</t>
  </si>
  <si>
    <t xml:space="preserve">אריאל - פירוק סוללות קבלים מ"ג קיימות והתקנת 5 סוללות קבלים מודולריות </t>
  </si>
  <si>
    <t>סוללת קבלים אחת פורקה. בתאריך 19/04/2026 ניתן אישור לפרק שתי סוללות קבלים נוספות. הודעה נשלחה להרכבה חשמלית , יבוצע כאשר קבלן האזרחי יכנס לאתר</t>
  </si>
  <si>
    <t xml:space="preserve">שלושה סוללות כבלים פורקו , נותר עוד אחת פעילה  ככל הנראה לקראת אוגוסט </t>
  </si>
  <si>
    <t>שלושה סוללות כבלים פורקו , נותר עוד אחת פעילה  שתפורק לקראת אוגוסט , מנ"פ בקשת מתפעול ירושלים להקדים את פירוק הסוללה.</t>
  </si>
  <si>
    <t>עיכוב בעבודות הקבלן</t>
  </si>
  <si>
    <t>WBE-190</t>
  </si>
  <si>
    <t>אריאל – התקנת שנאי חמישי 161/36 ק"ו</t>
  </si>
  <si>
    <t>עדיין לא נפתרה בעיית משגיח/מפקח על עבודות הקבלן האזרחי. התראה נשלחה לכל הגורמים ונאמר שנמצא בטיפול סמנכ"לים. קבלן האזרחי שלח מכתב התראה בנושא.</t>
  </si>
  <si>
    <t xml:space="preserve">בעית משגיח נפתרה הוחלט שמנהל עבושה של קבלן אזרחי יפקח, החל מתאריך 31.05.26 החל הקבלן בעבודה </t>
  </si>
  <si>
    <t xml:space="preserve"> החל מתאריך 31.05.26 החל הקבלן האזרחי בעבודה ,חפירות גישוש הקמת גדר הפרדה ותחילת חפירות לצורך הקמת שדה שנאי ויסוד שנאי </t>
  </si>
  <si>
    <t>עבודות אזרחיות בעיצומן</t>
  </si>
  <si>
    <t>WBC-041</t>
  </si>
  <si>
    <t>עזריאלי -הקמת תחמ"ש פנימית 161/24 ק"ו</t>
  </si>
  <si>
    <t xml:space="preserve">הסכם חכירה בדיונים בין המחלקות המשפטיות לקראת חתימה בחודש 6/2026 </t>
  </si>
  <si>
    <t>הסכם חכירה בדיונים בין המחלקות המשפטיות לקראת חתימה בחודש 6/2027</t>
  </si>
  <si>
    <t>הסכם חכירה בדיונים בין המחלקות המשפטיות לקראת חתימה בחודש 6/2028</t>
  </si>
  <si>
    <t>הסכם חכירה בדיונים בין המחלקות המשפטיות לקראת חתימה בחודש 6/2029</t>
  </si>
  <si>
    <t>הסכם חכירה בדיונים בין המחלקות המשפטיות לקראת חתימה בחודש 6/2030</t>
  </si>
  <si>
    <t>הסכם חכירה בדיונים בין המחלקות המשפטיות לקראת חתימה בחודש 6/2026</t>
  </si>
  <si>
    <t>פתח תקווה-הוספת שנאי 525 161/24 ק"ו 50 מ</t>
  </si>
  <si>
    <t>עבודות רת"ק וה.חשמלית נמשכות</t>
  </si>
  <si>
    <t xml:space="preserve">עבודות רת"ק- הסתיימו עבודות בשדה 22. כעת הערכה של עוד כשבועיים עבודה בשנאי. עבודות ה.חשמלית - לקראת סיום עבודות במכולה 24. תוך שבועיים רוב החיווטים יסתיימו גם עבור השנאי ומסדר אפס וימסרו לבדיקות. </t>
  </si>
  <si>
    <t xml:space="preserve">עבודות רת"ק- הסתיימו עבודות בשדה 22. כעת הערכה של עוד כשבוע וחצי עבודה בשנאי. עבודות ה.חשמלית - לקראת סיום עבודות במכולה 24. תוך שבוע רוב החיווטים יסתיימו גם עבור השנאי ומסדר אפס וימסרו לבדיקות. </t>
  </si>
  <si>
    <t xml:space="preserve">רת"ק - צפי לסיום עבודות השבוע 18.06. ה.חשמלית-בוצעה מסירה למכולה 24 ק"ו, מתבצעת עבודה בארונות בחדר פיקוד. בדיקות-בוצעו לס.כיבוי, ש.הארקה, שנאי (מלבד מ"ז). נדרשת חפירה שתבוצע ע"י רת"ק לבקשתנו לטובת הנחת כבלים בין מכולת מ"ג מספר 5 למכולת מ"ג מספר 4.השוחות בתוואי הקיים מלאות ולא ניתן להעביר כבלים. הערכה לביצוע שבוע הבא. בשל עיכובים בלו"ז יצאה בקשה להארכת תאריך הפרויקט לסוף אוגוסט 26. </t>
  </si>
  <si>
    <t xml:space="preserve">רת"ק - צפי לסיום עבודה ב 23.6. ב 28.6 ייכנס קבלן אזרחי של הרת"ק להסדרת השטח ולחפירה נדרשת לתוואי בין מכולה 4 ל-5 עבור הרכבה חשמלית. ה. חשמלית- עובדים בארונות חדר פיקוד.הפרויקט נדחה ל08/26. </t>
  </si>
  <si>
    <t>רת"ק סיימו את העבודה בשטח. היום נמצא קבלן אזרחי מטעמם בתחנה ומשלים גם חפירה נדרשת עבור הרכבה חשמלית. במקביל נמשכות בדיקות תחמ"ש.</t>
  </si>
  <si>
    <t>עמידה בלו"ז</t>
  </si>
  <si>
    <t>WBE-205</t>
  </si>
  <si>
    <t>ערד-החלפת 2 שנאים 33 ל-2 שנאים 50, הוספת שנאי רביעי 50 מגוו"א רב שלבי</t>
  </si>
  <si>
    <t>בעקבות הליך תחרותי נוסף עפ"י דרישה של ועדת המכרזים, צפי בחירת קבלן זוכה ב 28.5.26</t>
  </si>
  <si>
    <t>קבלן זוכה לעבודות אזרחיות יוכרז ב-28.5</t>
  </si>
  <si>
    <t>הוכרז קבלן זוכה לעבודת אזרחיות- צפי עלייה לקרקע 14.6</t>
  </si>
  <si>
    <t>הוכרז קבלן זוכה לעבודת אזרחיות- צפי עלייה לקרקע 30.6</t>
  </si>
  <si>
    <t>הוכרז קבלן זוכה לעבודת אזרחיות- צפי עלייה לקרקע 28.6</t>
  </si>
  <si>
    <t xml:space="preserve">עליית קבלן לקרקע נדחתה לתאריך 05/07-קבלן לא עבר תדריך בטיחות בעקבות מחסור במשגיחים </t>
  </si>
  <si>
    <t>WBE-153</t>
  </si>
  <si>
    <t>ערד-הוספת שנאי שלישי 161/36 ק"ו 50 מגו"א</t>
  </si>
  <si>
    <t xml:space="preserve">קיימת בעיית פריצה בכבלים מ"ג של שנאי 533- בדיקת מעבדה חוזרת תתבצע בתאריך 20/5 </t>
  </si>
  <si>
    <t>ועדת חשמול לשנאי 533 נקבעה לתאריך 8.6</t>
  </si>
  <si>
    <t>ועדת חשמול לשנאי 533 נקבעה לתאריך 8.6, יעד לחשמול שנאי533- 16.6</t>
  </si>
  <si>
    <t>יעד לחשמול שנאי 533- 25.6</t>
  </si>
  <si>
    <t>חשמול שנאי 533 בתאריך 28.6.26</t>
  </si>
  <si>
    <t>השנאי חושמל ב-28.6</t>
  </si>
  <si>
    <t>יתכן עיכוב קל בעקבות המצב הבטחוני</t>
  </si>
  <si>
    <t>WBE-152</t>
  </si>
  <si>
    <t>ערד-הוספת 2 מסדרי מ"ג 36 ק"ו (פ''צ 3, 4).</t>
  </si>
  <si>
    <t>תחילת פירוק הפ"צ והתקנת פ"צ חדשים רק לאחר חשמול שנאי 533</t>
  </si>
  <si>
    <t>WBE-273</t>
  </si>
  <si>
    <t>ערד- השלמת שדה מקשר פ"צ, הוספת מ"מ לפ"צ מס' 2, התקנת הגנת פ"צ</t>
  </si>
  <si>
    <t>WBE-272</t>
  </si>
  <si>
    <t>ערד- הקמת שדה 9 במסדר 161 ק"ו</t>
  </si>
  <si>
    <t>WBC-116</t>
  </si>
  <si>
    <t>נחל צופים-הקמת תחמ"ש פנימית 161/13.8 ק"ו</t>
  </si>
  <si>
    <t>חושמל 27/11/2025</t>
  </si>
  <si>
    <t xml:space="preserve">06/2026-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t>
  </si>
  <si>
    <t xml:space="preserve">07/2026- צפי סיום פיתוח שטח   
מובל דרומי- הסתיימו עבודות אזרחיות, בתהליך סיום של שאר המערכות החשמליות ופירוק הניידת. צפי סיום 6/2026.    .
טופס 4 - בתהליך השלמת כלל המסמכים, תלוי גם בחיבור התחנה למים וביוב (בטיפול מול הגיחון) .חיבור ביוב מצריך תשלום נוסף שהועבר לועדת מכרזים לאישור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</si>
  <si>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מה נכלל בהיתר 
</t>
  </si>
  <si>
    <t>חיבור ביוב של חברת הגיחון</t>
  </si>
  <si>
    <t>WBC-015</t>
  </si>
  <si>
    <t>גנים(אתר מכבית)-הקמת תחמ"ש פנימית 161/24</t>
  </si>
  <si>
    <t>בביצוע חפירות ופריסת  כבלים  של המחוז צפי  סיום עבודה אמצע יוני, העברת עומסים - 6-7.26  חישמול ניידת 8.26</t>
  </si>
  <si>
    <t>בביצוע חפירות ופריסת  כבלים  של המחוז צפי  סיום עבודה אמצע יוני, העברת עומסים - 7-8.26  חישמול ניידת 8.26</t>
  </si>
  <si>
    <t>בביצוע חפירות ופריסת  כבלים  של המחוז צפי  סיום עבודה אמצע יוני,  קבלת אישור חפירה מנ"ע, העברת עומסים - 7-8.26  חישמול ניידת 8.26</t>
  </si>
  <si>
    <t>WBD-049</t>
  </si>
  <si>
    <t>גנים (מכבית) ניידת-  הצבת תחמ"ש ניידת</t>
  </si>
  <si>
    <t>חישמול ניידת צפוי 8.26</t>
  </si>
  <si>
    <t xml:space="preserve">עיכוב בעבודות יהווה סיכון לתחילת עבודות קבלן אזרחי, נדרש תיאום הפסקה - הולכה </t>
  </si>
  <si>
    <t>WBC-027</t>
  </si>
  <si>
    <t>גבעתיים - הקמת תחמ"ש פנימית 161/24 ק"ו</t>
  </si>
  <si>
    <t>טופס 4 - התקדמות מול כלל הנושאים. לקראת סיום טיפול בטפסים מול מחלקות העירייה. התקבל אישור מח' תשתיות,בוצע סיור עם אדריכל נוף של העירייה לאישור. הוגשו אישורים ליועץ בנייה ירוקה- ממתינים לאישורו. צפי לקבלת תעודת גמר -סוף 06/2026</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</si>
  <si>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עם התחייבות להשלמת המסמכים הנ"ל תוך 3 חודשים. ממתינים לתשובת העיריה. </t>
  </si>
  <si>
    <t>WBE-204</t>
  </si>
  <si>
    <t>אשלים-התקנת  2 שנאים 50 מגוו"א</t>
  </si>
  <si>
    <t>המשך ביצוע עבודות אזרחיות</t>
  </si>
  <si>
    <t>נמצא בשלב עבודות אזרחיות- צפי מסירת יסוד שנאי 534 16.6</t>
  </si>
  <si>
    <t>נמצא בשלב עבודות אזרחיות- צפי מסירת יסוד שנאי 534 30.6  (התעכב בעקבות שאגת הארי)</t>
  </si>
  <si>
    <t>נמצא בשלב עבודות אזרחיות- צפי מסירת יסוד שנאי 534  בתאריך 20.7</t>
  </si>
  <si>
    <t>WBE-180</t>
  </si>
  <si>
    <t>אשלים-PV3- התקנת שני שדות קווים 161/24 ק"ו</t>
  </si>
  <si>
    <t>נמצא בשלב עבודות אזרחיות</t>
  </si>
  <si>
    <t>WBK-021</t>
  </si>
  <si>
    <t>אבן ספיר-התקנת שנאי קישור 400/161 ק"ו שלישי, 575 מגוו"א</t>
  </si>
  <si>
    <t xml:space="preserve">נקבע פגישה נוספת לתאריך 3.6 על סטטוס תכנון </t>
  </si>
  <si>
    <t xml:space="preserve">נמצא בתכנון אזרחי </t>
  </si>
  <si>
    <t>WBK-014</t>
  </si>
  <si>
    <t>אבן ספיר-הרחבת תחמ"ג וחיבור שנאי קישור שלישי 453</t>
  </si>
  <si>
    <t>קיבלנו עדכון ת.פ עקב איחור בהגעת השנאי ת.פ חדש 06/2028</t>
  </si>
  <si>
    <t>WBJ-015</t>
  </si>
  <si>
    <t xml:space="preserve">דן- הקמת תחמ"ג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</si>
  <si>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תוכניות למכרז עבור בניין 24 הופצו להערות יועצים ב 04/05/2026
היתר - טרם התקיים דיון בועדה.</t>
  </si>
  <si>
    <t xml:space="preserve">הסכמי ביצוע עם חברות הדלק נמצאים בשלב מו"מ.
ב 10.05.2026 קצא"א הודיעה לחח"י על הקפאת קידום המו"מ על הסכם הביצוע עד לניתוח דוח השפעות סביבתיות שהועבר אליהם מנגה .
צפויה ישיבה בנוגע ליעדי פינוי התשתיות עם הנהלת החטיבה ב 28.05.2026
תוכניות למכרז עבור בניין 24 הופצו להערות יועצים ב 04/05/2026
היתר - טרם התקיים דיון בועדה.
</t>
  </si>
  <si>
    <t>הסכמי ביצוע עם חברות הדלק נמצאים בשלב מו"מ.
ב 10.05.2026 קצא"א הודיעה לחח"י על הקפאת קידום המו"מ על הסכם הביצוע עד לניתוח דוח השפעות סביבתיות שהועבר אליהם מנגה .
התקיימה ישיבה בנוגע ליעדי פינוי התשתיות עם הנהלת החטיבה ב 28.05.2026 בה סוכם שתתקיים ישיבה אצל המנכל להצגת סטאטוס דרישות חברות הדלק במסגרת הסכמי הביצוע להעתקת הקוים. 
היתר - טרם התקיים דיון בועדה.נתקבל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</si>
  <si>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מתריטה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צפוי להתקיים ב 11.06.2026.נתקבל אישור פיקוד העורף(בכפוף לאישור הועדה -טרום דיון).</t>
  </si>
  <si>
    <t>הסכמי ביצוע עם חברות הדלק נמצאים בשלב מו"מ.
ב 10.05.2026 קצא"א הודיעה לחח"י על הקפאת קידום המו"מ על הסכם הביצוע עד לניתוח דוח השפעות סביבתיות שהועבר אליהם מנגה .התקיימה ישיבה עם מנכ"ל חח"י ב 3.6.2026 בה הוצפו הפערים מבדרישת קצא"א במסגרת הסכם הביצוע.(תש"א + קצא"א)מנהלת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היתר - דיון בועדה התקיים ב 11.06.2026.נתקבל אישור פיקוד העורף ואישור כיבוי אש(בכפוף לאישור הועדה -טרום דיון). ממתינים לקבלת פרוטוקול.</t>
  </si>
  <si>
    <r>
      <t>הסכמי ביצוע עם חברות הדלק נמצאים בשלב מו"מ.
ב 10.05.2026 קצא"א הודיעה לחח"י על הקפאת קידום המו"מ על הסכם הביצוע עד לניתוח דוח השפעות סביבתיות שהועבר אליהם מנגה .ב 25.06.2026 תערך ישיבה של מנכ"ל חח"י עם מנכ"ל קצא"א בנושא קידום ההסכם
מנהלת הפרויקט</t>
    </r>
    <r>
      <rPr>
        <sz val="12"/>
        <rFont val="Arial"/>
        <family val="2"/>
        <scheme val="minor"/>
      </rPr>
      <t xml:space="preserve"> מתריעה</t>
    </r>
    <r>
      <rPr>
        <sz val="12"/>
        <rFont val="Arial"/>
        <family val="2"/>
        <charset val="177"/>
        <scheme val="minor"/>
      </rPr>
      <t xml:space="preserve">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t>
    </r>
    <r>
      <rPr>
        <sz val="12"/>
        <rFont val="Arial"/>
        <family val="2"/>
        <scheme val="minor"/>
      </rPr>
      <t>טרם נפתר</t>
    </r>
    <r>
      <rPr>
        <sz val="12"/>
        <rFont val="Arial"/>
        <family val="2"/>
        <charset val="177"/>
        <scheme val="minor"/>
      </rPr>
      <t>. נושא זה הועלה בפני המשנה למנכ"ל משרד האנרגיה.
היתר - דיון בועדה התקיים ב 11.06.2026.ממשיכים לשלב מילוי תנאים.</t>
    </r>
  </si>
  <si>
    <t>הסכמי ביצוע עם חברות הדלק נמצאים בשלב מו"מ.
ב 10.05.2026 קצא"א הודיעה לחח"י על הקפאת קידום המו"מ על הסכם הביצוע עד לניתוח דוח השפעות סביבתיות שהועבר אליהם מנגה .ממתינים לישיבה בין  מנכ"ל חח"י למנכ"ל קצא"א בנושא קידום ההסכם
מנהלת הפרויקט מתריעה כי בשלב זה אין ביכולה לקדם את הסכמי הביצוע והנושא הועבר לטיפול הנהלת חח"י. יש להדגיש כי לתהליך זה יש השפעה ישירה על לוחות הזמנים של הפרויקט.
התקיימו 2 ישיבות עם נת"י בנושא הסדרת הדרך החלופית לאור דרישת יכין חק"ל - הנושא טרם נפתר. ישבה נוספת תערך ב 05.07.2026 - נושא זה הועלה בפני המשנה למנכ"ל משרד האנרגיה.
היתר - שלב מילוי תנאים.
מכרז - שלב תכנון</t>
  </si>
  <si>
    <t>WBE-283</t>
  </si>
  <si>
    <t>צחר-הקמת שדה קו חיבור כבל תת"ק משדה עמיאל</t>
  </si>
  <si>
    <t>חודשה עבודת הקבלן האזרחי באתר
חשמול  שדה זה נדרש להתבצע במקביל לחשמול התחנה לאור המתכונת הנדרשת לביצוע הבדיקות כתלות בהקמת תחנה דיגיטאלית.</t>
  </si>
  <si>
    <t xml:space="preserve"> בהרכבות מסדר 161</t>
  </si>
  <si>
    <t>מתקדם במקביל להקמה</t>
  </si>
  <si>
    <t>WBC-007</t>
  </si>
  <si>
    <t>צחר- הקמת תחמש חיצונית 161/24 ק"ו</t>
  </si>
  <si>
    <t>החלו עבודות גמר בבניין- ממשיכים בעבודות טיח. ב 18.05.2026 צפויה מסירה של המרתף.
ממשיכים בהרכבות מסדר 161
קבלן מ"ע החל בעבודתו בעיכוב רב. פעילות שעלולה להוות סיכון ללוז הפרויקט.
התקיים סיור מקדים עם מחלקת איכות הסביבה לקבלת הנחיות לדרישות טופס 4.</t>
  </si>
  <si>
    <t>המרתף הושלם ונערכים למסירת המבנה לקראת סוף יוני 2026
ממשיכים בהרכבות מסדר 161
תואם מילוי שמן לאמצע יוני 2026.
הוצבו בשטח ביסוסים לעמודי שנאי הבית בתיאום עם המחוז</t>
  </si>
  <si>
    <t>מסירה אזרחית של מסדר 24 צפויה באמצע יוני 2026. וחדר הפיקוד יושלם לקראת סוף יוני 2026
ממשיכים בהרכבות מסדר 161
תואם מילוי שמן לאמצע יוני 2026.</t>
  </si>
  <si>
    <t>מסירה אזרחית של מסדר 24 צפויה ב 15.06.2026. וחדר הפיקוד יושלם לקראת סוף יוני 2026
ממשיכים בהרכבות מסדר 161
החל מילוי שמן ב 14.06.2026.
עקב פיצוץ צינור מים שארע ב 13.06.2026 ע"י קבלן רת"ק - העבודות בקיר הצפוני נעצרו ובשלב זה מבוצעת הערכת עלות ולו"ז לתיקון הנזקים.</t>
  </si>
  <si>
    <t xml:space="preserve">מסירה אזרחית של מסדר 24 התקיים ב 18.06.2026. ב 21.06.2026 סופקו המסדרים לאתר והחלו בהרכבתם
 חדר הפיקוד יושלם לקראת סוף יוני 2026
ממשיכים בהרכבות מסדר 161 
מילוי שמן יסתיים עד סוף יוני 2026.
</t>
  </si>
  <si>
    <t xml:space="preserve">קייזן לתיאום לוז הרכבות ובדיקות נערך ב 29.06.2026
חדר פיקוד הנמסר להרכבות ב 25.06.2026
מילוי שמן הסתיים בשנאים
החלו באספקת ארונות פיקוד לאתר.
</t>
  </si>
  <si>
    <t>מצב בטחוני</t>
  </si>
  <si>
    <t>WBC-004</t>
  </si>
  <si>
    <t>ביכורים (אסיף)-הקמת תחמ"ש פנימית 161/24</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</si>
  <si>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מחכים להנחיות להמשך.</t>
  </si>
  <si>
    <t>ב 16/02/2026 התקיימה ישיבה במעמד ראש העיר וסמנכ"ל נגה. סוכם שהעיריה תפנה למשרד אדריכלות חיצוני לשינוי נראות המבנה.נתקבל פרוטוקול ב 16/04/2026 
החומר האדריכלי ההופץ ע"י חח"י. אדריכלית חח"י נמצאת בקשר עם המתכננים מטעם העיריה.</t>
  </si>
  <si>
    <t>ב 16/02/2026 התקיימה ישיבה במעמד ראש העיר וסמנכ"ל נגה. סוכם שהעיריה תפנה למשרד אדריכלות חיצוני לשינוי נראות המבנה.נתקבל פרוטוקול ב 16/04/2026 
ב 11.06.2026 הועברו חלופות אדריכליות מהמתכנן של העיריה.
ב 18.06.2026 צפויה להתקיים ישיבה להצגתם בחח"י.
ב 15.06.2026 מתוכננת להתקיים ישיבה של מנכ"ל חח"י עם מנכ"ל עירית חיפה בנושא קידום ההיתר להקמת התחמ"ש.</t>
  </si>
  <si>
    <t xml:space="preserve">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t>
  </si>
  <si>
    <t>ב 11.06.2026 הועברו חלופות אדריכליות מהמתכנן של העיריה.
ב 18.06.2026 התקיימה ישיבה להצגתם בחח"י בה אושרו החלופות להצגה בעיריה. ממתינים לאישור העיריה של החלופות על מנת לעדכן את התוכניות והגשתם להיתר מחדש.
ב 15.06.2026 התקיימה ישיבה של מנכ"ל חח"י עם מנכ"ל עירית חיפה בנושא קידום ההיתר להקמת התחמ"ש שבה מנכ"ל העיריה חזר על דרישת העיריה להקמת תחנה תת קרקעית.
ב 29.06.2026 נתקבלה בקשת עיריה לשיקוע התחנה.</t>
  </si>
  <si>
    <t>זמן /כסף - חח"י לא תחל בעדכון תכנון להיתר עד לקבלת אישור העיריה
קבלת היתר - ממתינים לעמדת העיריה יש לשקול הגשת הבקשה במסגרת הות"ל</t>
  </si>
  <si>
    <t>WBE-154</t>
  </si>
  <si>
    <t>ירושלים ה -הוספת שנאי 514 , 56 מגוו"א</t>
  </si>
  <si>
    <t>שנאי 511 נבדק ונמצא תקול ונדרש להחליפו. אספקת שנאי חדש לקראת ספטמבר 2026</t>
  </si>
  <si>
    <t>שנאי 511 נבדק ונמצא תקול ונדרש להחליפו. אספקת שנאי חדש לקראת יולי 2027</t>
  </si>
  <si>
    <t>בבדיקת אגף רשת ירושלים פתרונות חליפיים: הסטת שנאי, תגבור צרכנות דרך נחל צופים</t>
  </si>
  <si>
    <t>אספקת שנאי צפויה ליולי 2027. אין כרגע עידכון אחר. בדיקת 2 מסדרי מ"ג אינו מתועדף ע"י יח' תחמ"ש</t>
  </si>
  <si>
    <t>שנאי תקול 511 פורק - לצורך תיקונו נדרש לשלוח אותו לחו"ל. בבדיקה טכנוכלכלית. אספקת שנאי חדש צפויה ביוני 2027 ולכן חישמול ביולי 2027. עדיין לא נבדקו 2 מסדרי מ"ג של פ"צ 4 עקב חוסר תיעדוף של מבדקת תחמ"ש ים'.</t>
  </si>
  <si>
    <t>חוסר תיעדוף מבדקת תחמ"ש בבדיקות הכנסה לניצול של מסדר מ"ג חדש</t>
  </si>
  <si>
    <t>WBM-00885-055</t>
  </si>
  <si>
    <t>ירושלים ה'- התאמת מע' מים לכיבוי אש</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</si>
  <si>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t>
  </si>
  <si>
    <t>התקיימה ישיבת DR. עם הכנת מסמכי המכרז יישלחו לבדיקה. תכנון כיבוי האש הוא עקרוני בלבד. על הקבלן הזוכה יהיה לבצע תכנון מפורט ולהציג אותו לאישור מתכנני חח"י ומעבדה מוסמכת לכיבוי אש. ב 27.5 יתקיים סיור לבחינת לוח פיקוד קיים משאבה ישנה מחוץ למקום מוקף. RFT נקבע ל 8.6 בעזרת שרונה סגל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</si>
  <si>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ביום10.6 סיור פאראגון לבחינת יישום ריסוס מים במקום הוספת מיכל ומשאבות. ביום 14.6 הצגת חלופת ריסוס מים למנהל האגף.</t>
  </si>
  <si>
    <t>בשלבי עדכון ובדיקת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נדרשת התייחסות תכנון א"מ (נאור מק) לנושא פתרון חליפי - ריסוס מים במקום הוספת המיכל ומשאבות.</t>
  </si>
  <si>
    <t xml:space="preserve">הוצג למנהל האגף חלופת ערפל לשנאים. נדרש גיבוש חלופות יחד עם יח' תחמ"ש והצגה למנהלי אגפים - השנאה ותפעול תחמש בעוד כשבועיים. השבוע יישלחו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אישור קונסטרוקטורית הועברה לעירייה לבקשתם. </t>
  </si>
  <si>
    <t>הוצג למנהל האגף חלופת ערפל לשנאים. נדרש גיבוש חלופות יחד עם יח' תחמ"ש והצגה למנהלי אגפים - השנאה ותפעול תחמש .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</si>
  <si>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התקיימה פגישת תאום גיבוש חלופות יחד עם יח' תחמ"ש והצגה למנהלי אגפים - השנאה ותפעול תחמש .ממתינים לבדיקת מערכת המים ולהתייחסות לגבי שינוי הגדרת התחמ"ש ממשולבת לסגורה. נשלחו להפצה מסמכי המכרז. תכנון כיבוי האש הוא עקרוני בלבד. על הקבלן הזוכה יהיה לבצע תכנון מפורט ולהציג אותו לאישור מתכנני חח"י ומעבדה מוסמכת לכיבוי אש.  הופחתו דרישות העירייה לגבי היתר הבנייה. צפי לקבלת היתר בנייה - אוגוסט 2026.</t>
  </si>
  <si>
    <t>קבלת היתר בנייה, בחירת קבלן / מכרז.</t>
  </si>
  <si>
    <t>WBC-044</t>
  </si>
  <si>
    <t>ירושלים דרום (גבעת המטוס)-הקמת תחמ"ש פנימית 161/13.8</t>
  </si>
  <si>
    <t>מיקום שוחות עבור כבלים מ"ג מתנגש עם מערכת ניקוז. קיים קושי מול מתן בראשי לעדכן את התכנון שלהם - כנראה לקראת אי הסכמה. נשלח מייל בתפוצה רחבה ובכירה.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בשבוע הבא פגישה מסכמת בנושא שטח התאגנות בתוך ישיבת איתרי.</t>
  </si>
  <si>
    <t xml:space="preserve">השבוע התקיים תיאום בנוא מיקום השוחות בים רועי חג'ג' למתכנני בראשי. לקראת הסכמה סופית. נקבעה ב-28.5 פגישה קריטית בין נציגי העירייה לבין הנהלת אגף רשת ירושלים ופר' השנאה בנושא. מצפים לקראת פגישה נוספת מול הגיחון בנושאים: העתקת צנרות מים וגמל של תחנת כבאות - נדרש הצעת מחיר לשתיהן. בהתאם נקדם הסכם משפטי מול הכבאות. עדיין לא הוסדר נושא בעלות על הכביש וצומת - בטיפול מנר"א. ביום 28.5 פגישה מסכמת בנושא שטח התאגנות בתוך ישיבת איתרי. </t>
  </si>
  <si>
    <t>תאום נושא השוחות עדיין נמשך, נדרש עדכון חלקי של תשתיות. יש לכך השפעה על מועד הגשת היתר חפירה שמתעכב בגלל זה. פגישה עם העירייה נדחתה ליום 11.6 - מטרתה: החלטה על עיתוי הצבת שוחות חחי בכביש החדש. התקיימה פגישה בין מנר"א לייעוץ משפטי של העירייה בנושא הקדמת היטל סלילה ורישום קרקע והפקעות - יש משימות לשני הצדדים. ממתינים לקבל הצעת מחיר מהגיחון לתכנון העתקת צנרת מים. ממתינים לתכנון העתקת הגמל מים של הכבאות כדי לקדם הסכם עם כבאות ארצית. התקיימה ישיבה עם הנהלת איתרי בנושא שטח התארגנות - לקראת סיכום וחתימה על מסמכים.</t>
  </si>
  <si>
    <t>התקיימה פגישה עם עיריית ירושלים בנושא תאום ושילוב עבודות תשתית כביש, שוחות וקידוחים אופקיים - יש הסכמה לשלב הכל יחד. תכנון להיתר חפירה לקראת הגשה עד סוף יוני 26. הקדמת היטל סלילה צפויה החודש. עדיין נמשך מו"מ של מנר"א עם בעלי ישיבת אתרי לגבי שטח התארגנות.</t>
  </si>
  <si>
    <t>התקיימה פגישה עם עיריית ירושלים בנושא תאום ושילוב עבודות תשתית כביש, שוחות וקידוחים אופקיים - יש הסכמה לשלב הכל יחד. בפגישת תכנון עם צוות מתכנני הכיבש פועלים להציג שלבים של עבודה משותפת לחח"י - תשתיות כביש ותשתיות שלנו. תכנון להיתר חפירה לקראת הגשה עד סוף יוני 26. הקדמת היטל סלילה צפויה החודש. עדיין נמשך מו"מ של מנר"א עם בעלי ישיבת אתרי לגבי שטח התארגנות. עדיין לא בוצעו הפקעות שטח הכביש ע"י מנר"א</t>
  </si>
  <si>
    <t>השלמת השכרת שטח התארגנות מישיבת אתרי. השלמת תכנון וביצוע כביש וצומת כתנאי להיתר בנייה. תא שטח קטן וחפירה מאוד עמוקה. כמות כבלים מ"ג גבוהה מאוד יחסית לשטח.</t>
  </si>
  <si>
    <t>WBE-093</t>
  </si>
  <si>
    <t>ירושלים ד'- הקמת בנין</t>
  </si>
  <si>
    <t>עקב תמחור גבוה מאוד של מס סעיפים, הקבלן לא מקבל עדיין את העבודה - בטיפול בוריס אוירינג.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מתואם.</t>
  </si>
  <si>
    <t>עקב תמחור גבוה מאוד של מס סעיפים וחוסר שלחית מסמכים מתאימים על ידו, הקבלן קיבל הודעת אי ביצוע העבודה והעברה לקבלן אחר. בשבוע שעבר התקיים סיור נרחב לתאום עבודות הטמנת צנרת מחוץ למבנה 36 ק"ו עם מיה שולמן+בטיחות+פיקוח+מחוז ים' - יצא סיכום סיור. נשלח מייל לזירוז תכנון החלפת הגנות לשנאים 532+534 - עבודות מקדימות שיאפשרו בסתיו הפסקות קצרות יותר. התגלתה בריחת גז ממפ"צ 2 - נדרש תיקון חוזר של סימנס - עדיין לא התקבל מועד תיקון הכולל הורדת גז וביצוע ואקום.</t>
  </si>
  <si>
    <t>הפרוייקט הסתיים. עבודות התשתית מושתות על פרוייקט התחמ"ג.</t>
  </si>
  <si>
    <t>WBE-278</t>
  </si>
  <si>
    <t>תעשיה אדומים-משיק ל-wbn-103-הוספת שני שדות מעגלים 161 ק"ו</t>
  </si>
  <si>
    <t>קיבלנו מזכר - ממתתין לתשובה משירן לגבי הפרויקטים הנלווים - מבקש לדעת מתי נכנס לתוכנית העבודה</t>
  </si>
  <si>
    <t>מבקש להכניס לתוכנית עבודה בתחילת 2028</t>
  </si>
  <si>
    <t>WBE-148</t>
  </si>
  <si>
    <t>צפית-החלפת מנתקים, מ"ז ומ"מ 400 ק"ו</t>
  </si>
  <si>
    <t>מדובר בפרויקט בשלבים בכל עונת מעבר להפסקות עד לתאריך 30/03/2028</t>
  </si>
  <si>
    <t xml:space="preserve"> עבודות בשטח</t>
  </si>
  <si>
    <t>הסתיים חלק נוסף בפרויקט ממתינים לתוכניץ הפסקות הבאה</t>
  </si>
  <si>
    <t>נקבעה פגישה לקביעת תכולה חדשה לקראת תוכנית הפסקות סתיו 2026</t>
  </si>
  <si>
    <t>תערך ישיבת הקפאת תכולה ב18.6</t>
  </si>
  <si>
    <t>נערכה ישיבת תכולה ב18.6 נערכים לתחילת עבודות במקביל להפסקות ב9.26</t>
  </si>
  <si>
    <t>WBM-40487</t>
  </si>
  <si>
    <t>צפית -החלפת ציוד 161 ק"ו-שדות 6,9</t>
  </si>
  <si>
    <t>מדובר בשלוש עונות מעבר של הפסקות עד ל- 03/2027</t>
  </si>
  <si>
    <t>המתנה לתקופת הפסקות הבאה</t>
  </si>
  <si>
    <t>WBM-40489-ST2</t>
  </si>
  <si>
    <t>צפית  - החלפת ציוד 161 ק"ו בשדה 14</t>
  </si>
  <si>
    <t>מדובר בשלוש עונות מעבר של הפסקותעד ל- 03/2027</t>
  </si>
  <si>
    <t>לאחר דחיית האפשרות לקבל הפסקה בתקופת ההפסקות הנוכחית ממתין לקבלת אישור להפסקה בתקופת ההפסקות של סתיו 26</t>
  </si>
  <si>
    <t>WBE-240</t>
  </si>
  <si>
    <t>סדום צפון-הקמת שדה לצורך קליטת קו מפארן</t>
  </si>
  <si>
    <t xml:space="preserve">טרם עבר הקפאת תכולה </t>
  </si>
  <si>
    <t>הפרויקט הוקפא</t>
  </si>
  <si>
    <t>WBM-40305</t>
  </si>
  <si>
    <t>סדום צפון-התא.שדות (3)לכורנוב ו (8) לסדו</t>
  </si>
  <si>
    <t>01/07/2026 לא אפשרי, יתקבל יעד חדש לאחר קבלת המסמכים</t>
  </si>
  <si>
    <t>נערך סיור לבדיקת היתכנות עבור גישורים שיאפשרו את העבודה - קיבלנו אישור לביצוע הגישורים - אך טרם קיבלנו מזכר שיאפשר את המשך העבודה</t>
  </si>
  <si>
    <t xml:space="preserve">נמצא בסקירת יסודות </t>
  </si>
  <si>
    <t>תשובה לסקירת יסודות ב-16.06.26</t>
  </si>
  <si>
    <t>בשלב כתבי כמויות</t>
  </si>
  <si>
    <t>יש צורך לנצל את האישור לגישורים (יצא גם מזכר תכנוני תומך של הולכה)</t>
  </si>
  <si>
    <t>WBE-114</t>
  </si>
  <si>
    <t>סדום צפון-החלפת שנאי  ל-50 מגוו"א והתאמת יציאות מ"ג</t>
  </si>
  <si>
    <t>הסתיים בתאריך 18/2/26</t>
  </si>
  <si>
    <t>WBE-279</t>
  </si>
  <si>
    <t>מעלה אפריים- משיק ל-wbo-103-הוספת ארבעה שדות מעגלים 161 ק"ו</t>
  </si>
  <si>
    <t>WBM-60088-024</t>
  </si>
  <si>
    <t>ירושלים ג' – השלמת מאצרות שמן</t>
  </si>
  <si>
    <t>בביצוע</t>
  </si>
  <si>
    <t>WBM-40532</t>
  </si>
  <si>
    <t>ירושלים ג'- התאמת שדה מקשר (5,6) ליכולת 1400 א'</t>
  </si>
  <si>
    <t>התכנון הושלם יש קבלן בשטח לפרויקט החלפת השנאי 521 ומאצרה - במידה וישאר קבלן בשטח ויאשרו בתוכנית ההפסקות של סתיו 26 נוכל להתקדם עם התכנון המקורי</t>
  </si>
  <si>
    <t>WBM-40531</t>
  </si>
  <si>
    <t>ירושלים ג'- התאמת שדה 3 ליכולת 1400 א'</t>
  </si>
  <si>
    <t>בשיחה שהיתה עם מנהלת המחלקה תועדפה ניידת רמת רחל והוחלט לנסות לקדם לתוכנית הפסקות הבאה.</t>
  </si>
  <si>
    <t xml:space="preserve">המקשר ושדה 3 בירושלים ג' לא יכולים להיות יחד עקב תיעדוף כח אדם של תחמ"ש תוידף המקשר לתוכנית ההפסקות הקרובה </t>
  </si>
  <si>
    <t xml:space="preserve">המקשר ושדה 3 בירושלים ג' לא יכולים להיות יחד עקב תיעדוף כח אדם של תחמ"ש תועדף המקשר לתוכנית ההפסקות הקרובה </t>
  </si>
  <si>
    <t>הפסקה</t>
  </si>
  <si>
    <t>WBE-258</t>
  </si>
  <si>
    <t>ירושלים ג- החלפת שנאי 521 וציוד בשדה 161 ק"ו מס' 2</t>
  </si>
  <si>
    <t xml:space="preserve">העבודה האזרחית מתעכבת ובהתאם גם עבודות הרכבה, בנוסף נמצאו אי התאמות בין התכנון לשטח בנושא חפירת כבל לנקודת האפס ונערכים לחפירה מלאה במקום חפירה מקומית, יש בנוסף גם בעיה שהתגלתה ביסוד מפסק הזרם - ומחפשים פתרון שלא מחייב להרוס את עמודי היסוד.- נמצא פתרון לקידוח הברגים ויציקה חדשה ישנו עיכוב בהגעת מחפרון לחפירת נקודת אפס </t>
  </si>
  <si>
    <t>מתכנננים לחשמל ב18.06.2026</t>
  </si>
  <si>
    <t>עיכוב בחשמול לתאריך 25.06.2026</t>
  </si>
  <si>
    <t>יעד חשמול 25.06.2026</t>
  </si>
  <si>
    <t>יעד חשמול 2.7.2026</t>
  </si>
  <si>
    <t>WBM-00895</t>
  </si>
  <si>
    <t>סדום דרום</t>
  </si>
  <si>
    <t>30/06/2026 לא אפשרי,עיכוב בקבלת קבלן נכון להודעה אחרונה החישמול יהיה ב-09.2026</t>
  </si>
  <si>
    <t>נערך סיור להתרשמות מהשטח לקראת כניסה לעבודות אזרחיות</t>
  </si>
  <si>
    <t xml:space="preserve">עבודות אזרחיות צפויות להחל בעוד כשבועיים </t>
  </si>
  <si>
    <t>כניסת קבלן לשטח ב7.06.26</t>
  </si>
  <si>
    <t>קבלן עבר הדרכות בטיחות במי"ה מתוכנן ב9.6 המשך הדרכות וכניסה לעבודות</t>
  </si>
  <si>
    <t>קבלן התחיל עבודות בשטח ביום 15.06.2026</t>
  </si>
  <si>
    <t>תיעדוף תכנון של הייצור סיום כתב כמויות צפוי רק ב- 01.09.2026</t>
  </si>
  <si>
    <t>הפרויקט תחת מעקב ובקרה על מנת לא לחרוג מזמן החשמול המסתמן</t>
  </si>
  <si>
    <t>WBE-194</t>
  </si>
  <si>
    <t>קרית הלאום
משיק wbo-122-הרחבת מסדר פנימי 161 ק"ו ב-3 שדות מ"ע , 2שדות קווים למעגלים מתחמ"ג ירושלים</t>
  </si>
  <si>
    <t xml:space="preserve">התקיימה פגישה של סטטוס ציוד ישנו עיכוב של 4 חודשים באספקת הציוד </t>
  </si>
  <si>
    <t>התקיימה פגישה של סטטוס ציוד ישנו עיכוב של 4 חודשים באספקת הציוד</t>
  </si>
  <si>
    <t>20.07.26- סיור הקפאת תצורה</t>
  </si>
  <si>
    <t>WBK-022</t>
  </si>
  <si>
    <t>גן שורק מסדר 400 ק"ו-הקמת דיאמטר 5 עם 2 יציאות 400 ק"ו לתחמ"ג תקומה</t>
  </si>
  <si>
    <t xml:space="preserve">הועברה פניה למנהלת המחלקה להחזרת הפרויקט לתכולות עקב שינוי בתאריך ת.פ ושינוי בהזמנת הציוד </t>
  </si>
  <si>
    <t>יש לחזור ולבחון מתי הזמן הנכון להתחלת הפרויקט מאחר והציוד צריך לדעת האם להזמין את הציוד עם אחסנה או לא כמו כן יש צורך להבין את הזמן הדרוש לבניית המובל</t>
  </si>
  <si>
    <t>WBE-287</t>
  </si>
  <si>
    <t>גן שורק-חיבור 4 מעגלי כבלים מתח"כ שורק 900 לשדות 6,7,8,9</t>
  </si>
  <si>
    <t>נקבע הקפאת תצורה לאמצע חודש 6</t>
  </si>
  <si>
    <t>עקב בקשת תכנון אזרחי לאחד תכנונים הקפאת התצורה נדחתה לתאריך 09.07</t>
  </si>
  <si>
    <t>WBC-078</t>
  </si>
  <si>
    <t>תל השומר- הקמת תחמ"ש פנימית 161/24 ק"ו</t>
  </si>
  <si>
    <t xml:space="preserve">המשך עבודות אזרחיות </t>
  </si>
  <si>
    <t>המשך עבודות אזרחיות , יש לבדוק הגדלת כ"א של הקבלן  לצורך עמידה ביעדים. התקיימה פגישה עם נציגי נגב, לבחינת תוספת 2 כבלים לפאזה. בבדיקה של תכנון אזרחי וגיל חזום מול נגה</t>
  </si>
  <si>
    <t>המשך עבודות אזרחיות , יציקת רצפה - 21.6.26,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t>
  </si>
  <si>
    <t xml:space="preserve">המשך עבודות אזרחיות , יציקת רצפה -, יש לבדוק הגדלת כ"א של הקבלן  לצורך עמידה ביעדים.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t>
  </si>
  <si>
    <t>המשך עבודות אזרחיות , יציקת רצפה - 30.6.26 , . קיימת בקשה מנגה לבחינת תוספת 2 כבלים לפאזה. תכנון תחמ''ש בדק מול מתכנני רת"ק - יבוצע שינוי , נדרש רק תוספת שרוולים- עבודה אזרחית, צפוי עיכוב של כחודש  במסירת יעד ראשון . הועברה  בקשה ךעדכון ת.פ 11.26</t>
  </si>
  <si>
    <t>אישור תש''א - יידרש לחישמול התחמ''ש - בטיפול של נציג איכות הסביבה. נשלחה התייחסות לתש''א טרם התקבל מענה- לבדיקה מול שאול שגיא, נדב ברזילי,   בדיקת הגדלת כ"א  קבלן שלד</t>
  </si>
  <si>
    <t>WBC-073</t>
  </si>
  <si>
    <t>רחובות צפון- הקמת תחמ"ש פנימית 161/24 ק"</t>
  </si>
  <si>
    <t xml:space="preserve">השלמת יעדים אזרחיים - ס"ק, 5.26, שנאי בית  - 24.5, סיום כלל העבודות 7.25, </t>
  </si>
  <si>
    <t xml:space="preserve">השלמת יעדים אזרחיים - ס"ק, 5.26, שנאי בית  - 25.5, סיום כלל העבודות 7.25, </t>
  </si>
  <si>
    <t>השלמת יעדים אזרחיים - ס"ק, 21.6 5.26, שנאי בית נמסר , סיום כלל העבודות 7.25,  הרכבה חשמלית  עבודה מסדר 24 ק"ו- קיימת תקלה  במפסק- לטיפול אבי רומי, קיים מחסןר במבודדי תמיכה בתא שנאי צי 20.6</t>
  </si>
  <si>
    <t>השלמת יעדים אזרחיים - ס"ק, 21.6 5.26,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t>
  </si>
  <si>
    <t>השלמת יעדים אזרחיים - ס"ק, 21.6 5.26, -  סיום כלל העבודות 7.25,  הרכבה חשמלית  עבודה מסדר 24 ק"ו- קיימת תקלה  במפסק- לטיפול אבי רומי, קיים מחסןר במבודדי תמיכה בתא שנאי צפי 20.6 קיימת ליקוי במבודד תמיכה 0 בשנאי 521 צפי אספקה חודש. בדיקת מתי יתר מסדר 24 ק"ו - מתוכנן ל 21.6,  לא כוול מפסק שלא תקין בתיאום מעבדה.</t>
  </si>
  <si>
    <t>השלמת עבודות אזרחיות - חיפוי קירות,  סוללות קבלים -  הרכבת   רצפה, השלמת מעקה. צפי מסירה  סוף יוני. הרכבה חשמלית - 22.6- בדיקות מתח יתר מסדר 24 ק"ו,  קיימת תקלה במפסק בפ"צ 1, יידרש להחליף.   מסדר 161 ק"ו - תיקון  דליפת גז שדה 6,  השלמת הרכבת מוליכים. בדיקות מתח יתר יידחו ל 5.7 במקום 28.6, נשלח מייל לזיו סמברג. חסר מבודד אפס בשנאי 521- נשלח מייל לרכש. עבודות בתאיי שנאים - צפי הגעת מוליכים סוף יוני</t>
  </si>
  <si>
    <t>עיכוב בעבודות אזרחיות- צפי הכנסה לניצול צפוי להדחות לחודש 10.26, י, בתוכנית הפסקות .  בעיה בציוד מוליכים צפי 14.6, וציוד 24 ק"ו - מפסק , ייתכן ויידרש אספקה חדשה</t>
  </si>
  <si>
    <t>WBC-042</t>
  </si>
  <si>
    <t>קרית משה
הקמת תחמ"ש פנימית</t>
  </si>
  <si>
    <t>חושמל 18/12/24</t>
  </si>
  <si>
    <t>נדרש המשך חיבור מים קבוע לתחמ"ש טיפול של מנר"א מול מקורות, תאגיד</t>
  </si>
  <si>
    <t>אין אספקת מים לתחמ''ש (מלבד מיכל מים למערכת כיבוי אש)</t>
  </si>
  <si>
    <t>WBE-170</t>
  </si>
  <si>
    <t>לוד-הוספת שנאי 526 161/24 ק"ו 50 מגוו"א</t>
  </si>
  <si>
    <t xml:space="preserve">בהתאם לעדכון של יובל ,בשלב חישמול הייתה בעיה עם הבקר  פונקציות מיוחדות </t>
  </si>
  <si>
    <t>יח' תחמ"ש צריכה פתרון לטיפול  של הבקר</t>
  </si>
  <si>
    <t>WBC-028</t>
  </si>
  <si>
    <t>בת ים - הקמת תחמ"ש פנימית 161/24 ק"ו</t>
  </si>
  <si>
    <t>עבודות אזרחיות - הקמת גדר תחמ"ש, הרכבת חיפוי , המשך עבודו אזרחיות,  הרכבת שנאים- בשלב הרכבה, מילוי שמן מתאריך 17.5 , הרכבה חשמלית - המשך עבודות מסדר 161 ק"ו - מסירת שדות לקומשניג -1-4 16.4.26- 13.5.26- קומשניג, כביש גישה - בטיפול ההנהלה התקיימה ישיבה -נדרש אישור משרד התחבורה חדר פיקוד - התחלת בדיקותיח תחמ''ש צפי בדיקות מתח יתר 30.7.26</t>
  </si>
  <si>
    <t xml:space="preserve">עבודות אזרחיות - הקמת גדר תחמ"ש, הרכבת חיפוי , המשך עבודו אזרחיות,  הרכבת שנאים- בשלב הרכבה, מילוי שמן , חסר מבודדי תמיכה , מתאריך סיום ,28.5.26  הרכבה חשמלית - המשך עבודות מסדר 161 ק"ו - קומשניג -התחלה 10.5 161,-24 ק"ו -27.5   כביש גישה - בטיפול ההנהלה התקיימה ישיבה -נדרש אישור משרד התחבורה </t>
  </si>
  <si>
    <t>עבודות אזרחיות - הקמת גדר תחמ"ש, הרכבת חיפוי , המשך עבודו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בהתאם להנחיה של ירון ליב יש צורך בביצוע בדיקות מתח יתר ב15.7 במקום 30.7 .תיקון מנתקים, הרכבת משנה מתח,,-24 ק"ו -27.5 , הנחת כבלים , הערכות לכניסת מחוז,  כביש גישה - בטיפול ההנהלה התקיימה ישיבה -נדרש אישור משרד התחבורה - בשלבי אישור סופי. דחיית עבודות רתק בתאי שנאים מ7.6 לתאריך 28.7 יעכב הרכבת מערכת כיבוי מים .</t>
  </si>
  <si>
    <t xml:space="preserve"> המשך עבודות אזרחיות,  הרכבת שנאים- חסר מבודדי תמיכה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.תיקון מנתקים, הרכבת משנה מתח,,-24 ק"ו -27.5 , הנחת כבלים , הערכות לכניסת מחוז, - 22.6  כביש גישה - בטיפול ההנהלה התקיימה ישיבה -נדרש אישור משרד התחבורה - בשלבי אישור סופי. דחיית עבודות רתק בתאי שנאים מ7.6 לתאריך 28.6 . יח'תחמ"ש - הפסקת עבודות בחדר פיקוד - עקב תיעדוף  פרוייקט אחר,  יש צורך להשלים חלוקת מ"נ עבור מערכות אלק"מ,  הקידום בדיקות מצח יתר בחודש 7.26 יש לקבל כח אדם של יח תחמש. יח התחמש יצאו מהתחנה.</t>
  </si>
  <si>
    <t xml:space="preserve"> המשך עבודות אזרחיות- חיפוי , פיתוח שטח, גדר .הרכבת שנאים- חסר מבודדי תמיכה צפי סוף יוני. , הרכבה חשמלית - המשך עבודות מסדר 161 ק"ו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.בהתאם להודעה של אפרת  מועד צפוי לבדיקות מתח יתר 2.8 -,מסדר -24 ק"ו -המסדר מוכן לקומשניג  נדרש בודקים  לבדיקות משנה מתח, משנה זרם להערכות בדיקות מתח יתר.- אנשי מבדקה  הוצאו מהתחמ"ש   , באים רק לעבודות נקודיות. חדר פיקוד -  השלמת חלוקות מתח נמוך עבור מערכות אלק"מ  - דחיית עבודות רתק בתאי שנאים מ7.6 לתאריך 28.6 . יח'תחמ"ש - הפסקת עבודות  - עקב תיעדוף  פרוייקט אחר,  נדרש קידום בדיקות מתח יתר בחודש 7.26 יש לקבל כח אדם של יח תחמש. יח התחמש יצאו מהתחנה. יכול להוות סיכון בקבלת עובדים לבדיקות מתח יתר בהתאם לסדריי עדיפויות.</t>
  </si>
  <si>
    <t>WBK-015</t>
  </si>
  <si>
    <t>קיסריה- התקנת ש"ק שלישי 650 מגוו"א</t>
  </si>
  <si>
    <t>טרם התקבלה תכולה
נקבע סיור לבקשת נגה לבחינת תכולות01.06.2026</t>
  </si>
  <si>
    <t>טרם התקבלה תכולה
נקבע סיור לבקשת נגה לבחינת תכולות01.06.2026- התקיים סיור, המלצות כולל אומדן יועברו תוך חודש ימים</t>
  </si>
  <si>
    <t>טרם התקבלה תכולה
נקבע סיור לבקשת נגה לבחינת תכולות01.06.2026- התקיים סיור, המלצות כולל אומדן יועברו תוך חודש ימים
08.07.2026- מתוכננת ישיבה מול נגה להצגת חלופות</t>
  </si>
  <si>
    <t>WBE-221</t>
  </si>
  <si>
    <t>ציפורית-התקנת שנאי רביעי והחלפת 2 שנאים</t>
  </si>
  <si>
    <t>מגזר התכנון הודיע על עיכובים בהסכם רכש מסדרי מ"ג, המשמעות עיכובים בתכנון ודחייה בחשמול.
נדרש עמידה בלו"ז 30.09.2026 גמר כתב כמויות</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</si>
  <si>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t>
  </si>
  <si>
    <t>מגזר התכנון הודיע על עיכובים בהסכם רכש מסדרי מ"ג, המשמעות עיכובים בתכנון ודחייה בחשמול.
נדרש עמידה בלו"ז 30.09.2026 גמר כתב כמויות
יבוצע שינוי בציוד לטובת עמידה בלוחות זמנים- ציוד מסוג אפקון-  בבדיקה</t>
  </si>
  <si>
    <t>הוקצה מסדר של אפקון
30.09.2026 גמר כתב כמויות</t>
  </si>
  <si>
    <t>30.09.2026 גמר כתב כמויות</t>
  </si>
  <si>
    <t>צפי לעיכוב  בהזמנת מבנה ברזל לטובת מסדר מ"ג- תעדוף בתכנון אזרחי</t>
  </si>
  <si>
    <t>WBE-168</t>
  </si>
  <si>
    <t>צור שלום - התקנת שנאי 524 161/24 ק"ו, 50 מגוו"א בשדה 10 בתחמ"ש צור שלום. התקנת סוללות קבלים 2x5 מגווא"ר.</t>
  </si>
  <si>
    <t>אושר ע"י הנהלת האגף לבחירת קבלן תוך החרגת סעיפים חריגים
נבחר קבלן- בהתארגנות 
17.05.2026- בוצע סיור עם הקבלן</t>
  </si>
  <si>
    <t>אושר ע"י הנהלת האגף לבחירת קבלן תוך החרגת סעיפים חריגים
נבחר קבלן- בהתארגנות 
17.05.2026- בוצע סיור עם הקבלן
צפי לתחילת עבודות 14.06.2026</t>
  </si>
  <si>
    <t>בשלב התארגנות קבלן</t>
  </si>
  <si>
    <t>הקבלן עושה בעיות , ייתכן ויוחלף</t>
  </si>
  <si>
    <t>צפי כניסת קבלן לתחילת עבודות 28.06.2026
אגף הרכש הודיע על עיכוב באספקת השנאי ל- 08.2026 (יועלה לנושאים קריטים)</t>
  </si>
  <si>
    <t>אגף הרכש הודיע על עיכוב באספקת השנאי ל- 08.2026 (יועלה לנושאים קריטים)</t>
  </si>
  <si>
    <t>WBE-263</t>
  </si>
  <si>
    <t>כרמיאל-החלפת 4 שנ.מ-33 ל-50 מו"א-רב שלבי</t>
  </si>
  <si>
    <t>12.04.2026-  עבודות קבלן אזרחי</t>
  </si>
  <si>
    <t>12.04.2026-  החלו עבודות קבלן אזרחי</t>
  </si>
  <si>
    <t xml:space="preserve">
</t>
  </si>
  <si>
    <t>WBE-226</t>
  </si>
  <si>
    <t>כורסי-רב שלבי-החלפת 2 שנאים 521,522 והתקנת 2 שנאים 523,524</t>
  </si>
  <si>
    <t>צפי מסירות אזרחיות חלקיות סוף מאי</t>
  </si>
  <si>
    <t>צפי מסירות אזרחיות חלקיות סוף מאי
05.07.2026- הובלת שני שנאים ותחילת עבודות הרכבה חשמלית</t>
  </si>
  <si>
    <t>בוצעו מסירות אזרחיות חלקיות סוף מאי
05.07.2026- הובלת שני שנאים ותחילת עבודות הרכבה חשמלית</t>
  </si>
  <si>
    <t>מלחמה- עיכובים</t>
  </si>
  <si>
    <t>WBE-233</t>
  </si>
  <si>
    <t>יזרעאל-הח' 2 שנאים161/24 30 ב-50מגוו"א כ"א</t>
  </si>
  <si>
    <t>25/03/2026- 
בוצעו מסירות לטובת בדיקות שנאי 521
צפי לעיכוב עקב עבודות חוזרות של חווטים לאור שינויים רבים בתכנון החשמלי
מועד חשמול צפוי 05/06/2026</t>
  </si>
  <si>
    <t>חשמול צפוי שנאי 521 04.06.2026
צפי להפסקת שנאי 523- 10.06.206 וצפי תחילת עבודות אזרחיות</t>
  </si>
  <si>
    <t>חשמול צפוי שנאי 521 04.06.2026- חושמל
צפי להפסקת שנאי 523- 10.06.2026 וצפי תחילת עבודות אזרחיות</t>
  </si>
  <si>
    <t>שנאי 521 04.06.2026- חושמל
הופסק שנאי 523- 14.06.2026 תחילת עבודות פירוקים ועבודות אזרחיות
צפי לתחילת עבודות הרכבת חשמלית 15.09.2026</t>
  </si>
  <si>
    <t>הופסק שנאי 523- 14.06.2026 תחילת עבודות פירוקים ועבודות אזרחיות- בוצע
22.06.2026- החלו עבודות אזרחיות
צפי לתחילת עבודות הרכבת חשמלית 15.09.2026</t>
  </si>
  <si>
    <t>WBE-135</t>
  </si>
  <si>
    <t>יזרעאל- החלפת שנאים 522 ו-524 ל-50 מגוו"א.</t>
  </si>
  <si>
    <t>נבחר קבלן 04.05.2026</t>
  </si>
  <si>
    <t>נבחר קבלן 04.05.2026
בשלב התארגנות עלייה לקרקע</t>
  </si>
  <si>
    <t>נבחר קבלן 04.05.2026
בשלב התארגנות עלייה לקרקע
נדרש משגיח נוסף</t>
  </si>
  <si>
    <t>WBE-169</t>
  </si>
  <si>
    <t>יהלום-הוספת שנאי 50 MVA רב שלבי</t>
  </si>
  <si>
    <t>26.04.2026- יח' תחמ"ש חזרה לעבוד באתר
17.05.2026 החלו עבודות הצמדת תאי מקשר</t>
  </si>
  <si>
    <t>26.04.2026- יח' תחמ"ש חזרה לעבוד באתר
17.05.2026 החלו עבודות הצמדת תאי מקשר
27.05.2026- צפי סיום וחשמול קבוע</t>
  </si>
  <si>
    <t xml:space="preserve">
  27.05.2026-צפי סיום וחשמול קבוע- בוצע</t>
  </si>
  <si>
    <t>פרויקט הסתיים, תחמ"ש בניצול מלא</t>
  </si>
  <si>
    <t>WBE-252</t>
  </si>
  <si>
    <t>חולה - החלפת שנאי 522 מ- 33 ל- 50 מגוו"א והחלפת מסדר מ"ג פ"צ 2</t>
  </si>
  <si>
    <t xml:space="preserve">03.05.2026- החלו עבודות אזרחיות יסוד שנאי
נמצאו תשתיות כבלי מ"ג שלא מופיעים בתוכניות בשטח מסדר אפס+ שנאי+ סוללת קבלים- בטיפול המחוז
ליקוי מהותי בתכנון זרחי- יסוד שנאי, עצירת עבודות -חזרה לתכנון
</t>
  </si>
  <si>
    <t>טעות תכנון מהותי בתכנון יסוד שנאי, עצירת עבודות קבלן
ממתינים לשינוי תוכניות חדשות</t>
  </si>
  <si>
    <t xml:space="preserve">טעות תכנון מהותי בתכנון יסוד שנאי, עצירת עבודות קבלן
03.06.2026- התקבל תכנון מעודכן+תוספת תכולה לקבלן </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</si>
  <si>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t>
  </si>
  <si>
    <t>טעות תכנון מהותי בתכנון יסוד שנאי, עצירת עבודות קבלן
03.06.2026- התקבל תכנון מעודכן+תוספת תכולה לקבלן 
עקב השינוי ממתינים להפסקת פ"צ לטובת פירוקים והמשך עבודה
בנוסף, אין גישה למנופים בגלל העבודות שביצעו</t>
  </si>
  <si>
    <t>WBE-199</t>
  </si>
  <si>
    <t>זבולון-התקנת שנאי שלישי 161/24 ק"ו 50 מגוו"א</t>
  </si>
  <si>
    <t>צפי לגמר כתב כמויות 30.09.2026</t>
  </si>
  <si>
    <t>WBK-013</t>
  </si>
  <si>
    <t>זבולון-השלמת שדה 23 והתאמתו ליכולת 2500 א' במסדר 161 ק"ו. התקנת אוטו שנאי 400/170 ק"ו רביעי, בהספק 575 מגוו"א</t>
  </si>
  <si>
    <t>בתהליך התנעת פרויקט (בוצעה ישיבת הקפאת תצורה PDR 25.03.2026)
צפי להגשת בקשה להיתר-31.07.2026
צפי לגמר כתב כמויות 31.12.2026</t>
  </si>
  <si>
    <t>03.06.2026- התקבלה מנגה סכימה כולל שינויים ותכולה של 170 ק"ו, בבדיקת מחלקת ציוד עיקרי למועדי אספקה צפויים. שינוי זה הופך להיות נתיב קריטי
צפי להגשת בקשה להיתר-31.07.2026
צפי לגמר כתב כמויות 31.12.2026</t>
  </si>
  <si>
    <t>WBC-206</t>
  </si>
  <si>
    <t>הדרי שאן(טירת צבי)-חח"י-התקנת 4 שנאים 50 מגוו"א</t>
  </si>
  <si>
    <t>11.05.2026 התקיים נושאים קריטים
נקבעו מועדי חשמול חדשים
היזם טרם חשמל פס צבירה</t>
  </si>
  <si>
    <t xml:space="preserve">11.05.2026 התקיים נושאים קריטים
נקבעו מועדי חשמול חדשים
10.06.2026- התקבל היתר שינויים, מתקדם לטופס 4
בהתייעצות עם מ כל שרעבי יצא מייל ליזם שמתריע על זכותינו לקדם עבודות ב-161 ק"ו ללא הסרת אחריות של היזם
היזם טרם חשמל פס צבירה
</t>
  </si>
  <si>
    <t>11.05.2026 התקיים נושאים קריטים
נקבעו מועדי חשמול חדשים
10.06.2026- התקבל היתר שינויים, מתקדם לטופס 4
צפי חשמול שנאי 521 30.06.2026</t>
  </si>
  <si>
    <t>WBE-197</t>
  </si>
  <si>
    <t>אדמירליטי -התקנת שנאי שלישי 161/24 ק"ו, 50 מגוו"א</t>
  </si>
  <si>
    <t xml:space="preserve">מגזר התכנון מסרב להשתתף בישיבת הקפאת תצורה במועד שנקבע ע"י מנהל הפרויקט
לטענת המתכנן זה לא המועד שנקבע בתוכנית העבודה שלו </t>
  </si>
  <si>
    <t>נקבעה ישיבת הקפאת תצורה לתאריך 16.07.2026</t>
  </si>
  <si>
    <t>WBD-127</t>
  </si>
  <si>
    <t>כרמיאל ניידת- תכנון הצבת תחמ"ש ניידת</t>
  </si>
  <si>
    <t>בשלב עבודות הרכבה חשמלית ויח' תחמ"ש</t>
  </si>
  <si>
    <t>בשלב עבודות הרכבה חשמלית ויח' תחמ"ש
צפי חשמול 18.06.2026</t>
  </si>
  <si>
    <t>בשלב עבודות הרכבה חשמלית ויח' תחמ"ש
צפי חשמול 18.06.2026- נדחה עקב הוצאת בודקים מהאתר לטובת תחמ"ש בראון</t>
  </si>
  <si>
    <t>בשלב עבודות הרכבה חשמלית ויח' תחמ"ש
צפי חשמול 18.06.2026- נדחה עקב הוצאת בודקים מהאתר לטובת תחמ"ש בראון
צפי חשמול 02.07.2026</t>
  </si>
  <si>
    <t>WBD-129</t>
  </si>
  <si>
    <t>הדרי שאן- תכנון הצבת תחמ"ש ניידת, 30 מגוו"א</t>
  </si>
  <si>
    <t>פרויקט הסתיים</t>
  </si>
  <si>
    <t>WBE-253</t>
  </si>
  <si>
    <t>"כברי - החלפת שנאי 523  ומסדר מ""ג פ""צ 3"</t>
  </si>
  <si>
    <t>צפי לגמר כתב כמויות 31.08.2026</t>
  </si>
  <si>
    <t>WBD-092</t>
  </si>
  <si>
    <t>שרון ניידת-הצבת תחמ"ש ניידת</t>
  </si>
  <si>
    <t>כוכבה כהן</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</si>
  <si>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</si>
  <si>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ממתין לבדיקה וקבלת תכנון </t>
  </si>
  <si>
    <t xml:space="preserve"> ניידת חושמלה ב 25.2.26
חיבור יציאות מ"ג בוצע ב 25.3.26
טרם הוחלט על פתרון קבוע למעבר בטוח בין שני המפלסים בתחמש- בטיפול מול תכנון ויח' התחמש- מדידה התקבלה ב 12.5.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</si>
  <si>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</si>
  <si>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29.6- 
*התקבלו הצעות מחיר מקבלן לטיפול במדרון , כעת בשלב  תאום ביצוע העבודות. 
*טרם נמצא פתרון לרעש. אין התקשרות עם קבלן אקוסטי או יועץ. בבדיקה אם ניתן להפעיל קבלן משנה לקבלן אזרחי של פ.ייצור ומעורבות אסדרה סביבתית ויח התחמש  
</t>
  </si>
  <si>
    <t>WBD-118</t>
  </si>
  <si>
    <t>שוהם-ב.ס.ר-הצבת תחמ"ש ניידת, 30 מגוו"א</t>
  </si>
  <si>
    <t xml:space="preserve">טרם ידוע </t>
  </si>
  <si>
    <t>סטטוס ללא שינוי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.עדכון :עוד לא קודם הנושא עי הנדסת רשת</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</si>
  <si>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t>
  </si>
  <si>
    <t xml:space="preserve">
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</si>
  <si>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עדכון של מיקי אזוט 15.3: הוחלט להציב2  ניידות 30 MVAולא תחמש ארעית. 
19.3: התקיימה ישיבה עם הנדסת רשת, תפעול איילון וגלי לקידום הנושא
יש לאשר מיקום מול מהנדס ועדה מקומית ומנכל אזו תעשיה. ראשית יש לוודא יישימות מ"ע ואל"מ. מ"ג יש יישימות - טרם התקבלה תשובה ממ"ע. 
בסיכום של גלי מול שוש מהנדסת רשת, אישור מיקום סופי מול המועצה ייעשה עי הנדסת רשת .
עדכון 25.5: התקיימה ישיבה של הנדסת רשת מול מתכננים. במיקום המוצע להצבת הניידות, יש התנגשות עם פרויקט נוסף. בבדיקה של תכנון מ"ע האם ניתן לשלב את שני הפרויקטים באותו מיקום, הערכה ראשונית- שלא ניתן.
עדכון 11.6 - (רועי חג'ג'), בוחנים שטח סמוך לעמוד 3993</t>
  </si>
  <si>
    <t>WBD-117</t>
  </si>
  <si>
    <t>עזריאלי ניידות- הצבת 2 תחמ"ש ניידות, 20 מגוו"א כ"א</t>
  </si>
  <si>
    <t xml:space="preserve">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t>
  </si>
  <si>
    <t>ב6.5 הועבר סיכום ישיבה עי העיריה:
1.מיקום שסוכם היא החלופה הדרומית בשטח תחנת מעבר פסולת בסמוך לעמוד מע 5889
2.הליך היתר עם בקשה לשימוש חורג 
3.עי חחי לתאם ולקבל אישור מנת"י ומתכנני תת"ל למיקום.
4.חחי תעביר תוכנית הסדרים למעבר תוואי תת קרקעי להתיחסות העירייה
17.5בוצעה מדידה וכעת  בשרטוט
לאחר מדידה יהיה ניתן לקדם העמדה, סימולציה דרך גישה, דוח יועץ קרקע ובקשה לתיק מידע
17.5בבדיקה מול ניהול הרשת, בנצי, לגבי מועד חשמול נדרש/התחייבויות מול הלקוחות- הגענו למועד שהתחייבנו מול לקוחות. סיום רישוי , תכנון וביצוע יציאות מ"ג חצי שנה עד שמונה חודשים מיום הגשת ת"א
סימולצית תמרון הכנסת ניידות- מסתמן קושי בפניות 
עדכון 25.5- טרם התקבלה מפת מדידה</t>
  </si>
  <si>
    <t xml:space="preserve">ב 31.5.26 התקיימה ישיבה עם עייריית חולון:
מהנדסת העיר ציינה שלא ניתן לעמוד בלוז היתר שהצגנו (קבלת היתר ב 30/9). ומבקשת לפעול דרך רשות רישוי ארצית.
סוכם כי יש להקים בקשה לתיק מידע (ב 4.6.26)ולאח מכן לבחון לו"ז לקבלת היתר.
נת"י ורמ"י יכולים לעכב תהליך. 
1.6.26 טרם התקבלה מפת מדידה, הוחלט לנסות לפנות לוועדה להפקת אגרה לתיק מידע עם העמדה על גבי תצ"א ופניה לאישור נת"י במערכת תשיות שלהם </t>
  </si>
  <si>
    <t>4.6 התקבלה מפת מדידה  ובוצע תשלום אגרה 
7.6 תוקם בקשה לתיק מידע  + בקשה במערכת תשתיות של נת"י 
31.5 הוגשה בקשה לרשויות מעבר תוואי מ"ג
עד 14.6 תוגש בקשה לרשויות מעבר תווי עילי מ"ע 
10.6 בוצע סיור בטח עם מתכננים ותובלה. נדרש לפנות 2 מכולות משרדים ועצים וליישר שטח על מנת להציב את הניידות.
לו"ז לקבלת היתר מסתמן חצי שנה - מועד חשמול מסתמן 3/27</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</si>
  <si>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22.6 - ממתין לקבלת מדידה חדשה וסימולצית תמרון והוצאת הסוסים עדכנית לצורך הצגה לעירייה </t>
  </si>
  <si>
    <t>WBD-099</t>
  </si>
  <si>
    <t>ספיר ניידת- תכנון הצבת 2 ניידות</t>
  </si>
  <si>
    <t xml:space="preserve">10.5תיק מידע התקבל , גרמושקה בעבודה
ת"א מ"ע הוגשה. סיום מסעף מסתמן 1/27
מדידה לנחל צפויה להתקבל בימים הקרובים ויחל תכנון אזרחי מפורט 
</t>
  </si>
  <si>
    <t xml:space="preserve">10.5תיק מידע התקבל , גרמושקה בעבודה, בשלב טיפול מילוי תנאים .
ת"א מ"ע הוגשה. סיום מסעף מסתמן 1/27
עדכון 25.5: מדידה לנחל התקבלה. ממתין לדוח הידרולוג.
</t>
  </si>
  <si>
    <t>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ממתינים לדוח הידרולוג
סיום מסעף מסתמן 1/27</t>
  </si>
  <si>
    <t>WBE-295</t>
  </si>
  <si>
    <t>נתניה-התקנת שנאי רביעי 161/24 ק"ו , 50 מגוו"א</t>
  </si>
  <si>
    <t>התנעת פרויקט תהיה החודש. הקפאת תצורה ביולי 
הערכות לסיום תכנון עד סוף השנה בהתאם לתוכנית עבודה של התכנון.
עלייה לשטח בQ1 2027</t>
  </si>
  <si>
    <t>בתאריך  27/05/26 התקיימה פגישת התנעה לפרויקט. נקבע סיור המשך התנעה ב 21/06/26</t>
  </si>
  <si>
    <t>היום ה21.6 יערך סיור התנעה של הפרויט בשטח, ואז יותנע תכנון אלק"מ - צפי להוצאת הזמנת לתכנון אזרחי - אוגוסט 26</t>
  </si>
  <si>
    <t>ב21.6 היה סיור בשטח על מנת לוודא ישימות של כלל התכולה. הפרוקיט הותנע, ויחל תכנון אלק"מ - צפי להוצאת הזמנת לתכנון אזרחי - אוגוסט 26</t>
  </si>
  <si>
    <t>WBE-274</t>
  </si>
  <si>
    <t>תל אור - 2 מתקני אגירת אנרגיה בסוללות</t>
  </si>
  <si>
    <t>האתר מוכן לכניסת היזם לעבודה.</t>
  </si>
  <si>
    <t>WBD-087</t>
  </si>
  <si>
    <t>שער שומרון – התקנת תחמ"ש ניידת 20 מגוו"א</t>
  </si>
  <si>
    <t>הניידת חושמלה בהצלחה</t>
  </si>
  <si>
    <t xml:space="preserve">הניידת חושמלה בהצלחה </t>
  </si>
  <si>
    <t>הניידת חושמלה בהצלחה - אין דרישה לטוםס 4 (לא היה היתר). ניתן להוריד מהדו"ח</t>
  </si>
  <si>
    <t>הניידת חושמלה בהצלחה - אין דרישה לטופס  4 (לא היה היתר). ניתן להוריד מהדו"ח</t>
  </si>
  <si>
    <t>WBD-084</t>
  </si>
  <si>
    <t>רמת רחל ניידת- העתקת ניידת</t>
  </si>
  <si>
    <t xml:space="preserve">בהמשך לעצירת העבודה של קבלן רת"ק בעקבות תקרית הבטיחות, הקבלן חזר שבוע שעבר לעבודה בשטח הישן- הכבל זוהה ונחתך ואז עבר לשטח החדש גם שם הכבל זוהה והורם. השבוע ביום- יומיים בהקרובים השטח יכוסה ויחולו עבודות השלמת גידור בטון של התחנה - כשבועיים עבודה
במקביל יסיימו את כלל הבדיקות על הניידת, כולל בדיקות על חי עם נגה (עבודות תקשורת לניידת הושלמו בהצלחה) וכן ביצוע סופיות של כבלי מ"ע
הערכות לסיום העבודות עד תחילת יוני </t>
  </si>
  <si>
    <t>סיימו לכסות את שטח החפירה של רת"ק, הוכן פיגום. היום נכס קבלן דורעד להשלמת גדר הבטון
השבוע יבוצע הגדר (כשבועיים), סיום כלל הבדיקות של הניידת והמשך עבודות חשמליות של רת"ק. חשמול הניידת צפוי בשבוע שני של יוני</t>
  </si>
  <si>
    <r>
      <rPr>
        <b/>
        <sz val="12"/>
        <rFont val="Arial"/>
        <family val="2"/>
      </rPr>
      <t xml:space="preserve">שטח ישן: 
</t>
    </r>
    <r>
      <rPr>
        <sz val="12"/>
        <rFont val="Arial"/>
        <family val="2"/>
      </rPr>
      <t xml:space="preserve">1. בעקבות נזילת השמן בקרקע השינה, ממתינים להנחיות טיפול בקרקע ע"י אסדרה סביבתית. ב 28/05/26 התקיימה ישיבה עם מנר"א לצורך היערכות לשחרור השטח עד 30/06/26, כרגע ממתינים לעדכון מהמשרד לאיכות הסביבה להנחיות פינוי השטח, הדבר עלול להתעכב מעבר לזמן הנדרש.
2. נדרש נוהל לקיצור הכבלים מ"ע הקבורים בשטח, הנ"ל מטופל ע"י מח' רת"ק, הם ממתינים להנחיות ויעדכנו כניסה לטיפול בנושא.
</t>
    </r>
    <r>
      <rPr>
        <b/>
        <sz val="12"/>
        <rFont val="Arial"/>
        <family val="2"/>
      </rPr>
      <t xml:space="preserve">
שטח חדש</t>
    </r>
    <r>
      <rPr>
        <sz val="12"/>
        <rFont val="Arial"/>
        <family val="2"/>
      </rPr>
      <t xml:space="preserve">:  הקבלן דורעד מבצע כעת את סיום עבודות חומת בטון וניקוי השטח - 07/06/26 
השבוע יבוצעו בדיקות הארקה. רת"ק בדיקות חשמליות וסופיות עד 07/06/26. צפי חישמול 11/06/26
</t>
    </r>
  </si>
  <si>
    <t xml:space="preserve"> 
שטח ישן: 
1. בעקבות נזילת השמן בקרקע , ביום רביעי ה10.6 יגיעו אסדרה סביביתית יחד עם רת"ק לבצע חפירה ודגימה של הקרקע. לאחר קבלת תשובות אם הקרקע מזוהמת נצטרך לקבל הנחיות לטיפול בקרקע. אם הקרקע נקיה נוכל החזיר אותה בהקדם לקיבוץ בהתאם ללוחות הזמנים.
2. נדרש נוהל לקיצור הכבלים מ"ע הקבורים בשטח, הנ"ל מטופל ע"י מח' רת"ק, הם ממתינים להנחיות ויעדכנו כניסה לטיפול בנושא.
שטח חדש:  הושלמה גדר היקפית, הונחה תשתית הארקות בכל הניידת, היום 8.6 מבוצעת בדיקת הארקות, במידה והכל יהיה תקין נוכל מחר 9.6 לחשמל את הניידת במ"ע (כבל מ"ע מוכן לחשמול)
לאחר החשמול נסיים את כלל העבודות של מ"ג 
טופס 4:
ב 08/07/26 התקבל עדכון של שרונה לטופס 4: 
"בהמשך לפנייתי מטה למחלקת הפקוח בעיריית ירושלים, 
היום התקבל אישור המחלקה כי לא נדרש להוציא תעודת גמר עבור הניידת ברמת רחל" .</t>
  </si>
  <si>
    <t>השטח החדש - 
הניידת חושמלה במ"ע בהצלחה ב9.6 
הניידת חשומלה לכבל הראשון של מ"ג - נדרשים עוד 3 חיבורים של מ"ג - 
הנ"ל יחובר במהלך השבועיים הקרובים.
השטח הישן - החזרתו עד ה30.6
1. ב-10.6 נלקחה דגימה של הקרקע על מנת לבדוק האם הקרקע מוהמת. כרגע הדגימה בבדיקה
נקבל תשובה בשבוע הקרוב. אם הקרקע תקינה - היא תוחזר בזמן 
אם הקרקע מזוהמת - היא תוחזר אך בהתנייה שנסיים את הטיפול בה
טיפול החזרת השטח יבוצע ע"י מנר"א
2. טיפול בנוהל קיצור הכבלים ע"י רת"ק לפני החזרה השטח</t>
  </si>
  <si>
    <t>השטח החדש - 
הניידת חושמלה במ"ע בהצלחה ב9.6 
הניידת חשומלה לכבל הראשון של מ"ג - נדרשים עוד 3 חיבורים של מ"ג - 
הנ"ל יחובר במהלך השבועיים הקרובים.
** כרגע קבלן אורבן וקבלן דורעד מסיימים להחזיר את השטח החיצוני מסביב לתחנה לקדמותו ואז נוכל לסיים את כלל העבודות
השטח הישן - החזרתו עד ה30.6
קיבלנו תוצאות של הדגימה של הקרקע- התוצאות תקינות, נשאר לקבלן אורבן להחזיר את המקום לקדמותו ואז נוכל להחזיר את השטח לפי מועד היעד</t>
  </si>
  <si>
    <t>WBE-276</t>
  </si>
  <si>
    <t>קרית שמונה- מתקן אגירת אנרגיה בסוללות</t>
  </si>
  <si>
    <t xml:space="preserve">נבחר קבלן, נערך לעלייה לשטח לקראת תחילת יוני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</si>
  <si>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החודש - בהתאם להנחיות בעקבות המצב הביטחוני-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</si>
  <si>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בשבוע הבא -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</si>
  <si>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נבחר קבלן, נערכים לעלייה לשטח השבוע- הערכות לסיום כלל עבודות העתקה עד סוף 26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</si>
  <si>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
בנוסף חשוב להבין כי במהלך עבודות הקבלן אנו נבדוק שוב את הצנרת שנמצאה בתוואי השטח. במידה ובצנרת יימצאו כבלים חיים הדבר יאריך את שלבי הביצוע באופן משמעותי</t>
  </si>
  <si>
    <t>WBD-088</t>
  </si>
  <si>
    <t>קרית ארבע ניידת -  התקנת תחמ"ש ניידת</t>
  </si>
  <si>
    <t>ניידת חושמלה בהצלחה בתאריך 17/5/26</t>
  </si>
  <si>
    <t xml:space="preserve">ניידת חושמלה בהצלחה בתאריך 17/5/26 </t>
  </si>
  <si>
    <t>ניידת חושמלה בהצלחה בתאריך 17/5/26 . לא צריך טופס 4 לא היה היתר. ניתן להוריד מהדו"ח</t>
  </si>
  <si>
    <t>WBE-265</t>
  </si>
  <si>
    <t>קציעות-  2 מתקנים לאגירת אנרגיה בסוללות</t>
  </si>
  <si>
    <t xml:space="preserve">האתר מוכן לכניסת היזם לעבודה. </t>
  </si>
  <si>
    <t>האתר מוכן לכניסת היזם לעבודה. אך בבדיקה של נגה לגבי החלפתו</t>
  </si>
  <si>
    <t>בבדיקשה של הרשת מול נגה להחלפת האתר</t>
  </si>
  <si>
    <t>WBE-140</t>
  </si>
  <si>
    <t>ערד - 2 מתקנים לאגירת אנרגיה בסוללות</t>
  </si>
  <si>
    <t xml:space="preserve">נפת הנגב טרם נכנסו לביצוע להעתקת כבלי מ"ג באזור האגירה - לפי עדכונם: תכניות הסדר הוגשו היום, לאחר תיקונים, ליועץ מטעם העירייה לאישור.
ברגע שנקבל אישור התכניות יועברו ע"י המהנדסת של העירייה לבדיקת משטרה
ברגע שנקבל אישור משטרה נגיש לעירייה לקבלת היתר לביצוע
נבצע סימון, נזמין סימוני תשתית ונצא לביצוע.
מחדדת, רק לאחר קבלת אישור מהמשטרה על תכנית הסדר תנועה הם יוכלו לתת תאריך עליה לקרקע. כל עוד האישורים ינתנו עד סוף החודש ותחילת עבודות ביוני נוכל לעמוד בלוחות הזמנים.
אחרת אנחנו עלולים להיכנס לזמן בעייתי אל מול היזם שיבחר לאגירה.
</t>
  </si>
  <si>
    <t>היום24/5 ביצוע רשת עידכנו כי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</si>
  <si>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ממתינים לעדכון- ביצוע רשת , עדין ממתינים לאישור של יועץ העירייה על תוכנית הסדרי תנועה,לאחר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</si>
  <si>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כרגע אנחנו בעיכוב משמעותי 
הועבר לנווה למצוא דרך לסייע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</si>
  <si>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עדין אין אישור של עיריית ערד לתוכנית הסדרי תנועה!!! יש עם העירייה פגישה בשטח היום ה28.6
כרגע אנחנו בעיכוב משמעותי 
לאחר הפגישה נבין כיצד מתקדמים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</si>
  <si>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 xml:space="preserve">עדין לא התקבל אישור על התוכניות לביצוע של נפת הנגב להעתקת קו כבלים מ"ג - ההמתנה נמשכת כבר יותר מ4 חודשים </t>
  </si>
  <si>
    <t>WBE-275</t>
  </si>
  <si>
    <t>עין חרוד - מתקן אגירת אנרגיה בסוללות</t>
  </si>
  <si>
    <t>WBE-268</t>
  </si>
  <si>
    <t>נחל שחורת- מתקן אגירת אנרגיה בסוללות</t>
  </si>
  <si>
    <t xml:space="preserve">האתר מוכן לכניסת היזם לעבודה.
במקביל אנו מבצעים התאמת שדות מ"ג עבור האגירה (אין מניעה לכניסה היזם לאתר) - נדרש עדכון תכנון חשמלי ואז סיום עבודות הרכבה חשמלית ותחמ"ש </t>
  </si>
  <si>
    <t>האתר מוכן לכניסת היזם לעבודה.
במקביל אנו מבצעים התאמת שדות מ"ג עבור האגירה (אין מניעה לכניסה היזם לאתר) - אין צורך בעדכון תוכנית, נשארה מעט עבודה של הרכבה חשמלית הם יכנסו לפי עדיפות</t>
  </si>
  <si>
    <t>WBD-054</t>
  </si>
  <si>
    <t>חצבה (ספיר) ניידת-תחמ"ש ניידת 161/36 ק"ו</t>
  </si>
  <si>
    <t xml:space="preserve">הניידת חושמלה בהצלחה.
הועברו טפסים לשרונה לצורך הגשה למועצבה וקבלת טופס 4 </t>
  </si>
  <si>
    <t xml:space="preserve">הניידת חושמלה בהצלחה.
הועברו טפסים לשרונה לצורך הגשה למועצבה וקבלת טופס 4  </t>
  </si>
  <si>
    <t>WBD-100</t>
  </si>
  <si>
    <t>בית הגדי ניידת- הצבת תחמ"ש ניידת</t>
  </si>
  <si>
    <t>חושמל 30/08/2025</t>
  </si>
  <si>
    <t>הניידת חושמלה בהצלחה.
הועברו טפסים לשרונה לצורך הגשה למועצבה וקבלת טופס 4 במידה ונדרש</t>
  </si>
  <si>
    <t xml:space="preserve">אישור רמ"י - בטיפול מנר"א </t>
  </si>
  <si>
    <t>WBE-139</t>
  </si>
  <si>
    <t>ב"ש מערב -מתקן אגירת אנרגיה בסוללות</t>
  </si>
  <si>
    <t>שטח האגירה מפונה. אבל נדרש להוסיף שדה מ"ג לצורך חיבור המתקן- הקבלן נכנס לעבודות ב13.4 עד יוני ואז תתואם המשך העבודה עם הרכבה</t>
  </si>
  <si>
    <t>שטח האגירה מפונה. אבל נדרש להוסיף שדה מ"ג לצורך חיבור המתקן- הקבלן יסיים את עבודתו בימים הקרובים, ביום שלישי 9.6 נקבע סיור בשטח כדי להכניס את הרכבה להניח את הציוד על הבסיסים, הקבלן יסיים את העבודות והרכבה חשמלית יסיימו הרכבות עד סוף השנה</t>
  </si>
  <si>
    <t>שטח האגירה מפונה. אבל נדרש להוסיף שדה מ"ג לצורך חיבור המתקן- הקבלן יסיים את עבודתו בימים הקרובים, ב- 9.6 נקבע סיור בשטח כסוכם כי:
יום חמישי 18/06 – פריקת ציוד בתחמ"ש [הרכבה חשמלית]
יום ראשון 21/06 – הרכבת הציוד בשדה. [הרכבה חשמלית]
ימים שני – שלישי 22-23/06 – גמר עבודות קבלן. [עבודות אזרחיות]
סיום עבודות הרכבה בהתאם ללו"ז עבודות מול התחמ"ש והרכבה. ההרכבות הקרטיות יבוצעו החודש</t>
  </si>
  <si>
    <t xml:space="preserve">שטח האגירה מפונה. הסתיימו העבודות האזרחיות להטספת השדה עבור האגירה כולל התקנת ציוד ראשוני- הרכבה חשמלית תמסיך להרכיב את הציוד עד סוף השנה.
האתר מוכן לכניסת היזם </t>
  </si>
  <si>
    <t>WBE-164</t>
  </si>
  <si>
    <t>קישון -שדרוג תחמ"ש והחלפת שנאים 521, 522</t>
  </si>
  <si>
    <t>בשלב תכנון להיתר
הפרויקט בבחינת נחיצות ברמת מנהל אגף</t>
  </si>
  <si>
    <t>בחינת נחיצות</t>
  </si>
  <si>
    <t>WBE-145</t>
  </si>
  <si>
    <t>קישון - החלפת שנאים  524, 523</t>
  </si>
  <si>
    <t>צפי מילוי שמן שנאי 524 -נדחה לזמן  ההפסקה שמתוכננת ב- 07.2026
הרכבה חשמלית החלה בעבודה
קבלן כבלים החל בעבודה</t>
  </si>
  <si>
    <t>בעבודה של הרכבה חשמלית 
קבלן כבלים החל בעבודה</t>
  </si>
  <si>
    <t>בעבודה של הרכבה חשמלית 
קבלן כבלים ממשיךבעבודה</t>
  </si>
  <si>
    <t>צפי כניסת מבדקה - 01.07.2026
צפי הפסקת שנאי 524 - אוגוסט 2026</t>
  </si>
  <si>
    <t>WBM-406333
WBM-40534
WBM-40200</t>
  </si>
  <si>
    <t>קישון שדות 11,17,20,25 ומ"ז</t>
  </si>
  <si>
    <t>30/06/2026
31/12/2029
31/12/2026</t>
  </si>
  <si>
    <t>28/02/2027
31/05/2027
31/12/2026</t>
  </si>
  <si>
    <t>לאור עיכוב ברכש - סיור הקבלנים נדחה ליוני - דבר המעכב אשכול מערכתי זה</t>
  </si>
  <si>
    <t>עיכוב ברכש - סיור הקבלנים נדחה מאפריל ליוני וגם ביוני לא יתקיים -נשלח מייל לעדי שורק כי אם עלית קבלן לשטח לא תעשה עד 1.09.2026 - לא נעמוד ביעד ההפסקה של המחז"ם וביעד הנדרש לפרויקטים התלויים באשכול זה בזבולון</t>
  </si>
  <si>
    <t>עיכוב בבחירת קבלן - ישפיע מאוד על פרויקטים מערכתיים אלה</t>
  </si>
  <si>
    <t>WBE-186</t>
  </si>
  <si>
    <t>צפת -התקנת שנאי רביעי 161/24 ק"ו, 50 מגוו"א</t>
  </si>
  <si>
    <t xml:space="preserve"> RFT סופי נשלח  לבקרת חוזים ב 14.05.2026.
נערך סיור בתחנה להצגת הפרויקטים באשכול ולבחינת מיקום להתקנת ניידת.
ב 17.05.2026 תערך ישיבה להחלטה על מיקום בו תותתקן ניידת. </t>
  </si>
  <si>
    <t xml:space="preserve"> RFT סופי נשלח  לבקרת חוזים ב 14.05.2026.
נערך סיור בתחנה להצגת הפרויקטים באשכול ולבחינת מיקום להתקנת ניידת.
מחכים  להחלטה על האם תותתקן ניידת. </t>
  </si>
  <si>
    <t>מחכים  להחלטה האם תותתקן ניידת.
כמו כן מחכים לקבלת עדיפות ביצוע בין הפרויקטים המערכתיים באשכול</t>
  </si>
  <si>
    <t>מחכים  להחלטה האם תותתקן ניידת.
פרויקטי האשכול הועברו לטיפול הרכש.</t>
  </si>
  <si>
    <t>מחכים  להחלטה האם תותתקן ניידת.
פרויקטי האשכול הועברו לטיפול הרכש.
סיור קבלנים נקבע ל 07.07.2026</t>
  </si>
  <si>
    <t>WBE-195</t>
  </si>
  <si>
    <t>עתלית- התקנת שנאי שלישי (524) 161/24 ק"ו, 50 מגוו"א</t>
  </si>
  <si>
    <t>קיים עיכוב של חודשיים בתאריך אספקת מסדר מ"ג - מחכים להחלטת החטיבה לתיאום הלו"ז.
צפי הפצת RFT ראשוני 30/05/2026</t>
  </si>
  <si>
    <t>כתב כמויות הסתיים ומחכים להפצת RFT ראשוני</t>
  </si>
  <si>
    <t>RFT ראשוני הופץ ב 07/06/2026
ישיבת DR נקבעה ל 23/06/2026</t>
  </si>
  <si>
    <t xml:space="preserve">ישיבת DR נקבעה ל 23/06/2026
</t>
  </si>
  <si>
    <t>ישיבת DR נדחתה ל 28/06/2026 לאור יום גיבוש הרכבה + חופשות מתכננים</t>
  </si>
  <si>
    <t>RFT סופי הופץ ב 29.06.2026</t>
  </si>
  <si>
    <t>WBE-141</t>
  </si>
  <si>
    <t>פארן - מתקן אגירת אנרגיה בסוללות</t>
  </si>
  <si>
    <t>חושמל 30/10/2024</t>
  </si>
  <si>
    <t>בטיפול לקבלת טופס 4 
לפני הכנסה לניצול - קיימת תקלה נדרש להחליף שנאי התקיים סיור 28/4
בתאום מול אפקון להחלפת השנאי - באחריות יח' תחמ"ש</t>
  </si>
  <si>
    <t>קבלת טופס 4 - אושר נמצא בחתימות
לפני הכנסה לניצול - קיימת תקלה נדרש להחליף שנאי התקיים סיור 28/4
בתאום מול אפקון להחלפת השנאי - באחריות יח' תחמ"ש</t>
  </si>
  <si>
    <t>תעודת גמר (טופס 4) התקבל ב-07/06/2026</t>
  </si>
  <si>
    <t>WBE-134</t>
  </si>
  <si>
    <t>נתיבות - התקנת מתקן אגירת אנרגיה</t>
  </si>
  <si>
    <t>חושמל 30/12/2024</t>
  </si>
  <si>
    <t>בטיפול לקבלת טופס 4 
לפני הכנסה לניצול - תקלות טופלו בהרצה לפני חשמול- באחריות יח' תחמ"ש</t>
  </si>
  <si>
    <t xml:space="preserve">בטיפול לקבלת טופס 4 -הועבר למפקח הוועדה יושלם תוך שבועיים
לפני הכנסה לניצול - תקלות טופלו בהרצה לפני חשמול- באחריות יח' תחמ"ש
</t>
  </si>
  <si>
    <t>WBM-00289</t>
  </si>
  <si>
    <t>כפר סבא-התקנת 3 ס"ק 5*2 מגווא"ר כ"א</t>
  </si>
  <si>
    <t>הפרויקט לא הועבר בצורה רישמית למנהפ. אין עדיין תכנון , נדרש לצאת לתהליך קבלת היתר</t>
  </si>
  <si>
    <t>הפרויקט לא הועבר בצורה רישמית למנהפ. אין עדיין תכנון , 
נדרש תהליך סטטטורי עבור התקנת סוללות קבלים - יש לקדם תהליך קבלת היתר</t>
  </si>
  <si>
    <t>WBE-182</t>
  </si>
  <si>
    <t>כפר סבא-הרחבת מסדר 161 ק"ו והתקנת שנאי רביעי 161/24 ק"ו  50 מגוו"א</t>
  </si>
  <si>
    <t xml:space="preserve">  שנאי הועבר לתחמ"ש ב 18/2
חזרה לעבודות הרכבה החל מיום א' 3/5/2026
הרכבה לא עובדים ברצף בגלל תעדוף פרויקטים
חזרו השבוע 17/5 תאמנו מילוי שמן לשנאי 31/5
מקדמים את התקנת הציוד
עדכון ממח' ציוד - מסדר מ"ע יגיע בתחילת חודש 8/2026
(אספקה בשתי פעימות הראשונה 8/26)</t>
  </si>
  <si>
    <t xml:space="preserve">  שנאי הועבר לתחמ"ש ב 18/2
חזרה לעבודות הרכבה החל מיום א' 3/5/2026
הרכבה לא עובדים ברצף בגלל תעדוף פרויקטים
חזרו השבוע 17/5 תאמנו מילוי שמן לשנאי 31/5
מבקש מהרכבה חשמלית לעדכן אם יש עיכוב מבחינת מוכנות למילוי שמן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</si>
  <si>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מבקש להקצות משגיח באופן קבוע!
עדכון ממח' ציוד - מסדר מ"ע יגיע בתחילת חודש 8/2026
(אספקה בשתי פעימות הראשונה 8/26)</t>
  </si>
  <si>
    <t xml:space="preserve">  שנאי הועבר לתחמ"ש ב 18/2
חזרה לעבודות הרכבה החל מיום א' 3/5/2026
הרכבה עצרו את העבודה אין משגיח בגלל תעדוף פרויקטים
נדרש לבצע מילוי שמן לשנאי , הרכבת מסדר 24 ק"ו ישנן עבודות שניתן לקדם עד להגעת מסדר מ"ע בתחילת חודש 8/26 , תוכנן חשמול 10/26
נדרשת הוספת מערכת גילוי וכיבוי אש בתא שנאי נוסף
מבקש להקצות משגיח באופן קבוע!
עדכון ממח' ציוד - מסדר מ"ע יגיע בתחילת חודש 8/2026
(אספקה בשתי פעימות הראשונה 8/26)</t>
  </si>
  <si>
    <t xml:space="preserve">עבודות שמן בשנאי יחלו ב-21/06/2026. השגחות יהוי רק לטיפול בשנאי בלבד.עיכוב משמעותי ביעד אספקת מסדרי מ"ע. טרם התקבל התייחסות למועד הגעת הציוד מהספק (מחלקת ציוד). </t>
  </si>
  <si>
    <t xml:space="preserve">עבודות שמן בשנאי החלו ב-21/06/2026. השגחות יהוי רק לטיפול בשנאי בלבד.
לאחר מכן סוכם עם יובל נויהוז הרכבה חשמלית ימשיכו בהתקנת ציוד בהשגחה עצמאית
עיכוב משמעותי ביעד אספקת מסדרי מ"ע. טרם התקבלו תאריכי יעד מבהספק! (מחלקת ציוד). </t>
  </si>
  <si>
    <t>עבודות שמן בשנאי הסתיימו - תקלה במצוף יוחלף ויושלם מילוי שמן , 
סוכם עם יובל בשלב זה הרכבה חשמלית תבצע השגחה עצמית לעבודות הכנסה והרכבת מסדר 24 ק"ו.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4/2027</t>
  </si>
  <si>
    <t>WBE-306</t>
  </si>
  <si>
    <t>זמורות - הקמת בניין פיקוד ו- 4 מסדרי מ''ג</t>
  </si>
  <si>
    <t xml:space="preserve">בתאריך 15/2 הועבר לאגף רכש לבחירת קבלן.
עדכון ממכרזים (אילנית) לו"ז בחירת קבלן 6/2026
סיור קבלנים תואם 26/5
מבקש לקדם ככל האפשר את שלב בחירת הקבלן
בשל עיכוב בתחילת עבודות קבלן גם אספקת ציוד עודכנה בהתאם
</t>
  </si>
  <si>
    <t xml:space="preserve">בתאריך 15/2 הועבר לאגף רכש לבחירת קבלן.
עדכון ממכרזים (אילנית) לו"ז בחירת קבלן 6/2026
סיור קבלנים תואם 26/5
בשלב ראשון רוב העבודות יבוצעו בשטח שמחוץ לתחנה התפעולית אין צורך במשגיח ניתן לעבוד בשעות מתוגברות בהתאם לצורך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</si>
  <si>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בשל התמשכות תהליך לבחירת קבלן גם אספקת ציוד עודכנה בהתאם
</t>
  </si>
  <si>
    <t xml:space="preserve">בתאריך 15/2 הועבר לאגף רכש לבחירת קבלן.
עדכון ממכרזים (אילנית) לו"ז בחירת קבלן 6/2026
התקיים סיור קבלנים  26/5
בישיבת DR 10/2025 נדרש תכנון מ"ג להתחיל בתהליך העתקת עמודים הנמצאים בסמיכות למבנה החדש שיוקם , בתאום מול מנה"פ תכנון מ"ג להערכתו "יתאפשר רק בעוד כחצי שנה תלוי בגורמי חוץ"!
בהתאם לכך זומנה ישיבה עם מיכאל מאירזון ותכנון מ"ג לתאום עבודות קבלן ולקידום העתקת העמודים!
בשל התמשכות תהליך לבחירת קבלן גם אספקת ציוד עודכנה בהתאם
</t>
  </si>
  <si>
    <t>הגשת הצעות עד סוף 06/2026 . צפי בחירת קבלן עד 15/07/2026. עיכוב רשת דן וחוף בהעתקת עמודי מ"ג. התקיימו מספר ישיבות עם תכנון רשת , הם מקדמים פרוק תיילים בשלב ראשון בכדי לאפשר תחילת עבודות הקבלן.</t>
  </si>
  <si>
    <t>הגשת הצעות עד סוף 06/2026 .לבקשת הקבלנים אושר דחיה בהגשה עד 6/7/2026 
 צפי בחירת קבלן עד 22/07/2026.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</si>
  <si>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WBE-115</t>
  </si>
  <si>
    <t>זמורות-הוספת שנאי רביעי 524 50 מגוו"א ומסדר מ"ג (מכולה)</t>
  </si>
  <si>
    <r>
      <t xml:space="preserve"> חשמול תוכנן סוף - 4/2026 (בעיכוב -
וועדת חשמול תוכננה 4/3 נידחה בשל המצב הביטחוני).
נותר לבצע חיבור כבלי מ"ג למקשר - תואם מול תחמ"ש
</t>
    </r>
    <r>
      <rPr>
        <b/>
        <sz val="12"/>
        <rFont val="Arial"/>
        <family val="2"/>
        <scheme val="minor"/>
      </rPr>
      <t>בשיחה עם יובל נויהוז 18/5 תואם המשך עבודות 24/5</t>
    </r>
    <r>
      <rPr>
        <sz val="12"/>
        <rFont val="Arial"/>
        <family val="2"/>
        <charset val="177"/>
        <scheme val="minor"/>
      </rPr>
      <t xml:space="preserve"> (הפסקת מקשר...) ובהתאם זימון וועדת חשמול
צפי לחשמול עד סוף חודש 6/2026 (תיתכן הקדמה) 
</t>
    </r>
  </si>
  <si>
    <t xml:space="preserve"> חשמול תוכנן סוף - 4/2026 (בעיכוב -
וועדת חשמול תוכננה 4/3 נידחה בשל המצב הביטחוני).
החל מהיום 24/5 מקשר הופסק לצורך חיבור כבלי מ"ג למקשר - תואם מול תחמ"ש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</si>
  <si>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צפי לחשמול עד סוף חודש 6/2026 (תיתכן הקדמה) 
</t>
  </si>
  <si>
    <t xml:space="preserve"> חשמול תוכנן סוף - 4/2026 (בעיכוב -
וועדת חשמול תוכננה 4/3 נידחה בשל המצב הביטחוני).
בוצעה הנחת כבלים 24/5
נותר לבצע גישורים לשנאי 
בסיום העבודות תצא הזמנה לוועדת חשמול - פניתי ליובל כדי שיתאם
צפי לחשמול עד סוף חודש 6/2026 (תיתכן הקדמה) 
</t>
  </si>
  <si>
    <t>טרם נקבע תאריך לוועדת חשמול, יצאה בקשה ליובל לקידום הנושא</t>
  </si>
  <si>
    <t>בהמשך לשיחה עם יובל נויהוז חשמול השנאי מתוכנן עד 25/6/2026</t>
  </si>
  <si>
    <t xml:space="preserve">בהמשך לשיחה עם יובל נויהוז חשמול השנאי תוכנן להתבצע עד 25/6/2026 אך נדחה לסוף שבוע זה 2/7 </t>
  </si>
  <si>
    <t>WBE-172</t>
  </si>
  <si>
    <t>דימונה-התקנת מת.אגירת אנרגיה בליתיום יון</t>
  </si>
  <si>
    <t>בטיפול לקבלת טופס 4 
לפני הכנסה לניצול - באחריות אפקון לתיקון תקלות - באחריות יח' תחמ"ש</t>
  </si>
  <si>
    <t>WBE-185</t>
  </si>
  <si>
    <t>גליל-התקנת 2 שנאים 50 מגוו"א 161/24 ק"ו</t>
  </si>
  <si>
    <t xml:space="preserve">עדכון לאחר השלמת רג'קטים - מסירה להרכבה חשמלית עודכן 11/5/2026
לקראת סיום הצבה/הצמדת מסדר מ"ג 11/5 (עיכוב בגלל תיקון נזילה מגג המבנה)
צפי מוכנות חשמול מסדר 24 ק"ו 8/2026  (עיכוב במסירת מבנה להרכבה חשמלית)
מקדמים עבודות רת"ק מ"ע בתאי שנאים  כדי לאפשר את השלמת מערכות כיבוי אש בתאים
שנאים סופקו ביום ג' 10/3 והורכבו , תואם לבצע את מילוי השמן החל מיום א'  24/5
</t>
  </si>
  <si>
    <t xml:space="preserve">עדכון לאחר השלמת רג'קטים - מסירה להרכבה חשמלית עודכן 11/5/2026
 לקראת סיום הצבה/הצמדת מסדר מ"ג צפי לקראת סוף שבוע 28/5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</si>
  <si>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עדכון לאחר השלמת רג'קטים - מסירה להרכבה חשמלית עודכן 11/5/2026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שנאים סופקו ביום ג' 10/3 והורכבו ,החלו בעבודות מילוי שמן מיום א'  24/5
</t>
  </si>
  <si>
    <t xml:space="preserve"> לקראת סיום הצבה/הצמדת מסדר מ"ג צפי 2/6
צפי מוכנות חשמול מסדר 24 ק"ו 8/2026  (עיכוב במסירת מבנה להרכבה חשמלית)
 עבודות רת"ק מ"ע הונחו כבלים בתאי שנאים בכדי לאפשר את השלמת מערכות גילוי וכיבוי אש בתאים מבוצע כעת ע"י קבלן כיבוי אש
הסתיימו עבודות למילוי שמן בשני השנאים 4/6
</t>
  </si>
  <si>
    <t xml:space="preserve">מ-10/06/2026 - מסדר 24 מתבצע עבודות גז ע"י תחמ"ש. 
הרכבת מערכת כיבוי וגילוי אש בתאי שנאים </t>
  </si>
  <si>
    <t xml:space="preserve">הרכבה חשמלית בהרכבת ציוד באולם מסדר 24 ק"ו , מתבצעות עבודות גז ע"י תחמ"ש צ'. 
לקראת סיום - הרכבת מערכת כיבוי וגילוי אש בתאי שנאים 
כבלי מ"ע הונחו עד לשנאים יש להשלים סופיות </t>
  </si>
  <si>
    <t>הרכבה חשמלית בהרכבת ציוד באולם מסדר 24 ק"ו , מתבצעות עבודות גז ע"י תחמ"ש צ'. 
לקראת סיום - סיום עבודות קבלן הרכבת מערכת כיבוי וגילוי אש בתאי שנאים 
כבלי מ"ע הונחו עד לשנאים יש להשלים סופיות 
מוכנות לחשמול חודש 9/2026</t>
  </si>
  <si>
    <t>WBJ-002</t>
  </si>
  <si>
    <t>גליל-הקמת תחמ"ג 400/161, 650*2 מגוו"א-רב שלבי</t>
  </si>
  <si>
    <t xml:space="preserve">עדכון ---מצברים לחדר סוללות יסופקו  בסוף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לאחר סיור בתחמ"ג 18/3 יחד עם הקבלן הוחלט העברת אחריות ליח' תחמ"ש החל מסוף חודש 5/2026 (לפני חשמול המסדר) תואמה ישיבה עם יח' תחמ"ש בנין הרכבה חשמלית ביום ד' 20/5
העברת שטח התארגנות א. הולכה להמשך עבודות קבלן התחמ"ג לצורך קבלת טופס 4 תואם החל מיום א' 17/5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</si>
  <si>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בסוף חודש 5/2026 - הגיעו לארץ כעת בבדיקות אצל ספק הציוד , אספקה מתוכננת עד סוף חודש 5/2026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</si>
  <si>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עדכון ---מצברים לחדר סוללות יסופקו  במהלך השבוע הנוכחי - הגיעו לארץ כעת בבדיקות אצל ספק הציוד
שלושת אוטו-שנאים 451,452,453 נמצאים בסטטוס "שימור"
מסדר 161 ק"ו בעיצומן של בדיקות הכנסה לניצול לפני חשמול צפי לסוף חודש 6/2026
מסדר 400 ק"ו יעודכן לו"ז בהתאם לשינויי ועדכון התכנון חווט (שניידר) -  בודקי מגזר ביצוע 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בטיפול מנהל מגזר ביצוע מול GE
הולכה - קווי מ"ע , הוחלט לחשמל את המעגלים כמתוכנן לאחר עדכון לו"ז יחושמלו עד סוף חודש 6/2026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העברת שטח התארגנות א. הולכה להמשך עבודות קבלן התחמ"ג לצורך קבלת טופס 4 תואם החל מיום א' 31/5 (תיעדוף עבודות צמ"ן)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</si>
  <si>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מצברים לחדר סוללות יסופקו  לאחר סיור בשטח של הספק תואם לשבוע הנוכחי 
שלושת אוטו-שנאים 451,452,453 נמצאים בסטטוס "שימור"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נדרשת תמיכת נציג  GE באתר ׁ(השלמת ציוד, טיפול בתקלות)- כאמור טופל ע"י מנהל מגזר ביצוע מול GE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קביעת אחריות תפעולית טרם חשמול מסדר 161 ק"ו - סוכם בישיבה בתחמ"ג 20/5 יחד עם נציגי תחמ"ש ומגזר ביצוע בשלב ראשון מסדר 161 ק"ו תבוצע הפרדת חצרים כל שאר התחמ"ג ישאר באחריות הקבלן עד לסיום כל העבודת אזרחיות בתחמ"ג
בוצעה העברת שטח התארגנות א. הולכה להמשך עבודות קבלן התחמ"ג לצורך קבלת טופס 4
קבלת טופס4 - מקיימים ישיבות סדירות מול הקבלן יקודם עם קבלת שטח התארגנות א. הולכה להשלמת מערכות כיבוי אש במים בהיקף התחנה צפי לקבלת טופס 4 סוף חודש 6/2026
סיום כל עבודות הקבלן בתחמ"ג נקבע לחודש 6/2026
</t>
  </si>
  <si>
    <t xml:space="preserve">אספקת סוללות מצברים מתוכננת ל-21/06/2026, יצאה בקשה לאיתן זיו להקדמת האספקה. טרם התקבל התייחסות. מסדר 161 ק"ו בעיצומן של בדיקות הכנסה לניצול לפני חשמול צפי לסוף חודש 6/2026
שמוליק טיפל מול GE לגבי תמיכה של GE וציוד חסר - ינתן מענה מבחינת תוכנתית וציוד חסר יסופק במהלך החודש 6/26 , טרם התקבלה התייחסות.
מסדר 400 ק"ו יעודכן לו"ז בהתאם לחזרה של בודקי מגזר ביצוע שעצרו את העבודה לטובת פרויקטים אחרים. בוצעו כ 50% מהיקף הבדיקות נעדכן לו"ז לבדיקות מ"י ותחילת בדיקות מבדקה בהתאם.
הולכה - קווי מ"ע , לפי אבישי תורגמן 4/6 הוחלט לחשמל את המעגלים כמתוכנן לאחר עדכון לו"ז יחושמלו עד סוף חודש 6/2026 
בהצגת הפרויקט למנהל האגף 3/6 גיל חזום עדכן שממתינים לאישור סמנכ"לים לחשמול והצפי הוא 7/2026
ב-17/06/2026 תואמה ישיבה עם יחידת תחמ"ש ושאר המעורבים לקביעת אחריות תפעולית בתחמ"ג.
</t>
  </si>
  <si>
    <t>אספקת סוללות מצברים מתוכננת ל-24/06/2026, .
 מסדר 161 ק"ו בעיצומן של בדיקות הכנסה לניצול לפני חשמול צפי לסוף חודש 6/2026
שמוליק טיפל מול GE לגבי תמיכה של GE וציוד חסר - ניתן מענה מבחינת תוכנתית וציוד 
מסדר 400 ק"ו יעודכן לו"ז בהתאם לחזרה של בודקי מגזר ביצוע שעצרו את העבודה לטובת פרויקטים אחרים. בוצעו כ 50% מהיקף הבדיקות ----- בהתאם לפי הנחיית סמנכ"ל יש לקדם את מוכנות לבדיקות מ"י עד חודש 8/2026 על מגזר ביצוע להיערך בהתאם 
הולכה - קווי מ"ע , לפי אבישי תורגמן 4/6 הוחלט לחשמל את המעגלים כמתוכנן לאחר עדכון לו"ז יחושמלו עד סוף חודש 6/2026 
(אבישי עדכן)  22/6 מתקיימת ישיבה סמנכ"ל מול נגה להחלטה בנושא חשמול מסדר 161 ק"ו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t>
  </si>
  <si>
    <r>
      <t xml:space="preserve">סוללות מצברים סופקו ביום ד'-24/06/2026 סופקו עם סטנדים לא מתאימים (דו קומתיים) לא מתאים לסוג הסוללות שסופקו . הצענו פתרון להתקנתם על חלק התחתון של הסטנד טרם התקבל אישור מהספק - בטיפול מח' ציוד ורכש!
, .
 מסדר 161 ק"ו בעיצומן של בדיקות הכנסה לניצול לפני חשמול צפי לסוף חודש 6/2026
</t>
    </r>
    <r>
      <rPr>
        <b/>
        <sz val="12"/>
        <rFont val="Aptos Narrow"/>
        <family val="2"/>
      </rPr>
      <t xml:space="preserve">שמוליק טיפל מול GE לגבי עדכון התוכנה , תמיכה של GE וציוד חסר - ניתן מענה מבחינת וציוד </t>
    </r>
    <r>
      <rPr>
        <sz val="12"/>
        <rFont val="Aptos Narrow"/>
        <family val="2"/>
      </rPr>
      <t xml:space="preserve">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סיום כל עבודות הקבלן כולל פיתוח נופי חודש 9/2026</t>
    </r>
  </si>
  <si>
    <t>WBE-131</t>
  </si>
  <si>
    <t>בשור - התקנת מתקן אגירת אנרגיה</t>
  </si>
  <si>
    <t>בטיפול לקבלת טופס 4
לפני הכנסה לניצול - מטופל מול אפקון החלפת ציוד תקול - סוללות -באחריות יח' תחמ"ש</t>
  </si>
  <si>
    <t>WBE-284</t>
  </si>
  <si>
    <t>בשור-הקמת שדה שנאי 161 ק"ו  מותאם ליכולת 2500 אמפר</t>
  </si>
  <si>
    <t>לא ניתן לקבוע עד להגשת תכנון מאושר</t>
  </si>
  <si>
    <t xml:space="preserve">הפרויקט לא הועבר עדיין למנהל הפרויקט </t>
  </si>
  <si>
    <t>לאחר סיור שבוצע ב-18/05/2026 ממתינים להתייחסות רת"ק מ"ע לאופן כניסת הכבלים לתחמ"ש (בטיפול אדי גרויסמן מול נגה)</t>
  </si>
  <si>
    <t>לאחר סיור שבוצע ב-18/05/2026 ממתינים להתייחסות רת"ק מ"ע לאופן כניסת הכבלים לתחמ"ש (בטיפול אדי גרויסמן מול נגה)
לא ניתן לקדם את התכנון להוספת שדה שנאי 4A עד להתייחסות תכנון מ"ע - אדי גרויסמן</t>
  </si>
  <si>
    <t>טרם התקבלה התייחסות רת"ק מ"ע לאופן כניסת הכבלים לתחמ"ש (בטיפול אדי גרויסמן מול נגה)
לא ניתן לקדם את התכנון להוספת שדה שנאי 4A עד להתייחסות תכנון מ"ע - אדי גרויסמן</t>
  </si>
  <si>
    <t>WBE-119</t>
  </si>
  <si>
    <t>בשור- התקנת שנאי  50 מגוו"א ומאצרת שמן לשנאי</t>
  </si>
  <si>
    <t xml:space="preserve"> 09/08/26</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</si>
  <si>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5/2026
שגם מאתגר יח' תחמ"ש יעשו מאמצים לקדם את העבודות , 
עודכן יעד חשמול 5/2026 (בהתחשב גם במצב הבטחוני)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</si>
  <si>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</si>
  <si>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חשמול לא לפני סוף חודש 6/2026
 יח' תחמ"ש יעשו מאמצים לקדם את העבודות , 
1/6 נכנס צוות בודקים מגזר ביצוע לבדיקות מסדר מ"ג לאחר מכן יוכלו להכנס מבדקה יח' תחמ"ש (הנ"ל מעכב את חשמול השנאי)</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</si>
  <si>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 
1/6 נכנס צוות בודקים מגזר ביצוע לבדיקות מסדר מ"ג לאחר מכן יוכלו להכנס מבדקה יח' תחמ"ש (הנ"ל מעכב את חשמול השנאי שתוכנן 6/26 )</t>
  </si>
  <si>
    <t>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(צפי לחריגה)
 יח' תחמ"ש יחלו בבדיקות מסדר מ"ע  ממתינים למסירה מסדר מ"ג אשר נמצא בבדיקות מגזר הביצוע. בקשנו לתעדוף תאים לשנאי 524 שנוסף. 
1/6 נכנס צוות בודקים מגזר ביצוע לבדיקות מסדר מ"ג לאחר מכן יוכלו להכנס מבדקה יח' תחמ"ש (הנ"ל יעכב את חשמול השנאי שתוכנן 6/26 )</t>
  </si>
  <si>
    <t xml:space="preserve">המבנה נמסר בתאריך 16/4 עם רג' קטים (WBM-40609) משליך על עמידה ביעד חשמול שנאי 524 שתוכנן לחודש  4/2026  עודכן בישיבת סטטוס סמנכ"ל צפי לחשמול 4/2026 בהתאם לעיכוב בהתקדמות העבודות יעשו מאמצים למוכנות חשמול בסוף חודש 6/2026 - לא עומדים ביעד זה 
 יח' תחמ"ש  החלו בבדיקות מסדר מ"ע  ממתינים למסירה מסדר מ"ג אשר נמצא בבדיקות מגזר הביצוע מסירה סקציה 524 5/7. (תיעדוף לתאים שנאי 524 שנוסף). 
1/6 נכנס צוות בודקים מגזר ביצוע לבדיקות מסדר מ"ג לאחר מכן יוכלו להכנס מבדקה יח' תחמ"ש חשמול מסתמן 7/2026 </t>
  </si>
  <si>
    <t xml:space="preserve">המבנה נמסר בתאריך 16/4 עם רג' קטים (WBM-40609) משליך על עמידה ביעד חשמול שנאי 524 שתוכנן לחודש  4/2026  
צפי מוכנות לחשמול בסוף חודש 7/2026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</si>
  <si>
    <t>WBM-40609</t>
  </si>
  <si>
    <t>בשור- הקמת בניין פקוד, התקנת 3 מסדרי מ''ג והעתקת היציאות למסדרים החדשים ומאצרת שמן לשנאי</t>
  </si>
  <si>
    <t>מקדמים בניית מסדרי מ"ג. הרכבה חשמלית ממשיכים בהרכבות. טרם נכנסו מגזר הביצוע לבדיקות בגלל תיעדוף הפרויקטים. צפי חשמול 06/2026</t>
  </si>
  <si>
    <t>המשך עבודות קבלן בבנין מסדרי מ"ג. הרכבה חשמלית ממשיכים בהרכבות. נדרש לבצע בדיקות מגזר ביצוע במסדר (הרכבת פילטרים וכו') טרם החלו בגלל תיעדוף הפרויקטים.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</si>
  <si>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כפי הנראה יתעכב , מבקש לתת תיעדוף לעבודות מאחר ונדרש לחיבור שנאי 524 עבור יצרן פרטי</t>
  </si>
  <si>
    <t>המשך עבודות קבלן בבנין מסדרי מ"ג. הרכבה חשמלית ממשיכים בהרכבות.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t>
  </si>
  <si>
    <t xml:space="preserve">הקבלן בעבודות פיתוח מצעים לפני אספלט .., הרכבה חשמלית ממשיכים בהרכבות כולל חיווט בחדר פיקוד . 
1/6 תחילחת בדיקות מגזר ביצוע במסדר (הרכבת פילטרים וכו') 
חשמול 06/2026 לא ריאלי צפי לסוף חודש 7/2026 , מבקש לתת תיעדוף לעבודות מאחר ונדרש  בהקדם חיבור שנאי 524 עבור יצרן פרטי
</t>
  </si>
  <si>
    <t>WBE-239</t>
  </si>
  <si>
    <t>בשור-הקמת 2 שדות קו 161חדשים והתא' שד' קו והקמת 2 שד' קו161ק"ו חדשים לניר יצחק</t>
  </si>
  <si>
    <t>שני שדות - 30/12/2026 , שני שדות 30/09/2027</t>
  </si>
  <si>
    <t xml:space="preserve">הועברה למחלקת בנין ד' חבילת מסירה לביצוע 8/3 
הועבר כתב כמויות ראשוני לצורך בחינה מול הקבלן והכנה לביצוע עבודות מקדימות ליציקת רגלי עמודי רשת ע"י א. הולכה
העבודה עברה לקבלן , תחילת ביצוע -התקבל אישור הוועדה 14/5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לפי תכנון מ"ע רת"ק קיימת בעיה סטטטורית לכניסת הקווים מצד מזרחי וכפי הנראה יידרש לבצע בחינה חדשה מול נגה -עדכון 17/5
בהתאם לאישור וועדת מכרזים - נדרש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</si>
  <si>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בהתאם לאישור וועדת מכרזים - מבקש להתקדם בביצוע העבודות ע"י הקבלן על מנת לעמוד ביעד חשמול 10/2026
</t>
  </si>
  <si>
    <t xml:space="preserve">
לאחר ישיבה עם תכנון תחמ"ש והולכה זומנה ישיבה נוספת בתחמ"ש לתאריך 17/5 במטרה גם לבצע הקפאת תצורה סיור בתחמ"ש 18/5.
הסיור בעיקר לצורך הקפאת תצורה להוספת הקווים 1A 3A 4A 
לאחר בחינת הנתונים בשטח לא ניתן להבצע את הוספת 3 השדות מאחר ותכנון רת"ק אינו תומך בתכנון שהוצע בסחור מבחינת סטטטוריקה - הנ"ל יתואם מול נגה - באחריות תכנון מ"ע הולכה.
קבלן הנוכחי יכול להתחיל לבצע את הקמת שני השדות 11ו-13 לאחר סיום עבודות הקבלן רשת יכנסו לבצע את הקמת עמודי הרשת
לפי תכנון מ"ע רת"ק קיימת בעיה סטטטורית לכניסת הקווים מצד מזרחי וכפי הנראה יידרש לבצע בחינה חדשה מול נגה -עדכון 17/5
טרם התקבלה התייחסות תכנון  רת"ק מ"ע הא םקודם/טופל מול נגה!
בהתאם לאישור וועדת מכרזים - מבקש להתקדם בביצוע העבודות ע"י הקבלן על מנת לעמוד ביעד חשמול 10/2026
</t>
  </si>
  <si>
    <t>קבלן שומרוני נכנס לעבודות לטובת שדות  קו 11 ו-13.שדות 1A ו-3A התקיים סיור בשטח, נדרש לעדכן תכנון אלק"מ שהוצג, עקב  בעייה בהשלמת תכנון כניסת קווי מ"ע עבור שדה שנאי</t>
  </si>
  <si>
    <t>קבלן שומרוני נכנס לעבודות לטובת שדות  קו 11 ו-13.שדות 1A ו-3A התקיים סיור בשטח, נדרש לעדכן תכנון אלק"מ שהוצג, עקב  בעייה אי סגירת  תכנון כניסת קווי מ"ע עבור שדה שנאי - בטיפול תכנון מ"ע אדי גרויסמן</t>
  </si>
  <si>
    <r>
      <t xml:space="preserve">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שדות 1A ו-3A ושדה שנאי 4A התקיים סיור בשטח, נדרש לעדכן תכנון אלק"מ שהוצג, עקב  בעייה לאי סגירת התכנון כניסת קווי מ"ע עבור שדה שנאי - </t>
    </r>
    <r>
      <rPr>
        <u/>
        <sz val="12"/>
        <rFont val="Arial"/>
        <family val="2"/>
        <scheme val="minor"/>
      </rPr>
      <t>בטיפול תכנון מ"ע אדי גרויסמן</t>
    </r>
  </si>
  <si>
    <t>WBE-129</t>
  </si>
  <si>
    <t>אילת- התקנת מתקן אגירת אנרגיה + פירוק</t>
  </si>
  <si>
    <t>בטיפול לקבלת טופס 4 
לפני הכנסה לניצול - בטיפול מול אפקון לתיקון תקלות - באחריות יח' תחמ"ש</t>
  </si>
  <si>
    <t>WBE-244</t>
  </si>
  <si>
    <t>אופקים - עע"א - התקנת שנאי 45 מו"א לרכבת</t>
  </si>
  <si>
    <t xml:space="preserve">שנאי שהותקן עבור הרכבת חושמל .
</t>
  </si>
  <si>
    <t xml:space="preserve">שנאי חושמל
</t>
  </si>
  <si>
    <t>אוניברסיטת תל אביב-הקמת תחמ"ש פנימית 161</t>
  </si>
  <si>
    <t xml:space="preserve"> צפי חשמול שאר התחמש ב30/9/2026 
 עבור מסדר 161 15/07/2026</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</si>
  <si>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מה נדרש על מנת לחשמל את התחמ"ש מבחינת השלמת עבודות קבלן. יובל מבקש שכל העבודות במבנה יסתיימו ויבוצע תיחום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חשש לאי עמידה ביעד בגלל המתנה של רת"ק לבדיקות מעבדה מתח יתר המתוכננות לתחילת חודש 6/2026 מבקש לתת קדימות לבדיקות
מאחר ולאחר הבדיקות ישנן עבודות הנדרשות להשלמה ע"י קבלן כיבוי אש בתאי שנאים!
קבלן רת"ק טרם סיים עבודות בחזית דרומית ובתאי שנאים מעכב את התקדמות עבודות קבלן האזרחי - נדרש דחוף סיום עבודות!
צפי לביצוע בדיקות מ"י כבלי מ"ע סוף חודש 5/2026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</si>
  <si>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הנחת כבלי מ"ג ע"י המחוז טרם הסתיים הונחו 9 מעגלים מותר להשלים 11 מעגלים מכוון קלאוזנר הקבלן יבצע החל מיום א/ 10/5. 
</t>
  </si>
  <si>
    <t xml:space="preserve">המשך בדיקות הכנסה לניצול תוגברו משמעותית צוות הבודקים. 
בדיקות מתח יתר מ"ע עברו בהצלחה סיום יום ה' 9/4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</si>
  <si>
    <r>
      <t xml:space="preserve">המשך בדיקות הכנסה לניצול תוגברו משמעותית צוות הבודקים. 
התקיימה ישיבה 10/5 מגזר פיקוח ויח' תחמ"ש לתאום ציפיות מסירת המבנה ליח' תחמ"ש טרם החשמול -  יובל מבקש שכל העבודות במבנה יסתיימו ויבוצע תיחום/גדר של המבנה כך שלא תהיה גישה לתחמ"ש כאשר תחושמל לפי כך הערכנו את עבודות הקבלן שיסתיימו בשבוע ראשון של חודש 7/2026 ואז ניתן יהיה לחשמל!
בסטטוס סמנכ"ל 11/5 הובהר לכולם יעד חשמול כל התחמ"ש עד סוף חודש 6/2026
לצורך קידום העבודות והתכנסות ליעד חשמול נדרש (בסטטוס סמנכ"ל 11/5) זומנה ישיבה עם כל המעורבים בפרויקט ליום ב' 1/6.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חשש לאי עמידה ביעד בגלל המתנה של רת"ק לבדיקות מעבדה מתח יתר המתוכננות לתחילת חודש 6/2026 מבקש לתת קדימות לבדיקות
רת"ק פירקו את הפיגום בתאים על-מנת לאפשר לקבלן להשלים את מערכות גילוי וכיבוי אש בתאים - נדרש לעבודות במשמרות מתוגברות לסיום העבודות קבלן כיבוי אש בתאי שנאים!
</t>
    </r>
    <r>
      <rPr>
        <b/>
        <sz val="12"/>
        <rFont val="Arial"/>
        <family val="2"/>
        <scheme val="minor"/>
      </rPr>
      <t>בדיקות מתח יתר</t>
    </r>
    <r>
      <rPr>
        <sz val="12"/>
        <rFont val="Arial"/>
        <family val="2"/>
        <scheme val="minor"/>
      </rPr>
      <t xml:space="preserve"> לכבלי מ"ע החל מיום א' 7/6 , מסדר מ"ג החל מיום 14/6 לשאר הכבלים הפנימיים 28/6 
בוצעה הנחת כבלי מ"ג ע"י קבלן המחוז, יש לקדם את חיבור קוו מ"ג המיועד לחשמול שנאי בית בתחמ"ש - תואם מול אבי לבחר
התקיימה ישיבת סטטוס מנהלת 1/6/26 תואמו עבודות לקידום חשמול התחמ"ש. לפי יח' תחמ"ש יעשו מאמצים לחשמול מסדר 161 ק"ו עד סוף חודש 6/2026 לגבי שאר התחמ"ש (מ"ג + שנאים) צפי לחשמול סוף חודש  תיתכן חריגה 7/2026 תיתכן חריגה.
</t>
    </r>
  </si>
  <si>
    <t xml:space="preserve">
לאחר לישיבה  1/6 עם  אלפרד,יובל אבישי שמוליק ושאר המנהלת  -  יח' תחמ"ש ציינו שיעשו מאמצים לחשמל אתמסדר 161 ק"ו עד סוף חודש 6/2026 תיתכן חריגה לתחילת חודש 7/2026. לגבי חשמול שאר התחמ"ש (מסדר מ"ג + שנאים) סוף חודש 7/2026 תחילת חודש אוגוסט - לדברי אלפרד ליסט .
ב-16/06/2026 אלפרד ליסט עדכן שחישמול 161 יתאפשר באמצע יולי וחשמול מ"ג ושנאי אמצע אוגוסט.
בדיקות מתח יתר שנאים מ"ע עבר בהצלחה. מתבצעות בדיקות מ"י למסדר מ"ג.
בוצעה הנחת כבלי מ"ג ע"י קבלן המחוז,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</si>
  <si>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,י
בעיה עיקרית כרגע אי השלמת מערכת גילוי אש במבנה - מנהל אגף עודכן שחב' אורד מערימה קשיים בהשלמת העבודות! 
בדיקות מ"י לכבלי מתח עליון שנאים + כבלים עברו בהצלחה!
בוצעה הנחת כבלי מ"ג ע"י קבלן המחוז, קבלן החל להניח כבלים לתוך התחמ"ש - יש לקדם את חיבור קוו מ"ג המיועד לחשמול שנאי בית בתחמ"ש - תואם מול אבי לבחר
</t>
  </si>
  <si>
    <t xml:space="preserve">
עדכון מאלפרד ליסט - חשמול מסדר 161 ק"ו אמצע חודש 7/2026 
חשמול שאר התחמ"ש (שנאים + מסדר מ"ג) עד אמצע חודש 8/2026 
הנחיה של לאוניד 28/6 - נדרש חשמול לכל התחמ"ש לא יבוצע חשמול למסדר 161 ק"ו בלבד , יום ג' 30/6 נקבעה וועדת חשמול לאחר מכן נעדכן יעד חשמול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בוצעה הנחת כבלי מ"ג ע"י קבלן המחוז, קבלן החל להניח כבלים לתוך התחמ"ש.
תואם הקדמת חיבור קוו מ"ג המיועד לחשמול שנאי בית בתחמ"ש - מול אבי לבחר
</t>
  </si>
  <si>
    <t>WBC-082</t>
  </si>
  <si>
    <t>תחמ"ש נווה ימין 
(כפר סבא)</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</si>
  <si>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תואמו סדרת ישיבות תכנון חח"י מול תכנון אדג'קונקס
ישיבה עם יציגי תכנון 19/5
בהתאם למסמך נגה - עודכן יעד ת.פ 2030
</t>
  </si>
  <si>
    <t xml:space="preserve">התקיימו מספר ישיבות לקביעת תכולת פרויקט סוכם והוכן מסמך חלוקת אחריות , 
נפתח תיק עסקה ברמ"י , אדג'קונקס יכולים להתחיל לעבוד לפני אבני דרך
התקימה ישיבה 29/4 יחד עם מיכל שרעבי לבדיקת סטטוס תאום טכני וכו' 
אדג'קונקס מכינים הצעת מחיר איתו ניגש לוועדת מכרזים
הכנו מסמך הצדקה הועבר למיכל שרעבי להמשך טיפול
מתקיימות ישיבות סדירות עם נציגי תכנון חח"י ותכנון אדג'קונקס
ישיבה הבאה 2/6
בהתאם למסמך נגה - עודכן יעד ת.פ 2030
</t>
  </si>
  <si>
    <t>מתוכננת ישיבה עם נציגי תכנון לתאריך 17/06/2026</t>
  </si>
  <si>
    <t>התקיימה ישיבה עם נציגי תכנון בתאריך 17/06/2026 ישנם נושאים שהועלו לבירור טיפול יחד עם אדריכלית חח"י . תוזמן ישיבה פנימית לדון בכל הנושאים הנדרשים</t>
  </si>
  <si>
    <t>מתקיימות ישיבות סדירות עם נציגי תכנון חח"י ואדג'קונקס.
 ישנם נושאים שהועלו בבירור וטיפול יחד עם אדריכלית חח"י . 
זומנה ישיבה פנימית  לדון בכל הנושאים הנדרשים</t>
  </si>
  <si>
    <t>WBE-183</t>
  </si>
  <si>
    <t>ת"א מרכז-התקנת שנאי רביעי 161/13.8/13.8 ק"ו 56 מגוו"א</t>
  </si>
  <si>
    <t xml:space="preserve">הקפאת תכולה </t>
  </si>
  <si>
    <t>WBE-302</t>
  </si>
  <si>
    <t>מודיעין-הקמת שני שדות 1 ו-13</t>
  </si>
  <si>
    <t>טרם הוקצאה</t>
  </si>
  <si>
    <t>בשלב הקפאת תצורה</t>
  </si>
  <si>
    <t>WBE-281</t>
  </si>
  <si>
    <t>מודיעין – התקנת שנאי שישי (525) 50 מגוו"א.</t>
  </si>
  <si>
    <t>התקבל תכנון עבור מסדר מ"ג. חשמול המסדר מתוכנן ל 9/2026. כ"כ ותכניות הועברו לבחינת הפיקוח RFT ראשוני בוצע.  עיכוב בביצוע חפירות גישוש עכב דרישות התחמ"ש</t>
  </si>
  <si>
    <t>התחלת עבודות על מסדר מ"ג 7/6/26, חשמול המסדר מתוכנן ל 9/2026.             לפי החלטת הנהלה עוברים להסכם שו"ש דרום, כ"כ יוסב בהקדם. ממתינים לבחירת קבלן ועליה לשטח.</t>
  </si>
  <si>
    <t>התחלת עבודות על מסדר מ"ג 7/6/26, חשמול המסדר מתוכנן ל 9/2026.             התחלת עבודה קבלן-יולי 2026</t>
  </si>
  <si>
    <t>WBE-198</t>
  </si>
  <si>
    <t>לוד-הוספת שנאי שישי  (525) 161/24 ק"ו 50 מגוו"א</t>
  </si>
  <si>
    <t>פרויקט הרכבת-בהמתנה להסכם משפטי. כ"כ מתוכנן ליוני 2026 פרויקט הוספת השנאי יתבצע במקביל לפרויקט הרכבת,.</t>
  </si>
  <si>
    <t xml:space="preserve"> כ"כ מתוכנן ליוני 2026 פרויקט הוספת השנאי יתבצע במקביל לפרויקט הרכבת,.</t>
  </si>
  <si>
    <t>WBE-216</t>
  </si>
  <si>
    <t>כנות-התקנת שנאי שלישי 161/24 ק"ו 50 מו"א</t>
  </si>
  <si>
    <t>בשלבי תכנון, באיחור משמעותי של תכנון  ייצור. מתבצעת הערכות למסירת מסדר מ"ג לקראת ינואר 2027. אין מועד ברור לסיום התכנון.</t>
  </si>
  <si>
    <t>באיחור משמעותי של תכנון  ייצור. מתבצעת הערכות למסירת מסדר מ"ג לקראת ינואר 2027. ,תכנון הועבר לבדיקת הפיקוח.</t>
  </si>
  <si>
    <t>WBM-10482</t>
  </si>
  <si>
    <t>גזר-
ST-1 התקנת מסדר 24 ק"ו, פ"צ 4, השלמת מערכת SCS במסדרי 161 ו 400 ק"ו.
ST-2 החלפת 2 מסדרי מ"ג ומערכת SCS</t>
  </si>
  <si>
    <t>התקבל RTF ויציאה להליך לבחירת קבלן</t>
  </si>
  <si>
    <t>התחלת עבודות קבלן 7/2026</t>
  </si>
  <si>
    <t>התחלת עבודות קבלן אזרחי 7/2026</t>
  </si>
  <si>
    <t>התחלת עבודות קבלן אזרחי 7/2027</t>
  </si>
  <si>
    <t>גבעת שאול-הרחבת מסדר 161 ק"ו והתקנת שנאי רביעי</t>
  </si>
  <si>
    <t>התחלת עבודות הרכבת מסדר מ"ג. לחשמול המסדר ביולי 2026. מסדר מ"ג מוכן להתחלת בדיקות.ממתינים למבדקת תחמ"ש ירושלים</t>
  </si>
  <si>
    <t xml:space="preserve">מסדר מ"ג מוכן, ממתין לבדיקות חשמל. חשמול המסדר ביולי 2026. מסדר מ"ג </t>
  </si>
  <si>
    <t xml:space="preserve">מסדר מ"ג מוכן, ממתין לבדיקות. חשמול המסדר  8/2026 </t>
  </si>
  <si>
    <t>מסדר מ"ג מוכן, ממתין לבדיקות. חשמול המסדר  8/2026</t>
  </si>
  <si>
    <t>מסדר מ"ג מוכן, ממתין לבדיקות. חשמול המסדר  20/8/26</t>
  </si>
  <si>
    <t xml:space="preserve"> איחור בחשמול ללא ביצוע בדיקות תחמ"ש ירושלים</t>
  </si>
  <si>
    <t>WBE-261</t>
  </si>
  <si>
    <t>ביתר – הוספת שנאי רביעי  36KV 50 MVA</t>
  </si>
  <si>
    <t xml:space="preserve">התחנה נמסרה ליח' התחמש. מועד חשמול בהתאם לזמינות יח' התחמ"ש </t>
  </si>
  <si>
    <t>בהמתנה לתיקון היצרן בשלושה תאים מרעישים במסדר מ"ג. נדרש סיום בדיקות תחמ"ש ירושלים.</t>
  </si>
  <si>
    <t xml:space="preserve"> ממתין להשלמת בדיקות מבדקת תחמ"ש ירושלים.</t>
  </si>
  <si>
    <t>WBC-031</t>
  </si>
  <si>
    <t>בית וגן - הקמת תחמ"ש פנימית 161/24 ק"ו</t>
  </si>
  <si>
    <t>בתהליך תכן להיתר, לקראת יציאה למכרז.</t>
  </si>
  <si>
    <t>בתהליך תכן להיתר, הועבר למכרזים לפני יציאה למכרז.</t>
  </si>
  <si>
    <t>WBM-40136</t>
  </si>
  <si>
    <t>רמת גן- משיק כבל-התאמת ציוד לז"ק 50 ק"א</t>
  </si>
  <si>
    <t xml:space="preserve">בוצע הקפאת תצורה </t>
  </si>
  <si>
    <t>בוצע הקפאת תצורה ממתין לתכנון סופי</t>
  </si>
  <si>
    <t>WBD-125</t>
  </si>
  <si>
    <t>אלפי מנשה- החלפת ניידת 20 מגוו"א בניידת 30 מגוו"א</t>
  </si>
  <si>
    <t xml:space="preserve">הניידת החדשה ממוקמת בשטח, עיכוב בעבודות ביצוע של מרחב ירושלים,חשמול מסתמן עד אמצע 6/26        באישור המחוז.                                                               </t>
  </si>
  <si>
    <t xml:space="preserve">הניידת החדשה ממוקמת בשטח, עיכוב בעבודות ביצוע של מרחב ירושלים,חשמול מסתמן עד אמצע 6/26 /18.התחלת בדיקות 27/5/26  .                                                         </t>
  </si>
  <si>
    <t xml:space="preserve">הניידת החדשה ממוקמת בשטח, עיכוב בעבודות ביצוע של מרחב ירושלים,חשמול מסתמן  6/26 /18.התחלת בדיקות 27/5/26  .                                                         </t>
  </si>
  <si>
    <t xml:space="preserve">חשמול הוזמן  21/6/26                                                 </t>
  </si>
  <si>
    <t>חושמל בתאריך 23/6/2026</t>
  </si>
  <si>
    <t>WBJ-003</t>
  </si>
  <si>
    <t>תחמ"ג ירושלים</t>
  </si>
  <si>
    <t>התקיימה פגישת הצגת תכנון א"מ של מובל ומבנה 161 ק"ו טרם העברה לתכנון אזרחי מפורט. יש מס' סוגיות הדורשות התייחסות מעמיקה - צפויות להיות ישיבות נוספות ולקראת סוף חודש יוני 26 ניתן יהיה (כנראה) להעביר לתכנון אזרחי מפורט.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t>
  </si>
  <si>
    <t>התקיימה פגישת הצגת תכנון א"מ של מובל ומבנה 161 ק"ו טרם העברה לתכנון אזרחי מפורט. יש מס' סוגיות הדורשות התייחסות מעמיקה - ישיבת המשך ביום 27.5. מסמך זכויות על קרקע של חוות הסוסים - לאחר שלא נענתה בטלפון, שלחה עו"ד מיכל שרעבי מייל המפרט את הדרישות שלנו לגבי הצגת בעלות על הקרקע לעו"ד המייצגת את בעל החווה. ללא אישור על בעלות - לא ניתן יהיה להתקדם עם הסכם ביננו. תוכנית שלביות העתקת מעגלי 161 ק"ו הכוללת סכימה חדש קווית לכל שלב נשלחה לפיקוח הולכה להציג לנגה ולקבל הסכמתם. לאחר בחינת המלצות יועץ קרקע שני - יוצג לבוריס אוירינג נושא המובל והכלונסאות על מנת לבחור דרך עדיפה לנו. התקבלו דרישות מיגון מבנה 400 ק"ו. טרם ישיבת התנעה בעוד שבועיים, נקיים ישיבה מקדימה לבחינת המשמעות על התכנון והביצוע.</t>
  </si>
  <si>
    <t>ישיבת המשך להצגת תכנון א"מ תתקיים בשבוע הבא עקב מס' נושאים שעדיין בטיפול. התקיימה פגישת התנעת תכנון 400 ק"ו. לקראת פגישה עם אדריכלית העיר ירושלים - הצגת תכנון אדריכלות ונוף. מסמך זכויות בעלות על קרקע חוות הסוסים עדיין לא התקבלה. בשבוע הבא ישיבת תכנון להצגת תכנון מעודכן העקבות חחו"ד שנייה של יועץ קרקע. התקבל מסמך מעודכן מנגה בנושא דרישות מיגון מבנה 400 ק"ו - המשמעויו יפורט בפגישה שמתוכננת בשבוע הבא.</t>
  </si>
  <si>
    <t>התקיימה ישיבת המשך התנעת תכנון. ממתינים לאישור רשמי של רת"ק לפריסת כבלים במבנה 161. לגבי מזגנים במבנה - נדון בפגישה נפרדת. יח' תחמ"ש דרשו פתרון אחר לסולם מילוט צפוני - הוצע פתרון הנדסי. נדרש לקבל החלטה ניהולית. היתר חפירה לקראת וועדה בעוד שבועיים (אחרי מילוי כל ההערות שהתקבלו). קבלן אזרחי לתשתיות עדיין לא התחיל עבודתו.</t>
  </si>
  <si>
    <t>היתר חפירה לקראת דיון בוועדה בשבוע הבא. קבלן אזרחי לתשתיות צפוי להתחיל עבודתו השבוע.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ב-22.6 פגישת עדכון סטטוס ציוד 400 ק"ו.</t>
  </si>
  <si>
    <t>היתר חפירה לקראת דיון בוועדה בשבוע זה. קבלן אזרחי לתשתיות צפוי להתחיל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</si>
  <si>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היתר חפירה נדון בוועדה בשבוע שעבר - עדיין אין עדכון. קבלן אזרחי לתשתיות התחיל עבודתו ביום 28.6.26.  בישיבת סמנכ"ל - הוחלט לקיים דיון בראשותו בנושא הסכם עם חוות הסוסים. הוגשה בקשה להפסקות מעגלי מ"ע לאפריל 2027 לצורך תמיכת עמוד 11001. ב 21.6 פגישה לפתרון שלביות כיבוי אש לשלב 161 ק"ו. ב-חודש יולי פגישת עדכון סטטוס ציוד 400 ק"ו.</t>
  </si>
  <si>
    <t>השלמת העתקת תשתיות מ"ג ומ"נ.  קידום הסכם מול חוות סוסים. כביש זמני. תמיכת עמוד 11001. פועלים לקדם את הנושא בות"ל ובמקביל לתכנן 2 עמודים חדשים. נדרש לקדם עבודות מקדימות - החלפת הגנות לשנאי 36 ק"ו לצורך השלמת העתקות קווים החל מספטמבר 26 - נדרש להיות מתועדף ע"י אגף תפעול השנאה</t>
  </si>
  <si>
    <t>WBM-40475</t>
  </si>
  <si>
    <t>הכפר הירוק-הח' 2 מ"ז ,2 בושינג(7,9) מהדק</t>
  </si>
  <si>
    <t xml:space="preserve">אין שינוי : 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שהמתאם מוכן למשלוח. בבירור מולם נושא המשלוח. GE הודיעו שכרגע לא יכולים לתת תאריכים מעודכנים להגעת מומחה להמשך עבודה בפרויקט זה. נדרש לבחון עם הגעת החלק האם מתקדמים בפרויקט ללא מומחה. </t>
  </si>
  <si>
    <t xml:space="preserve">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ציוד הגיע לארץ!!! .מחכים לקבלת תשובות מ- GE  להגעת מומחה להמשך עבודה בפרויקט זה. </t>
  </si>
  <si>
    <t>ציוד הגיע לארץ והוחלט לבצע את הפרויקט ללא נוכחות מומחה. ישיבה עם כל הגורמים המעורבים נקבעה ל 5.7 על מנת לתאם זמנים</t>
  </si>
  <si>
    <t>ציוד לא תואם , קבלת תמיכה מ GE בהתאם למתחייב</t>
  </si>
  <si>
    <t>WBC-084</t>
  </si>
  <si>
    <t>סירקין- הקמת תחמ"ש פנימית  161/24 ק"ו</t>
  </si>
  <si>
    <t>פגישה עם הות"ל הועברה לתאריך 11.6 לבקשתם. קידוחי נסיון לא החלו בשל בעיה ביטוח של הקבלן הנבחר. בטיפול מחלקת בניין צפון</t>
  </si>
  <si>
    <t>פגישה עם הות"ל הועברה לתאריך 14.6 לבקשת אביב שניידר. קידוחי נסיון החלו ב 07.06</t>
  </si>
  <si>
    <t xml:space="preserve">התקיימה היום ישיבה מול הות"ל. קידוחי נסיון נמשכים בשטח. </t>
  </si>
  <si>
    <t xml:space="preserve">קידוחי נסיון ןנמשכים - חל עיכוב , עבודה איטית מאוד של הקבלן. </t>
  </si>
  <si>
    <t xml:space="preserve">קידוחי נסיון נמשכים - חל עיכוב , עבודה איטית מאוד של הקבלן. במקביל תתואם פגישה מול מהנדס עיריית פ"ת. </t>
  </si>
  <si>
    <t>עמידה בלו"ז, גישה לעבודות דרך המושב או לחילופין הבסיס הצבאי</t>
  </si>
  <si>
    <t>WBE-314</t>
  </si>
  <si>
    <t>בית יהושוע הוספת מסדר מ"ג 4</t>
  </si>
  <si>
    <t>התחילו  עבודות על מסדר מ"ג חשמול מתוכנן ל15/7/26</t>
  </si>
  <si>
    <t>התחילו  עבודות על מסדר מ"ג, התחלת בדיקות 7/6/26 חשמול מתוכנן ל15/7/27</t>
  </si>
  <si>
    <t>התחילו  עבודות על מסדר מ"ג, התחלת בדיקות 7/6/26 חשמול מתוכנן ל15/7/26</t>
  </si>
  <si>
    <t xml:space="preserve"> הסתיימו בדיקות הרכבה חשמלית למסדר מ"ג , ממתין למבדקת תחמ"ש דן וחוף שעדיין לא התחילו.</t>
  </si>
  <si>
    <t>עיכוב בחשמול ללא בדיקות מבדקת דן וחוף.</t>
  </si>
  <si>
    <t>WBD-126</t>
  </si>
  <si>
    <t>בית יהושוע- הוספת ניידת 20</t>
  </si>
  <si>
    <t>31/06/2027</t>
  </si>
  <si>
    <t>בוצע סיור להקפאת תצורה מתקדמים לביצוע לפי לו"ז מתוכנן 6/2027</t>
  </si>
  <si>
    <t>בוצע סיור להקפאת תצורה, בהמתנה להקצאת ניידת.</t>
  </si>
  <si>
    <t>WBE-294</t>
  </si>
  <si>
    <t>בית שמש-התקנת שנאי שלישי161/24 ק"ו 50 מגוו"א</t>
  </si>
  <si>
    <t>בוצע סיור  לתחילת התכנון</t>
  </si>
  <si>
    <t>בתכנון אלק"מ</t>
  </si>
  <si>
    <t>הקפאת תצורה בתאריך  21/6/26</t>
  </si>
  <si>
    <t>הקפאת תצורה בתאריך  21/6/27</t>
  </si>
  <si>
    <t>בוצעה הקפאת תצורה, ממתין לתכנון אלק"מ</t>
  </si>
  <si>
    <t>WBN-40158</t>
  </si>
  <si>
    <t>סתריה - שדרוג שדות קו 15,16 ליכולת 1440א'</t>
  </si>
  <si>
    <t>בהמתנה לעדכון תכנון בהתאם לעדכון תכולה</t>
  </si>
  <si>
    <t>מוכנים להתחלת עבודות בסתיו הקרוב כתלות במתן הפסקות.</t>
  </si>
  <si>
    <t>ניידת 42 צומת תפוח</t>
  </si>
  <si>
    <t xml:space="preserve">קדם ניידות </t>
  </si>
  <si>
    <t xml:space="preserve">נמצאת בגן שורק
מוכנה לשימוש
</t>
  </si>
  <si>
    <t>ניידת 43 שוהם</t>
  </si>
  <si>
    <t>ניידת 44</t>
  </si>
  <si>
    <t>נמצאת בשפיים
מוכנה לשימוש</t>
  </si>
  <si>
    <t>ניידת 45</t>
  </si>
  <si>
    <t>ניידת 46</t>
  </si>
  <si>
    <t>באר שבע צפון
הושלמו בדיקות החירום
החלו בדיקות הכנסה לניצול מלאות</t>
  </si>
  <si>
    <t>ניידת 47</t>
  </si>
  <si>
    <t>ניידת 48</t>
  </si>
  <si>
    <t>נמצאת בזבולון 
בשלבי סיום בדיקות
- בעיה במחשב - בטיפול מול היצרן</t>
  </si>
  <si>
    <t>ניידת 49 חירום</t>
  </si>
  <si>
    <t>נמצאת בזבולון.
 המסדר שפורק נשלח לחו"ל 11.05.2026</t>
  </si>
  <si>
    <t>ניידת 50</t>
  </si>
  <si>
    <t>נמצאת ברידינג 
מוכנה לשימוש</t>
  </si>
  <si>
    <t>ניידת 51</t>
  </si>
  <si>
    <t>חושמלה</t>
  </si>
  <si>
    <t>ניידת 60</t>
  </si>
  <si>
    <t>נמצאת בשטח 6 
מוכנה לשימוש</t>
  </si>
  <si>
    <t>ניידת 61</t>
  </si>
  <si>
    <t xml:space="preserve">נמצאת בשטח 6 
מוכנה לשימוש
עברה מבחן רישוי </t>
  </si>
  <si>
    <t>ניידת 62</t>
  </si>
  <si>
    <t>ניידת 63</t>
  </si>
  <si>
    <t>ניידת 64</t>
  </si>
  <si>
    <t>ניידת 65</t>
  </si>
  <si>
    <t>ניידת 66</t>
  </si>
  <si>
    <t xml:space="preserve">נמצאת ברוטנברג
בסיום עבודות הרכבה חשמלית במקביל לבדיקות
</t>
  </si>
  <si>
    <t>ניידת 67</t>
  </si>
  <si>
    <t>ניידת 68</t>
  </si>
  <si>
    <t>ניידת 69</t>
  </si>
  <si>
    <t xml:space="preserve"> נמצאת במחסן נגב והערבה</t>
  </si>
  <si>
    <t>ניידת 70</t>
  </si>
  <si>
    <t>ניידת 71</t>
  </si>
  <si>
    <t>ניידת 56</t>
  </si>
  <si>
    <t>Kontrolmatik
נמצאת בעין חרוד 
ב 10.05.2026 החלו עבודות הרכבה
מתקיים תהליך מול היצרן לתיאום תיקונים נדרשים</t>
  </si>
  <si>
    <t>Kontrolmatik
נמצאת בעין חרוד 
ב 10.05.2026 החלו עבודות הרכבה
מתקיים תהליך מול היצרן לתיאום תיקונים נדרשים
ב 01.06.2026 נערכה ישיבה עם נציגי הרכש בה הוצגה הצעת מחיר לטיפול בליקויים בכל 4 הניידות - ההצעה תשלח לקונטרולמטיק</t>
  </si>
  <si>
    <t>Kontrolmatik
נמצאת בעין חרוד 
ב 10.05.2026 החלו עבודות הרכבה
תקלות יצרן במסדר 160 - בטיפול מחלקת ציוד</t>
  </si>
  <si>
    <t>Kontrolmatik
נמצאת בעין חרוד 
תקלות יצרן במסדר 160 - בטיפול מחלקת ציוד</t>
  </si>
  <si>
    <t>ניידת 57</t>
  </si>
  <si>
    <t>ניידת 58</t>
  </si>
  <si>
    <t xml:space="preserve">Kontrolmatik
  נמצאת בתחמ"ג איילון
ב 05/05/2026 החלו בעבודות הרכבה מתקיים תיאום עם היצרן לתיאום תיקונים נדרשים
החלו עבודות ל מילוי גז </t>
  </si>
  <si>
    <t xml:space="preserve">Kontrolmatik
  נמצאת בתחמ"ג איילון
ב 05/05/2026 החלו בעבודות הרכבה מתקיים תיאום עם היצרן לתיאום תיקונים נדרשים
החלו עבודות ל מילוי גז
בעיה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</si>
  <si>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יה במאריק יציאה במסדר 170 - נקבעה פגישה עם היצרן ב 1.6.2026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</si>
  <si>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</si>
  <si>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</si>
  <si>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ניידת 59</t>
  </si>
  <si>
    <t xml:space="preserve">Kontrolmatik
  נמצאת בתחמ"ג איילון
ב 05/05/2026 החלו בעבודות הרכבה מתקיים תיאום עם היצרן לתיאום תיקונים נדרשים
החלו עבודות ל מילוי גז
ב 01.06.2026 נערכה ישיבה עם נציגי הרכש בה הוצגה הצעת מחיר לטיפול בליקויים בכל 4 הניידות - ההצעה תשלח לקונטרולמטיק </t>
  </si>
  <si>
    <t xml:space="preserve">Kontrolmatik
  נמצאת בתחמ"ג איילון
ב 05/05/2026 החלו בעבודות הרכבה מתקיים תיאום עם היצרן לתיאום תיקונים נדרשים
החלו עבודות ל מילוי גז
תקלות יצרן במסדר 160 - בטיפול מחלקת ציוד </t>
  </si>
  <si>
    <t xml:space="preserve">Kontrolmatik
  נמצאת בתחמ"ג איילון
תקלות יצרן במסדר 160 - בטיפול מחלקת ציוד </t>
  </si>
  <si>
    <t>WBM-40636</t>
  </si>
  <si>
    <t>הרצליה – הוספת 10 שדות מ"ג בעלי יציאות תת קרקעיות בכבלים</t>
  </si>
  <si>
    <t xml:space="preserve">הוקמה דרישה ועבר לרכש לבחירת קבלן. טיפול בהרשאה באחריות הנדסת רשת. </t>
  </si>
  <si>
    <t xml:space="preserve">הוקמה דרישה ועבר לרכש לבחירת קבלן. טיפול בהרשאה באחריות הנדסת רשת-נשלח לבדיקה חוזרת לקבלת הרשאה מנגה. </t>
  </si>
  <si>
    <t>WBM-40287</t>
  </si>
  <si>
    <t>הרצליה -החלפת מ"ז,מנתק, משנק ב: 5,11,7-8</t>
  </si>
  <si>
    <t xml:space="preserve">נמצא בתכנון אלקטרומכני. מחכים לקבלת יעדי לו"ז. </t>
  </si>
  <si>
    <t xml:space="preserve">נמצא בתכנון אלקטרומכני. לא תהיה עבודה אזרחית. מחכים לקבלת חבילת מסירה להרכבה חשמלית. </t>
  </si>
  <si>
    <t xml:space="preserve">נמצא בתכנון אלקטרומכני. לא תהיה עבודה אזרחית. נשלחה חבילת מסירה עבור ייצור מבנה ברזל ב 09.06.26. חבילת מסירה להרכבה חשמלית ב 10.06.26. תתקיים ישיבה ב 18.06.26 להצגת הפרויקט ליחידת התחמ"ש ולתיאום לו"ז. </t>
  </si>
  <si>
    <t xml:space="preserve">הפרויקט הוצג להרכבה חשמלית ולתחמ"ש. ייכנס לתכנית הפסקות הקרובה ובהתאם תתואם העבודה. </t>
  </si>
  <si>
    <t>קושי בקבלת הפסקות . יהיה צורך ככל הנראה במציאת גישורים ברשת. עמידה בלו"ז!</t>
  </si>
  <si>
    <t>WBM-10494</t>
  </si>
  <si>
    <t>מנחת-הוספת מכולה מס' 2 לניצול השנאי במלואו</t>
  </si>
  <si>
    <t>לא ניתן להתייחס כעת</t>
  </si>
  <si>
    <t xml:space="preserve">יש פגישה להצגת תוכנית הנחת כבלי מ"ג </t>
  </si>
  <si>
    <t>נקבעה הקפאת תצורה עבור העברת הכבלים יש RFT עבודה על נספח 5 החלה</t>
  </si>
  <si>
    <t xml:space="preserve">נמצא בבחירת קבלן </t>
  </si>
  <si>
    <t xml:space="preserve">לקראת RFT סופי </t>
  </si>
  <si>
    <t>WBM-70025</t>
  </si>
  <si>
    <t>הרטוב - החלפת משנה זרם בשדה 9 משיק wbo-614</t>
  </si>
  <si>
    <t>התקיימה ישיבה - ממתינים לחבילות מסירה מסודרות</t>
  </si>
  <si>
    <t>הועברו חבילות לכתב כמויות</t>
  </si>
  <si>
    <t xml:space="preserve">הפרויקט הנ"ל </t>
  </si>
  <si>
    <t>WBM-70002</t>
  </si>
  <si>
    <t>החלפת מ"ז, מנתק ומשנק סשדה 5</t>
  </si>
  <si>
    <t>WBM-01447</t>
  </si>
  <si>
    <t>ירושלים ה-פירוק והתקנת סוללות קבלים עבור שנאים 511, 512, 513</t>
  </si>
  <si>
    <t>סוללות הקבלים מותקנות בשטח, נמצא בבדיקת תיעדוף אצל PMO חטיבתי</t>
  </si>
  <si>
    <t>סוללות הקבלים מותקנות בחלקה בשטח, נמצא בבדיקת תיעדוף אצל PMO חטיבתי</t>
  </si>
  <si>
    <t>סוללות הקבלים מותקנות בחלקה בשטח, נמצא בבדיקת תיעדוף אצל PMO חטיבתי עקב אי תיעדוף במבדקת תחמ"ש</t>
  </si>
  <si>
    <t>WBM-70040</t>
  </si>
  <si>
    <t>תעשיה אדומים – התקנת  12 מודולים של סק</t>
  </si>
  <si>
    <t>תיעדוף תכנון של הייצור סיום תכנון צפוי רק ב- 01.09.2026</t>
  </si>
  <si>
    <t>WBC-131</t>
  </si>
  <si>
    <t>תחמ"ש רעננה מערב</t>
  </si>
  <si>
    <t xml:space="preserve">עירית רעננה מקדמים סלילת כביש עוקף תחמ"ש 
נפתח תיק מידע 10/2/2026 
</t>
  </si>
  <si>
    <t xml:space="preserve">עירית רעננה מקדמים את סלילת הכביש עוקף תחמ"ש 
נפתח תיק מידע 10/2/2026 
</t>
  </si>
  <si>
    <t xml:space="preserve">עירית רעננה מקדמים את סלילת הכביש עוקף תחמ"ש 
זומנה ישיבה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</si>
  <si>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השבוע מול עיריית רעננה לבדיקת סטטוס הפרויקט בהתאם תיבחן מול נגה העברת הפרויקט לחח"י.
נפתח תיק מידע 10/2/2026 
</t>
  </si>
  <si>
    <t xml:space="preserve">עירית רעננה מקדמים את סלילת הכביש עוקף תחמ"ש 
זומנה ישיבה שנדחתה 28/06/2026 מול עיריית רעננה לתאום סופי לקידוחי ניסיון והצגת פתרונות תכנון
נפתח תיק מידע 10/2/2026 
</t>
  </si>
  <si>
    <t xml:space="preserve">עירית רעננה מקדמים את סלילת הכביש עוקף תחמ"ש 
התקיימה ישיבה  28/06/2026 מול עיריית רעננה לתאום סופי לקידוחי ניסיון והצגת פתרונות תכנון כביש גישה...
נדרש טיפול מול רמ"י בעניין שטחים
נפתח תיק מידע 10/2/2026 
</t>
  </si>
  <si>
    <t>WBC-104</t>
  </si>
  <si>
    <t>בית אליעזר-הקמת תחמ"ש פנימית 161/24</t>
  </si>
  <si>
    <t>הפרויקט נמצא בשלב קדם, נפתחה בקשה לתיק מידע. נקבעה פגישה אצל מהנדס העיר ב 27/05/26 לגבי כניסת קוי מ"ע  לתחנה (עילי או תת"ק)
ב 20/05/26 נקיים פגישה הכנה לנ"ל</t>
  </si>
  <si>
    <t>הפרויקט נמצא בשלב קדם, נפתחה בקשה לתיק מידע. 
ב 20/05/26 התקיימה פגישה הכנה אצל מנהל מגזר תכנון לקראת הפגישה אצל מהנדס העיר ב 27/05/26 לגבי כניסת קוי מ"ע  לתחנה (עילי או תת"ק)
ב 24/05/26 התקבל מזכר מנגה לתחנה.</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</si>
  <si>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</si>
  <si>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
.</t>
  </si>
  <si>
    <t>WBE-222</t>
  </si>
  <si>
    <t>עין חרוד-התקנת שנאי רביעי 161/24 50 מו"א</t>
  </si>
  <si>
    <t>WBE-308</t>
  </si>
  <si>
    <t>הרטוב-החלפת שנאי 524 (שדה 14) מ-33 מגוו"א ל-50 מגוו"א</t>
  </si>
  <si>
    <t>30/06/2028 </t>
  </si>
  <si>
    <t>WBE-315</t>
  </si>
  <si>
    <t xml:space="preserve">חריש-התקנת שנאי שלישי 161/24 ק"ו, 50 מגוו"א. </t>
  </si>
  <si>
    <t>בשלב הקפאת תכולה</t>
  </si>
  <si>
    <t>ב 22/06/2026 צפוי סיור באתר להגדרת תכולת הפרויקט</t>
  </si>
  <si>
    <t>ב 22/06/2026 התקיים סיור באתר להגדרת תכולת הפרויקט</t>
  </si>
  <si>
    <t>ניידת 52</t>
  </si>
  <si>
    <t>MVA - צפי אספקה 10.06.2026</t>
  </si>
  <si>
    <t>MVA - צפי אספקה 18.06.2026</t>
  </si>
  <si>
    <t>MVA - צפי אספקה 18.06.2026
יאוחסנו ברוטנברג</t>
  </si>
  <si>
    <t>ב 18.06.2026 סופקה לרוטנברג</t>
  </si>
  <si>
    <t xml:space="preserve">נמצאת ברוטנברג
</t>
  </si>
  <si>
    <t>ניידת 53</t>
  </si>
  <si>
    <t>ב 21.06.2026 סופקה לרוטנברג</t>
  </si>
  <si>
    <t>פירוט שבועי 08/07/2026</t>
  </si>
  <si>
    <t xml:space="preserve">בתאריך 29.06.26 נערך דיון  עם ברטין איגור לדבריו " הפרויקט יועבר במנהלת תכולות בהקדם לצורך קידומו"  05.07.26 עדיין לא ניתן  להתקדם </t>
  </si>
  <si>
    <t xml:space="preserve">דיון  שנערך עם ברטין איגור ונציגי תכנון בתאריך 29.06.26 אמרתי שפרויקט זה צריך להיעשות אחרי פרויקט 305 תוספת שנאי , עדיין לא התקבל אישור לכך </t>
  </si>
  <si>
    <t>08.06.26 : לדברי שירן " בשל אילוצי תיעדוף מגזר תכנון אינו הכניס את הפרויקט לתכנון השנה, הועבר לבחינה של אגף תפעול תחמ"ש באגף החדש"בנוסף לא מונה מנהל פרויקט אך לקחתי זאת לאחריותי . לא ניתן לקדם את הפרויקט  כי טרם תוכנן ע"י מגזר תכנון</t>
  </si>
  <si>
    <t xml:space="preserve">קבלן אזרחי ממשיך בעבודתו צפי מסירות :חדר 24 ק"ו - 08.10.26,  אולם 161 ק"ו - 08.11.26 , חדר פיקוד - 13.12.26 , יסודות שנאים - 20.12.26 , סיום עבודות הקבלן 14.03.27 , בשלב זה עדיין מוקדם להעריך כניסת הביצוע , </t>
  </si>
  <si>
    <t>החל מתאריך 07/05/2026 מנה"פ ביקש מהרכבה חשמלית ותפעול ב"ש להתחיל בעבודות. נאמר שרק בתחילת חודש 06/2026 יחלו העבודות. נכון ל-21/06/2026 לא החלו בעבודות וזאת משום שאין מים בתחנה, נושא זה הועבר לעוזרת מנהל האגף לטיפול.בתאריך 22/06/2026 התקבלה הודעה מנירים שלומי כי עבודות לחיבור המים ע"י מעיינות דרום יקחו עוד חודש ימים.</t>
  </si>
  <si>
    <t xml:space="preserve">טרם נקבע תאריך לביצוע סימולציה ואפליקציה, השבוע  05.07.26 התקבלה הערה מתפעול כי נדרש העתקת כבלי מ"ג של אגירת אנרגיה המחוברים כעת לפ"צ 1 ונדרש להעבירם לפ"צ 3 לטובת שחרור תא עבור מקשר פ"צ 1-3 , נדרש חפירה גדולה באתר לביצוע מופות עבודה זו לא הועברה לשום גורם </t>
  </si>
  <si>
    <t>בהעברה לרכש למכרז, נדרש תיעדוף במחלקת מכרזים</t>
  </si>
  <si>
    <t>עיכוב ביציאה למכרז מסכן תחילת עבודות בעונת הפסקות קרובה ועלול לדחות את סיום הפרויקט</t>
  </si>
  <si>
    <t>קבלן עלה לשטח 7/6/2026
החלו עבודות על מסדרי אפס ושדה 14</t>
  </si>
  <si>
    <t>קבלן עלה לקרקע, החל בסימונים</t>
  </si>
  <si>
    <t xml:space="preserve">תכולה אזרחית נכללה כאופציה במכרז של WBE260. לאחר שקבלן יתחיל בעבודות, ובהתאם לביצועים שלו יוחלט אם נדרש תכנון למכרז או לביצוע - יבחן שוב במחצית אוגוסט
</t>
  </si>
  <si>
    <t>בוצעה בדיקת ציוד מ"ע בשדות 
הרכבה חשמלית בעבודה -  קבלן להשחלת כבלים החל בעבודה. 
קבלן אזרחי חזר להשלמות ב 5/7/2026
בוצעה בדיקת הארקות ב 30/6/2026
הולכה לא ביצעו סיבוב עמוד (הפסקת קו למספר ימים), הוכנס לתכנית העבודה ובקשת הפסקות בהתאם - ידחה לעונת הפסקות הבאה</t>
  </si>
  <si>
    <t xml:space="preserve">בוצע תיאום לביסוס יסודות עמודי מ"ע ע"י קבלן אזרחי שלנו - טרם התקבלה תכנית ביסוס ולא הוכנס לכ"כ
מכרז קבלן אזרחי - הגשת הצעות עד 6/7/2026
צפי להיתר  7/2026 - ממתין לקבלת אגרות לתשלום
</t>
  </si>
  <si>
    <t>עדין אין אישור של עיריית ערד לתוכנית הסדרי תנועה!!! ב28.6 היתה פגישה איתם בשטח והם נתנו עוד הערות לתיקונים. כעת המחוז מבצע את התיקונים ויגיש מחדש
כרגע אנחנו בעיכוב משמעותי 
אני ממתינה לסיום עדכון התוכנית והגשה מחדש בשבוע הקרוב
רק  לאחר אישור של היועץ, מהנדסת העיר תעביר את התוכנית המאושרת למשטרה.
לאחר שנקבל את אישור המשטרה, עירית ערד תוכל להוציא אישור חפירה והקבלן יוכל לעלות לשטח. ככל הנראה זמן האישורים יקח עוד כחודש, עלייה לשטח ביולי
זמן העתקה כשלושה חודשים.
סיום עד סוף השנה</t>
  </si>
  <si>
    <t>מתקיימות פגישות לתיאום טכני בהובלה של נגה. בתאריך 3/6/26 בוצע פגישה להצגת הפרויקט ותיאום ציפיות חח"י יזם. בתאריך 1/7/26 התקבל הצעת מחיר ראשוני ע"י היזם לאחר בדיקה יועבר להתייחסות מח' טכנוכלכלי</t>
  </si>
  <si>
    <t>התקבל אישור מהנדס הוועדה להציב את הניידות בפטור מהיתר, . עבודות מ"ע לקראת סיום . בתאריך 11/6 חבילת תכנון לביצוע הועברה למח' הפיקוח. 21/6/26 הופצה הזמנה לקבלן מסגרת לביצוע עבודות אזרחיות.  הקבלן נידרש להשלים ביטוחים כדי להתחיל ביצוע העבודות</t>
  </si>
  <si>
    <t>תשתיות של מקורות בתוואי הדרך - קידום לו"ז</t>
  </si>
  <si>
    <t xml:space="preserve"> מקדמים התקשרות מול מקורות לתכנון העתקת תשתיות מדרך הגישה . פועלים מול מקורות לחיבור נק' מים לתחמ"ש.  בתאריך 17/5/26 נבחר קבלן זוכה במכרז - לסיכו בע"מ. קיים עיכוב בבקשה לחיבור חשמל זמני. בוצע פגישת התנעה עם הקבלן הזוכה. מועד לתחילת העבודות 12.7.26.  </t>
  </si>
  <si>
    <t>מסך RFT חתום וחבילת תכנון למכרז  התקבל בתאריך 28/5/26. בתאריך 31/5/26 החומר הועבר לרכש עבור מכרז . בתאריך 8/6/26 התקבל היתר בניה . נקבע מועד לסיור קבלנים 16/7/26. נפתחה בקשה לתיאום ביצוע במערכת לתיאום תשתיות לאומיות והתקבלה התייחסות ראשונית מרשות העתיקות, נדרש חיתוכי בדיקה בתחמ"ש</t>
  </si>
  <si>
    <t xml:space="preserve">שטח האגירה מפונה. הסתיימו העבודות האזרחיות להוספת השדה עבור האגירה כולל התקנת ציוד ראשוני- הרכבה חשמלית משיך להרכיב את הציוד עד סוף השנה.
האתר מוכן לכניסת היזם </t>
  </si>
  <si>
    <t xml:space="preserve">07/2026-  צפי סיום פיתוח שטח ומובל דרומי  .
טופס 4 - בתהליך השלמת כלל המסמכים, התקבל אישור כבאות להרצת מערכות, חיבור ביוב מצריך תשלום נוסף שהועבר לועדת מכרזים לאישור.                     חיבור מים - הושלם. פיתוח נופי- בבדיקה וטיפול 
</t>
  </si>
  <si>
    <t xml:space="preserve">טופס 4 -  הושלמו המסמכים מול העיריה. פרט ל: יועץ בנייה ירוקה- הטפסים הוגשו,ממתינים לאישורו. וזיקת הנאה- ממתינים לחתימת רמ"י.                     הוגשה בקשה לעיריה למתן תעודת גמר , ללא בניה ירוקה עם התחייבות להשלמת המסמכים הנ"ל תוך 3 חודשים. ממתינים לתשובת העיריה. </t>
  </si>
  <si>
    <t>שנאי תקול 511 פורק - לצורך תיקונו נדרש לשלוח אותו לחו"ל.לבינתיים הוא יועבר בסופ"ש לים ג' לאחסון.  בבדיקה טכנוכלכלית כדאיות התיקון בחו"ל.. אספקת שנאי חדש צפויה ביוני 2027 ולכן חישמול ביולי 2027. עדיין לא נבדקו 2 מסדרי מ"ג של פ"צ 4 עקב חוסר תיעדוף של מבדקת תחמ"ש ים'.</t>
  </si>
  <si>
    <t>.ממתינים לחוו"ד לגבי תוצאות בדיקת מערכת המים. פועלים לשינוי הגדרת התחמ"ש ממשולבת לסגורה/פנימית. התקבלו מסמכי המכרז  -עד קבלת החלטה ע"י מנהל האגף (חלופת ערפל) לא יקודם יציאה לבחירת קבלן. צפי לקבלת היתר בנייה - אוגוסט 2026.</t>
  </si>
  <si>
    <t xml:space="preserve"> בפגישת תכנון עם צוות מתכנני הכיבש פועלים להציג שלבים של עבודה משותפת לחח"י - תשתיות כביש ותשתיות שלנו. תכנון להיתר חפירה לקראת הגשה. הקדמת היטל סלילה נדחתה עקב "פקק" בוועדת מכרזים. עדיין נמשך מו"מ של מנר"א עם בעלי ישיבת אתרי לגבי שטח התארגנות.  הפקעות שטח הכביש מקודם ע"י מנר"א ועיריית ירושלים.</t>
  </si>
  <si>
    <t>קבלן אזרחי לתשתיות התחיל עבודתו ביום 28.6.26. מחוז ים' צפויים להתחיל חפירות מחוץ לתחמ"ש בעוד שבועיים וחצי - העבודה נדרשת להיות מתואמת יחד עם הקבלן שלנו בתחמ"ש כפי שסוכם. ביום 15.7 יתקיים דיון בראשות סמנכ"ל  בנושא הסכם עם חוות הסוסים. הוגשה בקשה להפסקות מעגלי מ"ע לאפריל 2027 לצורך תמיכת עמוד 11001. ב 9.7 פגישה לפתרון שלביות כיבוי אש לשלב 161 ק"ו. אתמול התקיימה פגישת עדכון סטטוס ציוד 400 ק"ו + 161 ק"ו. עדיין לא סוכם עם מתכנני הולכה אופן הכנסת כבלים מ"ע באופן כולל - הדבר נדרש על מנת להעביר תוכניות אזרחיות להיתר.</t>
  </si>
  <si>
    <t>על פי סיכום ישיבה מתאריך 05.07.2026 עם מנהל אגף רישוי והיתרים, צפי לקבלת ההיתר עד סוף 07.2026
טרם הוסדר נושא רכישת הקרקע - לא יהווה חסם להיתר.
התנהל דיון לפתרון נושר הסדרת השטחים והבעלויות בין נת"ע לחח"י, בוצעה פנייה למנכ"ל ת"א להסדרת פגישה לתיאום סופי של הנושא.
נבחר קבלן זוכה- שטאנג, בוצע תיאום תחילת עבודות עם יח' הפיקוח ב-04.06.2026
שטח ההתארגנות יימסר לקבלן לטובת הכנות מקדימות ב- 01.07.2026- טרם קבלת ההיתר 
צפי תחילת עבודות קבלן אזרחי 01.08.2026
טרם הוסרה תשתית קו הביוב משטח התחנה- באחריות עיריית תל אביב.- העתקת קו הניקוז בביצוע.
עיריית ת"א התחייבה לפנות את כל שטח התחמ"ש מרכבים ותשתיות עד חודש 07.2026</t>
  </si>
  <si>
    <t>המשך עבודות ביסוס של מרתף 161 ק"ו
הושלמו קירות מיגון בפאה המזרחית וחלק מהדרומית
המשך עבודות הפיתוח בשטח 
התקיימה ישיבה עם הקבלן לצורך קידום הפרויקט של שלב 161 ק"ו- כרגע מסתמן שלא אפשרי 
*כרגע קיים עיכוב של כחודש וחצי מהלו"ז המתוכנן</t>
  </si>
  <si>
    <t>הסכמי ביצוע עם חברות הדלק נמצאים בשלב מו"מ.
מסתמן כי נמצא פתרון להסכמת נת"י בנוגע להסדרת דרך הגישה
היתר - שלב מילוי תנאים.
מכרז - שלב תכנון</t>
  </si>
  <si>
    <t xml:space="preserve">
1. יעד עמידה בלוחות זמני פינוי תשתיות: (קא"א תש"א...)
</t>
  </si>
  <si>
    <t xml:space="preserve">קייזן לתיאום לוז הרכבות ובדיקות נערך ב 29.06.2026
נעשים מאמצים לקדם יעדי קבלן אזרחי (אספלט, כיבוי אש, השלמת מערכות ובדיקת אינטגרציה). פעילויות המשפיעות באופן ישיר על קבלת טופס 4. 
קבלן הנחת כבלים מתוכן להתחיל ב 12.07.2026 בתלות בסיום אספלט באיזור 161.
ב 6.7.2027 יבוצע מילוי גז לפילטרים במסדר 24
</t>
  </si>
  <si>
    <t>טרם התקבלה תכולה
נקבע סיור לבקשת נגה לבחינת תכולות01.06.2026- התקיים סיור
08.07.2026- מתוכננת ישיבה להצגת החלופות לסמנכל החטיבה
12.07.2026- מתוכננת ישיבת הצגת חלופה לנגה</t>
  </si>
  <si>
    <t>עיכוב חשמול נדרש- לטיפול קשטן אליעזר</t>
  </si>
  <si>
    <t>אגף הרכש הודיע על עיכוב באספקת השנאי ל- 08.2026 (ממתינים לישיבת נושאים קריטים)</t>
  </si>
  <si>
    <t>מסתמן עיכוב במועד ת.פ
עיכוב באספקת ציודים
ממתינים לישיבת נושאים קריטים</t>
  </si>
  <si>
    <t>12.04.2026-  החלו עבודות קבלן אזרחי
06.07.2026- התחלת שדרוגי שדות, הפסקת שנאי 522</t>
  </si>
  <si>
    <t>שנאי 522 ב12/2026 , שנאי 521 ב06/2027 ,שנאי 523 12/2027, שנאי 524 ב06/2028</t>
  </si>
  <si>
    <t>בוצעו מסירות אזרחיות חלקיות סוף מאי
06.07.2026- הובלת שני שנאים 521+523 ותחילת עבודות הרכבה חשמלית</t>
  </si>
  <si>
    <t>מסירת מסדר אפס של שנאי 524 - ב 01.07.2026
מבדקה - 01.07.2026
צפי הפסקת שנאי 524 - אוגוסט 2026</t>
  </si>
  <si>
    <t>מסירת מסדר אפס של שנאי 524 - ב 08.07.2026
מבדקה החלה בבדיקות מכולה 24 ב- 01.07.2026
צפי הפסקת שנאי 524 - אוגוסט 2026</t>
  </si>
  <si>
    <t>צפי להגשת בקשה להיתר-31.07.2026
צפי לגמר כתב כמויות 31.12.2026</t>
  </si>
  <si>
    <t>לא ניתן לחשמל עד לחתימה על הסכם תפעול</t>
  </si>
  <si>
    <t>סוכם עם אילנית מבקרת חוזים ורכש כי קבלן יחל לעבוד בשטח ב 1.09.2026</t>
  </si>
  <si>
    <t>פרויקט הסתיים
ניידת חושמלה ב- 02.07.2026</t>
  </si>
  <si>
    <t>Kontrolmatik
נמצאת בעין חרוד 
תקלות יצרן במסדר 160 - בטיפול מחלקת ציוד
ב 12.07.2026 יערך סיור עם יצרן HITCHI</t>
  </si>
  <si>
    <t xml:space="preserve">Kontrolmatik
  נמצאת בתחמ"ג איילון
תקלות יצרן במסדר 160 - בטיפול מחלקת ציוד
התבצע סיור עם HITACHI - מחכים להנחיות   
</t>
  </si>
  <si>
    <t xml:space="preserve">Kontrolmatik
  נמצאת בתחמ"ג איילון
תקלות יצרן במסדר 160 - בטיפול מחלקת ציוד
התבצע סיור עם HITACHI - מחכים להנחיות    </t>
  </si>
  <si>
    <t>נמצאת ברוטנברג
קבלן MVA יחל בעבודתו ב 12.07.2026</t>
  </si>
  <si>
    <t>קידום תיקון הליקויים מול היצרן</t>
  </si>
  <si>
    <t>מבדקת תחמ"ש דן והחוף הפסיקו את עבודתם לטובת פרויקטים אחרים
קידום תיקון הליקויים מול היצרן</t>
  </si>
  <si>
    <t xml:space="preserve">שנאי 521 11/2026
שנאים 523,524 
30/06/2027
שנאי 522
28/02/2028
</t>
  </si>
  <si>
    <r>
      <t xml:space="preserve">עבודות שמן בשנאי הסתיימו - תקלה במצוף יוחלף ויושלם מילוי שמן , 
סוכם עם יובל בשלב זה הרכבה חשמלית תבצע השגחה עצמית לעבודות הכנסה והרכבת מסדר 24 ק"ו.
</t>
    </r>
    <r>
      <rPr>
        <b/>
        <sz val="12"/>
        <rFont val="Arial"/>
        <family val="2"/>
        <scheme val="minor"/>
      </rPr>
      <t>הרכבה חשמלית סיימו 5/7 את עבודות הצמדת המסדר כעת לפני הנחת כבלים לא ניתן לבצע בהשגחה עצמית אין משגיח!</t>
    </r>
    <r>
      <rPr>
        <sz val="12"/>
        <rFont val="Arial"/>
        <family val="2"/>
        <charset val="177"/>
        <scheme val="minor"/>
      </rPr>
      <t xml:space="preserve">
עיכוב משמעותי ביעד אספקת מסדרי מ"ע. טרם התקבלו תאריכי יעד מבהספק! (מחלקת ציוד). 
כרגע מדובר על אספקה בשתי פעימות הראשונה 1/8 , והשניה בחודש 11/26 לא נאמר מה מגיע במשלוח הראשון!
לו"ז הוצג לסמנכ"ל עם דחייה לחשמול בחודש 3/2027
בישיבת סטטוס 6/7 בראשותו של מנהל האגף יש להוסיף בנ"מ - סיום פרויקט סוף 5/2027</t>
    </r>
  </si>
  <si>
    <t>הגשת הצעות עד סוף 06/2026 .לבקשת הקבלנים אושר דחיה בהגשה עד 6/7/2026 
 צפי בחירת קבלן עד 30/07/2026.
עליית קבלן לקרקע אמצע חודש 8/2026
 עיכוב של רשת דן וחוף בהעתקת עמודי מ"ג. (מטופל מול גורמי חוץ...) התקיימו מספר ישיבות עם תכנון רשת מ"ע, הם מקדמים פרוק תיילים בשלב ראשון בכדי לאפשר את תחילת עבודות הקבלן.</t>
  </si>
  <si>
    <t>בהמשך לשיחה עם יובל נויהוז חשמול השנאי תוכנן להתבצע עד 25/6/2026 אך נדחה לסוף שבוע זה 2/7 
לאחר תקלה בשעוני מד גובה בשנאי נדרש להחליף את השעונים יבוצע עד סוף שבוע 9/7 חשמול מתוכנן מיד לאחר מכן החל מיום א' 12/7</t>
  </si>
  <si>
    <r>
      <t xml:space="preserve">הרכבה חשמלית בהרכבת ציוד באולם מסדר 24 ק"ו , הסתיימו עבודות גז ע"י תחמ"ש צ'. 
הסתיימו עבודות קבלן הרכבת מערכת כיבוי וגילוי אש בתאי שנאים 
</t>
    </r>
    <r>
      <rPr>
        <b/>
        <sz val="12"/>
        <rFont val="Arial"/>
        <family val="2"/>
        <scheme val="minor"/>
      </rPr>
      <t>ממתינים לבדיקות מגזר ביצוע!</t>
    </r>
    <r>
      <rPr>
        <sz val="12"/>
        <rFont val="Arial"/>
        <family val="2"/>
        <charset val="177"/>
        <scheme val="minor"/>
      </rPr>
      <t xml:space="preserve">
כבלי מ"ע הונחו עד לשנאים יש להשלים סופיות 
מוכנות לחשמול חודש 10/2026 (טרם בוצעו בדיקות למסדר)</t>
    </r>
  </si>
  <si>
    <r>
      <t xml:space="preserve">המבנה נמסר בתאריך 16/4 עם רג' קטים (WBM-40609) משליך על עמידה ביעד חשמול שנאי 524 שתוכנן לחודש  4/2026  
</t>
    </r>
    <r>
      <rPr>
        <b/>
        <sz val="12"/>
        <rFont val="Arial"/>
        <family val="2"/>
        <scheme val="minor"/>
      </rPr>
      <t xml:space="preserve"> מוכנות לחשמול בסוף חודש 7/2026 לא ריאלי לפי התקדמות הבדיקות
תהיה חריגה לכוון חודש 8/2026  
</t>
    </r>
    <r>
      <rPr>
        <sz val="12"/>
        <rFont val="Arial"/>
        <family val="2"/>
        <charset val="177"/>
        <scheme val="minor"/>
      </rPr>
      <t xml:space="preserve"> יח' תחמ"ש  החלו בבדיקות מסדר מ"ע  6/26 , ממתינים למסירה מסדר מ"ג אשר נמצא בבדיקות מגזר הביצוע  (תיעדוף לתאים שנאי 524 שנוסף). מסירה של כל התאים בתאריך 9/7 (תואם מול אפרת)
בהתאם להתקדמות בדיקות ,נתאם בדיקת  מ"י במסדר 24 ק"ו </t>
    </r>
  </si>
  <si>
    <t xml:space="preserve">הקבלן בעבודות פיתוח מצעים לפני אספלט .., הרכבה חשמלית ממשיכים בהרכבות כולל חיווט בחדר פיקוד מקדמים ביתר שאת את העבודות!. 
1/6 תחילחת בדיקות מגזר ביצוע במסדר (הרכבת פילטרים וכו') 
בקש לתת תיעדוף לעבודות מאחר ונדרש  בהקדם חיבור שנאי 524 עבור יצרן פרטי
</t>
  </si>
  <si>
    <r>
      <t xml:space="preserve">קבלן שומרוני נכנס לעבודות לטובת שדות הקמת קו 11 ו-13 - בסיור בתחמ"ש 28/6 נראה כי הקבלן טרם קידם את העבודות עבור שדות אלה מבקש לזרז את עבודות הקבלן החשמול נדרש 10/2026 כעת צפי לחרגיגה 11/2026 
</t>
    </r>
    <r>
      <rPr>
        <b/>
        <sz val="12"/>
        <rFont val="Arial"/>
        <family val="2"/>
        <scheme val="minor"/>
      </rPr>
      <t xml:space="preserve">מחלקת בנין עדכנו סיום עבודות קבלן בחודש 11/2026 לא תומך בלו"ז הנדרש מהסמנכ"ל - חשמול השדות הנוספים עד סוף השנה הנוכחית אבקש לפעול מול הקבלן לקדם את העבודות בהתאם מדובר עלשני שדות בסה"כ!!!
</t>
    </r>
    <r>
      <rPr>
        <sz val="12"/>
        <rFont val="Arial"/>
        <family val="2"/>
        <charset val="177"/>
        <scheme val="minor"/>
      </rPr>
      <t xml:space="preserve">
שדות 1A ו-3A ושדה שנאי 4A התקיים סיור בשטח, נדרש לעדכן תכנון אלק"מ שהוצג, עקב  בעייה לאי סגירת התכנון כניסת קווי מ"ע עבור שדה שנאי - </t>
    </r>
    <r>
      <rPr>
        <u/>
        <sz val="12"/>
        <rFont val="Arial"/>
        <family val="2"/>
        <scheme val="minor"/>
      </rPr>
      <t>בטיפול תכנון מ"ע אדי גרויסמן</t>
    </r>
  </si>
  <si>
    <t>בבדיקות השנאי מצאו כי סיכוכים פורצים להארקה בכבלי מ"ג. בנוסף קיים עיכוב בתכנון תקשורת תפעולית לאחר ישיבה על לו"ז טיפול בתקלות - חשמול מסתמן 15.07</t>
  </si>
  <si>
    <t>ממתינים לאישור בתוכנית הפסקות בכדי לקיים ישיבת תיאום עבודות</t>
  </si>
  <si>
    <t xml:space="preserve">20.07.26- סיור הקפאת תצורה - בוטל נקבעה ישיבה לתאריך  12.07 לקבלת סטטוס הציוד </t>
  </si>
  <si>
    <t>עקב בקשת תכנון אזרחי לאחד תכנונים הקפאת התצורה נדחתה לתאריך 09.07 נקבעה ישיבה ליום 08.07 לביצוע סנכרון תכנונים בין אלק"מ, אזרחי, ותכנון מ"ע.</t>
  </si>
  <si>
    <t>לא נמצא פתרון להעברת קווי היציאות - יעלה לנושאים קריטיים</t>
  </si>
  <si>
    <t>מקודם יחד עם פרויקט שדה 5</t>
  </si>
  <si>
    <t>קבלן נמצא בשטח סיים חפירות יתחיל תפסנות בהמשך השבוע</t>
  </si>
  <si>
    <t>חוסר בבודקים</t>
  </si>
  <si>
    <t xml:space="preserve">התקיימה פגישה באתר, מנה"פ תישלח טבלת תשלומים  סופית לאישור טראלייט עד סוף השבוע. </t>
  </si>
  <si>
    <t xml:space="preserve">הושלם ונדרשת השלמת איטום מעברי אש </t>
  </si>
  <si>
    <t>30/06/2026
31/7/2026 מסדר 161 ק"ו
מסדר 400 ק"ו 30/09/2026
(מותנא בהמשך בדיקות מגזר הביצוע)</t>
  </si>
  <si>
    <t>ב 31/05/26 התקבלה תב"ע. תתואם ישיבת התנעה.</t>
  </si>
  <si>
    <t>המשך עבודות הרכבה חשמלית.
נקבע קומישנינג לצוות של אפרת ל 12/7 צפי מסירה לבדיקות 30/7/2026
הושלם המסמך, ממתין לאישור ועדת מכרזים</t>
  </si>
  <si>
    <t>השנאי  ה 2 חושמל ב 25/06/26
הועברה בקשה לגיל חזום לבדיקת נחיצות מועד החישמול של השנאי השלישי, ובחינת הפרדתו מהפרויקט הנוכחי.</t>
  </si>
  <si>
    <t xml:space="preserve">
1. התארכות עבודות אזרחיות - למעקב.
2. עיכוב בקבלת מערכת SCS חדשה של חברת סימנס במועד המבוקש 10/26 - סיכון למעקב
3. עיכוב באספקת ציודים.</t>
  </si>
  <si>
    <t xml:space="preserve"> ניידת חושמלה ב 25.2.26
חיבור יציאות מ"ג בוצע ב 25.3.26
מעבר בטוח בין שני המפלסים בתחמa:
 בוצע סיור ב 10.6 תכנון אזרחי, פיקוח ויח התחמש לבדיקת מדרון -סוכם כי יש לפנות מילוי שצמוד לחומה (דרישת יועץ קרקע) כולל פינוי מילוי שגלש לניקוז. לאחר מכן לבצע מדידה חדשה ועדכון תכנון מדרגות. ממתין לקבלת הצעת מחיר מקבלן. עד ביצוע מדרגות הוחלט למתן את המעבר כמה שניתן על מנת לאפשר מעבר בטוח יותר .
התקבלה תלונה מהישוב על רעש מהניידת (16.4.26) והועברה לטיפול יח התחמש- הונחו לוחות בטון, הרעש הגיע גם לאזורים אחרים. לא התקבל אישור להפסיק את הניידת בגלל העומס. כעת ממתין להמשך טיפול  במעורבות  שלנו למציאת פתרון 
עדכון 6.7.26:
תואם ביצוע עבודת קבלן אזרחי לטיפול במדרון וניקוי תעלה ב 7.7.26
*טרם נמצא פתרון לרעש. אין התקשרות עם קבלן אקוסטי או יועץ.  בבדיקה של גלי באחריות מי לטפל בנושא זה (יחידת התחמש או פרויקטים)
</t>
  </si>
  <si>
    <t xml:space="preserve">4.6 התקבלה מפת מדידה  ובוצע תשלום אגרה 
31.5 הוגשה בקשה לרשויות מעבר תוואי מ"ג
עד 14.6 תוגש בקשה לרשויות מעבר תווי עילי מ"ע 
9.6 הוגשה בקשה לתיק מידע  + בקשה במערכת תשתיות של נת"י 
10.6 בוצע סיור בשטח עם מתכננים ותובלה. נדרש לפנות 2 מכולות משרדים ועצים וליישר שטח על מנת להציב את הניידות.
לו"ז לקבלת היתר מסתמן חצי שנה - מועד חשמול מסתמן 3/27
עדכון 6.7.26 - התקבלה  היום מדידה חדשה . ממתים לעדכון תוכניות בהתאם, כולל פירוקים  לצורך הצגה לעירייה . טרם התקבל תיק מידע </t>
  </si>
  <si>
    <t xml:space="preserve">10.5 התקבל תיק מידע 
2.6 הוגשה בקשה להיתר. בדיקת תנאים מוקדמים עד 24.6
7.6 נערכה ישיבת תאום בין תכנון ניידות לבין תכנון הקבועה. מסתמן קושי בהוצאת הנידות , יש לערוך תיאומים נוספים שת"פ להמשך תכנון מפורט . 
עדכון 6.7.26: עדיין ממתינים לדוח הידרולוג, יכול לעכב תכנון אזרחי ועליית קבלן לקרקע. תואם ל21.7 סיור עם המועצה לקידום הליך היתר. ממתין להתייחסות פיקוח אזרחי א.פ.ייצור להפעלת קבלן שלהם כולל פיקוח. יתכן וידרש להפעיל קבלן של א.פ.השנאה כדי להימנע ממכרז 
</t>
  </si>
  <si>
    <t>שולב בפרויקט הגדול WBE-162, בעקבות התחייבות חח"י לחיבורי לקוח ולבקשת הנהלת החטיבה התקיים ב 2/7/26 דיון ראשון לקייזן ניתוח חלופות לטובת חישמול שנאי 1 עד סוף 2026. התברר כי ישנן סוגיות רבות לניתוח ופיתרון ויקבע קייזן של יום שלם פרונטלי בשבוע שבין 12-18/07/26.</t>
  </si>
  <si>
    <t>הפרויקט נמצא בשלב קדם, נפתחה בקשה לתיק מידע. 
ב 24/05/26 התקבל מזכר מנגה לתחנה.
ב 27/05/26 התקיימה הפגישה אצל מהנדס העיר באווירה חיובית, סוכם על שיתופי פעולה ועזרה בקידום האישורים וההיתר. 
כמו כן סוכם שתהיה פניה משותפת של העיריה וחח"י לחברת נגה לעדכן את נושא כניסת הקוים לתחמ"ש - לכניסה תת"ק בחיבור הפוך. 
על מנת לא לפגוע ביעדי הפרויקט אל מול טיפולה של העירייה מול נגה בנושא הטמנת הקו ממנו תחובר התחמ"ש.
נקבעה ישיבת התנעה במגזר התכנון ב 08/07/26</t>
  </si>
  <si>
    <t xml:space="preserve">ב 06/07/26 התקבל עדכון מאודי אריה שצוות הבודקים יכנס רק לאחר סיום הניידת בכרמיאל - צפי הגעה 16/07/26 ולכן צפי חדש להכנסה לניצול 30/09/26 </t>
  </si>
  <si>
    <t>הסכם חכירה בדיונים בין המחלקות המשפטיות לקראת חתימה בחודש 7/26</t>
  </si>
  <si>
    <t>התחלת עבודות על מסדר מ"ג 7/6/26, עיכוב של חודש באספקת המסדר,          חשמול המסדר מתוכנן ל 10/26.  התחלת עבודה קבלן-יולי 2026</t>
  </si>
  <si>
    <t xml:space="preserve"> כ"כ מתוכנן ליולי 2026 פרויקט הוספת השנאי יתבצע במקביל לפרויקט הרכבת,.</t>
  </si>
  <si>
    <t>התחלת עבודות קבלן אזרחי מתעכבת לאחר סרוב הקבלן  7/2028</t>
  </si>
  <si>
    <t>מסדר מ"ג מוכן, בשלב בדיקות. חשמול המסדר  20/8/26</t>
  </si>
  <si>
    <t xml:space="preserve"> הסתיימו בדיקות הרכבה חשמלית למסדר מ"ג , חשמול מתוכנן 8/2026</t>
  </si>
  <si>
    <t>מקדמים תכנון של הצבת הניידות ולפתור את הנושא של התקלות התקולות. בתאריך 7.7.26 יתקיים דיון במועצה הארצית בנושא הצבת הניידות מכח צו שר</t>
  </si>
  <si>
    <t>מקדמים הוצאת הזמנת תכנון נוספת לתכנון קו הסניקה, מסתמן פתרון מול תאגיד המים - הנספח הסניטארי הוגש שוב לאישור התאגיד</t>
  </si>
  <si>
    <t>מקדמים את מילוי תנאי התכן, במקביל מנסים למצוא פתרון למטע עצי הזית במגרש</t>
  </si>
  <si>
    <t>לקראת סיום וגיבוש ההסכם. ממתינים לרישום העירייה כבעלת הקרקע.</t>
  </si>
  <si>
    <t>הפרויקט בהקפאה - כרגע ישנו חוסר ודאות בנוגע לישימות הפרויקט. נושא הטמנת קו מ"ע נמצא בבחינה של רת"ק</t>
  </si>
  <si>
    <t xml:space="preserve">תוכנית שינויים הועברה לעירייה לבדיקה
</t>
  </si>
  <si>
    <t>הקבלן החל לעבוד באתר בתאריך 6.7.26</t>
  </si>
  <si>
    <t>שנאי 524 חושמל. שנאי 523 הוצא מן היסוד והקבלן התחיל לעבוד על חיזוק היסוד. הועתקו כל הקווי מ"ג מפ"צ 523 ל פ"צ 524 לצורך פירוק פ"צ 523 הישן והחלפתו בחדש</t>
  </si>
  <si>
    <t>הרכבת ניידת הסתיימה,  בשלב חישמול מול יח' תחמ"ש  והמחוז. 8.26</t>
  </si>
  <si>
    <t xml:space="preserve">קבלת היתר צפויה ב 19.8, נדרש קבלת אישור כיבוי אש, אישור וועדת שלב תכן. נדרש העברת קווים של המחוז פוי בחודש 7.26-8.26, קיים עיכוב בקידווח ברחוב  זבוטינסקי , אישור נת"ע - שיה בתוקף באחריות המחוז. לאחר מכן הוצאה מניצול של הארעית .   הועבר דיווח  בע"פ מנווה שהציוד יילרח לפרוייקט פרטי של יחוות שרתים, יש לקבל מסמך מסודר  ועדכון כתב כמויות </t>
  </si>
  <si>
    <t>קבלת אישור ל ביצוע עבודות מחוז להעברת כבלים לקרית אריה  צפי 8.26 , בטיפול ירון ליב ,נשלח מייל לשלום בוחבוט, התקבלה התייחסות לבדיקת קידום עבודות</t>
  </si>
  <si>
    <t xml:space="preserve">עבודה אזרחית- קיים עיכוב של חודש, מסירה אזרחית  של מסדר 24 ק"ו, 161 ק"ו צפוי  בחודש 10.26. </t>
  </si>
  <si>
    <t xml:space="preserve">השלמת עבודות אזרחיות - חיפוי קירות,  סוללות קבלים -  הרכבת   רצפה, השלמת מעקה. צפי מסירה  15.7 הרכבה חשמלית -מסדר 24 ק"ו - בוצע בדיקת מתח יתר ,  קיימת תקלה במפסק בפ"צ 1, יידרש להחליף.   מסדר 161 ק"ו החלו בדיקות מתח יתר .   חסר מבודד אפס בשנאי 521- נשלח מייל לרכש. </t>
  </si>
  <si>
    <t xml:space="preserve">התקיים סיור קבלנים ב 24.06. צפי בחירת קבלן-אמצע אוגוסט. צפי קבלת היתר-סוף יולי.  התקיימה היום ישיבה עם ארז סרי בנושא בחינת הצורך בהיתרים עבור דרך הגישה הזמנית מכיוון כפר רות. סוכם כי הוראות התכנית והתשריט ייבדקו פעם נוספת על ידי מנרא ותכנון תחבורה לצורך גיבוש עמדה סופית. עד יום ראשון יועבר עדכון להנהלה בנושא. ככל שיידרש קידום מיידי של הסוגיה מול הוועדה המקומית, תיקבע פגישה דחופה בהקדם, תוך תיאום והסתייעות גם בגורמי המחוז לפי הצורך. </t>
  </si>
  <si>
    <t>תחילת עבודת הרכבה עם מומחה ב 30.06. GE הציעו לקחת את הציוד מגבעת שאול לטובת ראש העין ובמקביל לייצר חדש. עדיין ממתינים להתייחסות למומחה DCS ולבעיות התפעוליות בתחנה מצד GE</t>
  </si>
  <si>
    <t>היום התקיימה פגישה מול תכנון חשמלי ויחידת התחמ"ש בנושא שלביות ביצוע העבודה עבור החלפת מערכת SCS. יש צורך לקיים את ההחלפה עם החלפת מסדר מ"ג 2. בשבוע הבא מתואמת פגישה מול המחוז לתיאום לוחות זמנים ובהתאם יוחלט לו"ז לפרויקט ההרחבה. במקביל, תכנון אזרחי בשלבי סיום. הזמנה למסדר 161 הוקמה , צפי הגעה 12.2027</t>
  </si>
  <si>
    <t xml:space="preserve">הפרויקט כרגע נמצא בהגדרת תכולה חדשה. מתואמת ישיבה נוספת של הנהלת האגף מול אגף רשת ירושלים והנגב לעוד שבועיים. בזמן זה נבחן לו"ז הפרויקט עם כל הגורמים המעורבים. התקיים סיור ב 5.7 בשטח עם יחידת התחמ"ש, פיקוח אזרחי ותכנון אזרחי לטובת דיוק שלבי הביצוע והבנת מורכבותו. </t>
  </si>
  <si>
    <t xml:space="preserve">בוצע סיור בשטח מול רת"ק והרכבה חשמלית לתיאום העבודות. תמיכות הוזמנו. יש לבחון קידום עבודות בתא שנאי של פירוק צנרת כיבוי אש והרכבת תאורה עד להגעת התמיכות. 
</t>
  </si>
  <si>
    <t xml:space="preserve">ציוד הגיע לארץ והוחלט לבצע את הפרויקט ללא נוכחות מומחה.בישיבה לתיאום העבודה מהיום הוחלט לקדם את העבודה בשדה 7 החל מה 19.7. תיאום המשך העבודה בשדה 9 יעשה לאחר התייחסות GE גם למ"ז שנמצא תקול. </t>
  </si>
  <si>
    <t>בתאריך 25.03.2026 החומר הועבר לטיפול מח' מכרזים , הודעה מתאריך 27.04.26  כי צפי בחירת קבלן זוכה 15.08.26, לדברי לוי אילנית צפי קבלן זוכה תחילת אוקטובר וצפי עלייה לקרקע 15.11.26</t>
  </si>
  <si>
    <t>הסכם נחתם עם קבלן עבודות אזרחיות ב 21.06.2026, עבודות החלו</t>
  </si>
  <si>
    <t xml:space="preserve"> המשך עבודות אזרחיות- , פיתוח שטח, גדר .הרכבת שנאים- חסר מבודדי תמיכה צפי סוף יוני. , הרכבה חשמלית - המשך עבודות מסדר 161 ק"ו התגלו תקלות בציוד מנתק שדה 8 מיד ומפסק מהווה עיכוב להמשך בדיקות מתח יתר .- קומשניג -התחלה 10.5  במשך כשבועיים הוצאו עובדי מבדקה לפרויקטים אחרים ומהווה סיכון לעמידה במועד ביצוע מתח יתר.  חזרת עובדים מ 15.6 , בהתאם להנחיה של ירון ליב יש צורך בביצוע בדיקות מתח יתר ב15.7 במקום 30.7 .המשך עבודות קומשניג לבדיקות מתח יתר  עד 15.7- , מועד צפוי כניסה יח תחמ"ש 1.8 .מסדר -24 ק"ו -המסדר מוכן לקומשניג  - לא ניתן להמשיך   לבדיקות משנה מתח, משנה זרם להערכות בדיקות מתח יתר.- אנשי מבדקה  הוצאו מהתחמ"ש   , באים רק לעבודות נקודיות. חדר פיקוד -  השלמת חלוקות מתח נמוך עבור מערכות אלק"מ  - עבודות רתק בתאי שנאים- התחלת עבודות 30.6.26- לחודש יח'תחמ"ש - הפסקת עבודות  - צפי חזרה 2.8.26</t>
  </si>
  <si>
    <t>עיכוב בכביש גישה התקיימה ישיבה עם העירייה וחח"י לקידום חלופה שנייה- נדרש לתעודת גמר -  התקבל אישור  ממשרד התחבורה . ישיבות מול עירייה  ציוד - מנתק תקול - בביצוע קבלת מבודדי תמיכה - טרם סופר.  חוסר משאביי כ"א - מבדקה  ומהווה סיכון לעמידה במועד ביצוע מתח יתר ומועד הכנסה לניצול 11.26. עיכוב במכרז לקבלן רת"ק - יההוה סיכון ללו"ז חישמול. סדר 161 ק"ו התגלו תקלות בציוד מנתק שדה 8 מיד ומפסק מהווה עיכוב להמשך בדיקות מתח יתר .</t>
  </si>
  <si>
    <r>
      <rPr>
        <sz val="12"/>
        <rFont val="Arial"/>
        <family val="2"/>
        <scheme val="minor"/>
      </rPr>
      <t>הועבר לארז סרי מסמך עמדה והתייחסות לטיפול בהיפוך ההחלטה ולקבל אישור צו שר למיקום המקורי.
התקבל מידע מהמחוז שמיאסיף מוציאים לשכונה החדשה בעכו 12 קווים במקום 9 . מבקשת לבדוק נחיצות של הניידות בעכו.</t>
    </r>
  </si>
  <si>
    <r>
      <rPr>
        <sz val="12"/>
        <rFont val="Arial"/>
        <family val="2"/>
        <scheme val="minor"/>
      </rPr>
      <t xml:space="preserve">1. ישיבת התנעה עם הקבלן הזוכה התקיימה ב 6/7/26 ממתינים לחתימת החוזה והשלמת התארגנות. צפי תחילת עבודות 19/07/26.
2. עדכון התכנון לייסודות רדודים בהתאם להחלטת הנהלה ימסר לקבלן בחבילות:
- חבילה ראשונה - מאצרה ושנאי עד 9/7/26.
- חבילה שניה - תכולות נותרות עד 
16/07/26
3. ציוד: נתוני הציוד לא תומכים בלו"ז המעודכן שנקבע לאחר הישיבה אצל מנהל האגף. (חלק מהציודים מגיעים ב 01/27) נדרשת התערבות הנהלה. נדרש למצוא חלופות ציוד כך שיתמכו בלו"ז המעודכן ולא יפגעו בהשלמת הפרויקט.
</t>
    </r>
  </si>
  <si>
    <r>
      <t xml:space="preserve">הושלמה מסירה של מסדר 161 ק"ו כולל תיקונים.
מבנה הפיקוד ואולם המסדרים - צפי מסירה 12/07/26
ב 27/6/26 הושלמה התקנת 5 עמודי מ"ע בתוך שטח התחנה.
ב 28/6/26 הקבלן חזר להשלים את 2 ייסודות השנאי המערביים.
העתקת חשמל זמני משנאי בית מחוץ לתחנה - הושלם התכנון </t>
    </r>
    <r>
      <rPr>
        <u/>
        <sz val="12"/>
        <rFont val="Arial"/>
        <family val="2"/>
      </rPr>
      <t xml:space="preserve">טרם התקבל תיק ביצוע.
</t>
    </r>
    <r>
      <rPr>
        <sz val="12"/>
        <rFont val="Arial"/>
        <family val="2"/>
      </rPr>
      <t xml:space="preserve">העתקת עמוד בזק הנמצא בכניסה החדשה לתחנה - טרם התבצע - הועבר לטיפול צוות הסרת חסמים מול בזק.
</t>
    </r>
  </si>
  <si>
    <r>
      <rPr>
        <sz val="12"/>
        <rFont val="Arial"/>
        <family val="2"/>
        <scheme val="minor"/>
      </rPr>
      <t>08.06.26</t>
    </r>
    <r>
      <rPr>
        <b/>
        <sz val="12"/>
        <rFont val="Arial"/>
        <family val="2"/>
        <scheme val="minor"/>
      </rPr>
      <t xml:space="preserve"> : לדברי שירן " בשל אילוצי תיעדוף מגזר תכנון אינו הכניס את הפרויקט לתכנון השנה, הועבר לבחינה של אגף תפעול תחמ"ש באגף החדש"בנוסף לא מונה מנהל פרויקט אך לקחתי זאת לאחריותי . לא ניתן לקדם את הפרויקט  כי טרם תוכנן ע"י מגזר תכנון</t>
    </r>
  </si>
  <si>
    <r>
      <t xml:space="preserve">28.06.2026- התקבל אישור כיבוי אש
בימים הקרובים צפי לקבלת טופס 4
</t>
    </r>
    <r>
      <rPr>
        <b/>
        <sz val="12"/>
        <rFont val="Arial"/>
        <family val="2"/>
        <scheme val="minor"/>
      </rPr>
      <t>לא ניתן לחשמל עד לחתימה על הסכם תפעול</t>
    </r>
  </si>
  <si>
    <r>
      <t>השטח החדש - 
הניידת חושמלה במ"ע בהצלחה ב9.6 
הניידת חשומלה לכבל הראשון של מ"ג - נדרשים עוד 3 חיבורים של מ"ג - 
הנ"ל יחובר במהלך השבועיים הקרובים.
*</t>
    </r>
    <r>
      <rPr>
        <b/>
        <sz val="12"/>
        <rFont val="Arial"/>
        <family val="2"/>
      </rPr>
      <t xml:space="preserve"> קבלן אורבן של מ"ע עדין לא נכנס למחוץ לשטח החדש כדי לשקם אותו, רונן אפריים נדרש לטפל בקיצור של הכבל מ"ע וכן סיום השיקום - הוא עדין לא החזיר תשובה ונדרשת התערבות של מנהל המחלקה. רק אחרי שאורבן יסיימו נוכל לסיים את העבודות של דורעד
</t>
    </r>
    <r>
      <rPr>
        <sz val="12"/>
        <rFont val="Arial"/>
        <family val="2"/>
      </rPr>
      <t>השטח הישן - החזרתו עד ה30.6
קיבלנו תוצאות של הדגימה של הקרקע- התוצאות תקינות, נשאר לקבלן אורבן להחזיר את המקום לקדמותו ואז נוכל להחזיר את השטח לפי מועד היעד</t>
    </r>
  </si>
  <si>
    <r>
      <t xml:space="preserve">השטח החדש - 
הניידת חושמלה במ"ע ומ"ג - יצא מכתב של הכנסתה לניצול, וכך  הסתיימו העבודות בשטח הניידת.
</t>
    </r>
    <r>
      <rPr>
        <b/>
        <sz val="12"/>
        <rFont val="Arial"/>
        <family val="2"/>
      </rPr>
      <t xml:space="preserve">כעת עובדים על השטח החיצוני - קבלן אורגן יתקן את המדרכה, קבלן דורעד יסיים לנקות את השטח. עבודה של עוד כשבוע והשטח יהיה מוכן
</t>
    </r>
    <r>
      <rPr>
        <sz val="12"/>
        <rFont val="Arial"/>
        <family val="2"/>
      </rPr>
      <t>השטח הישן - השטח הוחזר ב1/07/26 וכבר אינו בבעלות של חברת חשמל</t>
    </r>
  </si>
  <si>
    <r>
      <rPr>
        <b/>
        <u/>
        <sz val="12"/>
        <rFont val="Arial"/>
        <family val="2"/>
        <scheme val="minor"/>
      </rPr>
      <t>עיכוב ברכש</t>
    </r>
    <r>
      <rPr>
        <sz val="12"/>
        <rFont val="Arial"/>
        <family val="2"/>
        <scheme val="minor"/>
      </rPr>
      <t xml:space="preserve"> - סיור הקבלנים נדחה מאפריל ליוני וגם ביוני נדחה  -מנהל הפרויקט מתריע כי אם עלית קבלן לשטח לא תעשה עד 1.09.2026 - לא נעמוד ביעד ההפסקה של המחז"ם וביעד הנדרש לפרויקטים התלויים באשכול זה בזבולון</t>
    </r>
  </si>
  <si>
    <r>
      <rPr>
        <sz val="12"/>
        <rFont val="Arial"/>
        <family val="2"/>
        <scheme val="minor"/>
      </rPr>
      <t>שנאי 521 מוכן לחשמול- ממתינים לקבלת טופס 4- באחריות היזם
לא ניתן לחשמל עד לחתימה על הסכם תפעול</t>
    </r>
  </si>
  <si>
    <t xml:space="preserve">סוללות מצברים סופקו ביום ד'-24/06/2026 סופקו עם סטנדים לא מתאימים (דו קומתיים) לא מתאים לסוג הסוללות שסופקו . הצענו פתרון להתקנתם על חלק התחתון של הסטנד הספק יבצע את ההתקנה בהתאם
, .
 מסדר 161 ק"ו בעיצומן של בדיקות הכנסה לניצול לפני חשמול צפי לסוף חודש 6/2026
שמוליק טיפל מול GE לגבי עדכון התוכנה , תמיכה של GE וציוד חסר - ניתן מענה מבחינת וציוד 
מסדר 400 ק"ו - חזרה של בודקי מגזר ביצוע  להמשך בדיקות  - לפי הנחיית סמנכ"ל יש לקדם את מוכנות לבדיקות מ"י עד חודש 8/2026 יש להיערך בהתאם 
הולכה - קווי מ"ע , לפי אבישי תורגמן 4/6 הוחלט לחשמל את המעגלים כמתוכנן לאחר עדכון מוכנות  לחשמול בחודש 6/2026 
ב-17/06/2026 התקיימה שיבה עם יחידת תחמ"ש ושאר המעורבים לקביעת אחריות תפעולית בתחמ"ג - הוחלט לגדר את מתחם רת"ק כולל עד cablebox על מנת שיוכלו לעבוד ללא צורך בהשגחה.
יח' תחמ"ש צ' אחראים מבחינה תפעולית על מסדר 161 ק"ו בלבד.
עד לסיום עבודות הקבלן בתחמ"ג (בימים הקרובים יתקבל לו"ז מהקבלן) נקיים שוב דיון להעברת אחריות אל שאר אזורי התחמ"ג
מחלקת ציוד מטפלים בהזמנת ציוד לשני שדות נוספים מסדר 400 ק"ו שדה 7 ו- 9 
מבקש לקדם ולקבל לו"ז כדי לתאם את העבודות עם כל הגורמים
סיום כל עבודות הקבלן כולל פיתוח נופי חודש 9/2026
בהתאם להנחיית הסמנכ"ל חשמול מסדר 161 ק"ו נקבע ל 15/7/2026
מתואם מול נגה
</t>
  </si>
  <si>
    <t xml:space="preserve">התקיימה ועדת חשמול 30/6/2026 להלן סיכום:
עדכון מאלפרד ליסט - חשמול מסדר 161 ק"ו סוף חודש 7/2026 
חשמול שאר התחמ"ש (שנאים + מסדר מ"ג) עד אמצע סוף חודש 9/2026 
הנחיית הסמנכ"ל לחשמול התחמ"ש כולה יחד ולא בשלביות ניתן לזרז את הבדיקות ולעמוד ביעד חשמול 8/2026
בעיה עיקרית כרגע אי השלמת מערכת גילוי אש במבנה - מנהל אגף פנה למנכ"ל חב' אורד התקבל לו"ז לסיום עבודות כולל בדיקות מ. התקנים ואינטגרצייה עד 23/7.
התקיימה ישיבת מנהלת -סטטוס עבודות  29/6 בדגש על הקדמת הבדיקות ואינטגרציית מערכות! - בהתאם לדרישת הסמנכ"ל 28/6
בדיקות מ"י לכבלי מתח עליון שנאים + כבלים עברו בהצלחה!
חיבור שנאי בית באחריות רשת דן וחוף לפי עדכון אחרון יתאפשר רק בסוף חודש 7/2026 (התעכב אצלם בהוצאת הזמנה)
בוצעה הנחת כבלי מ"ג ע"י קבלן המחוז, קבלן החל להניח כבלים לתוך התחמ"ש.
תואם הקדמת חיבור קוו מ"ג המיועד לחשמול שנאי בית בתחמ"ש - מול אבי לבחר
</t>
  </si>
  <si>
    <t>קבלן עלה לקרקע ב5.7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</si>
</sst>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31" x14ac:knownFonts="1">
    <font>
      <sz val="11"/>
      <color theme="1"/>
      <name val="Arial"/>
      <family val="2"/>
      <charset val="177"/>
      <scheme val="minor"/>
    </font>
    <font>
      <b/>
      <sz val="11"/>
      <color rgb="FF000000"/>
      <name val="Arial"/>
      <family val="2"/>
      <scheme val="minor"/>
    </font>
    <font>
      <sz val="11"/>
      <color rgb="FF000000"/>
      <name val="Arial"/>
      <family val="2"/>
      <scheme val="minor"/>
    </font>
    <font>
      <sz val="11"/>
      <color rgb="FF000000"/>
      <name val="Arial"/>
      <family val="2"/>
      <charset val="177"/>
      <scheme val="minor"/>
    </font>
    <font>
      <sz val="8"/>
      <name val="Arial"/>
      <family val="2"/>
      <charset val="177"/>
      <scheme val="minor"/>
    </font>
    <font>
      <sz val="11"/>
      <name val="Arial"/>
      <family val="2"/>
      <charset val="177"/>
      <scheme val="minor"/>
    </font>
    <font>
      <b/>
      <sz val="9"/>
      <color indexed="81"/>
      <name val="Tahoma"/>
      <family val="2"/>
    </font>
    <font>
      <sz val="9"/>
      <color indexed="81"/>
      <name val="Tahoma"/>
      <family val="2"/>
    </font>
    <font>
      <sz val="12"/>
      <name val="Arial"/>
      <family val="2"/>
    </font>
    <font>
      <sz val="12"/>
      <name val="Arial"/>
      <family val="2"/>
      <scheme val="minor"/>
    </font>
    <font>
      <sz val="12"/>
      <name val="Arial"/>
      <family val="2"/>
      <charset val="177"/>
      <scheme val="minor"/>
    </font>
    <font>
      <sz val="12"/>
      <name val="Aptos Narrow"/>
      <family val="2"/>
    </font>
    <font>
      <sz val="12"/>
      <name val="Arial"/>
      <family val="2"/>
      <charset val="177"/>
    </font>
    <font>
      <sz val="11"/>
      <name val="Arial"/>
      <family val="2"/>
    </font>
    <font>
      <u/>
      <sz val="11"/>
      <color theme="10"/>
      <name val="Arial"/>
      <family val="2"/>
      <charset val="177"/>
      <scheme val="minor"/>
    </font>
    <font>
      <sz val="11.5"/>
      <name val="Arial"/>
      <family val="2"/>
      <scheme val="minor"/>
    </font>
    <font>
      <b/>
      <sz val="12"/>
      <name val="Arial"/>
      <family val="2"/>
      <scheme val="minor"/>
    </font>
    <font>
      <sz val="11"/>
      <color indexed="81"/>
      <name val="Tahoma"/>
      <family val="2"/>
    </font>
    <font>
      <sz val="12"/>
      <name val="Arial"/>
      <family val="2"/>
      <charset val="1"/>
    </font>
    <font>
      <sz val="12"/>
      <name val="Aptos"/>
      <family val="2"/>
    </font>
    <font>
      <sz val="11"/>
      <name val="Open Sans"/>
      <family val="2"/>
    </font>
    <font>
      <sz val="12"/>
      <name val="Open Sans"/>
      <family val="2"/>
    </font>
    <font>
      <u/>
      <sz val="12"/>
      <name val="Arial"/>
      <family val="2"/>
      <scheme val="minor"/>
    </font>
    <font>
      <b/>
      <sz val="12"/>
      <name val="Arial"/>
      <family val="2"/>
    </font>
    <font>
      <b/>
      <sz val="14"/>
      <name val="Arial"/>
      <family val="2"/>
      <scheme val="minor"/>
    </font>
    <font>
      <sz val="11"/>
      <color rgb="FF000000"/>
      <name val="Arial"/>
      <family val="2"/>
    </font>
    <font>
      <b/>
      <sz val="12"/>
      <name val="Aptos Narrow"/>
      <family val="2"/>
    </font>
    <font>
      <b/>
      <u/>
      <sz val="12"/>
      <name val="Arial"/>
      <family val="2"/>
      <scheme val="minor"/>
    </font>
    <font>
      <u/>
      <sz val="12"/>
      <name val="Arial"/>
      <family val="2"/>
    </font>
    <font>
      <sz val="14"/>
      <name val="Arial"/>
      <family val="2"/>
      <scheme val="minor"/>
    </font>
    <font>
      <sz val="12"/>
      <name val="Aptos Narrow"/>
      <family val="2"/>
      <charset val="177"/>
    </font>
  </fonts>
  <fills count="8">
    <fill>
      <patternFill patternType="none"/>
    </fill>
    <fill>
      <patternFill patternType="gray125"/>
    </fill>
    <fill>
      <patternFill patternType="solid">
        <fgColor rgb="FFFF7C8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theme="7"/>
      </top>
      <bottom style="thin">
        <color indexed="64"/>
      </bottom>
      <diagonal/>
    </border>
  </borders>
  <cellStyleXfs count="2">
    <xf numFmtId="0" fontId="0" fillId="0" borderId="0"/>
    <xf numFmtId="0" fontId="14" fillId="0" borderId="0" applyNumberFormat="0" applyFill="0" applyBorder="0" applyAlignment="0" applyProtection="0"/>
  </cellStyleXfs>
  <cellXfs count="196">
    <xf numFmtId="0" fontId="0" fillId="0" borderId="0" xfId="0"/>
    <xf numFmtId="0" fontId="3" fillId="0" borderId="0" xfId="0" applyFont="1" applyAlignment="1">
      <alignment readingOrder="2"/>
    </xf>
    <xf numFmtId="0" fontId="0" fillId="0" borderId="0" xfId="0" applyAlignment="1">
      <alignment wrapText="1" readingOrder="1"/>
    </xf>
    <xf numFmtId="0" fontId="0" fillId="0" borderId="1" xfId="0" applyBorder="1"/>
    <xf numFmtId="0" fontId="0" fillId="0" borderId="1" xfId="0" applyBorder="1" applyAlignment="1">
      <alignment horizontal="center" vertical="center"/>
    </xf>
    <xf numFmtId="0" fontId="1" fillId="0" borderId="1" xfId="0" applyFon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readingOrder="1"/>
    </xf>
    <xf numFmtId="0" fontId="0" fillId="0" borderId="1" xfId="0" applyBorder="1" applyAlignment="1">
      <alignment horizontal="center" vertical="center"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8" fillId="0" borderId="1" xfId="0" applyFont="1" applyBorder="1" applyAlignment="1" applyProtection="1">
      <alignment horizontal="center" vertical="center" wrapText="1" readingOrder="2"/>
      <protection locked="0"/>
    </xf>
    <xf numFmtId="0" fontId="9" fillId="0" borderId="1" xfId="0" applyFont="1" applyBorder="1" applyAlignment="1" applyProtection="1">
      <alignment vertical="center" wrapText="1"/>
      <protection locked="0"/>
    </xf>
    <xf numFmtId="0" fontId="0" fillId="2" borderId="1" xfId="0" applyFill="1" applyBorder="1"/>
    <xf numFmtId="0" fontId="0" fillId="3" borderId="1" xfId="0" applyFill="1" applyBorder="1"/>
    <xf numFmtId="0" fontId="0" fillId="4" borderId="1" xfId="0" applyFill="1" applyBorder="1"/>
    <xf numFmtId="0" fontId="3" fillId="0" borderId="1" xfId="0" applyFont="1" applyBorder="1" applyAlignment="1">
      <alignment readingOrder="2"/>
    </xf>
    <xf numFmtId="0" fontId="0" fillId="7" borderId="0" xfId="0" applyFill="1"/>
    <xf numFmtId="0" fontId="10" fillId="0" borderId="3" xfId="0" applyFont="1" applyBorder="1" applyAlignment="1" applyProtection="1">
      <alignment horizontal="center" vertical="center"/>
      <protection locked="0"/>
    </xf>
    <xf numFmtId="0" fontId="10" fillId="0" borderId="3" xfId="0" applyFont="1" applyBorder="1" applyAlignment="1" applyProtection="1">
      <alignment horizontal="center" vertical="center" wrapText="1"/>
      <protection locked="0"/>
    </xf>
    <xf numFmtId="0" fontId="0" fillId="0" borderId="14" xfId="0" applyBorder="1"/>
    <xf numFmtId="0" fontId="10" fillId="0" borderId="3" xfId="0" applyFont="1" applyBorder="1" applyAlignment="1" applyProtection="1">
      <alignment horizontal="center" vertical="center" wrapText="1" readingOrder="2"/>
      <protection locked="0"/>
    </xf>
    <xf numFmtId="0" fontId="10" fillId="0" borderId="0" xfId="0" applyFont="1" applyAlignment="1" applyProtection="1">
      <alignment horizontal="center" vertical="center" wrapText="1" readingOrder="2"/>
      <protection locked="0"/>
    </xf>
    <xf numFmtId="0" fontId="8" fillId="5" borderId="5"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164" fontId="8" fillId="5" borderId="1" xfId="0" applyNumberFormat="1" applyFont="1" applyFill="1" applyBorder="1" applyAlignment="1" applyProtection="1">
      <alignment horizontal="center" vertical="center" wrapText="1"/>
      <protection locked="0"/>
    </xf>
    <xf numFmtId="0" fontId="9" fillId="5" borderId="5" xfId="0" applyFont="1" applyFill="1" applyBorder="1" applyAlignment="1">
      <alignment horizontal="center" vertical="center"/>
    </xf>
    <xf numFmtId="0" fontId="9" fillId="5" borderId="1" xfId="0" applyFont="1" applyFill="1" applyBorder="1" applyAlignment="1">
      <alignment horizontal="center" vertical="center" wrapText="1"/>
    </xf>
    <xf numFmtId="0" fontId="9" fillId="0" borderId="1" xfId="0" applyFont="1" applyBorder="1" applyAlignment="1" applyProtection="1">
      <alignment horizontal="center" vertical="center" wrapText="1"/>
      <protection locked="0"/>
    </xf>
    <xf numFmtId="0" fontId="9" fillId="0" borderId="1" xfId="0" applyFont="1" applyBorder="1" applyAlignment="1" applyProtection="1">
      <alignment horizontal="right" vertical="center" wrapText="1" readingOrder="2"/>
      <protection locked="0"/>
    </xf>
    <xf numFmtId="0" fontId="9" fillId="0" borderId="7" xfId="0" applyFont="1" applyBorder="1" applyAlignment="1" applyProtection="1">
      <alignment horizontal="center" vertical="center" wrapText="1"/>
      <protection locked="0"/>
    </xf>
    <xf numFmtId="0" fontId="10" fillId="0" borderId="1" xfId="0" applyFont="1" applyBorder="1" applyAlignment="1" applyProtection="1">
      <alignment vertical="center" wrapText="1"/>
      <protection locked="0"/>
    </xf>
    <xf numFmtId="14" fontId="8" fillId="5" borderId="1" xfId="0" applyNumberFormat="1" applyFont="1" applyFill="1" applyBorder="1" applyAlignment="1" applyProtection="1">
      <alignment horizontal="center" vertical="center" wrapText="1"/>
      <protection locked="0"/>
    </xf>
    <xf numFmtId="14" fontId="9" fillId="5" borderId="1" xfId="0" applyNumberFormat="1" applyFont="1" applyFill="1" applyBorder="1" applyAlignment="1" applyProtection="1">
      <alignment horizontal="center" vertical="center" wrapText="1"/>
      <protection locked="0"/>
    </xf>
    <xf numFmtId="0" fontId="10" fillId="5" borderId="1" xfId="0" applyFont="1" applyFill="1" applyBorder="1" applyAlignment="1">
      <alignment horizontal="center" vertical="center" wrapText="1"/>
    </xf>
    <xf numFmtId="0" fontId="10" fillId="5" borderId="5" xfId="0" applyFont="1" applyFill="1" applyBorder="1" applyAlignment="1">
      <alignment horizontal="center" vertical="center"/>
    </xf>
    <xf numFmtId="0" fontId="8" fillId="0" borderId="1" xfId="0" applyFont="1" applyBorder="1" applyAlignment="1">
      <alignment horizontal="center" vertical="center" readingOrder="1"/>
    </xf>
    <xf numFmtId="0" fontId="8" fillId="0" borderId="1" xfId="0" applyFont="1" applyBorder="1" applyAlignment="1">
      <alignment horizontal="center" vertical="center" readingOrder="2"/>
    </xf>
    <xf numFmtId="0" fontId="8" fillId="0" borderId="8" xfId="0" applyFont="1" applyBorder="1" applyAlignment="1">
      <alignment horizontal="center" vertical="center" readingOrder="1"/>
    </xf>
    <xf numFmtId="0" fontId="10" fillId="0" borderId="7"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8" fillId="5" borderId="5" xfId="0" applyFont="1" applyFill="1" applyBorder="1" applyAlignment="1">
      <alignment horizontal="center" vertical="center" wrapText="1"/>
    </xf>
    <xf numFmtId="0" fontId="8" fillId="5" borderId="1" xfId="0" applyFont="1" applyFill="1" applyBorder="1" applyAlignment="1">
      <alignment horizontal="right" vertical="center" wrapText="1"/>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wrapText="1"/>
    </xf>
    <xf numFmtId="164" fontId="8" fillId="5" borderId="7" xfId="0" applyNumberFormat="1" applyFont="1" applyFill="1" applyBorder="1" applyAlignment="1" applyProtection="1">
      <alignment horizontal="center" vertical="center" wrapText="1"/>
      <protection locked="0"/>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wrapText="1"/>
    </xf>
    <xf numFmtId="0" fontId="10" fillId="5" borderId="7" xfId="0" applyFont="1" applyFill="1" applyBorder="1" applyAlignment="1">
      <alignment horizontal="center" vertical="center"/>
    </xf>
    <xf numFmtId="164" fontId="10" fillId="5" borderId="7" xfId="0" applyNumberFormat="1" applyFont="1" applyFill="1" applyBorder="1" applyAlignment="1" applyProtection="1">
      <alignment horizontal="center" vertical="center" wrapText="1"/>
      <protection locked="0"/>
    </xf>
    <xf numFmtId="0" fontId="10" fillId="5" borderId="13"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readingOrder="2"/>
    </xf>
    <xf numFmtId="164" fontId="8" fillId="0" borderId="1" xfId="0" applyNumberFormat="1"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readingOrder="2"/>
      <protection locked="0"/>
    </xf>
    <xf numFmtId="0" fontId="8" fillId="0" borderId="1" xfId="0" applyFont="1" applyBorder="1" applyAlignment="1" applyProtection="1">
      <alignment horizontal="center" vertical="center"/>
      <protection locked="0"/>
    </xf>
    <xf numFmtId="0" fontId="12" fillId="0" borderId="8" xfId="0" applyFont="1" applyBorder="1" applyAlignment="1">
      <alignment horizontal="center" vertical="center" readingOrder="1"/>
    </xf>
    <xf numFmtId="0" fontId="10" fillId="5" borderId="1" xfId="0" applyFont="1" applyFill="1" applyBorder="1" applyAlignment="1">
      <alignment horizontal="center" vertical="center"/>
    </xf>
    <xf numFmtId="164" fontId="10" fillId="5" borderId="1" xfId="0" applyNumberFormat="1" applyFont="1" applyFill="1" applyBorder="1" applyAlignment="1" applyProtection="1">
      <alignment horizontal="center" vertical="center" wrapText="1"/>
      <protection locked="0"/>
    </xf>
    <xf numFmtId="0" fontId="10" fillId="0" borderId="7" xfId="1" applyFont="1" applyBorder="1" applyAlignment="1">
      <alignment horizontal="center" vertical="center" wrapText="1"/>
    </xf>
    <xf numFmtId="0" fontId="10" fillId="0" borderId="1" xfId="0" applyFont="1" applyBorder="1" applyAlignment="1" applyProtection="1">
      <alignment horizontal="center" vertical="center" wrapText="1"/>
      <protection locked="0"/>
    </xf>
    <xf numFmtId="0" fontId="10" fillId="0" borderId="1" xfId="0" applyFont="1" applyBorder="1" applyAlignment="1" applyProtection="1">
      <alignment horizontal="right" vertical="center" wrapText="1" readingOrder="2"/>
      <protection locked="0"/>
    </xf>
    <xf numFmtId="0" fontId="11" fillId="0" borderId="1" xfId="0" applyFont="1" applyBorder="1" applyAlignment="1">
      <alignment vertical="center" wrapText="1"/>
    </xf>
    <xf numFmtId="0" fontId="8" fillId="0" borderId="1" xfId="0" applyFont="1" applyBorder="1" applyAlignment="1" applyProtection="1">
      <alignment horizontal="center" vertical="center" readingOrder="1"/>
      <protection locked="0"/>
    </xf>
    <xf numFmtId="14" fontId="15" fillId="0" borderId="0" xfId="0" applyNumberFormat="1" applyFont="1" applyAlignment="1">
      <alignment horizontal="center" vertical="center"/>
    </xf>
    <xf numFmtId="0" fontId="11" fillId="0" borderId="1" xfId="0" applyFont="1" applyBorder="1" applyAlignment="1" applyProtection="1">
      <alignment vertical="center" wrapText="1"/>
      <protection locked="0"/>
    </xf>
    <xf numFmtId="0" fontId="8" fillId="0" borderId="1" xfId="0" applyFont="1" applyBorder="1" applyAlignment="1">
      <alignment horizontal="right" vertical="center" wrapText="1"/>
    </xf>
    <xf numFmtId="0" fontId="11" fillId="0" borderId="1" xfId="0" applyFont="1" applyBorder="1" applyAlignment="1" applyProtection="1">
      <alignment horizontal="right" vertical="center" wrapText="1"/>
      <protection locked="0"/>
    </xf>
    <xf numFmtId="0" fontId="10" fillId="0" borderId="1" xfId="0" applyFont="1" applyBorder="1" applyAlignment="1" applyProtection="1">
      <alignment horizontal="center" vertical="center" wrapText="1" readingOrder="2"/>
      <protection locked="0"/>
    </xf>
    <xf numFmtId="0" fontId="8" fillId="6" borderId="1" xfId="0" applyFont="1" applyFill="1" applyBorder="1" applyAlignment="1">
      <alignment horizontal="center" vertical="center"/>
    </xf>
    <xf numFmtId="0" fontId="9" fillId="0" borderId="1" xfId="0" applyFont="1" applyBorder="1" applyAlignment="1" applyProtection="1">
      <alignment horizontal="right" vertical="center" wrapText="1"/>
      <protection locked="0"/>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5"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5" fillId="0" borderId="0" xfId="0" applyFont="1" applyAlignment="1" applyProtection="1">
      <alignment horizontal="center" vertical="center" wrapText="1"/>
      <protection locked="0"/>
    </xf>
    <xf numFmtId="0" fontId="5" fillId="0" borderId="0" xfId="0" applyFont="1" applyAlignment="1" applyProtection="1">
      <alignment vertical="center" wrapText="1"/>
      <protection locked="0"/>
    </xf>
    <xf numFmtId="0" fontId="9" fillId="0" borderId="1" xfId="0" applyFont="1" applyBorder="1" applyAlignment="1" applyProtection="1">
      <alignment horizontal="center" vertical="center"/>
      <protection locked="0"/>
    </xf>
    <xf numFmtId="0" fontId="9" fillId="0" borderId="1" xfId="0" applyFont="1" applyBorder="1" applyAlignment="1">
      <alignment horizontal="center" vertical="center" wrapText="1" readingOrder="1"/>
    </xf>
    <xf numFmtId="0" fontId="8" fillId="0" borderId="8" xfId="0" applyFont="1" applyBorder="1" applyAlignment="1">
      <alignment horizontal="center" vertical="center" readingOrder="2"/>
    </xf>
    <xf numFmtId="0" fontId="10" fillId="0" borderId="1" xfId="0" applyFont="1" applyBorder="1" applyAlignment="1" applyProtection="1">
      <alignment horizontal="center" vertical="center"/>
      <protection locked="0"/>
    </xf>
    <xf numFmtId="0" fontId="10" fillId="0" borderId="1" xfId="0" applyFont="1" applyBorder="1" applyAlignment="1">
      <alignment horizontal="center" vertical="center" wrapText="1" readingOrder="1"/>
    </xf>
    <xf numFmtId="0" fontId="12" fillId="0" borderId="1" xfId="0" applyFont="1" applyBorder="1" applyAlignment="1">
      <alignment horizontal="center" vertical="center" readingOrder="2"/>
    </xf>
    <xf numFmtId="0" fontId="12" fillId="0" borderId="1" xfId="0" applyFont="1" applyBorder="1" applyAlignment="1">
      <alignment horizontal="center" vertical="center" readingOrder="1"/>
    </xf>
    <xf numFmtId="0" fontId="11" fillId="0" borderId="1" xfId="0" applyFont="1" applyBorder="1" applyAlignment="1" applyProtection="1">
      <alignment horizontal="center" vertical="center" wrapText="1"/>
      <protection locked="0"/>
    </xf>
    <xf numFmtId="0" fontId="10" fillId="0" borderId="1" xfId="0" applyFont="1" applyBorder="1" applyAlignment="1" applyProtection="1">
      <alignment horizontal="right" vertical="center" wrapText="1"/>
      <protection locked="0"/>
    </xf>
    <xf numFmtId="0" fontId="10" fillId="0" borderId="1" xfId="0" applyFont="1" applyBorder="1" applyAlignment="1" applyProtection="1">
      <alignment horizontal="center" vertical="center" wrapText="1" readingOrder="1"/>
      <protection locked="0"/>
    </xf>
    <xf numFmtId="0" fontId="12" fillId="0" borderId="1" xfId="0" applyFont="1" applyBorder="1" applyAlignment="1" applyProtection="1">
      <alignment horizontal="center" vertical="center"/>
      <protection locked="0"/>
    </xf>
    <xf numFmtId="0" fontId="12" fillId="0" borderId="1" xfId="0" applyFont="1" applyBorder="1" applyAlignment="1" applyProtection="1">
      <alignment horizontal="center" vertical="center" readingOrder="1"/>
      <protection locked="0"/>
    </xf>
    <xf numFmtId="0" fontId="8" fillId="5" borderId="0" xfId="0" applyFont="1" applyFill="1" applyAlignment="1">
      <alignment horizontal="center" vertical="center"/>
    </xf>
    <xf numFmtId="0" fontId="8" fillId="0" borderId="6" xfId="0" applyFont="1" applyBorder="1" applyAlignment="1">
      <alignment horizontal="center" vertical="center" wrapText="1" readingOrder="2"/>
    </xf>
    <xf numFmtId="0" fontId="10" fillId="0" borderId="5" xfId="0" applyFont="1" applyBorder="1" applyAlignment="1" applyProtection="1">
      <alignment horizontal="center" vertical="center" wrapText="1"/>
      <protection locked="0"/>
    </xf>
    <xf numFmtId="0" fontId="8" fillId="0" borderId="5" xfId="0" applyFont="1" applyBorder="1" applyAlignment="1">
      <alignment horizontal="center" vertical="center" wrapText="1" readingOrder="2"/>
    </xf>
    <xf numFmtId="0" fontId="8" fillId="0" borderId="6" xfId="0" applyFont="1" applyBorder="1" applyAlignment="1">
      <alignment horizontal="center" vertical="center" wrapText="1"/>
    </xf>
    <xf numFmtId="0" fontId="12" fillId="0" borderId="1" xfId="0" applyFont="1" applyBorder="1" applyAlignment="1">
      <alignment horizontal="center" vertical="center" wrapText="1" readingOrder="2"/>
    </xf>
    <xf numFmtId="0" fontId="12" fillId="0" borderId="8" xfId="0" applyFont="1" applyBorder="1" applyAlignment="1">
      <alignment horizontal="center" vertical="center" wrapText="1" readingOrder="2"/>
    </xf>
    <xf numFmtId="0" fontId="10" fillId="0" borderId="15" xfId="0" applyFont="1" applyBorder="1" applyAlignment="1">
      <alignment horizontal="right" vertical="center" wrapText="1" readingOrder="2"/>
    </xf>
    <xf numFmtId="0" fontId="12" fillId="0" borderId="8" xfId="0" applyFont="1" applyBorder="1" applyAlignment="1">
      <alignment horizontal="center" vertical="center" readingOrder="2"/>
    </xf>
    <xf numFmtId="0" fontId="12" fillId="0" borderId="1" xfId="0" applyFont="1" applyBorder="1" applyAlignment="1" applyProtection="1">
      <alignment horizontal="center" vertical="center" readingOrder="2"/>
      <protection locked="0"/>
    </xf>
    <xf numFmtId="0" fontId="9" fillId="5"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right" vertical="center" wrapText="1" readingOrder="2"/>
      <protection locked="0"/>
    </xf>
    <xf numFmtId="0" fontId="20" fillId="0" borderId="0" xfId="0" applyFont="1" applyAlignment="1">
      <alignment vertical="center" wrapText="1"/>
    </xf>
    <xf numFmtId="0" fontId="8" fillId="0" borderId="1" xfId="0" applyFont="1" applyBorder="1" applyAlignment="1">
      <alignment vertical="center" wrapText="1"/>
    </xf>
    <xf numFmtId="0" fontId="8" fillId="0" borderId="0" xfId="0" applyFont="1" applyAlignment="1">
      <alignment horizontal="center" vertical="center"/>
    </xf>
    <xf numFmtId="0" fontId="10" fillId="0" borderId="5" xfId="0" applyFont="1" applyBorder="1" applyAlignment="1">
      <alignment horizontal="center" vertical="center" wrapText="1" readingOrder="1"/>
    </xf>
    <xf numFmtId="0" fontId="12" fillId="0" borderId="5" xfId="0" applyFont="1" applyBorder="1" applyAlignment="1">
      <alignment horizontal="center" vertical="center" readingOrder="1"/>
    </xf>
    <xf numFmtId="0" fontId="8" fillId="0" borderId="0" xfId="0" applyFont="1" applyAlignment="1">
      <alignment horizontal="right" vertical="center" wrapText="1" indent="1" readingOrder="1"/>
    </xf>
    <xf numFmtId="0" fontId="12" fillId="0" borderId="1" xfId="0" applyFont="1" applyBorder="1" applyAlignment="1">
      <alignment horizontal="center" vertical="center" wrapText="1" readingOrder="1"/>
    </xf>
    <xf numFmtId="0" fontId="8" fillId="0" borderId="0" xfId="0" applyFont="1" applyAlignment="1">
      <alignment horizontal="right" vertical="center" wrapText="1" indent="1" readingOrder="2"/>
    </xf>
    <xf numFmtId="0" fontId="8" fillId="0" borderId="0" xfId="0" applyFont="1" applyAlignment="1">
      <alignment horizontal="center" vertical="center" wrapText="1" indent="1" readingOrder="2"/>
    </xf>
    <xf numFmtId="0" fontId="10" fillId="0" borderId="1" xfId="0" applyFont="1" applyBorder="1" applyAlignment="1" applyProtection="1">
      <alignment horizontal="center" vertical="top" wrapText="1"/>
      <protection locked="0"/>
    </xf>
    <xf numFmtId="0" fontId="12" fillId="0" borderId="1" xfId="0" applyFont="1" applyBorder="1" applyAlignment="1">
      <alignment horizontal="center" vertical="top" readingOrder="1"/>
    </xf>
    <xf numFmtId="0" fontId="8" fillId="0" borderId="1" xfId="0" applyFont="1" applyBorder="1" applyAlignment="1">
      <alignment wrapText="1" readingOrder="2"/>
    </xf>
    <xf numFmtId="0" fontId="8" fillId="0" borderId="1" xfId="0" applyFont="1" applyBorder="1" applyAlignment="1">
      <alignment vertical="center" wrapText="1" readingOrder="2"/>
    </xf>
    <xf numFmtId="0" fontId="8" fillId="0" borderId="1" xfId="0" applyFont="1" applyBorder="1" applyAlignment="1">
      <alignment horizontal="right" vertical="center" wrapText="1" readingOrder="2"/>
    </xf>
    <xf numFmtId="0" fontId="8" fillId="0" borderId="8" xfId="0" applyFont="1" applyBorder="1" applyAlignment="1">
      <alignment horizontal="center" vertical="center" wrapText="1" readingOrder="2"/>
    </xf>
    <xf numFmtId="0" fontId="21" fillId="0" borderId="0" xfId="0" applyFont="1" applyAlignment="1">
      <alignment horizontal="center" vertical="center" wrapText="1"/>
    </xf>
    <xf numFmtId="0" fontId="12" fillId="0" borderId="12" xfId="0" applyFont="1" applyBorder="1" applyAlignment="1">
      <alignment horizontal="center" vertical="center" readingOrder="1"/>
    </xf>
    <xf numFmtId="0" fontId="12" fillId="0" borderId="10" xfId="0" applyFont="1" applyBorder="1" applyAlignment="1">
      <alignment horizontal="center" vertical="center" readingOrder="1"/>
    </xf>
    <xf numFmtId="0" fontId="9" fillId="0" borderId="1" xfId="0" applyFont="1" applyBorder="1" applyAlignment="1">
      <alignment vertical="center" wrapText="1"/>
    </xf>
    <xf numFmtId="0" fontId="12" fillId="0" borderId="5" xfId="0" applyFont="1" applyBorder="1" applyAlignment="1">
      <alignment horizontal="center" vertical="center" wrapText="1" readingOrder="1"/>
    </xf>
    <xf numFmtId="0" fontId="11" fillId="0" borderId="7" xfId="0" applyFont="1" applyBorder="1" applyAlignment="1" applyProtection="1">
      <alignment horizontal="center" vertical="center" wrapText="1"/>
      <protection locked="0"/>
    </xf>
    <xf numFmtId="0" fontId="12" fillId="0" borderId="0" xfId="0" applyFont="1" applyAlignment="1">
      <alignment horizontal="center" vertical="center" readingOrder="1"/>
    </xf>
    <xf numFmtId="0" fontId="8" fillId="0" borderId="1" xfId="0" applyFont="1" applyBorder="1" applyAlignment="1" applyProtection="1">
      <alignment horizontal="right" vertical="center" wrapText="1" indent="1" readingOrder="2"/>
      <protection locked="0"/>
    </xf>
    <xf numFmtId="0" fontId="10" fillId="0" borderId="7" xfId="0" applyFont="1" applyBorder="1" applyAlignment="1" applyProtection="1">
      <alignment horizontal="center" vertical="center"/>
      <protection locked="0"/>
    </xf>
    <xf numFmtId="0" fontId="10" fillId="0" borderId="7" xfId="0" applyFont="1" applyBorder="1" applyAlignment="1">
      <alignment horizontal="center" vertical="center"/>
    </xf>
    <xf numFmtId="0" fontId="8" fillId="0" borderId="1" xfId="0" applyFont="1" applyBorder="1" applyAlignment="1">
      <alignment vertical="center"/>
    </xf>
    <xf numFmtId="0" fontId="12" fillId="0" borderId="7" xfId="0" applyFont="1" applyBorder="1" applyAlignment="1">
      <alignment horizontal="center" vertical="center" readingOrder="2"/>
    </xf>
    <xf numFmtId="0" fontId="12" fillId="0" borderId="9" xfId="0" applyFont="1" applyBorder="1" applyAlignment="1">
      <alignment horizontal="center" vertical="center" readingOrder="1"/>
    </xf>
    <xf numFmtId="0" fontId="18" fillId="0" borderId="1" xfId="0" applyFont="1" applyBorder="1" applyAlignment="1">
      <alignment vertical="center"/>
    </xf>
    <xf numFmtId="0" fontId="12" fillId="0" borderId="7" xfId="0" applyFont="1" applyBorder="1" applyAlignment="1">
      <alignment horizontal="center" vertical="center" readingOrder="1"/>
    </xf>
    <xf numFmtId="0" fontId="13" fillId="0" borderId="1" xfId="0" applyFont="1" applyBorder="1" applyAlignment="1">
      <alignment horizontal="center" vertical="center" wrapText="1" readingOrder="2"/>
    </xf>
    <xf numFmtId="0" fontId="13" fillId="0" borderId="7" xfId="0" applyFont="1" applyBorder="1" applyAlignment="1">
      <alignment horizontal="center" vertical="center" wrapText="1" readingOrder="2"/>
    </xf>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8" fillId="0" borderId="1" xfId="0" applyFont="1" applyBorder="1" applyAlignment="1">
      <alignment horizontal="center" vertical="center"/>
    </xf>
    <xf numFmtId="0" fontId="10" fillId="0" borderId="7" xfId="0" applyFont="1" applyBorder="1" applyAlignment="1" applyProtection="1">
      <alignment vertical="center" wrapText="1"/>
      <protection locked="0"/>
    </xf>
    <xf numFmtId="0" fontId="10" fillId="0" borderId="11" xfId="0" applyFont="1" applyBorder="1" applyAlignment="1" applyProtection="1">
      <alignment horizontal="center" vertical="center"/>
      <protection locked="0"/>
    </xf>
    <xf numFmtId="14" fontId="15" fillId="0" borderId="1" xfId="0" applyNumberFormat="1" applyFont="1" applyBorder="1" applyAlignment="1">
      <alignment horizontal="center" vertical="center" wrapText="1" readingOrder="2"/>
    </xf>
    <xf numFmtId="0" fontId="11" fillId="0" borderId="1" xfId="0" applyFont="1" applyBorder="1" applyAlignment="1" applyProtection="1">
      <alignment horizontal="center" vertical="top" wrapText="1"/>
      <protection locked="0"/>
    </xf>
    <xf numFmtId="0" fontId="10" fillId="0" borderId="0" xfId="0" applyFont="1" applyAlignment="1">
      <alignment vertical="center"/>
    </xf>
    <xf numFmtId="0" fontId="9" fillId="0" borderId="0" xfId="0" applyFont="1" applyAlignment="1">
      <alignment vertical="center"/>
    </xf>
    <xf numFmtId="0" fontId="10" fillId="0" borderId="0" xfId="0" applyFont="1" applyAlignment="1">
      <alignment horizontal="right" vertical="top"/>
    </xf>
    <xf numFmtId="0" fontId="10" fillId="0" borderId="0" xfId="0" applyFont="1"/>
    <xf numFmtId="0" fontId="10" fillId="0" borderId="7" xfId="0" applyFont="1" applyBorder="1" applyAlignment="1">
      <alignment horizontal="center" vertical="center" wrapText="1" readingOrder="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14" fontId="5" fillId="0" borderId="1" xfId="0" applyNumberFormat="1" applyFont="1" applyBorder="1" applyAlignment="1">
      <alignment horizontal="center" vertical="center" wrapText="1"/>
    </xf>
    <xf numFmtId="0" fontId="8" fillId="5" borderId="7" xfId="0" applyFont="1" applyFill="1" applyBorder="1" applyAlignment="1">
      <alignment horizontal="center" vertical="center"/>
    </xf>
    <xf numFmtId="0" fontId="8" fillId="0" borderId="7" xfId="0" applyFont="1" applyBorder="1" applyAlignment="1" applyProtection="1">
      <alignment horizontal="center" vertical="center"/>
      <protection locked="0"/>
    </xf>
    <xf numFmtId="0" fontId="8" fillId="0" borderId="7" xfId="0" applyFont="1" applyBorder="1" applyAlignment="1" applyProtection="1">
      <alignment horizontal="center" vertical="center" readingOrder="1"/>
      <protection locked="0"/>
    </xf>
    <xf numFmtId="164" fontId="10" fillId="0" borderId="7" xfId="0" applyNumberFormat="1" applyFont="1" applyBorder="1" applyAlignment="1" applyProtection="1">
      <alignment horizontal="center" vertical="center" wrapText="1"/>
      <protection locked="0"/>
    </xf>
    <xf numFmtId="0" fontId="10" fillId="0" borderId="3" xfId="0" applyFont="1" applyBorder="1" applyAlignment="1">
      <alignment horizontal="right" vertical="center" wrapText="1" readingOrder="2"/>
    </xf>
    <xf numFmtId="0" fontId="10" fillId="0" borderId="7" xfId="0" applyFont="1" applyBorder="1" applyAlignment="1" applyProtection="1">
      <alignment horizontal="center" vertical="center" wrapText="1" readingOrder="2"/>
      <protection locked="0"/>
    </xf>
    <xf numFmtId="14" fontId="5" fillId="5" borderId="1" xfId="0" applyNumberFormat="1" applyFont="1" applyFill="1" applyBorder="1" applyAlignment="1">
      <alignment horizontal="center" vertical="center" wrapText="1"/>
    </xf>
    <xf numFmtId="0" fontId="10" fillId="0" borderId="1" xfId="0" applyFont="1" applyBorder="1" applyAlignment="1" applyProtection="1">
      <alignment horizontal="right" vertical="center" wrapText="1" indent="1" readingOrder="2"/>
      <protection locked="0"/>
    </xf>
    <xf numFmtId="0" fontId="11" fillId="0" borderId="1" xfId="0" applyFont="1" applyBorder="1" applyAlignment="1" applyProtection="1">
      <alignment horizontal="left" vertical="center" wrapText="1" readingOrder="2"/>
      <protection locked="0"/>
    </xf>
    <xf numFmtId="164" fontId="8" fillId="5" borderId="3" xfId="0" applyNumberFormat="1" applyFont="1" applyFill="1" applyBorder="1" applyAlignment="1" applyProtection="1">
      <alignment horizontal="center" vertical="center" wrapText="1"/>
      <protection locked="0"/>
    </xf>
    <xf numFmtId="0" fontId="8" fillId="0" borderId="5" xfId="0" applyFont="1" applyBorder="1" applyAlignment="1">
      <alignment horizontal="center" vertical="center"/>
    </xf>
    <xf numFmtId="0" fontId="19" fillId="0" borderId="0" xfId="0" applyFont="1" applyAlignment="1">
      <alignment horizontal="center" vertical="center"/>
    </xf>
    <xf numFmtId="0" fontId="10" fillId="0" borderId="0" xfId="0" applyFont="1" applyAlignment="1">
      <alignment horizontal="center" vertical="center"/>
    </xf>
    <xf numFmtId="3" fontId="5" fillId="0" borderId="0" xfId="0" applyNumberFormat="1" applyFont="1" applyAlignment="1" applyProtection="1">
      <alignment vertical="center"/>
      <protection locked="0"/>
    </xf>
    <xf numFmtId="3" fontId="10" fillId="0" borderId="1" xfId="0" applyNumberFormat="1" applyFont="1" applyBorder="1" applyAlignment="1">
      <alignment horizontal="center" vertical="center"/>
    </xf>
    <xf numFmtId="3" fontId="10" fillId="0" borderId="0" xfId="0" applyNumberFormat="1" applyFont="1" applyAlignment="1">
      <alignment horizontal="center" vertical="center"/>
    </xf>
    <xf numFmtId="3" fontId="9" fillId="0" borderId="0" xfId="0" applyNumberFormat="1" applyFont="1" applyAlignment="1">
      <alignment horizontal="center" vertical="center"/>
    </xf>
    <xf numFmtId="3" fontId="5" fillId="0" borderId="0" xfId="0" applyNumberFormat="1" applyFont="1" applyAlignment="1">
      <alignment vertical="center"/>
    </xf>
    <xf numFmtId="0" fontId="24" fillId="7" borderId="1" xfId="0" applyFont="1" applyFill="1" applyBorder="1" applyAlignment="1" applyProtection="1">
      <alignment horizontal="center" vertical="center"/>
      <protection locked="0"/>
    </xf>
    <xf numFmtId="0" fontId="0" fillId="0" borderId="0" xfId="0" applyAlignment="1">
      <alignment horizontal="center"/>
    </xf>
    <xf numFmtId="0" fontId="11"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2" xfId="0" applyFont="1" applyBorder="1" applyAlignment="1">
      <alignment horizontal="center" vertical="center" wrapText="1"/>
    </xf>
    <xf numFmtId="3" fontId="10" fillId="0" borderId="14" xfId="0" applyNumberFormat="1" applyFont="1" applyBorder="1" applyAlignment="1" applyProtection="1">
      <alignment horizontal="center" vertical="center" wrapText="1"/>
      <protection locked="0"/>
    </xf>
    <xf numFmtId="0" fontId="10" fillId="7" borderId="14" xfId="0" applyFont="1" applyFill="1" applyBorder="1" applyAlignment="1" applyProtection="1">
      <alignment horizontal="center" vertical="center"/>
      <protection locked="0"/>
    </xf>
    <xf numFmtId="0" fontId="16" fillId="0" borderId="7" xfId="0" applyFont="1" applyBorder="1" applyAlignment="1" applyProtection="1">
      <alignment horizontal="center" vertical="center" wrapText="1"/>
      <protection locked="0"/>
    </xf>
    <xf numFmtId="0" fontId="23" fillId="5" borderId="5" xfId="0" applyFont="1" applyFill="1" applyBorder="1" applyAlignment="1">
      <alignment horizontal="center" vertical="center"/>
    </xf>
    <xf numFmtId="0" fontId="23" fillId="5" borderId="1" xfId="0" applyFont="1" applyFill="1" applyBorder="1" applyAlignment="1">
      <alignment horizontal="center" vertical="center" wrapText="1"/>
    </xf>
    <xf numFmtId="0" fontId="23" fillId="5" borderId="1" xfId="0" applyFont="1" applyFill="1" applyBorder="1" applyAlignment="1">
      <alignment horizontal="center" vertical="center"/>
    </xf>
    <xf numFmtId="0" fontId="16" fillId="0" borderId="1" xfId="0" applyFont="1" applyBorder="1" applyAlignment="1" applyProtection="1">
      <alignment horizontal="center" vertical="center"/>
      <protection locked="0"/>
    </xf>
    <xf numFmtId="164" fontId="23" fillId="5" borderId="1" xfId="0" applyNumberFormat="1" applyFont="1" applyFill="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23" fillId="0" borderId="1" xfId="0" applyFont="1" applyBorder="1" applyAlignment="1" applyProtection="1">
      <alignment horizontal="center" vertical="center"/>
      <protection locked="0"/>
    </xf>
    <xf numFmtId="0" fontId="23" fillId="0" borderId="1" xfId="0" applyFont="1" applyBorder="1" applyAlignment="1" applyProtection="1">
      <alignment horizontal="center" vertical="center" readingOrder="1"/>
      <protection locked="0"/>
    </xf>
    <xf numFmtId="0" fontId="16" fillId="0" borderId="1" xfId="0" applyFont="1" applyBorder="1" applyAlignment="1">
      <alignment horizontal="center" vertical="center" wrapText="1" readingOrder="1"/>
    </xf>
    <xf numFmtId="0" fontId="16" fillId="0" borderId="1" xfId="0" applyFont="1" applyBorder="1" applyAlignment="1">
      <alignment horizontal="center" vertical="center"/>
    </xf>
    <xf numFmtId="0" fontId="16" fillId="0" borderId="1" xfId="0" applyFont="1" applyBorder="1" applyAlignment="1" applyProtection="1">
      <alignment vertical="center" wrapText="1"/>
      <protection locked="0"/>
    </xf>
    <xf numFmtId="0" fontId="19" fillId="5" borderId="5" xfId="0" applyFont="1" applyFill="1" applyBorder="1" applyAlignment="1">
      <alignment horizontal="center" vertical="center"/>
    </xf>
    <xf numFmtId="0" fontId="29" fillId="0" borderId="7" xfId="0" applyFont="1" applyBorder="1" applyAlignment="1" applyProtection="1">
      <alignment horizontal="center" vertical="center" wrapText="1"/>
      <protection locked="0"/>
    </xf>
    <xf numFmtId="0" fontId="23" fillId="0" borderId="0" xfId="0" applyFont="1"/>
    <xf numFmtId="0" fontId="29" fillId="0" borderId="1" xfId="0" applyFont="1" applyBorder="1" applyAlignment="1" applyProtection="1">
      <alignment horizontal="center" vertical="center" wrapText="1"/>
      <protection locked="0"/>
    </xf>
    <xf numFmtId="0" fontId="30" fillId="0" borderId="1" xfId="0" applyFont="1" applyBorder="1" applyAlignment="1" applyProtection="1">
      <alignment horizontal="center" vertical="center" wrapText="1"/>
      <protection locked="0"/>
    </xf>
  </cellXfs>
  <cellStyles count="2">
    <cellStyle name="Normal" xfId="0" builtinId="0"/>
    <cellStyle name="היפר-קישור" xfId="1" builtinId="8"/>
  </cellStyles>
  <dxfs count="84">
    <dxf>
      <fill>
        <patternFill>
          <bgColor rgb="FFFF0000"/>
        </patternFill>
      </fill>
    </dxf>
    <dxf>
      <fill>
        <patternFill>
          <bgColor rgb="FFFF0000"/>
        </patternFill>
      </fill>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dxf>
    <dxf>
      <font>
        <strike val="0"/>
        <outline val="0"/>
        <shadow val="0"/>
        <u val="none"/>
        <vertAlign val="baseline"/>
        <sz val="12"/>
        <color auto="1"/>
        <name val="Arial"/>
        <scheme val="minor"/>
      </font>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
      <font>
        <strike val="0"/>
        <outline val="0"/>
        <shadow val="0"/>
        <u val="none"/>
        <vertAlign val="baseline"/>
        <sz val="12"/>
        <color auto="1"/>
      </font>
      <numFmt numFmtId="3" formatCode="#,##0"/>
      <fill>
        <patternFill patternType="none">
          <fgColor rgb="FF000000"/>
          <bgColor auto="1"/>
        </patternFill>
      </fill>
      <alignment horizontal="center" vertical="center" textRotation="0" indent="0" justifyLastLine="0" shrinkToFit="0"/>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rgb="FF000000"/>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auto="1"/>
        <name val="Arial"/>
        <family val="2"/>
        <charset val="177"/>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auto="1"/>
      </font>
      <numFmt numFmtId="0" formatCode="General"/>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dxf>
    <dxf>
      <border>
        <bottom style="thin">
          <color indexed="64"/>
        </bottom>
      </border>
    </dxf>
    <dxf>
      <font>
        <strike val="0"/>
        <outline val="0"/>
        <shadow val="0"/>
        <u val="none"/>
        <vertAlign val="baseline"/>
        <sz val="11"/>
        <color auto="1"/>
        <name val="Arial"/>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07/relationships/slicerCache" Target="slicerCaches/slicerCache1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microsoft.com/office/2007/relationships/slicerCache" Target="slicerCaches/slicerCache10.xml"/><Relationship Id="rId23" Type="http://schemas.microsoft.com/office/2017/10/relationships/person" Target="persons/person.xml"/><Relationship Id="rId10" Type="http://schemas.microsoft.com/office/2007/relationships/slicerCache" Target="slicerCaches/slicerCache5.xml"/><Relationship Id="rId19" Type="http://schemas.microsoft.com/office/2007/relationships/slicerCache" Target="slicerCaches/slicerCache14.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sharedStrings" Target="sharedStrings.xml"/><Relationship Id="rId27" Type="http://schemas.openxmlformats.org/officeDocument/2006/relationships/customXml" Target="../customXml/item3.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13</xdr:col>
          <xdr:colOff>152400</xdr:colOff>
          <xdr:row>2</xdr:row>
          <xdr:rowOff>792480</xdr:rowOff>
        </xdr:from>
        <xdr:to>
          <xdr:col>14</xdr:col>
          <xdr:colOff>373380</xdr:colOff>
          <xdr:row>2</xdr:row>
          <xdr:rowOff>1325880</xdr:rowOff>
        </xdr:to>
        <xdr:sp macro="" textlink="">
          <xdr:nvSpPr>
            <xdr:cNvPr id="1029" name="Butto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1">
                <a:defRPr sz="1000"/>
              </a:pPr>
              <a:r>
                <a:rPr lang="he-IL" sz="1100" b="0" i="0" u="none" strike="noStrike" baseline="0">
                  <a:solidFill>
                    <a:srgbClr val="000000"/>
                  </a:solidFill>
                  <a:latin typeface="Arial"/>
                  <a:cs typeface="Arial"/>
                </a:rPr>
                <a:t>יציאת דוח להנהלה</a:t>
              </a:r>
            </a:p>
          </xdr:txBody>
        </xdr:sp>
        <xdr:clientData fPrintsWithSheet="0"/>
      </xdr:twoCellAnchor>
    </mc:Choice>
    <mc:Fallback/>
  </mc:AlternateContent>
  <xdr:twoCellAnchor editAs="absolute">
    <xdr:from>
      <xdr:col>0</xdr:col>
      <xdr:colOff>309562</xdr:colOff>
      <xdr:row>0</xdr:row>
      <xdr:rowOff>302433</xdr:rowOff>
    </xdr:from>
    <xdr:to>
      <xdr:col>1</xdr:col>
      <xdr:colOff>785812</xdr:colOff>
      <xdr:row>0</xdr:row>
      <xdr:rowOff>1464468</xdr:rowOff>
    </xdr:to>
    <mc:AlternateContent xmlns:mc="http://schemas.openxmlformats.org/markup-compatibility/2006" xmlns:sle15="http://schemas.microsoft.com/office/drawing/2012/slicer">
      <mc:Choice Requires="sle15">
        <xdr:graphicFrame macro="">
          <xdr:nvGraphicFramePr>
            <xdr:cNvPr id="2" name="לדיווח">
              <a:extLst>
                <a:ext uri="{FF2B5EF4-FFF2-40B4-BE49-F238E27FC236}">
                  <a16:creationId xmlns:a16="http://schemas.microsoft.com/office/drawing/2014/main" id="{E193EF16-68E3-6B17-E32D-C93F78956798}"/>
                </a:ext>
              </a:extLst>
            </xdr:cNvPr>
            <xdr:cNvGraphicFramePr/>
          </xdr:nvGraphicFramePr>
          <xdr:xfrm>
            <a:off x="0" y="0"/>
            <a:ext cx="0" cy="0"/>
          </xdr:xfrm>
          <a:graphic>
            <a:graphicData uri="http://schemas.microsoft.com/office/drawing/2010/slicer">
              <sle:slicer xmlns:sle="http://schemas.microsoft.com/office/drawing/2010/slicer" name="לדיווח"/>
            </a:graphicData>
          </a:graphic>
        </xdr:graphicFrame>
      </mc:Choice>
      <mc:Fallback xmlns="">
        <xdr:sp macro="" textlink="">
          <xdr:nvSpPr>
            <xdr:cNvPr id="0" name=""/>
            <xdr:cNvSpPr>
              <a:spLocks noTextEdit="1"/>
            </xdr:cNvSpPr>
          </xdr:nvSpPr>
          <xdr:spPr>
            <a:xfrm>
              <a:off x="11322450844" y="302433"/>
              <a:ext cx="1428750" cy="116203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xdr:col>
      <xdr:colOff>857250</xdr:colOff>
      <xdr:row>0</xdr:row>
      <xdr:rowOff>290527</xdr:rowOff>
    </xdr:from>
    <xdr:to>
      <xdr:col>3</xdr:col>
      <xdr:colOff>781050</xdr:colOff>
      <xdr:row>0</xdr:row>
      <xdr:rowOff>1464468</xdr:rowOff>
    </xdr:to>
    <mc:AlternateContent xmlns:mc="http://schemas.openxmlformats.org/markup-compatibility/2006" xmlns:sle15="http://schemas.microsoft.com/office/drawing/2012/slicer">
      <mc:Choice Requires="sle15">
        <xdr:graphicFrame macro="">
          <xdr:nvGraphicFramePr>
            <xdr:cNvPr id="3" name="סוג תחנה">
              <a:extLst>
                <a:ext uri="{FF2B5EF4-FFF2-40B4-BE49-F238E27FC236}">
                  <a16:creationId xmlns:a16="http://schemas.microsoft.com/office/drawing/2014/main" id="{AC15562F-8CCE-2170-E322-DE31757CFBDB}"/>
                </a:ext>
              </a:extLst>
            </xdr:cNvPr>
            <xdr:cNvGraphicFramePr/>
          </xdr:nvGraphicFramePr>
          <xdr:xfrm>
            <a:off x="0" y="0"/>
            <a:ext cx="0" cy="0"/>
          </xdr:xfrm>
          <a:graphic>
            <a:graphicData uri="http://schemas.microsoft.com/office/drawing/2010/slicer">
              <sle:slicer xmlns:sle="http://schemas.microsoft.com/office/drawing/2010/slicer" name="סוג תחנה"/>
            </a:graphicData>
          </a:graphic>
        </xdr:graphicFrame>
      </mc:Choice>
      <mc:Fallback xmlns="">
        <xdr:sp macro="" textlink="">
          <xdr:nvSpPr>
            <xdr:cNvPr id="0" name=""/>
            <xdr:cNvSpPr>
              <a:spLocks noTextEdit="1"/>
            </xdr:cNvSpPr>
          </xdr:nvSpPr>
          <xdr:spPr>
            <a:xfrm>
              <a:off x="11320550606" y="290527"/>
              <a:ext cx="1828800" cy="1173941"/>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3</xdr:col>
      <xdr:colOff>892969</xdr:colOff>
      <xdr:row>0</xdr:row>
      <xdr:rowOff>266714</xdr:rowOff>
    </xdr:from>
    <xdr:to>
      <xdr:col>5</xdr:col>
      <xdr:colOff>702468</xdr:colOff>
      <xdr:row>0</xdr:row>
      <xdr:rowOff>1464469</xdr:rowOff>
    </xdr:to>
    <mc:AlternateContent xmlns:mc="http://schemas.openxmlformats.org/markup-compatibility/2006" xmlns:sle15="http://schemas.microsoft.com/office/drawing/2012/slicer">
      <mc:Choice Requires="sle15">
        <xdr:graphicFrame macro="">
          <xdr:nvGraphicFramePr>
            <xdr:cNvPr id="4" name="מנה&quot;פ">
              <a:extLst>
                <a:ext uri="{FF2B5EF4-FFF2-40B4-BE49-F238E27FC236}">
                  <a16:creationId xmlns:a16="http://schemas.microsoft.com/office/drawing/2014/main" id="{818BA778-9927-48F5-0648-F1321FD3E4EE}"/>
                </a:ext>
              </a:extLst>
            </xdr:cNvPr>
            <xdr:cNvGraphicFramePr/>
          </xdr:nvGraphicFramePr>
          <xdr:xfrm>
            <a:off x="0" y="0"/>
            <a:ext cx="0" cy="0"/>
          </xdr:xfrm>
          <a:graphic>
            <a:graphicData uri="http://schemas.microsoft.com/office/drawing/2010/slicer">
              <sle:slicer xmlns:sle="http://schemas.microsoft.com/office/drawing/2010/slicer" name="מנה&quot;פ"/>
            </a:graphicData>
          </a:graphic>
        </xdr:graphicFrame>
      </mc:Choice>
      <mc:Fallback xmlns="">
        <xdr:sp macro="" textlink="">
          <xdr:nvSpPr>
            <xdr:cNvPr id="0" name=""/>
            <xdr:cNvSpPr>
              <a:spLocks noTextEdit="1"/>
            </xdr:cNvSpPr>
          </xdr:nvSpPr>
          <xdr:spPr>
            <a:xfrm>
              <a:off x="11318164594" y="266714"/>
              <a:ext cx="2274093" cy="119775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5</xdr:col>
      <xdr:colOff>761999</xdr:colOff>
      <xdr:row>0</xdr:row>
      <xdr:rowOff>238126</xdr:rowOff>
    </xdr:from>
    <xdr:to>
      <xdr:col>8</xdr:col>
      <xdr:colOff>95250</xdr:colOff>
      <xdr:row>0</xdr:row>
      <xdr:rowOff>1464470</xdr:rowOff>
    </xdr:to>
    <mc:AlternateContent xmlns:mc="http://schemas.openxmlformats.org/markup-compatibility/2006" xmlns:sle15="http://schemas.microsoft.com/office/drawing/2012/slicer">
      <mc:Choice Requires="sle15">
        <xdr:graphicFrame macro="">
          <xdr:nvGraphicFramePr>
            <xdr:cNvPr id="5" name="סיכון">
              <a:extLst>
                <a:ext uri="{FF2B5EF4-FFF2-40B4-BE49-F238E27FC236}">
                  <a16:creationId xmlns:a16="http://schemas.microsoft.com/office/drawing/2014/main" id="{DC52150A-F122-5503-957E-6F915EDB64BA}"/>
                </a:ext>
              </a:extLst>
            </xdr:cNvPr>
            <xdr:cNvGraphicFramePr/>
          </xdr:nvGraphicFramePr>
          <xdr:xfrm>
            <a:off x="0" y="0"/>
            <a:ext cx="0" cy="0"/>
          </xdr:xfrm>
          <a:graphic>
            <a:graphicData uri="http://schemas.microsoft.com/office/drawing/2010/slicer">
              <sle:slicer xmlns:sle="http://schemas.microsoft.com/office/drawing/2010/slicer" name="סיכון"/>
            </a:graphicData>
          </a:graphic>
        </xdr:graphicFrame>
      </mc:Choice>
      <mc:Fallback xmlns="">
        <xdr:sp macro="" textlink="">
          <xdr:nvSpPr>
            <xdr:cNvPr id="0" name=""/>
            <xdr:cNvSpPr>
              <a:spLocks noTextEdit="1"/>
            </xdr:cNvSpPr>
          </xdr:nvSpPr>
          <xdr:spPr>
            <a:xfrm>
              <a:off x="11315866687" y="238126"/>
              <a:ext cx="2238376" cy="12263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8</xdr:col>
      <xdr:colOff>214312</xdr:colOff>
      <xdr:row>0</xdr:row>
      <xdr:rowOff>242902</xdr:rowOff>
    </xdr:from>
    <xdr:to>
      <xdr:col>9</xdr:col>
      <xdr:colOff>1464469</xdr:colOff>
      <xdr:row>0</xdr:row>
      <xdr:rowOff>1476375</xdr:rowOff>
    </xdr:to>
    <mc:AlternateContent xmlns:mc="http://schemas.openxmlformats.org/markup-compatibility/2006" xmlns:sle15="http://schemas.microsoft.com/office/drawing/2012/slicer">
      <mc:Choice Requires="sle15">
        <xdr:graphicFrame macro="">
          <xdr:nvGraphicFramePr>
            <xdr:cNvPr id="6" name="סטטוס הפרויקט על ציר הזמן">
              <a:extLst>
                <a:ext uri="{FF2B5EF4-FFF2-40B4-BE49-F238E27FC236}">
                  <a16:creationId xmlns:a16="http://schemas.microsoft.com/office/drawing/2014/main" id="{EFDC2AAF-0282-4C50-45F6-D3453455FDB3}"/>
                </a:ext>
              </a:extLst>
            </xdr:cNvPr>
            <xdr:cNvGraphicFramePr/>
          </xdr:nvGraphicFramePr>
          <xdr:xfrm>
            <a:off x="0" y="0"/>
            <a:ext cx="0" cy="0"/>
          </xdr:xfrm>
          <a:graphic>
            <a:graphicData uri="http://schemas.microsoft.com/office/drawing/2010/slicer">
              <sle:slicer xmlns:sle="http://schemas.microsoft.com/office/drawing/2010/slicer" name="סטטוס הפרויקט על ציר הזמן"/>
            </a:graphicData>
          </a:graphic>
        </xdr:graphicFrame>
      </mc:Choice>
      <mc:Fallback xmlns="">
        <xdr:sp macro="" textlink="">
          <xdr:nvSpPr>
            <xdr:cNvPr id="0" name=""/>
            <xdr:cNvSpPr>
              <a:spLocks noTextEdit="1"/>
            </xdr:cNvSpPr>
          </xdr:nvSpPr>
          <xdr:spPr>
            <a:xfrm>
              <a:off x="11312759156" y="242902"/>
              <a:ext cx="2988469" cy="1233473"/>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9</xdr:col>
      <xdr:colOff>1524001</xdr:colOff>
      <xdr:row>0</xdr:row>
      <xdr:rowOff>238126</xdr:rowOff>
    </xdr:from>
    <xdr:to>
      <xdr:col>11</xdr:col>
      <xdr:colOff>607219</xdr:colOff>
      <xdr:row>0</xdr:row>
      <xdr:rowOff>1476375</xdr:rowOff>
    </xdr:to>
    <mc:AlternateContent xmlns:mc="http://schemas.openxmlformats.org/markup-compatibility/2006" xmlns:sle15="http://schemas.microsoft.com/office/drawing/2012/slicer">
      <mc:Choice Requires="sle15">
        <xdr:graphicFrame macro="">
          <xdr:nvGraphicFramePr>
            <xdr:cNvPr id="7" name="חסם">
              <a:extLst>
                <a:ext uri="{FF2B5EF4-FFF2-40B4-BE49-F238E27FC236}">
                  <a16:creationId xmlns:a16="http://schemas.microsoft.com/office/drawing/2014/main" id="{AD4696AD-6955-086D-04BB-3ADB96F6C0D8}"/>
                </a:ext>
              </a:extLst>
            </xdr:cNvPr>
            <xdr:cNvGraphicFramePr/>
          </xdr:nvGraphicFramePr>
          <xdr:xfrm>
            <a:off x="0" y="0"/>
            <a:ext cx="0" cy="0"/>
          </xdr:xfrm>
          <a:graphic>
            <a:graphicData uri="http://schemas.microsoft.com/office/drawing/2010/slicer">
              <sle:slicer xmlns:sle="http://schemas.microsoft.com/office/drawing/2010/slicer" name="חסם"/>
            </a:graphicData>
          </a:graphic>
        </xdr:graphicFrame>
      </mc:Choice>
      <mc:Fallback xmlns="">
        <xdr:sp macro="" textlink="">
          <xdr:nvSpPr>
            <xdr:cNvPr id="0" name=""/>
            <xdr:cNvSpPr>
              <a:spLocks noTextEdit="1"/>
            </xdr:cNvSpPr>
          </xdr:nvSpPr>
          <xdr:spPr>
            <a:xfrm>
              <a:off x="11308437187" y="238126"/>
              <a:ext cx="4262437" cy="123824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18</xdr:col>
      <xdr:colOff>1850364</xdr:colOff>
      <xdr:row>0</xdr:row>
      <xdr:rowOff>73298</xdr:rowOff>
    </xdr:from>
    <xdr:to>
      <xdr:col>20</xdr:col>
      <xdr:colOff>1202207</xdr:colOff>
      <xdr:row>0</xdr:row>
      <xdr:rowOff>1695448</xdr:rowOff>
    </xdr:to>
    <mc:AlternateContent xmlns:mc="http://schemas.openxmlformats.org/markup-compatibility/2006" xmlns:sle15="http://schemas.microsoft.com/office/drawing/2012/slicer">
      <mc:Choice Requires="sle15">
        <xdr:graphicFrame macro="">
          <xdr:nvGraphicFramePr>
            <xdr:cNvPr id="11" name="חסם 1">
              <a:extLst>
                <a:ext uri="{FF2B5EF4-FFF2-40B4-BE49-F238E27FC236}">
                  <a16:creationId xmlns:a16="http://schemas.microsoft.com/office/drawing/2014/main" id="{8245C517-DF9B-4A2C-B6BE-64EBFAB2688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סם 1"/>
            </a:graphicData>
          </a:graphic>
        </xdr:graphicFrame>
      </mc:Choice>
      <mc:Fallback xmlns="">
        <xdr:sp macro="" textlink="">
          <xdr:nvSpPr>
            <xdr:cNvPr id="0" name=""/>
            <xdr:cNvSpPr>
              <a:spLocks noTextEdit="1"/>
            </xdr:cNvSpPr>
          </xdr:nvSpPr>
          <xdr:spPr>
            <a:xfrm>
              <a:off x="11183618850" y="58058"/>
              <a:ext cx="4819646" cy="163421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fLocksWithSheet="0"/>
  </xdr:twoCellAnchor>
  <xdr:twoCellAnchor editAs="absolute">
    <xdr:from>
      <xdr:col>0</xdr:col>
      <xdr:colOff>225310</xdr:colOff>
      <xdr:row>0</xdr:row>
      <xdr:rowOff>73025</xdr:rowOff>
    </xdr:from>
    <xdr:to>
      <xdr:col>1</xdr:col>
      <xdr:colOff>263544</xdr:colOff>
      <xdr:row>0</xdr:row>
      <xdr:rowOff>1597269</xdr:rowOff>
    </xdr:to>
    <mc:AlternateContent xmlns:mc="http://schemas.openxmlformats.org/markup-compatibility/2006" xmlns:sle15="http://schemas.microsoft.com/office/drawing/2012/slicer">
      <mc:Choice Requires="sle15">
        <xdr:graphicFrame macro="">
          <xdr:nvGraphicFramePr>
            <xdr:cNvPr id="6" name="סוג תחנה 1">
              <a:extLst>
                <a:ext uri="{FF2B5EF4-FFF2-40B4-BE49-F238E27FC236}">
                  <a16:creationId xmlns:a16="http://schemas.microsoft.com/office/drawing/2014/main" id="{1D95BFD0-2ABA-13A9-C7BE-450593EA3FF7}"/>
                </a:ext>
                <a:ext uri="{147F2762-F138-4A5C-976F-8EAC2B608ADB}">
                  <a16:predDERef xmlns:a16="http://schemas.microsoft.com/office/drawing/2014/main" pred="{ED86FF1A-207F-B2DC-4EE1-8D31FAE911F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סוג תחנה 1"/>
            </a:graphicData>
          </a:graphic>
        </xdr:graphicFrame>
      </mc:Choice>
      <mc:Fallback xmlns="">
        <xdr:sp macro="" textlink="">
          <xdr:nvSpPr>
            <xdr:cNvPr id="0" name=""/>
            <xdr:cNvSpPr>
              <a:spLocks noTextEdit="1"/>
            </xdr:cNvSpPr>
          </xdr:nvSpPr>
          <xdr:spPr>
            <a:xfrm>
              <a:off x="11206580946" y="60325"/>
              <a:ext cx="1908944" cy="15242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xdr:col>
      <xdr:colOff>361112</xdr:colOff>
      <xdr:row>0</xdr:row>
      <xdr:rowOff>34708</xdr:rowOff>
    </xdr:from>
    <xdr:to>
      <xdr:col>6</xdr:col>
      <xdr:colOff>94616</xdr:colOff>
      <xdr:row>0</xdr:row>
      <xdr:rowOff>1634852</xdr:rowOff>
    </xdr:to>
    <mc:AlternateContent xmlns:mc="http://schemas.openxmlformats.org/markup-compatibility/2006" xmlns:sle15="http://schemas.microsoft.com/office/drawing/2012/slicer">
      <mc:Choice Requires="sle15">
        <xdr:graphicFrame macro="">
          <xdr:nvGraphicFramePr>
            <xdr:cNvPr id="2" name="מנה&quot;פ 1">
              <a:extLst>
                <a:ext uri="{FF2B5EF4-FFF2-40B4-BE49-F238E27FC236}">
                  <a16:creationId xmlns:a16="http://schemas.microsoft.com/office/drawing/2014/main" id="{B8E357A0-D4AF-0C99-7EB2-29EA51493D89}"/>
                </a:ext>
                <a:ext uri="{147F2762-F138-4A5C-976F-8EAC2B608ADB}">
                  <a16:predDERef xmlns:a16="http://schemas.microsoft.com/office/drawing/2014/main" pred="{1D95BFD0-2ABA-13A9-C7BE-450593EA3FF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מנה&quot;פ 1"/>
            </a:graphicData>
          </a:graphic>
        </xdr:graphicFrame>
      </mc:Choice>
      <mc:Fallback xmlns="">
        <xdr:sp macro="" textlink="">
          <xdr:nvSpPr>
            <xdr:cNvPr id="0" name=""/>
            <xdr:cNvSpPr>
              <a:spLocks noTextEdit="1"/>
            </xdr:cNvSpPr>
          </xdr:nvSpPr>
          <xdr:spPr>
            <a:xfrm>
              <a:off x="11199527384" y="33438"/>
              <a:ext cx="6272099" cy="157029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6</xdr:col>
      <xdr:colOff>287760</xdr:colOff>
      <xdr:row>0</xdr:row>
      <xdr:rowOff>0</xdr:rowOff>
    </xdr:from>
    <xdr:to>
      <xdr:col>16</xdr:col>
      <xdr:colOff>1825310</xdr:colOff>
      <xdr:row>0</xdr:row>
      <xdr:rowOff>1621825</xdr:rowOff>
    </xdr:to>
    <mc:AlternateContent xmlns:mc="http://schemas.openxmlformats.org/markup-compatibility/2006" xmlns:sle15="http://schemas.microsoft.com/office/drawing/2012/slicer">
      <mc:Choice Requires="sle15">
        <xdr:graphicFrame macro="">
          <xdr:nvGraphicFramePr>
            <xdr:cNvPr id="8" name="תו&quot;ב">
              <a:extLst>
                <a:ext uri="{FF2B5EF4-FFF2-40B4-BE49-F238E27FC236}">
                  <a16:creationId xmlns:a16="http://schemas.microsoft.com/office/drawing/2014/main" id="{22DD0FD0-E65C-316F-54ED-32F2D0A8730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תו&quot;ב"/>
            </a:graphicData>
          </a:graphic>
        </xdr:graphicFrame>
      </mc:Choice>
      <mc:Fallback xmlns="">
        <xdr:sp macro="" textlink="">
          <xdr:nvSpPr>
            <xdr:cNvPr id="0" name=""/>
            <xdr:cNvSpPr>
              <a:spLocks noTextEdit="1"/>
            </xdr:cNvSpPr>
          </xdr:nvSpPr>
          <xdr:spPr>
            <a:xfrm>
              <a:off x="11239353630" y="0"/>
              <a:ext cx="3104730" cy="163135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16</xdr:col>
      <xdr:colOff>1746064</xdr:colOff>
      <xdr:row>0</xdr:row>
      <xdr:rowOff>56832</xdr:rowOff>
    </xdr:from>
    <xdr:to>
      <xdr:col>17</xdr:col>
      <xdr:colOff>818916</xdr:colOff>
      <xdr:row>0</xdr:row>
      <xdr:rowOff>1718261</xdr:rowOff>
    </xdr:to>
    <mc:AlternateContent xmlns:mc="http://schemas.openxmlformats.org/markup-compatibility/2006" xmlns:sle15="http://schemas.microsoft.com/office/drawing/2012/slicer">
      <mc:Choice Requires="sle15">
        <xdr:graphicFrame macro="">
          <xdr:nvGraphicFramePr>
            <xdr:cNvPr id="3" name="סטטוס הפרויקט על ציר הזמן 1">
              <a:extLst>
                <a:ext uri="{FF2B5EF4-FFF2-40B4-BE49-F238E27FC236}">
                  <a16:creationId xmlns:a16="http://schemas.microsoft.com/office/drawing/2014/main" id="{C11C1E72-D482-517E-B9AE-D595D42D918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סטטוס הפרויקט על ציר הזמן 1"/>
            </a:graphicData>
          </a:graphic>
        </xdr:graphicFrame>
      </mc:Choice>
      <mc:Fallback xmlns="">
        <xdr:sp macro="" textlink="">
          <xdr:nvSpPr>
            <xdr:cNvPr id="0" name=""/>
            <xdr:cNvSpPr>
              <a:spLocks noTextEdit="1"/>
            </xdr:cNvSpPr>
          </xdr:nvSpPr>
          <xdr:spPr>
            <a:xfrm>
              <a:off x="11320766173" y="54927"/>
              <a:ext cx="4070665" cy="166333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17</xdr:col>
      <xdr:colOff>917848</xdr:colOff>
      <xdr:row>0</xdr:row>
      <xdr:rowOff>56698</xdr:rowOff>
    </xdr:from>
    <xdr:to>
      <xdr:col>18</xdr:col>
      <xdr:colOff>1660162</xdr:colOff>
      <xdr:row>0</xdr:row>
      <xdr:rowOff>1656715</xdr:rowOff>
    </xdr:to>
    <mc:AlternateContent xmlns:mc="http://schemas.openxmlformats.org/markup-compatibility/2006" xmlns:sle15="http://schemas.microsoft.com/office/drawing/2012/slicer">
      <mc:Choice Requires="sle15">
        <xdr:graphicFrame macro="">
          <xdr:nvGraphicFramePr>
            <xdr:cNvPr id="10" name="לטיפול">
              <a:extLst>
                <a:ext uri="{FF2B5EF4-FFF2-40B4-BE49-F238E27FC236}">
                  <a16:creationId xmlns:a16="http://schemas.microsoft.com/office/drawing/2014/main" id="{9CACBF3F-A58A-A762-1E91-BAB39A5486C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לטיפול"/>
            </a:graphicData>
          </a:graphic>
        </xdr:graphicFrame>
      </mc:Choice>
      <mc:Fallback xmlns="">
        <xdr:sp macro="" textlink="">
          <xdr:nvSpPr>
            <xdr:cNvPr id="0" name=""/>
            <xdr:cNvSpPr>
              <a:spLocks noTextEdit="1"/>
            </xdr:cNvSpPr>
          </xdr:nvSpPr>
          <xdr:spPr>
            <a:xfrm>
              <a:off x="11188637770" y="53523"/>
              <a:ext cx="4173491" cy="1605732"/>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20</xdr:col>
      <xdr:colOff>1257300</xdr:colOff>
      <xdr:row>0</xdr:row>
      <xdr:rowOff>110490</xdr:rowOff>
    </xdr:from>
    <xdr:to>
      <xdr:col>21</xdr:col>
      <xdr:colOff>1367155</xdr:colOff>
      <xdr:row>0</xdr:row>
      <xdr:rowOff>1659255</xdr:rowOff>
    </xdr:to>
    <mc:AlternateContent xmlns:mc="http://schemas.openxmlformats.org/markup-compatibility/2006" xmlns:sle15="http://schemas.microsoft.com/office/drawing/2012/slicer">
      <mc:Choice Requires="sle15">
        <xdr:graphicFrame macro="">
          <xdr:nvGraphicFramePr>
            <xdr:cNvPr id="7" name="חוסר במשגיחים ">
              <a:extLst>
                <a:ext uri="{FF2B5EF4-FFF2-40B4-BE49-F238E27FC236}">
                  <a16:creationId xmlns:a16="http://schemas.microsoft.com/office/drawing/2014/main" id="{8BB8F4B3-11FE-6FD2-5F7B-B0C312A6095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וסר במשגיחים "/>
            </a:graphicData>
          </a:graphic>
        </xdr:graphicFrame>
      </mc:Choice>
      <mc:Fallback xmlns="">
        <xdr:sp macro="" textlink="">
          <xdr:nvSpPr>
            <xdr:cNvPr id="0" name=""/>
            <xdr:cNvSpPr>
              <a:spLocks noTextEdit="1"/>
            </xdr:cNvSpPr>
          </xdr:nvSpPr>
          <xdr:spPr>
            <a:xfrm>
              <a:off x="11229163470" y="110490"/>
              <a:ext cx="1832610" cy="153162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21</xdr:col>
      <xdr:colOff>1494790</xdr:colOff>
      <xdr:row>0</xdr:row>
      <xdr:rowOff>135255</xdr:rowOff>
    </xdr:from>
    <xdr:to>
      <xdr:col>25</xdr:col>
      <xdr:colOff>338455</xdr:colOff>
      <xdr:row>0</xdr:row>
      <xdr:rowOff>1634490</xdr:rowOff>
    </xdr:to>
    <mc:AlternateContent xmlns:mc="http://schemas.openxmlformats.org/markup-compatibility/2006" xmlns:sle15="http://schemas.microsoft.com/office/drawing/2012/slicer">
      <mc:Choice Requires="sle15">
        <xdr:graphicFrame macro="">
          <xdr:nvGraphicFramePr>
            <xdr:cNvPr id="9" name="חוסר בבודקים ">
              <a:extLst>
                <a:ext uri="{FF2B5EF4-FFF2-40B4-BE49-F238E27FC236}">
                  <a16:creationId xmlns:a16="http://schemas.microsoft.com/office/drawing/2014/main" id="{4EDE3AB1-C200-A9E1-DCD3-C45111BA0C3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חוסר בבודקים "/>
            </a:graphicData>
          </a:graphic>
        </xdr:graphicFrame>
      </mc:Choice>
      <mc:Fallback xmlns="">
        <xdr:sp macro="" textlink="">
          <xdr:nvSpPr>
            <xdr:cNvPr id="0" name=""/>
            <xdr:cNvSpPr>
              <a:spLocks noTextEdit="1"/>
            </xdr:cNvSpPr>
          </xdr:nvSpPr>
          <xdr:spPr>
            <a:xfrm>
              <a:off x="11227243230" y="118110"/>
              <a:ext cx="1813560" cy="151638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econline.sharepoint.com/iec/a04.substations/H/668/&#1514;&#1493;&#1489;%20&#1512;&#1489;%20&#1508;&#1512;&#1493;&#1497;&#1511;&#1496;&#1500;&#1497;/&#1513;&#1497;&#1512;&#1503;%20&#1513;&#1500;&#1492;&#1489;&#1514;/&#1504;&#1497;&#1514;&#1493;&#1495;%20&#1512;&#1489;%20&#1508;&#1512;&#1493;&#1497;&#1511;&#1496;&#1500;&#1497;/22.12.2025%20&#1504;&#1497;&#1514;&#1493;&#1495;%20&#1512;&#1489;%20&#1508;&#1512;&#1493;&#1497;&#1511;&#1496;&#1500;&#1497;%20&#1491;&#1510;&#1502;&#1489;&#15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ניתוח כולל הכל"/>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דיווח" xr10:uid="{00000000-0013-0000-FFFF-FFFF01000000}" sourceName="לדיווח">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וג_תחנה" xr10:uid="{00000000-0013-0000-FFFF-FFFF02000000}" sourceName="סוג תחנה">
  <extLst>
    <x:ext xmlns:x15="http://schemas.microsoft.com/office/spreadsheetml/2010/11/main" uri="{2F2917AC-EB37-4324-AD4E-5DD8C200BD13}">
      <x15:tableSlicerCache tableId="1" column="1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מנה_פ" xr10:uid="{00000000-0013-0000-FFFF-FFFF03000000}" sourceName="מנה&quot;פ">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יכון" xr10:uid="{00000000-0013-0000-FFFF-FFFF04000000}" sourceName="סיכון">
  <extLst>
    <x:ext xmlns:x15="http://schemas.microsoft.com/office/spreadsheetml/2010/11/main" uri="{2F2917AC-EB37-4324-AD4E-5DD8C200BD13}">
      <x15:tableSlicerCache tableId="1"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טטוס_הפרויקט_על_ציר_הזמן" xr10:uid="{00000000-0013-0000-FFFF-FFFF05000000}" sourceName="סטטוס הפרויקט על ציר הזמן">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סם" xr10:uid="{00000000-0013-0000-FFFF-FFFF06000000}" sourceName="חסם">
  <extLst>
    <x:ext xmlns:x15="http://schemas.microsoft.com/office/spreadsheetml/2010/11/main" uri="{2F2917AC-EB37-4324-AD4E-5DD8C200BD13}">
      <x15:tableSlicerCache tableId="1" column="9"/>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סם1" xr10:uid="{00000000-0013-0000-FFFF-FFFF07000000}" sourceName="לטיפול נוסף (במידה ונדרש)">
  <extLst>
    <x:ext xmlns:x15="http://schemas.microsoft.com/office/spreadsheetml/2010/11/main" uri="{2F2917AC-EB37-4324-AD4E-5DD8C200BD13}">
      <x15:tableSlicerCache tableId="2" column="9"/>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וג_תחנה1" xr10:uid="{00000000-0013-0000-FFFF-FFFF09000000}" sourceName="סוג תחנה">
  <extLst>
    <x:ext xmlns:x15="http://schemas.microsoft.com/office/spreadsheetml/2010/11/main" uri="{2F2917AC-EB37-4324-AD4E-5DD8C200BD13}">
      <x15:tableSlicerCache tableId="2" column="2"/>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מנה_פ1" xr10:uid="{00000000-0013-0000-FFFF-FFFF0A000000}" sourceName="מנה&quot;פ">
  <extLst>
    <x:ext xmlns:x15="http://schemas.microsoft.com/office/spreadsheetml/2010/11/main" uri="{2F2917AC-EB37-4324-AD4E-5DD8C200BD13}">
      <x15:tableSlicerCache tableId="2" column="3"/>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תו_ב" xr10:uid="{00000000-0013-0000-FFFF-FFFF0B000000}" sourceName="תו&quot;ב">
  <extLst>
    <x:ext xmlns:x15="http://schemas.microsoft.com/office/spreadsheetml/2010/11/main" uri="{2F2917AC-EB37-4324-AD4E-5DD8C200BD13}">
      <x15:tableSlicerCache tableId="2" column="1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טטוס_הפרויקט_על_ציר_הזמן1" xr10:uid="{00000000-0013-0000-FFFF-FFFF0C000000}" sourceName="סטטוס הפרויקט על ציר הזמן">
  <extLst>
    <x:ext xmlns:x15="http://schemas.microsoft.com/office/spreadsheetml/2010/11/main" uri="{2F2917AC-EB37-4324-AD4E-5DD8C200BD13}">
      <x15:tableSlicerCache tableId="2" column="7"/>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טיפול" xr10:uid="{00000000-0013-0000-FFFF-FFFF0D000000}" sourceName="לטיפול">
  <extLst>
    <x:ext xmlns:x15="http://schemas.microsoft.com/office/spreadsheetml/2010/11/main" uri="{2F2917AC-EB37-4324-AD4E-5DD8C200BD13}">
      <x15:tableSlicerCache tableId="2" column="17"/>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משגיחים" xr10:uid="{2C1DC8E3-C4CF-463D-9DEA-65EBD199A4E7}" sourceName="חוסר במשגיחים ">
  <extLst>
    <x:ext xmlns:x15="http://schemas.microsoft.com/office/spreadsheetml/2010/11/main" uri="{2F2917AC-EB37-4324-AD4E-5DD8C200BD13}">
      <x15:tableSlicerCache tableId="2" column="18"/>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וסר_בבודקים" xr10:uid="{20A6F3C2-5EF9-48DF-975D-4B4C2C530BC7}" sourceName="חוסר בבודקים ">
  <extLst>
    <x:ext xmlns:x15="http://schemas.microsoft.com/office/spreadsheetml/2010/11/main" uri="{2F2917AC-EB37-4324-AD4E-5DD8C200BD13}">
      <x15:tableSlicerCache tableId="2" column="1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לדיווח" xr10:uid="{00000000-0014-0000-FFFF-FFFF08000000}" cache="Slicer_לדיווח" caption="לדיווח" style="SlicerStyleLight2" rowHeight="241300"/>
  <slicer name="סוג תחנה" xr10:uid="{00000000-0014-0000-FFFF-FFFF09000000}" cache="Slicer_סוג_תחנה" caption="סוג תחנה" rowHeight="241300"/>
  <slicer name="מנה&quot;פ" xr10:uid="{00000000-0014-0000-FFFF-FFFF0A000000}" cache="Slicer_מנה_פ" caption="מנה&quot;פ" columnCount="2" style="SlicerStyleLight5" rowHeight="241300"/>
  <slicer name="סיכון" xr10:uid="{00000000-0014-0000-FFFF-FFFF0B000000}" cache="Slicer_סיכון" caption="סיכון" columnCount="2" style="SlicerStyleOther2" rowHeight="241300"/>
  <slicer name="סטטוס הפרויקט על ציר הזמן" xr10:uid="{00000000-0014-0000-FFFF-FFFF0C000000}" cache="Slicer_סטטוס_הפרויקט_על_ציר_הזמן" caption="סטטוס הפרויקט על ציר הזמן" columnCount="2" rowHeight="241300"/>
  <slicer name="חסם" xr10:uid="{00000000-0014-0000-FFFF-FFFF0D000000}" cache="Slicer_חסם" caption="חסם" columnCount="2"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חסם 1" xr10:uid="{00000000-0014-0000-FFFF-FFFF01000000}" cache="Slicer_חסם1" caption="לטיפול נוסף (במידה ונדרש)" columnCount="2" style="SlicerStyleLight6" rowHeight="241300"/>
  <slicer name="סוג תחנה 1" xr10:uid="{00000000-0014-0000-FFFF-FFFF03000000}" cache="Slicer_סוג_תחנה1" caption="סוג תחנה" columnCount="2" style="SlicerStyleLight5" rowHeight="241300"/>
  <slicer name="מנה&quot;פ 1" xr10:uid="{00000000-0014-0000-FFFF-FFFF04000000}" cache="Slicer_מנה_פ1" caption="מנה&quot;פ" columnCount="6" style="SlicerStyleOther2" rowHeight="241300"/>
  <slicer name="תו&quot;ב" xr10:uid="{00000000-0014-0000-FFFF-FFFF05000000}" cache="Slicer_תו_ב" caption="תו&quot;ב" columnCount="2" style="SlicerStyleOther1" rowHeight="241300"/>
  <slicer name="סטטוס הפרויקט על ציר הזמן 1" xr10:uid="{00000000-0014-0000-FFFF-FFFF06000000}" cache="Slicer_סטטוס_הפרויקט_על_ציר_הזמן1" caption="סטטוס הפרויקט על ציר הזמן" columnCount="3" style="SlicerStyleLight4" rowHeight="241300"/>
  <slicer name="לטיפול" xr10:uid="{00000000-0014-0000-FFFF-FFFF07000000}" cache="Slicer_לטיפול" caption="לטיפול" columnCount="2" style="SlicerStyleLight2" rowHeight="241300"/>
  <slicer name="חוסר במשגיחים " xr10:uid="{218131F7-DF5A-4AFC-8AB2-4FC5B895CC94}" cache="Slicer_חוסר_במשגיחים" caption="חוסר במשגיחים " style="SlicerStyleDark4" rowHeight="241300"/>
  <slicer name="חוסר בבודקים " xr10:uid="{D3110170-2609-42C5-B53C-7EE8A26DE5F5}" cache="Slicer_חוסר_בבודקים" caption="חוסר בבודקים "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טבלה1" displayName="טבלה1" ref="A2:M150" totalsRowShown="0" headerRowDxfId="80" dataDxfId="78" headerRowBorderDxfId="79" tableBorderDxfId="77" totalsRowBorderDxfId="76">
  <autoFilter ref="A2:M150" xr:uid="{00000000-0009-0000-0100-000001000000}"/>
  <tableColumns count="13">
    <tableColumn id="1" xr3:uid="{00000000-0010-0000-0000-000001000000}" name="לדיווח" dataDxfId="75"/>
    <tableColumn id="12" xr3:uid="{00000000-0010-0000-0000-00000C000000}" name="WBS2" dataDxfId="74"/>
    <tableColumn id="11" xr3:uid="{00000000-0010-0000-0000-00000B000000}" name="סוג תחנה" dataDxfId="73"/>
    <tableColumn id="2" xr3:uid="{00000000-0010-0000-0000-000002000000}" name="שם הפרויקט" dataDxfId="72"/>
    <tableColumn id="3" xr3:uid="{00000000-0010-0000-0000-000003000000}" name="מנה&quot;פ" dataDxfId="71"/>
    <tableColumn id="4" xr3:uid="{00000000-0010-0000-0000-000004000000}" name="יעד תכנית פיתוח " dataDxfId="70"/>
    <tableColumn id="5" xr3:uid="{00000000-0010-0000-0000-000005000000}" name="יעד מסתמן" dataDxfId="69"/>
    <tableColumn id="6" xr3:uid="{00000000-0010-0000-0000-000006000000}" name="סיכון" dataDxfId="68"/>
    <tableColumn id="7" xr3:uid="{00000000-0010-0000-0000-000007000000}" name="סטטוס הפרויקט על ציר הזמן" dataDxfId="67"/>
    <tableColumn id="16" xr3:uid="{00000000-0010-0000-0000-000010000000}" name="עמודה2" dataDxfId="66">
      <calculatedColumnFormula>"WBS: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calculatedColumnFormula>
    </tableColumn>
    <tableColumn id="8" xr3:uid="{00000000-0010-0000-0000-000008000000}" name="פירוט שבועי" dataDxfId="65"/>
    <tableColumn id="9" xr3:uid="{00000000-0010-0000-0000-000009000000}" name="חסם" dataDxfId="64"/>
    <tableColumn id="10" xr3:uid="{00000000-0010-0000-0000-00000A000000}" name="פירוט החסם " dataDxfId="63"/>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טבלה13" displayName="טבלה13" ref="A2:W249" totalsRowShown="0" headerRowDxfId="3" dataDxfId="2" headerRowBorderDxfId="83" tableBorderDxfId="82" totalsRowBorderDxfId="81">
  <autoFilter ref="A2:W249" xr:uid="{00000000-0009-0000-0100-000002000000}"/>
  <tableColumns count="23">
    <tableColumn id="12" xr3:uid="{00000000-0010-0000-0100-00000C000000}" name="זיהוי" dataDxfId="26"/>
    <tableColumn id="11" xr3:uid="{00000000-0010-0000-0100-00000B000000}" name="שם הפרויקט" dataDxfId="25"/>
    <tableColumn id="2" xr3:uid="{00000000-0010-0000-0100-000002000000}" name="סוג תחנה" dataDxfId="24">
      <calculatedColumnFormula>VLOOKUP(A3,'[1]ניתוח כולל הכל'!$A:$O,3,FALSE)</calculatedColumnFormula>
    </tableColumn>
    <tableColumn id="3" xr3:uid="{00000000-0010-0000-0100-000003000000}" name="מנה&quot;פ" dataDxfId="23"/>
    <tableColumn id="13" xr3:uid="{00000000-0010-0000-0100-00000D000000}" name="תו&quot;ב" dataDxfId="22"/>
    <tableColumn id="4" xr3:uid="{00000000-0010-0000-0100-000004000000}" name="יעד תכנית פיתוח " dataDxfId="21"/>
    <tableColumn id="5" xr3:uid="{00000000-0010-0000-0100-000005000000}" name="יעד חשמול מסתמן" dataDxfId="20"/>
    <tableColumn id="7" xr3:uid="{00000000-0010-0000-0100-000007000000}" name="סטטוס הפרויקט על ציר הזמן" dataDxfId="19"/>
    <tableColumn id="16" xr3:uid="{00000000-0010-0000-0100-000010000000}" name="זיהוי2" dataDxfId="18">
      <calculatedColumnFormula>"WBS: " &amp; A3 &amp; CHAR(10) &amp;
"שם פרויקט: " &amp; B3 &amp; CHAR(10) &amp;
"מנה״פ: " &amp; D3 &amp; CHAR(10) &amp;
"יעד תכנית פיתוח: " &amp; TEXT(F3,"dd/mm/yyyy") &amp; CHAR(10) &amp;
"יעד מסתמן: " &amp; TEXT(G3,"dd/mm/yyyy")</calculatedColumnFormula>
    </tableColumn>
    <tableColumn id="33" xr3:uid="{C9336790-6879-4E58-8E03-60D2FEB8B401}" name="פירוט שבועי 20/05/2026" dataDxfId="17"/>
    <tableColumn id="1" xr3:uid="{87F2F844-A989-46F9-BFC6-1109F2E79BFD}" name="פירוט שבועי 27/05/2026" dataDxfId="16"/>
    <tableColumn id="6" xr3:uid="{B236FEA4-A273-4766-A7C8-CAC171D2E01A}" name="פירוט שבועי 03/06/2026" dataDxfId="15"/>
    <tableColumn id="8" xr3:uid="{829A4723-472B-4E55-BFF6-03323438E7F4}" name="פירוט שבועי 10/06/2026" dataDxfId="14"/>
    <tableColumn id="10" xr3:uid="{E5DBF0F2-33FE-43AE-B798-4856DF0D6302}" name="פירוט שבועי 17/06/2026" dataDxfId="13"/>
    <tableColumn id="14" xr3:uid="{528110CF-326E-4F2A-B9E7-036CF5940E38}" name="פירוט שבועי 24/06/2026" dataDxfId="12"/>
    <tableColumn id="20" xr3:uid="{7DBD6065-B3DA-4428-9BFE-886752823C89}" name="פירוט שבועי 01/07/2026" dataDxfId="11"/>
    <tableColumn id="22" xr3:uid="{5F0BA50C-947E-4458-B2A3-6A2657A00A4E}" name="פירוט שבועי 08/07/2026" dataDxfId="10"/>
    <tableColumn id="15" xr3:uid="{00000000-0010-0000-0100-00000F000000}" name="פירוט סיכונים וחסמים עיקריים " dataDxfId="9"/>
    <tableColumn id="17" xr3:uid="{00000000-0010-0000-0100-000011000000}" name="לטיפול" dataDxfId="8"/>
    <tableColumn id="9" xr3:uid="{00000000-0010-0000-0100-000009000000}" name="לטיפול נוסף (במידה ונדרש)" dataDxfId="7"/>
    <tableColumn id="18" xr3:uid="{D71AD2FC-444D-4D4B-A55F-98019E74E2F4}" name="חוסר במשגיחים " dataDxfId="6"/>
    <tableColumn id="19" xr3:uid="{84DBA447-E437-4DAA-8F1E-4C37ED7A9B6E}" name="חוסר בבודקים " dataDxfId="5"/>
    <tableColumn id="21" xr3:uid="{4268B585-9438-4B20-9CE0-55D4C1723718}" name="אומדן- השקעה כוללת, אש&quot;ח" dataDxfId="4"/>
  </tableColumns>
  <tableStyleInfo name="TableStyleLight1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hyperlink" Target="http://winsrvp0229/pm/" TargetMode="External"/><Relationship Id="rId6" Type="http://schemas.microsoft.com/office/2007/relationships/slicer" Target="../slicers/slicer2.xml"/><Relationship Id="rId5" Type="http://schemas.openxmlformats.org/officeDocument/2006/relationships/table" Target="../tables/table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rightToLeft="1" topLeftCell="A7" workbookViewId="0">
      <selection activeCell="E13" sqref="E13"/>
    </sheetView>
  </sheetViews>
  <sheetFormatPr defaultRowHeight="13.8"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1"/>
  <dimension ref="A1:R150"/>
  <sheetViews>
    <sheetView rightToLeft="1" zoomScale="80" zoomScaleNormal="80" workbookViewId="0">
      <selection activeCell="D4" sqref="D4"/>
    </sheetView>
  </sheetViews>
  <sheetFormatPr defaultRowHeight="13.8" x14ac:dyDescent="0.25"/>
  <cols>
    <col min="1" max="3" width="12.5" customWidth="1"/>
    <col min="4" max="4" width="19" customWidth="1"/>
    <col min="5" max="5" width="13.09765625" customWidth="1"/>
    <col min="6" max="6" width="15.59765625" customWidth="1"/>
    <col min="7" max="7" width="13.09765625" customWidth="1"/>
    <col min="9" max="10" width="22.59765625" customWidth="1"/>
    <col min="11" max="11" width="45.09765625" customWidth="1"/>
    <col min="12" max="12" width="26.59765625" customWidth="1"/>
    <col min="13" max="13" width="16.5" customWidth="1"/>
    <col min="17" max="17" width="16.09765625" customWidth="1"/>
  </cols>
  <sheetData>
    <row r="1" spans="1:18" ht="138" customHeight="1" x14ac:dyDescent="0.25">
      <c r="A1" s="172"/>
      <c r="B1" s="172"/>
      <c r="C1" s="172"/>
      <c r="D1" s="172"/>
      <c r="E1" s="172"/>
      <c r="F1" s="172"/>
      <c r="G1" s="172"/>
      <c r="H1" s="172"/>
      <c r="I1" s="172"/>
      <c r="J1" s="172"/>
      <c r="K1" s="172"/>
      <c r="L1" s="172"/>
      <c r="M1" s="172"/>
    </row>
    <row r="2" spans="1:18" s="12" customFormat="1" x14ac:dyDescent="0.25">
      <c r="A2" s="9" t="s">
        <v>0</v>
      </c>
      <c r="B2" s="10" t="s">
        <v>1</v>
      </c>
      <c r="C2" s="10" t="s">
        <v>2</v>
      </c>
      <c r="D2" s="10" t="s">
        <v>3</v>
      </c>
      <c r="E2" s="10" t="s">
        <v>4</v>
      </c>
      <c r="F2" s="10" t="s">
        <v>5</v>
      </c>
      <c r="G2" s="10" t="s">
        <v>6</v>
      </c>
      <c r="H2" s="10" t="s">
        <v>7</v>
      </c>
      <c r="I2" s="10" t="s">
        <v>8</v>
      </c>
      <c r="J2" s="10" t="s">
        <v>9</v>
      </c>
      <c r="K2" s="10" t="s">
        <v>10</v>
      </c>
      <c r="L2" s="10" t="s">
        <v>11</v>
      </c>
      <c r="M2" s="11" t="s">
        <v>12</v>
      </c>
    </row>
    <row r="3" spans="1:18" ht="179.4" x14ac:dyDescent="0.25">
      <c r="A3" s="4" t="s">
        <v>13</v>
      </c>
      <c r="B3" s="5" t="s">
        <v>14</v>
      </c>
      <c r="C3" s="5" t="s">
        <v>15</v>
      </c>
      <c r="D3" s="5" t="s">
        <v>16</v>
      </c>
      <c r="E3" s="4" t="s">
        <v>17</v>
      </c>
      <c r="F3" s="6">
        <v>46538</v>
      </c>
      <c r="G3" s="6">
        <v>46538</v>
      </c>
      <c r="H3" s="4" t="s">
        <v>18</v>
      </c>
      <c r="I3" s="4" t="s">
        <v>19</v>
      </c>
      <c r="J3" s="7"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WBJ-002 
שם פרויקט: תחמ"ג גליל מזרחי 
מנה״פ: מזרחי, סולי
יעד תכנית פיתוח: 31/05/2027
יעד מסתמן: 31/05/2027</v>
      </c>
      <c r="K3" s="8" t="s">
        <v>20</v>
      </c>
      <c r="L3" s="4" t="s">
        <v>21</v>
      </c>
      <c r="M3" s="4"/>
      <c r="Q3" s="2" t="str">
        <f>"WBS: " &amp; B3 &amp; CHAR(10) &amp;
"שם פרויקט: " &amp; D3 &amp; CHAR(10) &amp;
"מנה״פ: " &amp; E3 &amp; CHAR(10) &amp;
"יעד תכנית פיתוח: " &amp; TEXT(F3,"dd/mm/yyyy") &amp; CHAR(10) &amp;
"יעד מסתמן: " &amp; TEXT(G3,"dd/mm/yyyy")</f>
        <v>WBS: WBJ-002 
שם פרויקט: תחמ"ג גליל מזרחי 
מנה״פ: מזרחי, סולי
יעד תכנית פיתוח: 31/05/2027
יעד מסתמן: 31/05/2027</v>
      </c>
      <c r="R3" s="2"/>
    </row>
    <row r="4" spans="1:18" ht="234.6" x14ac:dyDescent="0.25">
      <c r="A4" s="4" t="s">
        <v>13</v>
      </c>
      <c r="B4" s="4" t="s">
        <v>22</v>
      </c>
      <c r="C4" s="4" t="s">
        <v>15</v>
      </c>
      <c r="D4" s="8" t="s">
        <v>23</v>
      </c>
      <c r="E4" s="4" t="s">
        <v>17</v>
      </c>
      <c r="F4" s="4" t="s">
        <v>24</v>
      </c>
      <c r="G4" s="6">
        <v>46112</v>
      </c>
      <c r="H4" s="4" t="s">
        <v>25</v>
      </c>
      <c r="I4" s="4" t="s">
        <v>19</v>
      </c>
      <c r="J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WBC-024
שם פרויקט: אוניברסיטה ת"א
הקמת תחמ"ש פנימית
מנה״פ: מזרחי, סולי
יעד תכנית פיתוח: 31/04/2026
יעד מסתמן: 31/03/2026</v>
      </c>
      <c r="K4" s="8" t="s">
        <v>26</v>
      </c>
      <c r="L4" s="4" t="s">
        <v>27</v>
      </c>
      <c r="M4" s="4" t="s">
        <v>28</v>
      </c>
      <c r="Q4" s="2" t="str">
        <f t="shared" ref="Q4:Q7" si="0">"WBS: " &amp; B4 &amp; CHAR(10) &amp;
"שם פרויקט: " &amp; D4 &amp; CHAR(10) &amp;
"מנה״פ: " &amp; E4 &amp; CHAR(10) &amp;
"יעד תכנית פיתוח: " &amp; TEXT(F4,"dd/mm/yyyy") &amp; CHAR(10) &amp;
"יעד מסתמן: " &amp; TEXT(G4,"dd/mm/yyyy")</f>
        <v>WBS: WBC-024
שם פרויקט: אוניברסיטה ת"א
הקמת תחמ"ש פנימית
מנה״פ: מזרחי, סולי
יעד תכנית פיתוח: 31/04/2026
יעד מסתמן: 31/03/2026</v>
      </c>
    </row>
    <row r="5" spans="1:18" ht="151.80000000000001" x14ac:dyDescent="0.25">
      <c r="A5" s="4" t="s">
        <v>13</v>
      </c>
      <c r="B5" s="4" t="s">
        <v>29</v>
      </c>
      <c r="C5" s="4" t="s">
        <v>30</v>
      </c>
      <c r="D5" s="8" t="s">
        <v>31</v>
      </c>
      <c r="E5" s="4" t="s">
        <v>17</v>
      </c>
      <c r="F5" s="6">
        <v>45838</v>
      </c>
      <c r="G5" s="6">
        <v>45930</v>
      </c>
      <c r="H5" s="4" t="s">
        <v>32</v>
      </c>
      <c r="I5" s="4" t="s">
        <v>33</v>
      </c>
      <c r="J5"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WBE-108
שם פרויקט: צומת כרמיה PV
הוספת שנאי רביעי 50
מגו"א
מנה״פ: מזרחי, סולי
יעד תכנית פיתוח: 30/06/2025
יעד מסתמן: 30/09/2025</v>
      </c>
      <c r="K5" s="8" t="s">
        <v>34</v>
      </c>
      <c r="L5" s="4" t="s">
        <v>21</v>
      </c>
      <c r="M5" s="4"/>
      <c r="Q5" s="2" t="str">
        <f t="shared" si="0"/>
        <v>WBS: WBE-108
שם פרויקט: צומת כרמיה PV
הוספת שנאי רביעי 50
מגו"א
מנה״פ: מזרחי, סולי
יעד תכנית פיתוח: 30/06/2025
יעד מסתמן: 30/09/2025</v>
      </c>
    </row>
    <row r="6" spans="1:18" ht="165.6" x14ac:dyDescent="0.25">
      <c r="A6" s="4" t="s">
        <v>13</v>
      </c>
      <c r="B6" s="4" t="s">
        <v>35</v>
      </c>
      <c r="C6" s="4" t="s">
        <v>15</v>
      </c>
      <c r="D6" s="8" t="s">
        <v>36</v>
      </c>
      <c r="E6" s="4" t="s">
        <v>37</v>
      </c>
      <c r="F6" s="6">
        <v>45930</v>
      </c>
      <c r="G6" s="6">
        <v>45991</v>
      </c>
      <c r="H6" s="4" t="s">
        <v>32</v>
      </c>
      <c r="I6" s="4" t="s">
        <v>33</v>
      </c>
      <c r="J6"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WBC-067
שם פרויקט: אבליים -
הקמת תחמ"ש חיצונית
מנה״פ: אוחנה, אלי
יעד תכנית פיתוח: 30/09/2025
יעד מסתמן: 30/11/2025</v>
      </c>
      <c r="K6" s="8" t="s">
        <v>38</v>
      </c>
      <c r="L6" s="4" t="s">
        <v>39</v>
      </c>
      <c r="M6" s="4" t="s">
        <v>40</v>
      </c>
      <c r="Q6" s="2" t="str">
        <f t="shared" si="0"/>
        <v>WBS: WBC-067
שם פרויקט: אבליים -
הקמת תחמ"ש חיצונית
מנה״פ: אוחנה, אלי
יעד תכנית פיתוח: 30/09/2025
יעד מסתמן: 30/11/2025</v>
      </c>
    </row>
    <row r="7" spans="1:18" ht="151.80000000000001" x14ac:dyDescent="0.25">
      <c r="A7" s="4" t="s">
        <v>13</v>
      </c>
      <c r="B7" s="4" t="s">
        <v>41</v>
      </c>
      <c r="C7" s="4" t="s">
        <v>30</v>
      </c>
      <c r="D7" s="8" t="s">
        <v>42</v>
      </c>
      <c r="E7" s="4" t="s">
        <v>43</v>
      </c>
      <c r="F7" s="6">
        <v>46233</v>
      </c>
      <c r="G7" s="6">
        <v>46233</v>
      </c>
      <c r="H7" s="4" t="s">
        <v>25</v>
      </c>
      <c r="I7" s="4" t="s">
        <v>44</v>
      </c>
      <c r="J7"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WBE-175
שם פרויקט: פתח תקווה -
הוספת שנאי 525 161/24 ק"ו
50 מ
מנה״פ: בר אור, מעיין
יעד תכנית פיתוח: 30/07/2026
יעד מסתמן: 30/07/2026</v>
      </c>
      <c r="K7" s="8" t="s">
        <v>45</v>
      </c>
      <c r="L7" s="4" t="s">
        <v>46</v>
      </c>
      <c r="M7" s="4"/>
      <c r="Q7" s="2" t="str">
        <f t="shared" si="0"/>
        <v>WBS: WBE-175
שם פרויקט: פתח תקווה -
הוספת שנאי 525 161/24 ק"ו
50 מ
מנה״פ: בר אור, מעיין
יעד תכנית פיתוח: 30/07/2026
יעד מסתמן: 30/07/2026</v>
      </c>
    </row>
    <row r="8" spans="1:18" ht="110.4" x14ac:dyDescent="0.25">
      <c r="A8" s="4" t="s">
        <v>13</v>
      </c>
      <c r="B8" s="4" t="s">
        <v>47</v>
      </c>
      <c r="C8" s="4" t="s">
        <v>30</v>
      </c>
      <c r="D8" s="8" t="s">
        <v>48</v>
      </c>
      <c r="E8" s="4" t="s">
        <v>49</v>
      </c>
      <c r="F8" s="4" t="s">
        <v>50</v>
      </c>
      <c r="G8" s="6">
        <v>46053</v>
      </c>
      <c r="H8" s="4" t="s">
        <v>18</v>
      </c>
      <c r="I8" s="4" t="s">
        <v>51</v>
      </c>
      <c r="J8"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WBE-179
שם פרויקט: גבעת שאול- הרחבת מסדר
161 ק"ו והתקנת שנא
מנה״פ: פוטרמן שרון 
יעד תכנית פיתוח: 29/02/2026
יעד מסתמן: 31/01/2026</v>
      </c>
      <c r="K8" s="8" t="s">
        <v>52</v>
      </c>
      <c r="L8" s="4" t="s">
        <v>27</v>
      </c>
      <c r="M8" s="4" t="s">
        <v>53</v>
      </c>
    </row>
    <row r="9" spans="1:18" ht="82.8" x14ac:dyDescent="0.25">
      <c r="A9" s="4"/>
      <c r="B9" s="4"/>
      <c r="C9" s="4"/>
      <c r="D9" s="4"/>
      <c r="E9" s="4"/>
      <c r="F9" s="4"/>
      <c r="G9" s="4"/>
      <c r="H9" s="4"/>
      <c r="I9" s="4"/>
      <c r="J9"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 s="4"/>
      <c r="L9" s="4"/>
      <c r="M9" s="4"/>
    </row>
    <row r="10" spans="1:18" ht="82.8" x14ac:dyDescent="0.25">
      <c r="A10" s="4"/>
      <c r="B10" s="4"/>
      <c r="C10" s="4"/>
      <c r="D10" s="4"/>
      <c r="E10" s="4"/>
      <c r="F10" s="4"/>
      <c r="G10" s="4"/>
      <c r="H10" s="4"/>
      <c r="I10" s="4"/>
      <c r="J10"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 s="4"/>
      <c r="L10" s="4"/>
      <c r="M10" s="4"/>
    </row>
    <row r="11" spans="1:18" ht="82.8" x14ac:dyDescent="0.25">
      <c r="A11" s="4"/>
      <c r="B11" s="4"/>
      <c r="C11" s="4"/>
      <c r="D11" s="4"/>
      <c r="E11" s="4"/>
      <c r="F11" s="4"/>
      <c r="G11" s="4"/>
      <c r="H11" s="4"/>
      <c r="I11" s="4"/>
      <c r="J11"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 s="4"/>
      <c r="L11" s="4"/>
      <c r="M11" s="4"/>
    </row>
    <row r="12" spans="1:18" ht="82.8" x14ac:dyDescent="0.25">
      <c r="A12" s="4"/>
      <c r="B12" s="4"/>
      <c r="C12" s="4"/>
      <c r="D12" s="4"/>
      <c r="E12" s="4"/>
      <c r="F12" s="4"/>
      <c r="G12" s="4"/>
      <c r="H12" s="4"/>
      <c r="I12" s="4"/>
      <c r="J12"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 s="4"/>
      <c r="L12" s="4"/>
      <c r="M12" s="4"/>
    </row>
    <row r="13" spans="1:18" ht="82.8" x14ac:dyDescent="0.25">
      <c r="A13" s="4"/>
      <c r="B13" s="4"/>
      <c r="C13" s="4"/>
      <c r="D13" s="4"/>
      <c r="E13" s="4"/>
      <c r="F13" s="4"/>
      <c r="G13" s="4"/>
      <c r="H13" s="4"/>
      <c r="I13" s="4"/>
      <c r="J13"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 s="4"/>
      <c r="L13" s="4"/>
      <c r="M13" s="4"/>
    </row>
    <row r="14" spans="1:18" ht="82.8" x14ac:dyDescent="0.25">
      <c r="A14" s="4"/>
      <c r="B14" s="4"/>
      <c r="C14" s="4"/>
      <c r="D14" s="4"/>
      <c r="E14" s="4"/>
      <c r="F14" s="4"/>
      <c r="G14" s="4"/>
      <c r="H14" s="4"/>
      <c r="I14" s="4"/>
      <c r="J1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 s="4"/>
      <c r="L14" s="4"/>
      <c r="M14" s="4"/>
    </row>
    <row r="15" spans="1:18" ht="82.8" x14ac:dyDescent="0.25">
      <c r="A15" s="4"/>
      <c r="B15" s="4"/>
      <c r="C15" s="4"/>
      <c r="D15" s="4"/>
      <c r="E15" s="4"/>
      <c r="F15" s="4"/>
      <c r="G15" s="4"/>
      <c r="H15" s="4"/>
      <c r="I15" s="4"/>
      <c r="J15"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5" s="4"/>
      <c r="L15" s="4"/>
      <c r="M15" s="4"/>
    </row>
    <row r="16" spans="1:18" ht="82.8" x14ac:dyDescent="0.25">
      <c r="A16" s="4"/>
      <c r="B16" s="4"/>
      <c r="C16" s="4"/>
      <c r="D16" s="4"/>
      <c r="E16" s="4"/>
      <c r="F16" s="4"/>
      <c r="G16" s="4"/>
      <c r="H16" s="4"/>
      <c r="I16" s="4"/>
      <c r="J16"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6" s="4"/>
      <c r="L16" s="4"/>
      <c r="M16" s="4"/>
    </row>
    <row r="17" spans="1:13" ht="82.8" x14ac:dyDescent="0.25">
      <c r="A17" s="4"/>
      <c r="B17" s="4"/>
      <c r="C17" s="4"/>
      <c r="D17" s="4"/>
      <c r="E17" s="4"/>
      <c r="F17" s="4"/>
      <c r="G17" s="4"/>
      <c r="H17" s="4"/>
      <c r="I17" s="4"/>
      <c r="J17"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7" s="4"/>
      <c r="L17" s="4"/>
      <c r="M17" s="4"/>
    </row>
    <row r="18" spans="1:13" ht="82.8" x14ac:dyDescent="0.25">
      <c r="A18" s="4"/>
      <c r="B18" s="4"/>
      <c r="C18" s="4"/>
      <c r="D18" s="4"/>
      <c r="E18" s="4"/>
      <c r="F18" s="4"/>
      <c r="G18" s="4"/>
      <c r="H18" s="4"/>
      <c r="I18" s="4"/>
      <c r="J18"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8" s="4"/>
      <c r="L18" s="4"/>
      <c r="M18" s="4"/>
    </row>
    <row r="19" spans="1:13" ht="82.8" x14ac:dyDescent="0.25">
      <c r="A19" s="4"/>
      <c r="B19" s="4"/>
      <c r="C19" s="4"/>
      <c r="D19" s="4"/>
      <c r="E19" s="4"/>
      <c r="F19" s="4"/>
      <c r="G19" s="4"/>
      <c r="H19" s="4"/>
      <c r="I19" s="4"/>
      <c r="J19"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9" s="4"/>
      <c r="L19" s="4"/>
      <c r="M19" s="4"/>
    </row>
    <row r="20" spans="1:13" ht="82.8" x14ac:dyDescent="0.25">
      <c r="A20" s="4"/>
      <c r="B20" s="4"/>
      <c r="C20" s="4"/>
      <c r="D20" s="4"/>
      <c r="E20" s="4"/>
      <c r="F20" s="4"/>
      <c r="G20" s="4"/>
      <c r="H20" s="4"/>
      <c r="I20" s="4"/>
      <c r="J20"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0" s="4"/>
      <c r="L20" s="4"/>
      <c r="M20" s="4"/>
    </row>
    <row r="21" spans="1:13" ht="82.8" x14ac:dyDescent="0.25">
      <c r="A21" s="4"/>
      <c r="B21" s="4"/>
      <c r="C21" s="4"/>
      <c r="D21" s="4"/>
      <c r="E21" s="4"/>
      <c r="F21" s="4"/>
      <c r="G21" s="4"/>
      <c r="H21" s="4"/>
      <c r="I21" s="4"/>
      <c r="J21"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1" s="4"/>
      <c r="L21" s="4"/>
      <c r="M21" s="4"/>
    </row>
    <row r="22" spans="1:13" ht="82.8" x14ac:dyDescent="0.25">
      <c r="A22" s="4"/>
      <c r="B22" s="4"/>
      <c r="C22" s="4"/>
      <c r="D22" s="4"/>
      <c r="E22" s="4"/>
      <c r="F22" s="4"/>
      <c r="G22" s="4"/>
      <c r="H22" s="4"/>
      <c r="I22" s="4"/>
      <c r="J22"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2" s="4"/>
      <c r="L22" s="4"/>
      <c r="M22" s="4"/>
    </row>
    <row r="23" spans="1:13" ht="82.8" x14ac:dyDescent="0.25">
      <c r="A23" s="4"/>
      <c r="B23" s="4"/>
      <c r="C23" s="4"/>
      <c r="D23" s="4"/>
      <c r="E23" s="4"/>
      <c r="F23" s="4"/>
      <c r="G23" s="4"/>
      <c r="H23" s="4"/>
      <c r="I23" s="4"/>
      <c r="J23"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3" s="4"/>
      <c r="L23" s="4"/>
      <c r="M23" s="4"/>
    </row>
    <row r="24" spans="1:13" ht="82.8" x14ac:dyDescent="0.25">
      <c r="A24" s="4"/>
      <c r="B24" s="4"/>
      <c r="C24" s="4"/>
      <c r="D24" s="4"/>
      <c r="E24" s="4"/>
      <c r="F24" s="4"/>
      <c r="G24" s="4"/>
      <c r="H24" s="4"/>
      <c r="I24" s="4"/>
      <c r="J2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4" s="4"/>
      <c r="L24" s="4"/>
      <c r="M24" s="4"/>
    </row>
    <row r="25" spans="1:13" ht="82.8" x14ac:dyDescent="0.25">
      <c r="A25" s="4"/>
      <c r="B25" s="4"/>
      <c r="C25" s="4"/>
      <c r="D25" s="4"/>
      <c r="E25" s="4"/>
      <c r="F25" s="4"/>
      <c r="G25" s="4"/>
      <c r="H25" s="4"/>
      <c r="I25" s="4"/>
      <c r="J25"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5" s="4"/>
      <c r="L25" s="4"/>
      <c r="M25" s="4"/>
    </row>
    <row r="26" spans="1:13" ht="82.8" x14ac:dyDescent="0.25">
      <c r="A26" s="4"/>
      <c r="B26" s="4"/>
      <c r="C26" s="4"/>
      <c r="D26" s="4"/>
      <c r="E26" s="4"/>
      <c r="F26" s="4"/>
      <c r="G26" s="4"/>
      <c r="H26" s="4"/>
      <c r="I26" s="4"/>
      <c r="J26"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6" s="4"/>
      <c r="L26" s="4"/>
      <c r="M26" s="4"/>
    </row>
    <row r="27" spans="1:13" ht="82.8" x14ac:dyDescent="0.25">
      <c r="A27" s="4"/>
      <c r="B27" s="4"/>
      <c r="C27" s="4"/>
      <c r="D27" s="4"/>
      <c r="E27" s="4"/>
      <c r="F27" s="4"/>
      <c r="G27" s="4"/>
      <c r="H27" s="4"/>
      <c r="I27" s="4"/>
      <c r="J27"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7" s="4"/>
      <c r="L27" s="4"/>
      <c r="M27" s="4"/>
    </row>
    <row r="28" spans="1:13" ht="82.8" x14ac:dyDescent="0.25">
      <c r="A28" s="4"/>
      <c r="B28" s="4"/>
      <c r="C28" s="4"/>
      <c r="D28" s="4"/>
      <c r="E28" s="4"/>
      <c r="F28" s="4"/>
      <c r="G28" s="4"/>
      <c r="H28" s="4"/>
      <c r="I28" s="4"/>
      <c r="J28"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8" s="4"/>
      <c r="L28" s="4"/>
      <c r="M28" s="4"/>
    </row>
    <row r="29" spans="1:13" ht="82.8" x14ac:dyDescent="0.25">
      <c r="A29" s="4"/>
      <c r="B29" s="4"/>
      <c r="C29" s="4"/>
      <c r="D29" s="4"/>
      <c r="E29" s="4"/>
      <c r="F29" s="4"/>
      <c r="G29" s="4"/>
      <c r="H29" s="4"/>
      <c r="I29" s="4"/>
      <c r="J29"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9" s="4"/>
      <c r="L29" s="4"/>
      <c r="M29" s="4"/>
    </row>
    <row r="30" spans="1:13" ht="82.8" x14ac:dyDescent="0.25">
      <c r="A30" s="4"/>
      <c r="B30" s="4"/>
      <c r="C30" s="4"/>
      <c r="D30" s="4"/>
      <c r="E30" s="4"/>
      <c r="F30" s="4"/>
      <c r="G30" s="4"/>
      <c r="H30" s="4"/>
      <c r="I30" s="4"/>
      <c r="J30"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0" s="4"/>
      <c r="L30" s="4"/>
      <c r="M30" s="4"/>
    </row>
    <row r="31" spans="1:13" ht="82.8" x14ac:dyDescent="0.25">
      <c r="A31" s="4"/>
      <c r="B31" s="4"/>
      <c r="C31" s="4"/>
      <c r="D31" s="4"/>
      <c r="E31" s="4"/>
      <c r="F31" s="4"/>
      <c r="G31" s="4"/>
      <c r="H31" s="4"/>
      <c r="I31" s="4"/>
      <c r="J31"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1" s="4"/>
      <c r="L31" s="4"/>
      <c r="M31" s="4"/>
    </row>
    <row r="32" spans="1:13" ht="82.8" x14ac:dyDescent="0.25">
      <c r="A32" s="4"/>
      <c r="B32" s="4"/>
      <c r="C32" s="4"/>
      <c r="D32" s="4"/>
      <c r="E32" s="4"/>
      <c r="F32" s="4"/>
      <c r="G32" s="4"/>
      <c r="H32" s="4"/>
      <c r="I32" s="4"/>
      <c r="J32"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2" s="4"/>
      <c r="L32" s="4"/>
      <c r="M32" s="4"/>
    </row>
    <row r="33" spans="1:13" ht="82.8" x14ac:dyDescent="0.25">
      <c r="A33" s="4"/>
      <c r="B33" s="4"/>
      <c r="C33" s="4"/>
      <c r="D33" s="4"/>
      <c r="E33" s="4"/>
      <c r="F33" s="4"/>
      <c r="G33" s="4"/>
      <c r="H33" s="4"/>
      <c r="I33" s="4"/>
      <c r="J33"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3" s="4"/>
      <c r="L33" s="4"/>
      <c r="M33" s="4"/>
    </row>
    <row r="34" spans="1:13" ht="82.8" x14ac:dyDescent="0.25">
      <c r="A34" s="4"/>
      <c r="B34" s="4"/>
      <c r="C34" s="4"/>
      <c r="D34" s="4"/>
      <c r="E34" s="4"/>
      <c r="F34" s="4"/>
      <c r="G34" s="4"/>
      <c r="H34" s="4"/>
      <c r="I34" s="4"/>
      <c r="J3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4" s="4"/>
      <c r="L34" s="4"/>
      <c r="M34" s="4"/>
    </row>
    <row r="35" spans="1:13" x14ac:dyDescent="0.25">
      <c r="A35" s="4"/>
      <c r="B35" s="4"/>
      <c r="C35" s="4"/>
      <c r="D35" s="4"/>
      <c r="E35" s="4"/>
      <c r="F35" s="4"/>
      <c r="G35" s="4"/>
      <c r="H35" s="4"/>
      <c r="I35" s="4"/>
      <c r="J3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5" s="4"/>
      <c r="L35" s="4"/>
      <c r="M35" s="4"/>
    </row>
    <row r="36" spans="1:13" x14ac:dyDescent="0.25">
      <c r="A36" s="4"/>
      <c r="B36" s="4"/>
      <c r="C36" s="4"/>
      <c r="D36" s="4"/>
      <c r="E36" s="4"/>
      <c r="F36" s="4"/>
      <c r="G36" s="4"/>
      <c r="H36" s="4"/>
      <c r="I36" s="4"/>
      <c r="J3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6" s="4"/>
      <c r="L36" s="4"/>
      <c r="M36" s="4"/>
    </row>
    <row r="37" spans="1:13" x14ac:dyDescent="0.25">
      <c r="A37" s="4"/>
      <c r="B37" s="4"/>
      <c r="C37" s="4"/>
      <c r="D37" s="4"/>
      <c r="E37" s="4"/>
      <c r="F37" s="4"/>
      <c r="G37" s="4"/>
      <c r="H37" s="4"/>
      <c r="I37" s="4"/>
      <c r="J3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7" s="4"/>
      <c r="L37" s="4"/>
      <c r="M37" s="4"/>
    </row>
    <row r="38" spans="1:13" x14ac:dyDescent="0.25">
      <c r="A38" s="4"/>
      <c r="B38" s="4"/>
      <c r="C38" s="4"/>
      <c r="D38" s="4"/>
      <c r="E38" s="4"/>
      <c r="F38" s="4"/>
      <c r="G38" s="4"/>
      <c r="H38" s="4"/>
      <c r="I38" s="4"/>
      <c r="J3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8" s="4"/>
      <c r="L38" s="4"/>
      <c r="M38" s="4"/>
    </row>
    <row r="39" spans="1:13" x14ac:dyDescent="0.25">
      <c r="A39" s="4"/>
      <c r="B39" s="4"/>
      <c r="C39" s="4"/>
      <c r="D39" s="4"/>
      <c r="E39" s="4"/>
      <c r="F39" s="4"/>
      <c r="G39" s="4"/>
      <c r="H39" s="4"/>
      <c r="I39" s="4"/>
      <c r="J3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9" s="4"/>
      <c r="L39" s="4"/>
      <c r="M39" s="4"/>
    </row>
    <row r="40" spans="1:13" x14ac:dyDescent="0.25">
      <c r="A40" s="4"/>
      <c r="B40" s="4"/>
      <c r="C40" s="4"/>
      <c r="D40" s="4"/>
      <c r="E40" s="4"/>
      <c r="F40" s="4"/>
      <c r="G40" s="4"/>
      <c r="H40" s="4"/>
      <c r="I40" s="4"/>
      <c r="J4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0" s="4"/>
      <c r="L40" s="4"/>
      <c r="M40" s="4"/>
    </row>
    <row r="41" spans="1:13" x14ac:dyDescent="0.25">
      <c r="A41" s="4"/>
      <c r="B41" s="4"/>
      <c r="C41" s="4"/>
      <c r="D41" s="4"/>
      <c r="E41" s="4"/>
      <c r="F41" s="4"/>
      <c r="G41" s="4"/>
      <c r="H41" s="4"/>
      <c r="I41" s="4"/>
      <c r="J4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1" s="4"/>
      <c r="L41" s="4"/>
      <c r="M41" s="4"/>
    </row>
    <row r="42" spans="1:13" x14ac:dyDescent="0.25">
      <c r="A42" s="4"/>
      <c r="B42" s="4"/>
      <c r="C42" s="4"/>
      <c r="D42" s="4"/>
      <c r="E42" s="4"/>
      <c r="F42" s="4"/>
      <c r="G42" s="4"/>
      <c r="H42" s="4"/>
      <c r="I42" s="4"/>
      <c r="J4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2" s="4"/>
      <c r="L42" s="4"/>
      <c r="M42" s="4"/>
    </row>
    <row r="43" spans="1:13" x14ac:dyDescent="0.25">
      <c r="A43" s="4"/>
      <c r="B43" s="4"/>
      <c r="C43" s="4"/>
      <c r="D43" s="4"/>
      <c r="E43" s="4"/>
      <c r="F43" s="4"/>
      <c r="G43" s="4"/>
      <c r="H43" s="4"/>
      <c r="I43" s="4"/>
      <c r="J4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3" s="4"/>
      <c r="L43" s="4"/>
      <c r="M43" s="4"/>
    </row>
    <row r="44" spans="1:13" x14ac:dyDescent="0.25">
      <c r="A44" s="4"/>
      <c r="B44" s="4"/>
      <c r="C44" s="4"/>
      <c r="D44" s="4"/>
      <c r="E44" s="4"/>
      <c r="F44" s="4"/>
      <c r="G44" s="4"/>
      <c r="H44" s="4"/>
      <c r="I44" s="4"/>
      <c r="J4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4" s="4"/>
      <c r="L44" s="4"/>
      <c r="M44" s="4"/>
    </row>
    <row r="45" spans="1:13" x14ac:dyDescent="0.25">
      <c r="A45" s="4"/>
      <c r="B45" s="4"/>
      <c r="C45" s="4"/>
      <c r="D45" s="4"/>
      <c r="E45" s="4"/>
      <c r="F45" s="4"/>
      <c r="G45" s="4"/>
      <c r="H45" s="4"/>
      <c r="I45" s="4"/>
      <c r="J4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5" s="4"/>
      <c r="L45" s="4"/>
      <c r="M45" s="4"/>
    </row>
    <row r="46" spans="1:13" x14ac:dyDescent="0.25">
      <c r="A46" s="4"/>
      <c r="B46" s="4"/>
      <c r="C46" s="4"/>
      <c r="D46" s="4"/>
      <c r="E46" s="4"/>
      <c r="F46" s="4"/>
      <c r="G46" s="4"/>
      <c r="H46" s="4"/>
      <c r="I46" s="4"/>
      <c r="J4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6" s="4"/>
      <c r="L46" s="4"/>
      <c r="M46" s="4"/>
    </row>
    <row r="47" spans="1:13" x14ac:dyDescent="0.25">
      <c r="A47" s="4"/>
      <c r="B47" s="4"/>
      <c r="C47" s="4"/>
      <c r="D47" s="4"/>
      <c r="E47" s="4"/>
      <c r="F47" s="4"/>
      <c r="G47" s="4"/>
      <c r="H47" s="4"/>
      <c r="I47" s="4"/>
      <c r="J4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7" s="4"/>
      <c r="L47" s="4"/>
      <c r="M47" s="4"/>
    </row>
    <row r="48" spans="1:13" x14ac:dyDescent="0.25">
      <c r="A48" s="4"/>
      <c r="B48" s="4"/>
      <c r="C48" s="4"/>
      <c r="D48" s="4"/>
      <c r="E48" s="4"/>
      <c r="F48" s="4"/>
      <c r="G48" s="4"/>
      <c r="H48" s="4"/>
      <c r="I48" s="4"/>
      <c r="J4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8" s="4"/>
      <c r="L48" s="4"/>
      <c r="M48" s="4"/>
    </row>
    <row r="49" spans="1:13" x14ac:dyDescent="0.25">
      <c r="A49" s="4"/>
      <c r="B49" s="4"/>
      <c r="C49" s="4"/>
      <c r="D49" s="4"/>
      <c r="E49" s="4"/>
      <c r="F49" s="4"/>
      <c r="G49" s="4"/>
      <c r="H49" s="4"/>
      <c r="I49" s="4"/>
      <c r="J4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9" s="4"/>
      <c r="L49" s="4"/>
      <c r="M49" s="4"/>
    </row>
    <row r="50" spans="1:13" x14ac:dyDescent="0.25">
      <c r="A50" s="4"/>
      <c r="B50" s="4"/>
      <c r="C50" s="4"/>
      <c r="D50" s="4"/>
      <c r="E50" s="4"/>
      <c r="F50" s="4"/>
      <c r="G50" s="4"/>
      <c r="H50" s="4"/>
      <c r="I50" s="4"/>
      <c r="J5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0" s="4"/>
      <c r="L50" s="4"/>
      <c r="M50" s="4"/>
    </row>
    <row r="51" spans="1:13" x14ac:dyDescent="0.25">
      <c r="A51" s="4"/>
      <c r="B51" s="4"/>
      <c r="C51" s="4"/>
      <c r="D51" s="4"/>
      <c r="E51" s="4"/>
      <c r="F51" s="4"/>
      <c r="G51" s="4"/>
      <c r="H51" s="4"/>
      <c r="I51" s="4"/>
      <c r="J5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1" s="4"/>
      <c r="L51" s="4"/>
      <c r="M51" s="4"/>
    </row>
    <row r="52" spans="1:13" x14ac:dyDescent="0.25">
      <c r="A52" s="4"/>
      <c r="B52" s="4"/>
      <c r="C52" s="4"/>
      <c r="D52" s="4"/>
      <c r="E52" s="4"/>
      <c r="F52" s="4"/>
      <c r="G52" s="4"/>
      <c r="H52" s="4"/>
      <c r="I52" s="4"/>
      <c r="J5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2" s="4"/>
      <c r="L52" s="4"/>
      <c r="M52" s="4"/>
    </row>
    <row r="53" spans="1:13" x14ac:dyDescent="0.25">
      <c r="A53" s="4"/>
      <c r="B53" s="4"/>
      <c r="C53" s="4"/>
      <c r="D53" s="4"/>
      <c r="E53" s="4"/>
      <c r="F53" s="4"/>
      <c r="G53" s="4"/>
      <c r="H53" s="4"/>
      <c r="I53" s="4"/>
      <c r="J5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3" s="4"/>
      <c r="L53" s="4"/>
      <c r="M53" s="4"/>
    </row>
    <row r="54" spans="1:13" x14ac:dyDescent="0.25">
      <c r="A54" s="4"/>
      <c r="B54" s="4"/>
      <c r="C54" s="4"/>
      <c r="D54" s="4"/>
      <c r="E54" s="4"/>
      <c r="F54" s="4"/>
      <c r="G54" s="4"/>
      <c r="H54" s="4"/>
      <c r="I54" s="4"/>
      <c r="J5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4" s="4"/>
      <c r="L54" s="4"/>
      <c r="M54" s="4"/>
    </row>
    <row r="55" spans="1:13" x14ac:dyDescent="0.25">
      <c r="A55" s="4"/>
      <c r="B55" s="4"/>
      <c r="C55" s="4"/>
      <c r="D55" s="4"/>
      <c r="E55" s="4"/>
      <c r="F55" s="4"/>
      <c r="G55" s="4"/>
      <c r="H55" s="4"/>
      <c r="I55" s="4"/>
      <c r="J5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5" s="4"/>
      <c r="L55" s="4"/>
      <c r="M55" s="4"/>
    </row>
    <row r="56" spans="1:13" x14ac:dyDescent="0.25">
      <c r="A56" s="4"/>
      <c r="B56" s="4"/>
      <c r="C56" s="4"/>
      <c r="D56" s="4"/>
      <c r="E56" s="4"/>
      <c r="F56" s="4"/>
      <c r="G56" s="4"/>
      <c r="H56" s="4"/>
      <c r="I56" s="4"/>
      <c r="J5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6" s="4"/>
      <c r="L56" s="4"/>
      <c r="M56" s="4"/>
    </row>
    <row r="57" spans="1:13" x14ac:dyDescent="0.25">
      <c r="A57" s="4"/>
      <c r="B57" s="4"/>
      <c r="C57" s="4"/>
      <c r="D57" s="4"/>
      <c r="E57" s="4"/>
      <c r="F57" s="4"/>
      <c r="G57" s="4"/>
      <c r="H57" s="4"/>
      <c r="I57" s="4"/>
      <c r="J5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7" s="4"/>
      <c r="L57" s="4"/>
      <c r="M57" s="4"/>
    </row>
    <row r="58" spans="1:13" x14ac:dyDescent="0.25">
      <c r="A58" s="4"/>
      <c r="B58" s="4"/>
      <c r="C58" s="4"/>
      <c r="D58" s="4"/>
      <c r="E58" s="4"/>
      <c r="F58" s="4"/>
      <c r="G58" s="4"/>
      <c r="H58" s="4"/>
      <c r="I58" s="4"/>
      <c r="J5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8" s="4"/>
      <c r="L58" s="4"/>
      <c r="M58" s="4"/>
    </row>
    <row r="59" spans="1:13" x14ac:dyDescent="0.25">
      <c r="A59" s="4"/>
      <c r="B59" s="4"/>
      <c r="C59" s="4"/>
      <c r="D59" s="4"/>
      <c r="E59" s="4"/>
      <c r="F59" s="4"/>
      <c r="G59" s="4"/>
      <c r="H59" s="4"/>
      <c r="I59" s="4"/>
      <c r="J5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9" s="4"/>
      <c r="L59" s="4"/>
      <c r="M59" s="4"/>
    </row>
    <row r="60" spans="1:13" x14ac:dyDescent="0.25">
      <c r="A60" s="4"/>
      <c r="B60" s="4"/>
      <c r="C60" s="4"/>
      <c r="D60" s="4"/>
      <c r="E60" s="4"/>
      <c r="F60" s="4"/>
      <c r="G60" s="4"/>
      <c r="H60" s="4"/>
      <c r="I60" s="4"/>
      <c r="J6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0" s="4"/>
      <c r="L60" s="4"/>
      <c r="M60" s="4"/>
    </row>
    <row r="61" spans="1:13" x14ac:dyDescent="0.25">
      <c r="A61" s="4"/>
      <c r="B61" s="4"/>
      <c r="C61" s="4"/>
      <c r="D61" s="4"/>
      <c r="E61" s="4"/>
      <c r="F61" s="4"/>
      <c r="G61" s="4"/>
      <c r="H61" s="4"/>
      <c r="I61" s="4"/>
      <c r="J6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1" s="4"/>
      <c r="L61" s="4"/>
      <c r="M61" s="4"/>
    </row>
    <row r="62" spans="1:13" x14ac:dyDescent="0.25">
      <c r="A62" s="4"/>
      <c r="B62" s="4"/>
      <c r="C62" s="4"/>
      <c r="D62" s="4"/>
      <c r="E62" s="4"/>
      <c r="F62" s="4"/>
      <c r="G62" s="4"/>
      <c r="H62" s="4"/>
      <c r="I62" s="4"/>
      <c r="J6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2" s="4"/>
      <c r="L62" s="4"/>
      <c r="M62" s="4"/>
    </row>
    <row r="63" spans="1:13" x14ac:dyDescent="0.25">
      <c r="A63" s="4"/>
      <c r="B63" s="4"/>
      <c r="C63" s="4"/>
      <c r="D63" s="4"/>
      <c r="E63" s="4"/>
      <c r="F63" s="4"/>
      <c r="G63" s="4"/>
      <c r="H63" s="4"/>
      <c r="I63" s="4"/>
      <c r="J6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3" s="4"/>
      <c r="L63" s="4"/>
      <c r="M63" s="4"/>
    </row>
    <row r="64" spans="1:13" x14ac:dyDescent="0.25">
      <c r="A64" s="4"/>
      <c r="B64" s="4"/>
      <c r="C64" s="4"/>
      <c r="D64" s="4"/>
      <c r="E64" s="4"/>
      <c r="F64" s="4"/>
      <c r="G64" s="4"/>
      <c r="H64" s="4"/>
      <c r="I64" s="4"/>
      <c r="J6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4" s="4"/>
      <c r="L64" s="4"/>
      <c r="M64" s="4"/>
    </row>
    <row r="65" spans="1:13" x14ac:dyDescent="0.25">
      <c r="A65" s="4"/>
      <c r="B65" s="4"/>
      <c r="C65" s="4"/>
      <c r="D65" s="4"/>
      <c r="E65" s="4"/>
      <c r="F65" s="4"/>
      <c r="G65" s="4"/>
      <c r="H65" s="4"/>
      <c r="I65" s="4"/>
      <c r="J6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5" s="4"/>
      <c r="L65" s="4"/>
      <c r="M65" s="4"/>
    </row>
    <row r="66" spans="1:13" x14ac:dyDescent="0.25">
      <c r="A66" s="4"/>
      <c r="B66" s="4"/>
      <c r="C66" s="4"/>
      <c r="D66" s="4"/>
      <c r="E66" s="4"/>
      <c r="F66" s="4"/>
      <c r="G66" s="4"/>
      <c r="H66" s="4"/>
      <c r="I66" s="4"/>
      <c r="J6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6" s="4"/>
      <c r="L66" s="4"/>
      <c r="M66" s="4"/>
    </row>
    <row r="67" spans="1:13" x14ac:dyDescent="0.25">
      <c r="A67" s="4"/>
      <c r="B67" s="4"/>
      <c r="C67" s="4"/>
      <c r="D67" s="4"/>
      <c r="E67" s="4"/>
      <c r="F67" s="4"/>
      <c r="G67" s="4"/>
      <c r="H67" s="4"/>
      <c r="I67" s="4"/>
      <c r="J6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7" s="4"/>
      <c r="L67" s="4"/>
      <c r="M67" s="4"/>
    </row>
    <row r="68" spans="1:13" x14ac:dyDescent="0.25">
      <c r="A68" s="4"/>
      <c r="B68" s="4"/>
      <c r="C68" s="4"/>
      <c r="D68" s="4"/>
      <c r="E68" s="4"/>
      <c r="F68" s="4"/>
      <c r="G68" s="4"/>
      <c r="H68" s="4"/>
      <c r="I68" s="4"/>
      <c r="J6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8" s="4"/>
      <c r="L68" s="4"/>
      <c r="M68" s="4"/>
    </row>
    <row r="69" spans="1:13" x14ac:dyDescent="0.25">
      <c r="A69" s="4"/>
      <c r="B69" s="4"/>
      <c r="C69" s="4"/>
      <c r="D69" s="4"/>
      <c r="E69" s="4"/>
      <c r="F69" s="4"/>
      <c r="G69" s="4"/>
      <c r="H69" s="4"/>
      <c r="I69" s="4"/>
      <c r="J6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9" s="4"/>
      <c r="L69" s="4"/>
      <c r="M69" s="4"/>
    </row>
    <row r="70" spans="1:13" x14ac:dyDescent="0.25">
      <c r="A70" s="4"/>
      <c r="B70" s="4"/>
      <c r="C70" s="4"/>
      <c r="D70" s="4"/>
      <c r="E70" s="4"/>
      <c r="F70" s="4"/>
      <c r="G70" s="4"/>
      <c r="H70" s="4"/>
      <c r="I70" s="4"/>
      <c r="J7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0" s="4"/>
      <c r="L70" s="4"/>
      <c r="M70" s="4"/>
    </row>
    <row r="71" spans="1:13" x14ac:dyDescent="0.25">
      <c r="A71" s="4"/>
      <c r="B71" s="4"/>
      <c r="C71" s="4"/>
      <c r="D71" s="4"/>
      <c r="E71" s="4"/>
      <c r="F71" s="4"/>
      <c r="G71" s="4"/>
      <c r="H71" s="4"/>
      <c r="I71" s="4"/>
      <c r="J7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1" s="4"/>
      <c r="L71" s="4"/>
      <c r="M71" s="4"/>
    </row>
    <row r="72" spans="1:13" x14ac:dyDescent="0.25">
      <c r="A72" s="4"/>
      <c r="B72" s="4"/>
      <c r="C72" s="4"/>
      <c r="D72" s="4"/>
      <c r="E72" s="4"/>
      <c r="F72" s="4"/>
      <c r="G72" s="4"/>
      <c r="H72" s="4"/>
      <c r="I72" s="4"/>
      <c r="J7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2" s="4"/>
      <c r="L72" s="4"/>
      <c r="M72" s="4"/>
    </row>
    <row r="73" spans="1:13" x14ac:dyDescent="0.25">
      <c r="A73" s="4"/>
      <c r="B73" s="4"/>
      <c r="C73" s="4"/>
      <c r="D73" s="4"/>
      <c r="E73" s="4"/>
      <c r="F73" s="4"/>
      <c r="G73" s="4"/>
      <c r="H73" s="4"/>
      <c r="I73" s="4"/>
      <c r="J7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3" s="4"/>
      <c r="L73" s="4"/>
      <c r="M73" s="4"/>
    </row>
    <row r="74" spans="1:13" x14ac:dyDescent="0.25">
      <c r="A74" s="4"/>
      <c r="B74" s="4"/>
      <c r="C74" s="4"/>
      <c r="D74" s="4"/>
      <c r="E74" s="4"/>
      <c r="F74" s="4"/>
      <c r="G74" s="4"/>
      <c r="H74" s="4"/>
      <c r="I74" s="4"/>
      <c r="J7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4" s="4"/>
      <c r="L74" s="4"/>
      <c r="M74" s="4"/>
    </row>
    <row r="75" spans="1:13" x14ac:dyDescent="0.25">
      <c r="A75" s="4"/>
      <c r="B75" s="4"/>
      <c r="C75" s="4"/>
      <c r="D75" s="4"/>
      <c r="E75" s="4"/>
      <c r="F75" s="4"/>
      <c r="G75" s="4"/>
      <c r="H75" s="4"/>
      <c r="I75" s="4"/>
      <c r="J7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5" s="4"/>
      <c r="L75" s="4"/>
      <c r="M75" s="4"/>
    </row>
    <row r="76" spans="1:13" x14ac:dyDescent="0.25">
      <c r="A76" s="4"/>
      <c r="B76" s="4"/>
      <c r="C76" s="4"/>
      <c r="D76" s="4"/>
      <c r="E76" s="4"/>
      <c r="F76" s="4"/>
      <c r="G76" s="4"/>
      <c r="H76" s="4"/>
      <c r="I76" s="4"/>
      <c r="J7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6" s="4"/>
      <c r="L76" s="4"/>
      <c r="M76" s="4"/>
    </row>
    <row r="77" spans="1:13" x14ac:dyDescent="0.25">
      <c r="A77" s="4"/>
      <c r="B77" s="4"/>
      <c r="C77" s="4"/>
      <c r="D77" s="4"/>
      <c r="E77" s="4"/>
      <c r="F77" s="4"/>
      <c r="G77" s="4"/>
      <c r="H77" s="4"/>
      <c r="I77" s="4"/>
      <c r="J7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7" s="4"/>
      <c r="L77" s="4"/>
      <c r="M77" s="4"/>
    </row>
    <row r="78" spans="1:13" x14ac:dyDescent="0.25">
      <c r="A78" s="4"/>
      <c r="B78" s="4"/>
      <c r="C78" s="4"/>
      <c r="D78" s="4"/>
      <c r="E78" s="4"/>
      <c r="F78" s="4"/>
      <c r="G78" s="4"/>
      <c r="H78" s="4"/>
      <c r="I78" s="4"/>
      <c r="J7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8" s="4"/>
      <c r="L78" s="4"/>
      <c r="M78" s="4"/>
    </row>
    <row r="79" spans="1:13" x14ac:dyDescent="0.25">
      <c r="A79" s="4"/>
      <c r="B79" s="4"/>
      <c r="C79" s="4"/>
      <c r="D79" s="4"/>
      <c r="E79" s="4"/>
      <c r="F79" s="4"/>
      <c r="G79" s="4"/>
      <c r="H79" s="4"/>
      <c r="I79" s="4"/>
      <c r="J7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9" s="4"/>
      <c r="L79" s="4"/>
      <c r="M79" s="4"/>
    </row>
    <row r="80" spans="1:13" x14ac:dyDescent="0.25">
      <c r="A80" s="4"/>
      <c r="B80" s="4"/>
      <c r="C80" s="4"/>
      <c r="D80" s="4"/>
      <c r="E80" s="4"/>
      <c r="F80" s="4"/>
      <c r="G80" s="4"/>
      <c r="H80" s="4"/>
      <c r="I80" s="4"/>
      <c r="J8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0" s="4"/>
      <c r="L80" s="4"/>
      <c r="M80" s="4"/>
    </row>
    <row r="81" spans="1:13" x14ac:dyDescent="0.25">
      <c r="A81" s="4"/>
      <c r="B81" s="4"/>
      <c r="C81" s="4"/>
      <c r="D81" s="4"/>
      <c r="E81" s="4"/>
      <c r="F81" s="4"/>
      <c r="G81" s="4"/>
      <c r="H81" s="4"/>
      <c r="I81" s="4"/>
      <c r="J8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1" s="4"/>
      <c r="L81" s="4"/>
      <c r="M81" s="4"/>
    </row>
    <row r="82" spans="1:13" x14ac:dyDescent="0.25">
      <c r="A82" s="4"/>
      <c r="B82" s="4"/>
      <c r="C82" s="4"/>
      <c r="D82" s="4"/>
      <c r="E82" s="4"/>
      <c r="F82" s="4"/>
      <c r="G82" s="4"/>
      <c r="H82" s="4"/>
      <c r="I82" s="4"/>
      <c r="J8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2" s="4"/>
      <c r="L82" s="4"/>
      <c r="M82" s="4"/>
    </row>
    <row r="83" spans="1:13" x14ac:dyDescent="0.25">
      <c r="A83" s="4"/>
      <c r="B83" s="4"/>
      <c r="C83" s="4"/>
      <c r="D83" s="4"/>
      <c r="E83" s="4"/>
      <c r="F83" s="4"/>
      <c r="G83" s="4"/>
      <c r="H83" s="4"/>
      <c r="I83" s="4"/>
      <c r="J8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3" s="4"/>
      <c r="L83" s="4"/>
      <c r="M83" s="4"/>
    </row>
    <row r="84" spans="1:13" x14ac:dyDescent="0.25">
      <c r="A84" s="4"/>
      <c r="B84" s="4"/>
      <c r="C84" s="4"/>
      <c r="D84" s="4"/>
      <c r="E84" s="4"/>
      <c r="F84" s="4"/>
      <c r="G84" s="4"/>
      <c r="H84" s="4"/>
      <c r="I84" s="4"/>
      <c r="J8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4" s="4"/>
      <c r="L84" s="4"/>
      <c r="M84" s="4"/>
    </row>
    <row r="85" spans="1:13" x14ac:dyDescent="0.25">
      <c r="A85" s="4"/>
      <c r="B85" s="4"/>
      <c r="C85" s="4"/>
      <c r="D85" s="4"/>
      <c r="E85" s="4"/>
      <c r="F85" s="4"/>
      <c r="G85" s="4"/>
      <c r="H85" s="4"/>
      <c r="I85" s="4"/>
      <c r="J8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5" s="4"/>
      <c r="L85" s="4"/>
      <c r="M85" s="4"/>
    </row>
    <row r="86" spans="1:13" x14ac:dyDescent="0.25">
      <c r="A86" s="4"/>
      <c r="B86" s="4"/>
      <c r="C86" s="4"/>
      <c r="D86" s="4"/>
      <c r="E86" s="4"/>
      <c r="F86" s="4"/>
      <c r="G86" s="4"/>
      <c r="H86" s="4"/>
      <c r="I86" s="4"/>
      <c r="J8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6" s="4"/>
      <c r="L86" s="4"/>
      <c r="M86" s="4"/>
    </row>
    <row r="87" spans="1:13" x14ac:dyDescent="0.25">
      <c r="A87" s="4"/>
      <c r="B87" s="4"/>
      <c r="C87" s="4"/>
      <c r="D87" s="4"/>
      <c r="E87" s="4"/>
      <c r="F87" s="4"/>
      <c r="G87" s="4"/>
      <c r="H87" s="4"/>
      <c r="I87" s="4"/>
      <c r="J8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7" s="4"/>
      <c r="L87" s="4"/>
      <c r="M87" s="4"/>
    </row>
    <row r="88" spans="1:13" x14ac:dyDescent="0.25">
      <c r="A88" s="4"/>
      <c r="B88" s="4"/>
      <c r="C88" s="4"/>
      <c r="D88" s="4"/>
      <c r="E88" s="4"/>
      <c r="F88" s="4"/>
      <c r="G88" s="4"/>
      <c r="H88" s="4"/>
      <c r="I88" s="4"/>
      <c r="J8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8" s="4"/>
      <c r="L88" s="4"/>
      <c r="M88" s="4"/>
    </row>
    <row r="89" spans="1:13" x14ac:dyDescent="0.25">
      <c r="A89" s="4"/>
      <c r="B89" s="4"/>
      <c r="C89" s="4"/>
      <c r="D89" s="4"/>
      <c r="E89" s="4"/>
      <c r="F89" s="4"/>
      <c r="G89" s="4"/>
      <c r="H89" s="4"/>
      <c r="I89" s="4"/>
      <c r="J8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9" s="4"/>
      <c r="L89" s="4"/>
      <c r="M89" s="4"/>
    </row>
    <row r="90" spans="1:13" x14ac:dyDescent="0.25">
      <c r="A90" s="4"/>
      <c r="B90" s="4"/>
      <c r="C90" s="4"/>
      <c r="D90" s="4"/>
      <c r="E90" s="4"/>
      <c r="F90" s="4"/>
      <c r="G90" s="4"/>
      <c r="H90" s="4"/>
      <c r="I90" s="4"/>
      <c r="J9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0" s="4"/>
      <c r="L90" s="4"/>
      <c r="M90" s="4"/>
    </row>
    <row r="91" spans="1:13" x14ac:dyDescent="0.25">
      <c r="A91" s="4"/>
      <c r="B91" s="4"/>
      <c r="C91" s="4"/>
      <c r="D91" s="4"/>
      <c r="E91" s="4"/>
      <c r="F91" s="4"/>
      <c r="G91" s="4"/>
      <c r="H91" s="4"/>
      <c r="I91" s="4"/>
      <c r="J9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1" s="4"/>
      <c r="L91" s="4"/>
      <c r="M91" s="4"/>
    </row>
    <row r="92" spans="1:13" x14ac:dyDescent="0.25">
      <c r="A92" s="4"/>
      <c r="B92" s="4"/>
      <c r="C92" s="4"/>
      <c r="D92" s="4"/>
      <c r="E92" s="4"/>
      <c r="F92" s="4"/>
      <c r="G92" s="4"/>
      <c r="H92" s="4"/>
      <c r="I92" s="4"/>
      <c r="J9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2" s="4"/>
      <c r="L92" s="4"/>
      <c r="M92" s="4"/>
    </row>
    <row r="93" spans="1:13" x14ac:dyDescent="0.25">
      <c r="A93" s="4"/>
      <c r="B93" s="4"/>
      <c r="C93" s="4"/>
      <c r="D93" s="4"/>
      <c r="E93" s="4"/>
      <c r="F93" s="4"/>
      <c r="G93" s="4"/>
      <c r="H93" s="4"/>
      <c r="I93" s="4"/>
      <c r="J9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3" s="4"/>
      <c r="L93" s="4"/>
      <c r="M93" s="4"/>
    </row>
    <row r="94" spans="1:13" x14ac:dyDescent="0.25">
      <c r="A94" s="4"/>
      <c r="B94" s="4"/>
      <c r="C94" s="4"/>
      <c r="D94" s="4"/>
      <c r="E94" s="4"/>
      <c r="F94" s="4"/>
      <c r="G94" s="4"/>
      <c r="H94" s="4"/>
      <c r="I94" s="4"/>
      <c r="J9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4" s="4"/>
      <c r="L94" s="4"/>
      <c r="M94" s="4"/>
    </row>
    <row r="95" spans="1:13" x14ac:dyDescent="0.25">
      <c r="A95" s="4"/>
      <c r="B95" s="4"/>
      <c r="C95" s="4"/>
      <c r="D95" s="4"/>
      <c r="E95" s="4"/>
      <c r="F95" s="4"/>
      <c r="G95" s="4"/>
      <c r="H95" s="4"/>
      <c r="I95" s="4"/>
      <c r="J9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5" s="4"/>
      <c r="L95" s="4"/>
      <c r="M95" s="4"/>
    </row>
    <row r="96" spans="1:13" x14ac:dyDescent="0.25">
      <c r="A96" s="4"/>
      <c r="B96" s="4"/>
      <c r="C96" s="4"/>
      <c r="D96" s="4"/>
      <c r="E96" s="4"/>
      <c r="F96" s="4"/>
      <c r="G96" s="4"/>
      <c r="H96" s="4"/>
      <c r="I96" s="4"/>
      <c r="J9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6" s="4"/>
      <c r="L96" s="4"/>
      <c r="M96" s="4"/>
    </row>
    <row r="97" spans="1:13" x14ac:dyDescent="0.25">
      <c r="A97" s="4"/>
      <c r="B97" s="4"/>
      <c r="C97" s="4"/>
      <c r="D97" s="4"/>
      <c r="E97" s="4"/>
      <c r="F97" s="4"/>
      <c r="G97" s="4"/>
      <c r="H97" s="4"/>
      <c r="I97" s="4"/>
      <c r="J9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7" s="4"/>
      <c r="L97" s="4"/>
      <c r="M97" s="4"/>
    </row>
    <row r="98" spans="1:13" x14ac:dyDescent="0.25">
      <c r="A98" s="4"/>
      <c r="B98" s="4"/>
      <c r="C98" s="4"/>
      <c r="D98" s="4"/>
      <c r="E98" s="4"/>
      <c r="F98" s="4"/>
      <c r="G98" s="4"/>
      <c r="H98" s="4"/>
      <c r="I98" s="4"/>
      <c r="J9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8" s="4"/>
      <c r="L98" s="4"/>
      <c r="M98" s="4"/>
    </row>
    <row r="99" spans="1:13" x14ac:dyDescent="0.25">
      <c r="A99" s="4"/>
      <c r="B99" s="4"/>
      <c r="C99" s="4"/>
      <c r="D99" s="4"/>
      <c r="E99" s="4"/>
      <c r="F99" s="4"/>
      <c r="G99" s="4"/>
      <c r="H99" s="4"/>
      <c r="I99" s="4"/>
      <c r="J9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9" s="4"/>
      <c r="L99" s="4"/>
      <c r="M99" s="4"/>
    </row>
    <row r="100" spans="1:13" x14ac:dyDescent="0.25">
      <c r="A100" s="4"/>
      <c r="B100" s="4"/>
      <c r="C100" s="4"/>
      <c r="D100" s="4"/>
      <c r="E100" s="4"/>
      <c r="F100" s="4"/>
      <c r="G100" s="4"/>
      <c r="H100" s="4"/>
      <c r="I100" s="4"/>
      <c r="J10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0" s="4"/>
      <c r="L100" s="4"/>
      <c r="M100" s="4"/>
    </row>
    <row r="101" spans="1:13" x14ac:dyDescent="0.25">
      <c r="A101" s="4"/>
      <c r="B101" s="4"/>
      <c r="C101" s="4"/>
      <c r="D101" s="4"/>
      <c r="E101" s="4"/>
      <c r="F101" s="4"/>
      <c r="G101" s="4"/>
      <c r="H101" s="4"/>
      <c r="I101" s="4"/>
      <c r="J10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1" s="4"/>
      <c r="L101" s="4"/>
      <c r="M101" s="4"/>
    </row>
    <row r="102" spans="1:13" x14ac:dyDescent="0.25">
      <c r="A102" s="4"/>
      <c r="B102" s="4"/>
      <c r="C102" s="4"/>
      <c r="D102" s="4"/>
      <c r="E102" s="4"/>
      <c r="F102" s="4"/>
      <c r="G102" s="4"/>
      <c r="H102" s="4"/>
      <c r="I102" s="4"/>
      <c r="J10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2" s="4"/>
      <c r="L102" s="4"/>
      <c r="M102" s="4"/>
    </row>
    <row r="103" spans="1:13" x14ac:dyDescent="0.25">
      <c r="A103" s="4"/>
      <c r="B103" s="4"/>
      <c r="C103" s="4"/>
      <c r="D103" s="4"/>
      <c r="E103" s="4"/>
      <c r="F103" s="4"/>
      <c r="G103" s="4"/>
      <c r="H103" s="4"/>
      <c r="I103" s="4"/>
      <c r="J10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3" s="4"/>
      <c r="L103" s="4"/>
      <c r="M103" s="4"/>
    </row>
    <row r="104" spans="1:13" x14ac:dyDescent="0.25">
      <c r="A104" s="4"/>
      <c r="B104" s="4"/>
      <c r="C104" s="4"/>
      <c r="D104" s="4"/>
      <c r="E104" s="4"/>
      <c r="F104" s="4"/>
      <c r="G104" s="4"/>
      <c r="H104" s="4"/>
      <c r="I104" s="4"/>
      <c r="J10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4" s="4"/>
      <c r="L104" s="4"/>
      <c r="M104" s="4"/>
    </row>
    <row r="105" spans="1:13" x14ac:dyDescent="0.25">
      <c r="A105" s="4"/>
      <c r="B105" s="4"/>
      <c r="C105" s="4"/>
      <c r="D105" s="4"/>
      <c r="E105" s="4"/>
      <c r="F105" s="4"/>
      <c r="G105" s="4"/>
      <c r="H105" s="4"/>
      <c r="I105" s="4"/>
      <c r="J10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5" s="4"/>
      <c r="L105" s="4"/>
      <c r="M105" s="4"/>
    </row>
    <row r="106" spans="1:13" x14ac:dyDescent="0.25">
      <c r="A106" s="4"/>
      <c r="B106" s="4"/>
      <c r="C106" s="4"/>
      <c r="D106" s="4"/>
      <c r="E106" s="4"/>
      <c r="F106" s="4"/>
      <c r="G106" s="4"/>
      <c r="H106" s="4"/>
      <c r="I106" s="4"/>
      <c r="J10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6" s="4"/>
      <c r="L106" s="4"/>
      <c r="M106" s="4"/>
    </row>
    <row r="107" spans="1:13" x14ac:dyDescent="0.25">
      <c r="A107" s="4"/>
      <c r="B107" s="4"/>
      <c r="C107" s="4"/>
      <c r="D107" s="4"/>
      <c r="E107" s="4"/>
      <c r="F107" s="4"/>
      <c r="G107" s="4"/>
      <c r="H107" s="4"/>
      <c r="I107" s="4"/>
      <c r="J10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7" s="4"/>
      <c r="L107" s="4"/>
      <c r="M107" s="4"/>
    </row>
    <row r="108" spans="1:13" x14ac:dyDescent="0.25">
      <c r="A108" s="4"/>
      <c r="B108" s="4"/>
      <c r="C108" s="4"/>
      <c r="D108" s="4"/>
      <c r="E108" s="4"/>
      <c r="F108" s="4"/>
      <c r="G108" s="4"/>
      <c r="H108" s="4"/>
      <c r="I108" s="4"/>
      <c r="J10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8" s="4"/>
      <c r="L108" s="4"/>
      <c r="M108" s="4"/>
    </row>
    <row r="109" spans="1:13" x14ac:dyDescent="0.25">
      <c r="A109" s="4"/>
      <c r="B109" s="4"/>
      <c r="C109" s="4"/>
      <c r="D109" s="4"/>
      <c r="E109" s="4"/>
      <c r="F109" s="4"/>
      <c r="G109" s="4"/>
      <c r="H109" s="4"/>
      <c r="I109" s="4"/>
      <c r="J10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9" s="4"/>
      <c r="L109" s="4"/>
      <c r="M109" s="4"/>
    </row>
    <row r="110" spans="1:13" x14ac:dyDescent="0.25">
      <c r="A110" s="4"/>
      <c r="B110" s="4"/>
      <c r="C110" s="4"/>
      <c r="D110" s="4"/>
      <c r="E110" s="4"/>
      <c r="F110" s="4"/>
      <c r="G110" s="4"/>
      <c r="H110" s="4"/>
      <c r="I110" s="4"/>
      <c r="J11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0" s="4"/>
      <c r="L110" s="4"/>
      <c r="M110" s="4"/>
    </row>
    <row r="111" spans="1:13" x14ac:dyDescent="0.25">
      <c r="A111" s="4"/>
      <c r="B111" s="4"/>
      <c r="C111" s="4"/>
      <c r="D111" s="4"/>
      <c r="E111" s="4"/>
      <c r="F111" s="4"/>
      <c r="G111" s="4"/>
      <c r="H111" s="4"/>
      <c r="I111" s="4"/>
      <c r="J11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1" s="4"/>
      <c r="L111" s="4"/>
      <c r="M111" s="4"/>
    </row>
    <row r="112" spans="1:13" x14ac:dyDescent="0.25">
      <c r="A112" s="4"/>
      <c r="B112" s="4"/>
      <c r="C112" s="4"/>
      <c r="D112" s="4"/>
      <c r="E112" s="4"/>
      <c r="F112" s="4"/>
      <c r="G112" s="4"/>
      <c r="H112" s="4"/>
      <c r="I112" s="4"/>
      <c r="J11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2" s="4"/>
      <c r="L112" s="4"/>
      <c r="M112" s="4"/>
    </row>
    <row r="113" spans="1:13" x14ac:dyDescent="0.25">
      <c r="A113" s="4"/>
      <c r="B113" s="4"/>
      <c r="C113" s="4"/>
      <c r="D113" s="4"/>
      <c r="E113" s="4"/>
      <c r="F113" s="4"/>
      <c r="G113" s="4"/>
      <c r="H113" s="4"/>
      <c r="I113" s="4"/>
      <c r="J11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3" s="4"/>
      <c r="L113" s="4"/>
      <c r="M113" s="4"/>
    </row>
    <row r="114" spans="1:13" x14ac:dyDescent="0.25">
      <c r="A114" s="4"/>
      <c r="B114" s="4"/>
      <c r="C114" s="4"/>
      <c r="D114" s="4"/>
      <c r="E114" s="4"/>
      <c r="F114" s="4"/>
      <c r="G114" s="4"/>
      <c r="H114" s="4"/>
      <c r="I114" s="4"/>
      <c r="J11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4" s="4"/>
      <c r="L114" s="4"/>
      <c r="M114" s="4"/>
    </row>
    <row r="115" spans="1:13" x14ac:dyDescent="0.25">
      <c r="A115" s="4"/>
      <c r="B115" s="4"/>
      <c r="C115" s="4"/>
      <c r="D115" s="4"/>
      <c r="E115" s="4"/>
      <c r="F115" s="4"/>
      <c r="G115" s="4"/>
      <c r="H115" s="4"/>
      <c r="I115" s="4"/>
      <c r="J11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5" s="4"/>
      <c r="L115" s="4"/>
      <c r="M115" s="4"/>
    </row>
    <row r="116" spans="1:13" x14ac:dyDescent="0.25">
      <c r="A116" s="4"/>
      <c r="B116" s="4"/>
      <c r="C116" s="4"/>
      <c r="D116" s="4"/>
      <c r="E116" s="4"/>
      <c r="F116" s="4"/>
      <c r="G116" s="4"/>
      <c r="H116" s="4"/>
      <c r="I116" s="4"/>
      <c r="J11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6" s="4"/>
      <c r="L116" s="4"/>
      <c r="M116" s="4"/>
    </row>
    <row r="117" spans="1:13" x14ac:dyDescent="0.25">
      <c r="A117" s="4"/>
      <c r="B117" s="4"/>
      <c r="C117" s="4"/>
      <c r="D117" s="4"/>
      <c r="E117" s="4"/>
      <c r="F117" s="4"/>
      <c r="G117" s="4"/>
      <c r="H117" s="4"/>
      <c r="I117" s="4"/>
      <c r="J11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7" s="4"/>
      <c r="L117" s="4"/>
      <c r="M117" s="4"/>
    </row>
    <row r="118" spans="1:13" x14ac:dyDescent="0.25">
      <c r="A118" s="4"/>
      <c r="B118" s="4"/>
      <c r="C118" s="4"/>
      <c r="D118" s="4"/>
      <c r="E118" s="4"/>
      <c r="F118" s="4"/>
      <c r="G118" s="4"/>
      <c r="H118" s="4"/>
      <c r="I118" s="4"/>
      <c r="J11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8" s="4"/>
      <c r="L118" s="4"/>
      <c r="M118" s="4"/>
    </row>
    <row r="119" spans="1:13" x14ac:dyDescent="0.25">
      <c r="A119" s="4"/>
      <c r="B119" s="4"/>
      <c r="C119" s="4"/>
      <c r="D119" s="4"/>
      <c r="E119" s="4"/>
      <c r="F119" s="4"/>
      <c r="G119" s="4"/>
      <c r="H119" s="4"/>
      <c r="I119" s="4"/>
      <c r="J11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9" s="4"/>
      <c r="L119" s="4"/>
      <c r="M119" s="4"/>
    </row>
    <row r="120" spans="1:13" x14ac:dyDescent="0.25">
      <c r="A120" s="4"/>
      <c r="B120" s="4"/>
      <c r="C120" s="4"/>
      <c r="D120" s="4"/>
      <c r="E120" s="4"/>
      <c r="F120" s="4"/>
      <c r="G120" s="4"/>
      <c r="H120" s="4"/>
      <c r="I120" s="4"/>
      <c r="J12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0" s="4"/>
      <c r="L120" s="4"/>
      <c r="M120" s="4"/>
    </row>
    <row r="121" spans="1:13" x14ac:dyDescent="0.25">
      <c r="A121" s="4"/>
      <c r="B121" s="4"/>
      <c r="C121" s="4"/>
      <c r="D121" s="4"/>
      <c r="E121" s="4"/>
      <c r="F121" s="4"/>
      <c r="G121" s="4"/>
      <c r="H121" s="4"/>
      <c r="I121" s="4"/>
      <c r="J12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1" s="4"/>
      <c r="L121" s="4"/>
      <c r="M121" s="4"/>
    </row>
    <row r="122" spans="1:13" x14ac:dyDescent="0.25">
      <c r="A122" s="4"/>
      <c r="B122" s="4"/>
      <c r="C122" s="4"/>
      <c r="D122" s="4"/>
      <c r="E122" s="4"/>
      <c r="F122" s="4"/>
      <c r="G122" s="4"/>
      <c r="H122" s="4"/>
      <c r="I122" s="4"/>
      <c r="J12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2" s="4"/>
      <c r="L122" s="4"/>
      <c r="M122" s="4"/>
    </row>
    <row r="123" spans="1:13" x14ac:dyDescent="0.25">
      <c r="A123" s="4"/>
      <c r="B123" s="4"/>
      <c r="C123" s="4"/>
      <c r="D123" s="4"/>
      <c r="E123" s="4"/>
      <c r="F123" s="4"/>
      <c r="G123" s="4"/>
      <c r="H123" s="4"/>
      <c r="I123" s="4"/>
      <c r="J12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3" s="4"/>
      <c r="L123" s="4"/>
      <c r="M123" s="4"/>
    </row>
    <row r="124" spans="1:13" x14ac:dyDescent="0.25">
      <c r="A124" s="4"/>
      <c r="B124" s="4"/>
      <c r="C124" s="4"/>
      <c r="D124" s="4"/>
      <c r="E124" s="4"/>
      <c r="F124" s="4"/>
      <c r="G124" s="4"/>
      <c r="H124" s="4"/>
      <c r="I124" s="4"/>
      <c r="J12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4" s="4"/>
      <c r="L124" s="4"/>
      <c r="M124" s="4"/>
    </row>
    <row r="125" spans="1:13" x14ac:dyDescent="0.25">
      <c r="A125" s="4"/>
      <c r="B125" s="4"/>
      <c r="C125" s="4"/>
      <c r="D125" s="4"/>
      <c r="E125" s="4"/>
      <c r="F125" s="4"/>
      <c r="G125" s="4"/>
      <c r="H125" s="4"/>
      <c r="I125" s="4"/>
      <c r="J12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5" s="4"/>
      <c r="L125" s="4"/>
      <c r="M125" s="4"/>
    </row>
    <row r="126" spans="1:13" x14ac:dyDescent="0.25">
      <c r="A126" s="4"/>
      <c r="B126" s="4"/>
      <c r="C126" s="4"/>
      <c r="D126" s="4"/>
      <c r="E126" s="4"/>
      <c r="F126" s="4"/>
      <c r="G126" s="4"/>
      <c r="H126" s="4"/>
      <c r="I126" s="4"/>
      <c r="J12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6" s="4"/>
      <c r="L126" s="4"/>
      <c r="M126" s="4"/>
    </row>
    <row r="127" spans="1:13" x14ac:dyDescent="0.25">
      <c r="A127" s="4"/>
      <c r="B127" s="4"/>
      <c r="C127" s="4"/>
      <c r="D127" s="4"/>
      <c r="E127" s="4"/>
      <c r="F127" s="4"/>
      <c r="G127" s="4"/>
      <c r="H127" s="4"/>
      <c r="I127" s="4"/>
      <c r="J12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7" s="4"/>
      <c r="L127" s="4"/>
      <c r="M127" s="4"/>
    </row>
    <row r="128" spans="1:13" x14ac:dyDescent="0.25">
      <c r="A128" s="4"/>
      <c r="B128" s="4"/>
      <c r="C128" s="4"/>
      <c r="D128" s="4"/>
      <c r="E128" s="4"/>
      <c r="F128" s="4"/>
      <c r="G128" s="4"/>
      <c r="H128" s="4"/>
      <c r="I128" s="4"/>
      <c r="J12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8" s="4"/>
      <c r="L128" s="4"/>
      <c r="M128" s="4"/>
    </row>
    <row r="129" spans="1:13" x14ac:dyDescent="0.25">
      <c r="A129" s="4"/>
      <c r="B129" s="4"/>
      <c r="C129" s="4"/>
      <c r="D129" s="4"/>
      <c r="E129" s="4"/>
      <c r="F129" s="4"/>
      <c r="G129" s="4"/>
      <c r="H129" s="4"/>
      <c r="I129" s="4"/>
      <c r="J12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9" s="4"/>
      <c r="L129" s="4"/>
      <c r="M129" s="4"/>
    </row>
    <row r="130" spans="1:13" x14ac:dyDescent="0.25">
      <c r="A130" s="4"/>
      <c r="B130" s="4"/>
      <c r="C130" s="4"/>
      <c r="D130" s="4"/>
      <c r="E130" s="4"/>
      <c r="F130" s="4"/>
      <c r="G130" s="4"/>
      <c r="H130" s="4"/>
      <c r="I130" s="4"/>
      <c r="J13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0" s="4"/>
      <c r="L130" s="4"/>
      <c r="M130" s="4"/>
    </row>
    <row r="131" spans="1:13" x14ac:dyDescent="0.25">
      <c r="A131" s="4"/>
      <c r="B131" s="4"/>
      <c r="C131" s="4"/>
      <c r="D131" s="4"/>
      <c r="E131" s="4"/>
      <c r="F131" s="4"/>
      <c r="G131" s="4"/>
      <c r="H131" s="4"/>
      <c r="I131" s="4"/>
      <c r="J13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1" s="4"/>
      <c r="L131" s="4"/>
      <c r="M131" s="4"/>
    </row>
    <row r="132" spans="1:13" x14ac:dyDescent="0.25">
      <c r="A132" s="4"/>
      <c r="B132" s="4"/>
      <c r="C132" s="4"/>
      <c r="D132" s="4"/>
      <c r="E132" s="4"/>
      <c r="F132" s="4"/>
      <c r="G132" s="4"/>
      <c r="H132" s="4"/>
      <c r="I132" s="4"/>
      <c r="J13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2" s="4"/>
      <c r="L132" s="4"/>
      <c r="M132" s="4"/>
    </row>
    <row r="133" spans="1:13" x14ac:dyDescent="0.25">
      <c r="A133" s="4"/>
      <c r="B133" s="4"/>
      <c r="C133" s="4"/>
      <c r="D133" s="4"/>
      <c r="E133" s="4"/>
      <c r="F133" s="4"/>
      <c r="G133" s="4"/>
      <c r="H133" s="4"/>
      <c r="I133" s="4"/>
      <c r="J13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3" s="4"/>
      <c r="L133" s="4"/>
      <c r="M133" s="4"/>
    </row>
    <row r="134" spans="1:13" x14ac:dyDescent="0.25">
      <c r="A134" s="4"/>
      <c r="B134" s="4"/>
      <c r="C134" s="4"/>
      <c r="D134" s="4"/>
      <c r="E134" s="4"/>
      <c r="F134" s="4"/>
      <c r="G134" s="4"/>
      <c r="H134" s="4"/>
      <c r="I134" s="4"/>
      <c r="J13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4" s="4"/>
      <c r="L134" s="4"/>
      <c r="M134" s="4"/>
    </row>
    <row r="135" spans="1:13" x14ac:dyDescent="0.25">
      <c r="A135" s="4"/>
      <c r="B135" s="4"/>
      <c r="C135" s="4"/>
      <c r="D135" s="4"/>
      <c r="E135" s="4"/>
      <c r="F135" s="4"/>
      <c r="G135" s="4"/>
      <c r="H135" s="4"/>
      <c r="I135" s="4"/>
      <c r="J13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5" s="4"/>
      <c r="L135" s="4"/>
      <c r="M135" s="4"/>
    </row>
    <row r="136" spans="1:13" x14ac:dyDescent="0.25">
      <c r="A136" s="4"/>
      <c r="B136" s="4"/>
      <c r="C136" s="4"/>
      <c r="D136" s="4"/>
      <c r="E136" s="4"/>
      <c r="F136" s="4"/>
      <c r="G136" s="4"/>
      <c r="H136" s="4"/>
      <c r="I136" s="4"/>
      <c r="J13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6" s="4"/>
      <c r="L136" s="4"/>
      <c r="M136" s="4"/>
    </row>
    <row r="137" spans="1:13" x14ac:dyDescent="0.25">
      <c r="A137" s="4"/>
      <c r="B137" s="4"/>
      <c r="C137" s="4"/>
      <c r="D137" s="4"/>
      <c r="E137" s="4"/>
      <c r="F137" s="4"/>
      <c r="G137" s="4"/>
      <c r="H137" s="4"/>
      <c r="I137" s="4"/>
      <c r="J13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7" s="4"/>
      <c r="L137" s="4"/>
      <c r="M137" s="4"/>
    </row>
    <row r="138" spans="1:13" x14ac:dyDescent="0.25">
      <c r="A138" s="4"/>
      <c r="B138" s="4"/>
      <c r="C138" s="4"/>
      <c r="D138" s="4"/>
      <c r="E138" s="4"/>
      <c r="F138" s="4"/>
      <c r="G138" s="4"/>
      <c r="H138" s="4"/>
      <c r="I138" s="4"/>
      <c r="J13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8" s="4"/>
      <c r="L138" s="4"/>
      <c r="M138" s="4"/>
    </row>
    <row r="139" spans="1:13" x14ac:dyDescent="0.25">
      <c r="A139" s="4"/>
      <c r="B139" s="4"/>
      <c r="C139" s="4"/>
      <c r="D139" s="4"/>
      <c r="E139" s="4"/>
      <c r="F139" s="4"/>
      <c r="G139" s="4"/>
      <c r="H139" s="4"/>
      <c r="I139" s="4"/>
      <c r="J13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9" s="4"/>
      <c r="L139" s="4"/>
      <c r="M139" s="4"/>
    </row>
    <row r="140" spans="1:13" x14ac:dyDescent="0.25">
      <c r="A140" s="4"/>
      <c r="B140" s="4"/>
      <c r="C140" s="4"/>
      <c r="D140" s="4"/>
      <c r="E140" s="4"/>
      <c r="F140" s="4"/>
      <c r="G140" s="4"/>
      <c r="H140" s="4"/>
      <c r="I140" s="4"/>
      <c r="J14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0" s="4"/>
      <c r="L140" s="4"/>
      <c r="M140" s="4"/>
    </row>
    <row r="141" spans="1:13" x14ac:dyDescent="0.25">
      <c r="A141" s="4"/>
      <c r="B141" s="4"/>
      <c r="C141" s="4"/>
      <c r="D141" s="4"/>
      <c r="E141" s="4"/>
      <c r="F141" s="4"/>
      <c r="G141" s="4"/>
      <c r="H141" s="4"/>
      <c r="I141" s="4"/>
      <c r="J14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1" s="4"/>
      <c r="L141" s="4"/>
      <c r="M141" s="4"/>
    </row>
    <row r="142" spans="1:13" x14ac:dyDescent="0.25">
      <c r="A142" s="4"/>
      <c r="B142" s="4"/>
      <c r="C142" s="4"/>
      <c r="D142" s="4"/>
      <c r="E142" s="4"/>
      <c r="F142" s="4"/>
      <c r="G142" s="4"/>
      <c r="H142" s="4"/>
      <c r="I142" s="4"/>
      <c r="J14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2" s="4"/>
      <c r="L142" s="4"/>
      <c r="M142" s="4"/>
    </row>
    <row r="143" spans="1:13" x14ac:dyDescent="0.25">
      <c r="A143" s="4"/>
      <c r="B143" s="4"/>
      <c r="C143" s="4"/>
      <c r="D143" s="4"/>
      <c r="E143" s="4"/>
      <c r="F143" s="4"/>
      <c r="G143" s="4"/>
      <c r="H143" s="4"/>
      <c r="I143" s="4"/>
      <c r="J14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3" s="4"/>
      <c r="L143" s="4"/>
      <c r="M143" s="4"/>
    </row>
    <row r="144" spans="1:13" x14ac:dyDescent="0.25">
      <c r="A144" s="4"/>
      <c r="B144" s="4"/>
      <c r="C144" s="4"/>
      <c r="D144" s="4"/>
      <c r="E144" s="4"/>
      <c r="F144" s="4"/>
      <c r="G144" s="4"/>
      <c r="H144" s="4"/>
      <c r="I144" s="4"/>
      <c r="J14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4" s="4"/>
      <c r="L144" s="4"/>
      <c r="M144" s="4"/>
    </row>
    <row r="145" spans="1:13" x14ac:dyDescent="0.25">
      <c r="A145" s="4"/>
      <c r="B145" s="4"/>
      <c r="C145" s="4"/>
      <c r="D145" s="4"/>
      <c r="E145" s="4"/>
      <c r="F145" s="4"/>
      <c r="G145" s="4"/>
      <c r="H145" s="4"/>
      <c r="I145" s="4"/>
      <c r="J14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5" s="4"/>
      <c r="L145" s="4"/>
      <c r="M145" s="4"/>
    </row>
    <row r="146" spans="1:13" x14ac:dyDescent="0.25">
      <c r="A146" s="4"/>
      <c r="B146" s="4"/>
      <c r="C146" s="4"/>
      <c r="D146" s="4"/>
      <c r="E146" s="4"/>
      <c r="F146" s="4"/>
      <c r="G146" s="4"/>
      <c r="H146" s="4"/>
      <c r="I146" s="4"/>
      <c r="J14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6" s="4"/>
      <c r="L146" s="4"/>
      <c r="M146" s="4"/>
    </row>
    <row r="147" spans="1:13" x14ac:dyDescent="0.25">
      <c r="A147" s="4"/>
      <c r="B147" s="4"/>
      <c r="C147" s="4"/>
      <c r="D147" s="4"/>
      <c r="E147" s="4"/>
      <c r="F147" s="4"/>
      <c r="G147" s="4"/>
      <c r="H147" s="4"/>
      <c r="I147" s="4"/>
      <c r="J14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7" s="4"/>
      <c r="L147" s="4"/>
      <c r="M147" s="4"/>
    </row>
    <row r="148" spans="1:13" x14ac:dyDescent="0.25">
      <c r="A148" s="4"/>
      <c r="B148" s="4"/>
      <c r="C148" s="4"/>
      <c r="D148" s="4"/>
      <c r="E148" s="4"/>
      <c r="F148" s="4"/>
      <c r="G148" s="4"/>
      <c r="H148" s="4"/>
      <c r="I148" s="4"/>
      <c r="J14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8" s="4"/>
      <c r="L148" s="4"/>
      <c r="M148" s="4"/>
    </row>
    <row r="149" spans="1:13" x14ac:dyDescent="0.25">
      <c r="A149" s="4"/>
      <c r="B149" s="4"/>
      <c r="C149" s="4"/>
      <c r="D149" s="4"/>
      <c r="E149" s="4"/>
      <c r="F149" s="4"/>
      <c r="G149" s="4"/>
      <c r="H149" s="4"/>
      <c r="I149" s="4"/>
      <c r="J14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9" s="4"/>
      <c r="L149" s="4"/>
      <c r="M149" s="4"/>
    </row>
    <row r="150" spans="1:13" x14ac:dyDescent="0.25">
      <c r="A150" s="4"/>
      <c r="B150" s="4"/>
      <c r="C150" s="4"/>
      <c r="D150" s="4"/>
      <c r="E150" s="4"/>
      <c r="F150" s="4"/>
      <c r="G150" s="4"/>
      <c r="H150" s="4"/>
      <c r="I150" s="4"/>
      <c r="J15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50" s="4"/>
      <c r="L150" s="4"/>
      <c r="M150" s="4"/>
    </row>
  </sheetData>
  <mergeCells count="1">
    <mergeCell ref="A1:M1"/>
  </mergeCells>
  <phoneticPr fontId="4" type="noConversion"/>
  <conditionalFormatting sqref="H3">
    <cfRule type="colorScale" priority="1">
      <colorScale>
        <cfvo type="formula" val="&quot;&quot;&quot;סיכון גבוה&quot;&quot;&quot;"/>
        <cfvo type="formula" val="&quot;&quot;&quot;סיכון בינוני&quot;&quot;&quot;"/>
        <cfvo type="formula" val="&quot;&quot;&quot;סיכון נמוך&quot;&quot;&quot;"/>
        <color rgb="FFFF7C80"/>
        <color theme="5" tint="0.59999389629810485"/>
        <color theme="9" tint="0.59999389629810485"/>
      </colorScale>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9" r:id="rId4" name="Button 5">
              <controlPr defaultSize="0" print="0" autoFill="0" autoPict="0" macro="[0]!Module1.Export_Management_Report_New">
                <anchor moveWithCells="1" sizeWithCells="1">
                  <from>
                    <xdr:col>13</xdr:col>
                    <xdr:colOff>152400</xdr:colOff>
                    <xdr:row>2</xdr:row>
                    <xdr:rowOff>792480</xdr:rowOff>
                  </from>
                  <to>
                    <xdr:col>14</xdr:col>
                    <xdr:colOff>373380</xdr:colOff>
                    <xdr:row>2</xdr:row>
                    <xdr:rowOff>1325880</xdr:rowOff>
                  </to>
                </anchor>
              </controlPr>
            </control>
          </mc:Choice>
        </mc:AlternateContent>
      </controls>
    </mc:Choice>
  </mc:AlternateContent>
  <tableParts count="1">
    <tablePart r:id="rId5"/>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0000000}">
          <x14:formula1>
            <xm:f>גיליון1!$D$8:$D$10</xm:f>
          </x14:formula1>
          <xm:sqref>H3:H150 J4:J34</xm:sqref>
        </x14:dataValidation>
        <x14:dataValidation type="list" allowBlank="1" showInputMessage="1" showErrorMessage="1" xr:uid="{00000000-0002-0000-0100-000001000000}">
          <x14:formula1>
            <xm:f>גיליון1!$I$5:$I$27</xm:f>
          </x14:formula1>
          <xm:sqref>E3:E150</xm:sqref>
        </x14:dataValidation>
        <x14:dataValidation type="list" allowBlank="1" showInputMessage="1" showErrorMessage="1" xr:uid="{00000000-0002-0000-0100-000002000000}">
          <x14:formula1>
            <xm:f>גיליון1!$B$5:$B$16</xm:f>
          </x14:formula1>
          <xm:sqref>I3:I150 J35:J150</xm:sqref>
        </x14:dataValidation>
        <x14:dataValidation type="list" allowBlank="1" showInputMessage="1" showErrorMessage="1" xr:uid="{00000000-0002-0000-0100-000003000000}">
          <x14:formula1>
            <xm:f>גיליון1!$B$8:$B$16</xm:f>
          </x14:formula1>
          <xm:sqref>H8 J8</xm:sqref>
        </x14:dataValidation>
        <x14:dataValidation type="list" allowBlank="1" showInputMessage="1" showErrorMessage="1" xr:uid="{00000000-0002-0000-0100-000004000000}">
          <x14:formula1>
            <xm:f>גיליון1!$F$8:$F$16</xm:f>
          </x14:formula1>
          <xm:sqref>L3:L150</xm:sqref>
        </x14:dataValidation>
      </x14:dataValidations>
    </ext>
    <ext xmlns:x15="http://schemas.microsoft.com/office/spreadsheetml/2010/11/main" uri="{3A4CF648-6AED-40f4-86FF-DC5316D8AED3}">
      <x14:slicerList xmlns:x14="http://schemas.microsoft.com/office/spreadsheetml/2009/9/main">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2"/>
  <dimension ref="B3:N27"/>
  <sheetViews>
    <sheetView rightToLeft="1" workbookViewId="0">
      <selection activeCell="M8" sqref="M8"/>
    </sheetView>
  </sheetViews>
  <sheetFormatPr defaultRowHeight="13.8" x14ac:dyDescent="0.25"/>
  <cols>
    <col min="2" max="2" width="18.59765625" bestFit="1" customWidth="1"/>
    <col min="6" max="6" width="28.59765625" bestFit="1" customWidth="1"/>
    <col min="9" max="9" width="14.59765625" bestFit="1" customWidth="1"/>
    <col min="11" max="11" width="13.09765625" bestFit="1" customWidth="1"/>
  </cols>
  <sheetData>
    <row r="3" spans="2:14" x14ac:dyDescent="0.25">
      <c r="B3" s="19" t="s">
        <v>54</v>
      </c>
      <c r="C3" s="19"/>
      <c r="D3" s="19" t="s">
        <v>7</v>
      </c>
      <c r="E3" s="19"/>
      <c r="F3" s="19" t="s">
        <v>55</v>
      </c>
      <c r="G3" s="19"/>
      <c r="H3" s="19"/>
      <c r="I3" s="19" t="s">
        <v>56</v>
      </c>
      <c r="J3" s="19"/>
      <c r="K3" s="19" t="s">
        <v>57</v>
      </c>
      <c r="L3" s="19"/>
      <c r="M3" s="19" t="s">
        <v>58</v>
      </c>
      <c r="N3" s="19" t="s">
        <v>59</v>
      </c>
    </row>
    <row r="5" spans="2:14" x14ac:dyDescent="0.25">
      <c r="B5" s="3" t="s">
        <v>60</v>
      </c>
      <c r="I5" s="18" t="s">
        <v>61</v>
      </c>
      <c r="K5" s="3" t="s">
        <v>62</v>
      </c>
      <c r="M5" t="s">
        <v>13</v>
      </c>
      <c r="N5" t="s">
        <v>13</v>
      </c>
    </row>
    <row r="6" spans="2:14" x14ac:dyDescent="0.25">
      <c r="B6" s="3" t="s">
        <v>63</v>
      </c>
      <c r="I6" s="18" t="s">
        <v>64</v>
      </c>
      <c r="K6" s="3" t="s">
        <v>65</v>
      </c>
    </row>
    <row r="7" spans="2:14" x14ac:dyDescent="0.25">
      <c r="B7" s="3" t="s">
        <v>51</v>
      </c>
      <c r="I7" s="18" t="s">
        <v>37</v>
      </c>
      <c r="K7" s="3" t="s">
        <v>66</v>
      </c>
    </row>
    <row r="8" spans="2:14" x14ac:dyDescent="0.25">
      <c r="B8" s="3" t="s">
        <v>67</v>
      </c>
      <c r="D8" s="15" t="s">
        <v>32</v>
      </c>
      <c r="F8" s="3" t="s">
        <v>21</v>
      </c>
      <c r="I8" s="18" t="s">
        <v>68</v>
      </c>
      <c r="K8" s="3" t="s">
        <v>69</v>
      </c>
    </row>
    <row r="9" spans="2:14" x14ac:dyDescent="0.25">
      <c r="B9" s="3" t="s">
        <v>70</v>
      </c>
      <c r="D9" s="16" t="s">
        <v>25</v>
      </c>
      <c r="F9" s="3" t="s">
        <v>71</v>
      </c>
      <c r="I9" s="18" t="s">
        <v>72</v>
      </c>
      <c r="K9" s="3" t="s">
        <v>73</v>
      </c>
    </row>
    <row r="10" spans="2:14" x14ac:dyDescent="0.25">
      <c r="B10" s="3" t="s">
        <v>74</v>
      </c>
      <c r="D10" s="17" t="s">
        <v>18</v>
      </c>
      <c r="F10" s="3" t="s">
        <v>75</v>
      </c>
      <c r="I10" s="18" t="s">
        <v>76</v>
      </c>
      <c r="K10" s="3" t="s">
        <v>77</v>
      </c>
    </row>
    <row r="11" spans="2:14" x14ac:dyDescent="0.25">
      <c r="B11" s="3" t="s">
        <v>44</v>
      </c>
      <c r="F11" s="3" t="s">
        <v>39</v>
      </c>
      <c r="I11" s="18" t="s">
        <v>78</v>
      </c>
      <c r="K11" s="3" t="s">
        <v>79</v>
      </c>
    </row>
    <row r="12" spans="2:14" x14ac:dyDescent="0.25">
      <c r="B12" s="3" t="s">
        <v>80</v>
      </c>
      <c r="F12" s="3" t="s">
        <v>81</v>
      </c>
      <c r="I12" s="18" t="s">
        <v>82</v>
      </c>
    </row>
    <row r="13" spans="2:14" x14ac:dyDescent="0.25">
      <c r="B13" s="3" t="s">
        <v>19</v>
      </c>
      <c r="F13" s="22" t="s">
        <v>83</v>
      </c>
      <c r="I13" s="18" t="s">
        <v>84</v>
      </c>
    </row>
    <row r="14" spans="2:14" x14ac:dyDescent="0.25">
      <c r="B14" s="3" t="s">
        <v>85</v>
      </c>
      <c r="F14" s="3" t="s">
        <v>46</v>
      </c>
      <c r="I14" s="18" t="s">
        <v>86</v>
      </c>
    </row>
    <row r="15" spans="2:14" x14ac:dyDescent="0.25">
      <c r="B15" s="3" t="s">
        <v>33</v>
      </c>
      <c r="F15" s="3" t="s">
        <v>27</v>
      </c>
      <c r="I15" s="18" t="s">
        <v>87</v>
      </c>
    </row>
    <row r="16" spans="2:14" x14ac:dyDescent="0.25">
      <c r="B16" s="3" t="s">
        <v>88</v>
      </c>
      <c r="F16" s="3" t="s">
        <v>89</v>
      </c>
      <c r="I16" s="18" t="s">
        <v>43</v>
      </c>
    </row>
    <row r="17" spans="2:9" x14ac:dyDescent="0.25">
      <c r="B17" s="3" t="s">
        <v>90</v>
      </c>
      <c r="F17" s="3" t="s">
        <v>91</v>
      </c>
      <c r="I17" s="18" t="s">
        <v>92</v>
      </c>
    </row>
    <row r="18" spans="2:9" x14ac:dyDescent="0.25">
      <c r="B18" s="3" t="s">
        <v>93</v>
      </c>
      <c r="I18" s="18" t="s">
        <v>94</v>
      </c>
    </row>
    <row r="19" spans="2:9" x14ac:dyDescent="0.25">
      <c r="I19" s="18" t="s">
        <v>95</v>
      </c>
    </row>
    <row r="20" spans="2:9" x14ac:dyDescent="0.25">
      <c r="I20" s="18" t="s">
        <v>96</v>
      </c>
    </row>
    <row r="21" spans="2:9" x14ac:dyDescent="0.25">
      <c r="I21" s="18" t="s">
        <v>97</v>
      </c>
    </row>
    <row r="22" spans="2:9" x14ac:dyDescent="0.25">
      <c r="I22" s="18" t="s">
        <v>98</v>
      </c>
    </row>
    <row r="23" spans="2:9" x14ac:dyDescent="0.25">
      <c r="I23" s="18" t="s">
        <v>99</v>
      </c>
    </row>
    <row r="24" spans="2:9" x14ac:dyDescent="0.25">
      <c r="I24" s="18" t="s">
        <v>17</v>
      </c>
    </row>
    <row r="25" spans="2:9" x14ac:dyDescent="0.25">
      <c r="I25" s="18" t="s">
        <v>100</v>
      </c>
    </row>
    <row r="26" spans="2:9" x14ac:dyDescent="0.25">
      <c r="I26" s="18" t="s">
        <v>101</v>
      </c>
    </row>
    <row r="27" spans="2:9" x14ac:dyDescent="0.25">
      <c r="I27" s="1"/>
    </row>
  </sheetData>
  <sortState xmlns:xlrd2="http://schemas.microsoft.com/office/spreadsheetml/2017/richdata2" ref="I5:I26">
    <sortCondition ref="I5:I2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3"/>
  <dimension ref="A1:X249"/>
  <sheetViews>
    <sheetView rightToLeft="1" tabSelected="1" zoomScale="60" zoomScaleNormal="60" zoomScalePageLayoutView="46" workbookViewId="0">
      <selection activeCell="Q3" sqref="Q3"/>
      <extLst>
        <ext xmlns:xlsdti="http://schemas.microsoft.com/office/spreadsheetml/2023/showDataTypeIcons" uri="{77bfe23e-c014-4d31-8a63-9c772dbf06b6}">
          <xlsdti:showDataTypeIcons visible="0"/>
        </ext>
      </extLst>
    </sheetView>
  </sheetViews>
  <sheetFormatPr defaultColWidth="9" defaultRowHeight="13.8" x14ac:dyDescent="0.25"/>
  <cols>
    <col min="1" max="1" width="24.59765625" style="137" customWidth="1"/>
    <col min="2" max="2" width="16.59765625" style="138" customWidth="1"/>
    <col min="3" max="3" width="19" style="137" customWidth="1"/>
    <col min="4" max="4" width="16" style="77" bestFit="1" customWidth="1"/>
    <col min="5" max="5" width="13.09765625" style="77" customWidth="1"/>
    <col min="6" max="6" width="20.59765625" style="77" bestFit="1" customWidth="1"/>
    <col min="7" max="7" width="20.69921875" style="77" customWidth="1"/>
    <col min="8" max="8" width="19.69921875" style="77" hidden="1" customWidth="1"/>
    <col min="9" max="9" width="22.59765625" style="139" hidden="1" customWidth="1"/>
    <col min="10" max="12" width="65.59765625" style="80" hidden="1" customWidth="1"/>
    <col min="13" max="13" width="70.09765625" style="80" hidden="1" customWidth="1"/>
    <col min="14" max="14" width="65.59765625" style="80" hidden="1" customWidth="1"/>
    <col min="15" max="15" width="17.19921875" style="80" hidden="1" customWidth="1"/>
    <col min="16" max="16" width="65.59765625" style="80" hidden="1" customWidth="1"/>
    <col min="17" max="17" width="65.59765625" style="80" customWidth="1"/>
    <col min="18" max="18" width="45.09765625" style="79" customWidth="1"/>
    <col min="19" max="19" width="45.09765625" style="78" customWidth="1"/>
    <col min="20" max="20" width="26.59765625" style="78" customWidth="1"/>
    <col min="21" max="21" width="22.3984375" style="137" bestFit="1" customWidth="1"/>
    <col min="22" max="22" width="21.09765625" style="137" bestFit="1" customWidth="1"/>
    <col min="23" max="23" width="14.59765625" style="170" hidden="1" customWidth="1"/>
    <col min="24" max="16384" width="9" style="137"/>
  </cols>
  <sheetData>
    <row r="1" spans="1:23" s="77" customFormat="1" ht="137.25" customHeight="1" x14ac:dyDescent="0.25">
      <c r="B1" s="78" t="s">
        <v>102</v>
      </c>
      <c r="J1" s="80"/>
      <c r="K1" s="80"/>
      <c r="L1" s="80"/>
      <c r="M1" s="80"/>
      <c r="N1" s="80"/>
      <c r="O1" s="80"/>
      <c r="P1" s="80"/>
      <c r="Q1" s="80"/>
      <c r="R1" s="79"/>
      <c r="S1" s="78"/>
      <c r="T1" s="78"/>
      <c r="U1" s="171" t="s">
        <v>103</v>
      </c>
      <c r="V1" s="171"/>
      <c r="W1" s="166"/>
    </row>
    <row r="2" spans="1:23" s="24" customFormat="1" ht="39" customHeight="1" x14ac:dyDescent="0.25">
      <c r="A2" s="23" t="s">
        <v>104</v>
      </c>
      <c r="B2" s="23" t="s">
        <v>3</v>
      </c>
      <c r="C2" s="23" t="s">
        <v>2</v>
      </c>
      <c r="D2" s="23" t="s">
        <v>4</v>
      </c>
      <c r="E2" s="23" t="s">
        <v>57</v>
      </c>
      <c r="F2" s="23" t="s">
        <v>5</v>
      </c>
      <c r="G2" s="23" t="s">
        <v>105</v>
      </c>
      <c r="H2" s="23" t="s">
        <v>8</v>
      </c>
      <c r="I2" s="20" t="s">
        <v>106</v>
      </c>
      <c r="J2" s="23" t="s">
        <v>107</v>
      </c>
      <c r="K2" s="23" t="s">
        <v>108</v>
      </c>
      <c r="L2" s="23" t="s">
        <v>109</v>
      </c>
      <c r="M2" s="23" t="s">
        <v>110</v>
      </c>
      <c r="N2" s="23" t="s">
        <v>111</v>
      </c>
      <c r="O2" s="23" t="s">
        <v>112</v>
      </c>
      <c r="P2" s="23" t="s">
        <v>113</v>
      </c>
      <c r="Q2" s="23" t="s">
        <v>1448</v>
      </c>
      <c r="R2" s="23" t="s">
        <v>114</v>
      </c>
      <c r="S2" s="23" t="s">
        <v>115</v>
      </c>
      <c r="T2" s="23" t="s">
        <v>116</v>
      </c>
      <c r="U2" s="178" t="s">
        <v>117</v>
      </c>
      <c r="V2" s="178" t="s">
        <v>118</v>
      </c>
      <c r="W2" s="177" t="s">
        <v>119</v>
      </c>
    </row>
    <row r="3" spans="1:23" s="145" customFormat="1" ht="300" x14ac:dyDescent="0.25">
      <c r="A3" s="25" t="s">
        <v>120</v>
      </c>
      <c r="B3" s="26" t="s">
        <v>121</v>
      </c>
      <c r="C3" s="27" t="s">
        <v>15</v>
      </c>
      <c r="D3" s="81" t="s">
        <v>61</v>
      </c>
      <c r="E3" s="81" t="s">
        <v>62</v>
      </c>
      <c r="F3" s="28">
        <v>46934</v>
      </c>
      <c r="G3" s="35">
        <v>46934</v>
      </c>
      <c r="H3" s="81" t="s">
        <v>67</v>
      </c>
      <c r="I3" s="82" t="str">
        <f t="shared" ref="I3:I57" si="0">"WBS: " &amp; A3 &amp; CHAR(10) &amp;
"שם פרויקט: " &amp; B3 &amp; CHAR(10) &amp;
"מנה״פ: " &amp; D3 &amp; CHAR(10) &amp;
"יעד תכנית פיתוח: " &amp; TEXT(F3,"dd/mm/yyyy") &amp; CHAR(10) &amp;
"יעד מסתמן: " &amp; TEXT(G3,"dd/mm/yyyy")</f>
        <v>WBS: WBC-064
שם פרויקט: רעות - הקמת תחמ"ש פנימית 161/24 ק"ו
מנה״פ: אוברקוביץ, ענת
יעד תכנית פיתוח: 30/06/2028
יעד מסתמן: 30/06/2028</v>
      </c>
      <c r="J3" s="31" t="s">
        <v>122</v>
      </c>
      <c r="K3" s="31" t="s">
        <v>123</v>
      </c>
      <c r="L3" s="31" t="s">
        <v>124</v>
      </c>
      <c r="M3" s="31" t="s">
        <v>125</v>
      </c>
      <c r="N3" s="31" t="s">
        <v>126</v>
      </c>
      <c r="O3" s="31" t="s">
        <v>127</v>
      </c>
      <c r="P3" s="31" t="s">
        <v>128</v>
      </c>
      <c r="Q3" s="31" t="s">
        <v>1547</v>
      </c>
      <c r="R3" s="57" t="s">
        <v>129</v>
      </c>
      <c r="S3" s="40" t="s">
        <v>27</v>
      </c>
      <c r="T3" s="83" t="s">
        <v>39</v>
      </c>
      <c r="U3" s="85"/>
      <c r="V3" s="75"/>
      <c r="W3" s="167" t="e">
        <f>VLOOKUP(טבלה13[[#This Row],[זיהוי]],#REF!,2,FALSE)</f>
        <v>#REF!</v>
      </c>
    </row>
    <row r="4" spans="1:23" s="145" customFormat="1" ht="279.60000000000002" customHeight="1" x14ac:dyDescent="0.25">
      <c r="A4" s="25" t="s">
        <v>130</v>
      </c>
      <c r="B4" s="26" t="s">
        <v>131</v>
      </c>
      <c r="C4" s="27" t="s">
        <v>30</v>
      </c>
      <c r="D4" s="84" t="s">
        <v>61</v>
      </c>
      <c r="E4" s="84" t="s">
        <v>62</v>
      </c>
      <c r="F4" s="28">
        <v>46173</v>
      </c>
      <c r="G4" s="28">
        <v>46325</v>
      </c>
      <c r="H4" s="84" t="s">
        <v>19</v>
      </c>
      <c r="I4" s="85" t="str">
        <f t="shared" si="0"/>
        <v>WBS: WBE-158
שם פרויקט: ראש העין-הוספת שנאי 521 והרחבת פ"צ 161
מנה״פ: אוברקוביץ, ענת
יעד תכנית פיתוח: 31/05/2026
יעד מסתמן: 30/10/2026</v>
      </c>
      <c r="J4" s="71" t="s">
        <v>132</v>
      </c>
      <c r="K4" s="71" t="s">
        <v>133</v>
      </c>
      <c r="L4" s="71" t="s">
        <v>134</v>
      </c>
      <c r="M4" s="71" t="s">
        <v>135</v>
      </c>
      <c r="N4" s="71" t="s">
        <v>136</v>
      </c>
      <c r="O4" s="71" t="s">
        <v>137</v>
      </c>
      <c r="P4" s="71" t="s">
        <v>138</v>
      </c>
      <c r="Q4" s="71" t="s">
        <v>1548</v>
      </c>
      <c r="R4" s="64" t="s">
        <v>139</v>
      </c>
      <c r="S4" s="86" t="s">
        <v>46</v>
      </c>
      <c r="T4" s="59" t="s">
        <v>91</v>
      </c>
      <c r="U4" s="85"/>
      <c r="V4" s="75"/>
      <c r="W4" s="167" t="e">
        <f>VLOOKUP(טבלה13[[#This Row],[זיהוי]],#REF!,2,FALSE)</f>
        <v>#REF!</v>
      </c>
    </row>
    <row r="5" spans="1:23" s="145" customFormat="1" ht="409.6" x14ac:dyDescent="0.25">
      <c r="A5" s="25" t="s">
        <v>140</v>
      </c>
      <c r="B5" s="26" t="s">
        <v>141</v>
      </c>
      <c r="C5" s="27" t="s">
        <v>30</v>
      </c>
      <c r="D5" s="84" t="s">
        <v>61</v>
      </c>
      <c r="E5" s="84" t="s">
        <v>62</v>
      </c>
      <c r="F5" s="28">
        <v>46752</v>
      </c>
      <c r="G5" s="28">
        <v>46751</v>
      </c>
      <c r="H5" s="84" t="s">
        <v>51</v>
      </c>
      <c r="I5" s="85" t="str">
        <f t="shared" si="0"/>
        <v>WBS: WBE-188
שם פרויקט: אור יהודה -התקנת שנאי רביעי 161/24 ק"ו, 50 מגוו"א וסוללת קבלים
מנה״פ: אוברקוביץ, ענת
יעד תכנית פיתוח: 31/12/2027
יעד מסתמן: 30/12/2027</v>
      </c>
      <c r="J5" s="54" t="s">
        <v>142</v>
      </c>
      <c r="K5" s="54" t="s">
        <v>143</v>
      </c>
      <c r="L5" s="54" t="s">
        <v>144</v>
      </c>
      <c r="M5" s="54" t="s">
        <v>145</v>
      </c>
      <c r="N5" s="54" t="s">
        <v>146</v>
      </c>
      <c r="O5" s="54" t="s">
        <v>147</v>
      </c>
      <c r="P5" s="54" t="s">
        <v>148</v>
      </c>
      <c r="Q5" s="54" t="s">
        <v>1549</v>
      </c>
      <c r="R5" s="63" t="s">
        <v>149</v>
      </c>
      <c r="S5" s="86" t="s">
        <v>27</v>
      </c>
      <c r="T5" s="59"/>
      <c r="U5" s="85"/>
      <c r="V5" s="75"/>
      <c r="W5" s="167" t="e">
        <f>VLOOKUP(טבלה13[[#This Row],[זיהוי]],#REF!,2,FALSE)</f>
        <v>#REF!</v>
      </c>
    </row>
    <row r="6" spans="1:23" s="145" customFormat="1" ht="150" x14ac:dyDescent="0.25">
      <c r="A6" s="25" t="s">
        <v>150</v>
      </c>
      <c r="B6" s="26" t="s">
        <v>151</v>
      </c>
      <c r="C6" s="27" t="s">
        <v>30</v>
      </c>
      <c r="D6" s="84" t="s">
        <v>61</v>
      </c>
      <c r="E6" s="84" t="s">
        <v>62</v>
      </c>
      <c r="F6" s="28">
        <v>46568</v>
      </c>
      <c r="G6" s="28">
        <v>46537</v>
      </c>
      <c r="H6" s="84" t="s">
        <v>51</v>
      </c>
      <c r="I6" s="85" t="str">
        <f t="shared" si="0"/>
        <v>WBS: WBE-196
שם פרויקט: "בארות יצחק – הרחבת פ""צ והוספת שנאי חמישי 161/24 ק""ו, 50 מגוו""א וסוללות קבלים."
מנה״פ: אוברקוביץ, ענת
יעד תכנית פיתוח: 30/06/2027
יעד מסתמן: 30/05/2027</v>
      </c>
      <c r="J6" s="63" t="s">
        <v>152</v>
      </c>
      <c r="K6" s="63" t="s">
        <v>153</v>
      </c>
      <c r="L6" s="63" t="s">
        <v>154</v>
      </c>
      <c r="M6" s="63" t="s">
        <v>154</v>
      </c>
      <c r="N6" s="63" t="s">
        <v>155</v>
      </c>
      <c r="O6" s="63" t="s">
        <v>156</v>
      </c>
      <c r="P6" s="63" t="s">
        <v>157</v>
      </c>
      <c r="Q6" s="63" t="s">
        <v>1550</v>
      </c>
      <c r="R6" s="71" t="s">
        <v>158</v>
      </c>
      <c r="S6" s="86" t="s">
        <v>27</v>
      </c>
      <c r="T6" s="59"/>
      <c r="U6" s="85"/>
      <c r="V6" s="75"/>
      <c r="W6" s="167" t="e">
        <f>VLOOKUP(טבלה13[[#This Row],[זיהוי]],#REF!,2,FALSE)</f>
        <v>#REF!</v>
      </c>
    </row>
    <row r="7" spans="1:23" s="145" customFormat="1" ht="120" x14ac:dyDescent="0.25">
      <c r="A7" s="25" t="s">
        <v>159</v>
      </c>
      <c r="B7" s="26" t="s">
        <v>160</v>
      </c>
      <c r="C7" s="27" t="s">
        <v>30</v>
      </c>
      <c r="D7" s="84" t="s">
        <v>64</v>
      </c>
      <c r="E7" s="84" t="s">
        <v>62</v>
      </c>
      <c r="F7" s="28">
        <v>46690</v>
      </c>
      <c r="G7" s="28">
        <v>46690</v>
      </c>
      <c r="H7" s="84" t="s">
        <v>70</v>
      </c>
      <c r="I7" s="85" t="str">
        <f t="shared" si="0"/>
        <v>WBS: WBE-125
שם פרויקט: תמנע-רב-שלבי,שדרוג מסדר 161 ק"ו מע' עזר
מנה״פ: אוחייון, איתן
יעד תכנית פיתוח: 30/10/2027
יעד מסתמן: 30/10/2027</v>
      </c>
      <c r="J7" s="63" t="s">
        <v>161</v>
      </c>
      <c r="K7" s="63" t="s">
        <v>161</v>
      </c>
      <c r="L7" s="63" t="s">
        <v>161</v>
      </c>
      <c r="M7" s="63" t="s">
        <v>161</v>
      </c>
      <c r="N7" s="63" t="s">
        <v>161</v>
      </c>
      <c r="O7" s="63" t="s">
        <v>161</v>
      </c>
      <c r="P7" s="63" t="s">
        <v>162</v>
      </c>
      <c r="Q7" s="63" t="s">
        <v>1455</v>
      </c>
      <c r="R7" s="63" t="s">
        <v>1456</v>
      </c>
      <c r="S7" s="86" t="s">
        <v>89</v>
      </c>
      <c r="T7" s="86"/>
      <c r="U7" s="85"/>
      <c r="V7" s="75"/>
      <c r="W7" s="167" t="e">
        <f>VLOOKUP(טבלה13[[#This Row],[זיהוי]],#REF!,2,FALSE)</f>
        <v>#REF!</v>
      </c>
    </row>
    <row r="8" spans="1:23" s="145" customFormat="1" ht="105" x14ac:dyDescent="0.25">
      <c r="A8" s="25" t="s">
        <v>163</v>
      </c>
      <c r="B8" s="26" t="s">
        <v>164</v>
      </c>
      <c r="C8" s="27" t="s">
        <v>30</v>
      </c>
      <c r="D8" s="84" t="s">
        <v>64</v>
      </c>
      <c r="E8" s="84" t="s">
        <v>62</v>
      </c>
      <c r="F8" s="28">
        <v>46691</v>
      </c>
      <c r="G8" s="28">
        <v>46721</v>
      </c>
      <c r="H8" s="84" t="s">
        <v>51</v>
      </c>
      <c r="I8" s="85" t="str">
        <f t="shared" si="0"/>
        <v>WBS: WBE-200
שם פרויקט: תמנע-הוספת שנאי שני 50 מגוו"א
מנה״פ: אוחייון, איתן
יעד תכנית פיתוח: 31/10/2027
יעד מסתמן: 30/11/2027</v>
      </c>
      <c r="J8" s="63" t="s">
        <v>165</v>
      </c>
      <c r="K8" s="63" t="s">
        <v>166</v>
      </c>
      <c r="L8" s="63" t="s">
        <v>166</v>
      </c>
      <c r="M8" s="63" t="s">
        <v>166</v>
      </c>
      <c r="N8" s="63" t="s">
        <v>166</v>
      </c>
      <c r="O8" s="63" t="s">
        <v>166</v>
      </c>
      <c r="P8" s="63" t="s">
        <v>166</v>
      </c>
      <c r="Q8" s="63" t="s">
        <v>166</v>
      </c>
      <c r="R8" s="63"/>
      <c r="S8" s="87"/>
      <c r="T8" s="59"/>
      <c r="U8" s="85"/>
      <c r="V8" s="75"/>
      <c r="W8" s="167" t="e">
        <f>VLOOKUP(טבלה13[[#This Row],[זיהוי]],#REF!,2,FALSE)</f>
        <v>#REF!</v>
      </c>
    </row>
    <row r="9" spans="1:23" s="145" customFormat="1" ht="150" x14ac:dyDescent="0.25">
      <c r="A9" s="25" t="s">
        <v>167</v>
      </c>
      <c r="B9" s="26" t="s">
        <v>168</v>
      </c>
      <c r="C9" s="27" t="s">
        <v>30</v>
      </c>
      <c r="D9" s="84" t="s">
        <v>64</v>
      </c>
      <c r="E9" s="84" t="s">
        <v>62</v>
      </c>
      <c r="F9" s="28">
        <v>46568</v>
      </c>
      <c r="G9" s="28">
        <v>46690</v>
      </c>
      <c r="H9" s="84" t="s">
        <v>44</v>
      </c>
      <c r="I9" s="85" t="str">
        <f t="shared" si="0"/>
        <v>WBS: WBE-235
שם פרויקט: צומת כרמיה – הקמת 2 שדות מ"ע חדשים והתאמת שדה 1 לזרם 2000 א'. משיק ל-WBO-824, WBO-823 .
מנה״פ: אוחייון, איתן
יעד תכנית פיתוח: 30/06/2027
יעד מסתמן: 30/10/2027</v>
      </c>
      <c r="J9" s="88" t="s">
        <v>169</v>
      </c>
      <c r="K9" s="88" t="s">
        <v>170</v>
      </c>
      <c r="L9" s="88" t="s">
        <v>171</v>
      </c>
      <c r="M9" s="88" t="s">
        <v>172</v>
      </c>
      <c r="N9" s="88" t="s">
        <v>172</v>
      </c>
      <c r="O9" s="88" t="s">
        <v>172</v>
      </c>
      <c r="P9" s="88" t="s">
        <v>173</v>
      </c>
      <c r="Q9" s="88" t="s">
        <v>1457</v>
      </c>
      <c r="R9" s="63"/>
      <c r="S9" s="86"/>
      <c r="T9" s="59"/>
      <c r="U9" s="85"/>
      <c r="V9" s="75"/>
      <c r="W9" s="167" t="e">
        <f>VLOOKUP(טבלה13[[#This Row],[זיהוי]],#REF!,2,FALSE)</f>
        <v>#REF!</v>
      </c>
    </row>
    <row r="10" spans="1:23" s="145" customFormat="1" ht="120" x14ac:dyDescent="0.25">
      <c r="A10" s="25" t="s">
        <v>174</v>
      </c>
      <c r="B10" s="26" t="s">
        <v>175</v>
      </c>
      <c r="C10" s="27" t="s">
        <v>30</v>
      </c>
      <c r="D10" s="84" t="s">
        <v>64</v>
      </c>
      <c r="E10" s="84" t="s">
        <v>62</v>
      </c>
      <c r="F10" s="28">
        <v>46265</v>
      </c>
      <c r="G10" s="28">
        <v>46492</v>
      </c>
      <c r="H10" s="84" t="s">
        <v>74</v>
      </c>
      <c r="I10" s="85" t="str">
        <f t="shared" si="0"/>
        <v>WBS: WBE-260
שם פרויקט: מצפה רמון - התקנת שנאי מס' 531- מערכתי
מנה״פ: אוחייון, איתן
יעד תכנית פיתוח: 31/08/2026
יעד מסתמן: 15/04/2027</v>
      </c>
      <c r="J10" s="63" t="s">
        <v>176</v>
      </c>
      <c r="K10" s="63" t="s">
        <v>176</v>
      </c>
      <c r="L10" s="63" t="s">
        <v>177</v>
      </c>
      <c r="M10" s="63" t="s">
        <v>177</v>
      </c>
      <c r="N10" s="63" t="s">
        <v>178</v>
      </c>
      <c r="O10" s="63" t="s">
        <v>179</v>
      </c>
      <c r="P10" s="63" t="s">
        <v>180</v>
      </c>
      <c r="Q10" s="63" t="s">
        <v>1458</v>
      </c>
      <c r="R10" s="63" t="s">
        <v>181</v>
      </c>
      <c r="S10" s="86" t="s">
        <v>71</v>
      </c>
      <c r="T10" s="59"/>
      <c r="U10" s="85"/>
      <c r="V10" s="75"/>
      <c r="W10" s="167" t="e">
        <f>VLOOKUP(טבלה13[[#This Row],[זיהוי]],#REF!,2,FALSE)</f>
        <v>#REF!</v>
      </c>
    </row>
    <row r="11" spans="1:23" s="145" customFormat="1" ht="165" x14ac:dyDescent="0.25">
      <c r="A11" s="25" t="s">
        <v>182</v>
      </c>
      <c r="B11" s="26" t="s">
        <v>183</v>
      </c>
      <c r="C11" s="27" t="s">
        <v>30</v>
      </c>
      <c r="D11" s="84" t="s">
        <v>64</v>
      </c>
      <c r="E11" s="84" t="s">
        <v>62</v>
      </c>
      <c r="F11" s="28">
        <v>46537</v>
      </c>
      <c r="G11" s="28">
        <v>46721</v>
      </c>
      <c r="H11" s="84" t="s">
        <v>70</v>
      </c>
      <c r="I11" s="85" t="str">
        <f t="shared" si="0"/>
        <v>WBS: WBE-259
שם פרויקט: מצפה רמון - החלפת שנאי מס' 532- מערכתי
מנה״פ: אוחייון, איתן
יעד תכנית פיתוח: 30/05/2027
יעד מסתמן: 30/11/2027</v>
      </c>
      <c r="J11" s="63" t="s">
        <v>184</v>
      </c>
      <c r="K11" s="63" t="s">
        <v>184</v>
      </c>
      <c r="L11" s="63" t="s">
        <v>184</v>
      </c>
      <c r="M11" s="63" t="s">
        <v>184</v>
      </c>
      <c r="N11" s="63" t="s">
        <v>185</v>
      </c>
      <c r="O11" s="63" t="s">
        <v>185</v>
      </c>
      <c r="P11" s="63" t="s">
        <v>185</v>
      </c>
      <c r="Q11" s="63" t="s">
        <v>1459</v>
      </c>
      <c r="R11" s="63" t="s">
        <v>181</v>
      </c>
      <c r="S11" s="40" t="s">
        <v>71</v>
      </c>
      <c r="T11" s="59"/>
      <c r="U11" s="85"/>
      <c r="V11" s="75"/>
      <c r="W11" s="167" t="e">
        <f>VLOOKUP(טבלה13[[#This Row],[זיהוי]],#REF!,2,FALSE)</f>
        <v>#REF!</v>
      </c>
    </row>
    <row r="12" spans="1:23" s="145" customFormat="1" ht="225" x14ac:dyDescent="0.25">
      <c r="A12" s="25" t="s">
        <v>186</v>
      </c>
      <c r="B12" s="26" t="s">
        <v>187</v>
      </c>
      <c r="C12" s="27" t="s">
        <v>30</v>
      </c>
      <c r="D12" s="84" t="s">
        <v>64</v>
      </c>
      <c r="E12" s="84" t="s">
        <v>62</v>
      </c>
      <c r="F12" s="28">
        <v>46752</v>
      </c>
      <c r="G12" s="28">
        <v>46751</v>
      </c>
      <c r="H12" s="84" t="s">
        <v>60</v>
      </c>
      <c r="I12" s="85" t="str">
        <f t="shared" si="0"/>
        <v>WBS: WBE-118
שם פרויקט: יוטבתה - החלפת שנאי 531 ועיגון השנאי
מנה״פ: אוחייון, איתן
יעד תכנית פיתוח: 31/12/2027
יעד מסתמן: 30/12/2027</v>
      </c>
      <c r="J12" s="63" t="s">
        <v>188</v>
      </c>
      <c r="K12" s="63" t="s">
        <v>188</v>
      </c>
      <c r="L12" s="63" t="s">
        <v>189</v>
      </c>
      <c r="M12" s="63" t="s">
        <v>190</v>
      </c>
      <c r="N12" s="63" t="s">
        <v>190</v>
      </c>
      <c r="O12" s="63" t="s">
        <v>190</v>
      </c>
      <c r="P12" s="63" t="s">
        <v>190</v>
      </c>
      <c r="Q12" s="63" t="s">
        <v>190</v>
      </c>
      <c r="R12" s="63"/>
      <c r="S12" s="87"/>
      <c r="T12" s="59"/>
      <c r="U12" s="85"/>
      <c r="V12" s="75"/>
      <c r="W12" s="167" t="e">
        <f>VLOOKUP(טבלה13[[#This Row],[זיהוי]],#REF!,2,FALSE)</f>
        <v>#REF!</v>
      </c>
    </row>
    <row r="13" spans="1:23" s="145" customFormat="1" ht="300" x14ac:dyDescent="0.25">
      <c r="A13" s="25" t="s">
        <v>191</v>
      </c>
      <c r="B13" s="26" t="s">
        <v>192</v>
      </c>
      <c r="C13" s="27" t="s">
        <v>30</v>
      </c>
      <c r="D13" s="84" t="s">
        <v>64</v>
      </c>
      <c r="E13" s="84" t="s">
        <v>62</v>
      </c>
      <c r="F13" s="28">
        <v>46325</v>
      </c>
      <c r="G13" s="28" t="s">
        <v>193</v>
      </c>
      <c r="H13" s="84" t="s">
        <v>19</v>
      </c>
      <c r="I13" s="85" t="str">
        <f t="shared" si="0"/>
        <v>WBS: WBE-120
שם פרויקט: יוטבתה-שדרוג התחמ"ש-רב שלבי
מנה״פ: אוחייון, איתן
יעד תכנית פיתוח: 30/10/2026
יעד מסתמן: 30/09/2026
שדות 3+9</v>
      </c>
      <c r="J13" s="63" t="s">
        <v>194</v>
      </c>
      <c r="K13" s="63" t="s">
        <v>195</v>
      </c>
      <c r="L13" s="63" t="s">
        <v>196</v>
      </c>
      <c r="M13" s="63" t="s">
        <v>197</v>
      </c>
      <c r="N13" s="63" t="s">
        <v>198</v>
      </c>
      <c r="O13" s="63" t="s">
        <v>199</v>
      </c>
      <c r="P13" s="63" t="s">
        <v>200</v>
      </c>
      <c r="Q13" s="63" t="s">
        <v>1460</v>
      </c>
      <c r="R13" s="64" t="s">
        <v>201</v>
      </c>
      <c r="S13" s="87" t="s">
        <v>75</v>
      </c>
      <c r="T13" s="59"/>
      <c r="U13" s="85"/>
      <c r="V13" s="75"/>
      <c r="W13" s="167" t="e">
        <f>VLOOKUP(טבלה13[[#This Row],[זיהוי]],#REF!,2,FALSE)</f>
        <v>#REF!</v>
      </c>
    </row>
    <row r="14" spans="1:23" s="145" customFormat="1" ht="120" x14ac:dyDescent="0.25">
      <c r="A14" s="25" t="s">
        <v>202</v>
      </c>
      <c r="B14" s="26" t="s">
        <v>203</v>
      </c>
      <c r="C14" s="27" t="s">
        <v>30</v>
      </c>
      <c r="D14" s="84" t="s">
        <v>64</v>
      </c>
      <c r="E14" s="84" t="s">
        <v>62</v>
      </c>
      <c r="F14" s="28">
        <v>46325</v>
      </c>
      <c r="G14" s="28">
        <v>46568</v>
      </c>
      <c r="H14" s="84" t="s">
        <v>44</v>
      </c>
      <c r="I14" s="85" t="str">
        <f t="shared" si="0"/>
        <v>WBS: WBE-202
שם פרויקט: יוטבתה-הוספת שנאי 532 161/36 ק"ו 50 מגוו"א
מנה״פ: אוחייון, איתן
יעד תכנית פיתוח: 30/10/2026
יעד מסתמן: 30/06/2027</v>
      </c>
      <c r="J14" s="63" t="s">
        <v>204</v>
      </c>
      <c r="K14" s="63" t="s">
        <v>204</v>
      </c>
      <c r="L14" s="63" t="s">
        <v>204</v>
      </c>
      <c r="M14" s="63" t="s">
        <v>204</v>
      </c>
      <c r="N14" s="63" t="s">
        <v>204</v>
      </c>
      <c r="O14" s="63" t="s">
        <v>204</v>
      </c>
      <c r="P14" s="63" t="s">
        <v>204</v>
      </c>
      <c r="Q14" s="63" t="s">
        <v>204</v>
      </c>
      <c r="R14" s="63"/>
      <c r="S14" s="87"/>
      <c r="T14" s="59"/>
      <c r="U14" s="85"/>
      <c r="V14" s="75"/>
      <c r="W14" s="167" t="e">
        <f>VLOOKUP(טבלה13[[#This Row],[זיהוי]],#REF!,2,FALSE)</f>
        <v>#REF!</v>
      </c>
    </row>
    <row r="15" spans="1:23" s="145" customFormat="1" ht="51" customHeight="1" x14ac:dyDescent="0.25">
      <c r="A15" s="25" t="s">
        <v>205</v>
      </c>
      <c r="B15" s="26" t="s">
        <v>206</v>
      </c>
      <c r="C15" s="27" t="s">
        <v>30</v>
      </c>
      <c r="D15" s="84" t="s">
        <v>64</v>
      </c>
      <c r="E15" s="84" t="s">
        <v>62</v>
      </c>
      <c r="F15" s="28">
        <v>47117</v>
      </c>
      <c r="G15" s="28">
        <v>47117</v>
      </c>
      <c r="H15" s="84" t="s">
        <v>63</v>
      </c>
      <c r="I15" s="85" t="str">
        <f>"WBS: " &amp; A15 &amp; CHAR(10) &amp;
"שם פרויקט: " &amp; B15 &amp; CHAR(10) &amp;
"מנה״פ: " &amp; D15 &amp; CHAR(10) &amp;
"יעד תכנית פיתוח: " &amp; TEXT(F15,"dd/mm/yyyy") &amp; CHAR(10) &amp;
"יעד מסתמן: " &amp; TEXT(G15,"dd/mm/yyyy")</f>
        <v>WBS: WBE-312
שם פרויקט: נאות סמדר-הוספת 2 שנאי חח"י 50 מגוו"א
מנה״פ: אוחייון, איתן
יעד תכנית פיתוח: 30/12/2028
יעד מסתמן: 30/12/2028</v>
      </c>
      <c r="J15" s="42"/>
      <c r="K15" s="42"/>
      <c r="L15" s="42"/>
      <c r="M15" s="42"/>
      <c r="N15" s="42"/>
      <c r="O15" s="42"/>
      <c r="P15" s="42" t="s">
        <v>207</v>
      </c>
      <c r="Q15" s="42" t="s">
        <v>207</v>
      </c>
      <c r="R15" s="63"/>
      <c r="S15" s="91"/>
      <c r="T15" s="92"/>
      <c r="U15" s="85"/>
      <c r="V15" s="75"/>
      <c r="W15" s="167" t="e">
        <f>VLOOKUP(טבלה13[[#This Row],[זיהוי]],#REF!,2,FALSE)</f>
        <v>#REF!</v>
      </c>
    </row>
    <row r="16" spans="1:23" s="145" customFormat="1" ht="240" x14ac:dyDescent="0.25">
      <c r="A16" s="25" t="s">
        <v>208</v>
      </c>
      <c r="B16" s="26" t="s">
        <v>209</v>
      </c>
      <c r="C16" s="27" t="s">
        <v>15</v>
      </c>
      <c r="D16" s="84" t="s">
        <v>64</v>
      </c>
      <c r="E16" s="84" t="s">
        <v>62</v>
      </c>
      <c r="F16" s="28">
        <v>46476</v>
      </c>
      <c r="G16" s="28">
        <v>46660</v>
      </c>
      <c r="H16" s="84" t="s">
        <v>67</v>
      </c>
      <c r="I16" s="85" t="str">
        <f t="shared" si="0"/>
        <v>WBS: WBC-099
שם פרויקט: אשקלון צפון-הקמת תחמ"ש חיצונית 161/24 ק"
מנה״פ: אוחייון, איתן
יעד תכנית פיתוח: 30/03/2027
יעד מסתמן: 30/09/2027</v>
      </c>
      <c r="J16" s="63" t="s">
        <v>210</v>
      </c>
      <c r="K16" s="63" t="s">
        <v>211</v>
      </c>
      <c r="L16" s="63" t="s">
        <v>212</v>
      </c>
      <c r="M16" s="63" t="s">
        <v>213</v>
      </c>
      <c r="N16" s="63" t="s">
        <v>214</v>
      </c>
      <c r="O16" s="63" t="s">
        <v>215</v>
      </c>
      <c r="P16" s="63" t="s">
        <v>216</v>
      </c>
      <c r="Q16" s="63" t="s">
        <v>1461</v>
      </c>
      <c r="R16" s="63"/>
      <c r="S16" s="87"/>
      <c r="T16" s="59"/>
      <c r="U16" s="85"/>
      <c r="V16" s="75"/>
      <c r="W16" s="167" t="e">
        <f>VLOOKUP(טבלה13[[#This Row],[זיהוי]],#REF!,2,FALSE)</f>
        <v>#REF!</v>
      </c>
    </row>
    <row r="17" spans="1:23" s="145" customFormat="1" ht="105" x14ac:dyDescent="0.25">
      <c r="A17" s="25" t="s">
        <v>217</v>
      </c>
      <c r="B17" s="26" t="s">
        <v>218</v>
      </c>
      <c r="C17" s="27" t="s">
        <v>219</v>
      </c>
      <c r="D17" s="84" t="s">
        <v>37</v>
      </c>
      <c r="E17" s="84" t="s">
        <v>66</v>
      </c>
      <c r="F17" s="28">
        <v>46506</v>
      </c>
      <c r="G17" s="28">
        <v>46507</v>
      </c>
      <c r="H17" s="84"/>
      <c r="I17" s="85" t="str">
        <f t="shared" si="0"/>
        <v>WBS: WBD-001
שם פרויקט: שפרעם ניידת-פירוק התחמ"ש הניידת
מנה״פ: אוחנה, אלי
יעד תכנית פיתוח: 29/04/2027
יעד מסתמן: 30/04/2027</v>
      </c>
      <c r="J17" s="63" t="s">
        <v>220</v>
      </c>
      <c r="K17" s="63" t="s">
        <v>220</v>
      </c>
      <c r="L17" s="63" t="s">
        <v>220</v>
      </c>
      <c r="M17" s="63" t="s">
        <v>220</v>
      </c>
      <c r="N17" s="63" t="s">
        <v>220</v>
      </c>
      <c r="O17" s="63" t="s">
        <v>220</v>
      </c>
      <c r="P17" s="63" t="s">
        <v>220</v>
      </c>
      <c r="Q17" s="63" t="s">
        <v>220</v>
      </c>
      <c r="R17" s="63"/>
      <c r="S17" s="87"/>
      <c r="T17" s="59"/>
      <c r="U17" s="85"/>
      <c r="V17" s="75"/>
      <c r="W17" s="167" t="e">
        <f>VLOOKUP(טבלה13[[#This Row],[זיהוי]],#REF!,2,FALSE)</f>
        <v>#REF!</v>
      </c>
    </row>
    <row r="18" spans="1:23" s="145" customFormat="1" ht="409.6" x14ac:dyDescent="0.25">
      <c r="A18" s="25" t="s">
        <v>221</v>
      </c>
      <c r="B18" s="26" t="s">
        <v>222</v>
      </c>
      <c r="C18" s="27" t="s">
        <v>15</v>
      </c>
      <c r="D18" s="84" t="s">
        <v>37</v>
      </c>
      <c r="E18" s="84" t="s">
        <v>66</v>
      </c>
      <c r="F18" s="28">
        <v>46721</v>
      </c>
      <c r="G18" s="28">
        <v>47117</v>
      </c>
      <c r="H18" s="84" t="s">
        <v>67</v>
      </c>
      <c r="I18" s="85" t="str">
        <f t="shared" si="0"/>
        <v>WBS: WBC-121
שם פרויקט: רוקח(רמת אביב חדשה)-הקמת תחמ"ש פנימית
מנה״פ: אוחנה, אלי
יעד תכנית פיתוח: 30/11/2027
יעד מסתמן: 30/12/2028</v>
      </c>
      <c r="J18" s="63" t="s">
        <v>223</v>
      </c>
      <c r="K18" s="150" t="s">
        <v>224</v>
      </c>
      <c r="L18" s="150" t="s">
        <v>225</v>
      </c>
      <c r="M18" s="150" t="s">
        <v>226</v>
      </c>
      <c r="N18" s="150" t="s">
        <v>226</v>
      </c>
      <c r="O18" s="150" t="s">
        <v>227</v>
      </c>
      <c r="P18" s="150" t="s">
        <v>228</v>
      </c>
      <c r="Q18" s="150" t="s">
        <v>1475</v>
      </c>
      <c r="R18" s="63" t="s">
        <v>229</v>
      </c>
      <c r="S18" s="86" t="s">
        <v>39</v>
      </c>
      <c r="T18" s="59"/>
      <c r="U18" s="85"/>
      <c r="V18" s="75"/>
      <c r="W18" s="167" t="e">
        <f>VLOOKUP(טבלה13[[#This Row],[זיהוי]],#REF!,2,FALSE)</f>
        <v>#REF!</v>
      </c>
    </row>
    <row r="19" spans="1:23" s="145" customFormat="1" ht="180" x14ac:dyDescent="0.25">
      <c r="A19" s="25" t="s">
        <v>230</v>
      </c>
      <c r="B19" s="26" t="s">
        <v>231</v>
      </c>
      <c r="C19" s="27" t="s">
        <v>219</v>
      </c>
      <c r="D19" s="84" t="s">
        <v>37</v>
      </c>
      <c r="E19" s="84" t="s">
        <v>66</v>
      </c>
      <c r="F19" s="28">
        <v>46203</v>
      </c>
      <c r="G19" s="28">
        <v>46234</v>
      </c>
      <c r="H19" s="84" t="s">
        <v>33</v>
      </c>
      <c r="I19" s="85" t="str">
        <f t="shared" si="0"/>
        <v>WBS: WBD-124
שם פרויקט: חפר ארעית- הקמת תחמ"ש ארעית
מנה״פ: אוחנה, אלי
יעד תכנית פיתוח: 30/06/2026
יעד מסתמן: 31/07/2026</v>
      </c>
      <c r="J19" s="31" t="s">
        <v>232</v>
      </c>
      <c r="K19" s="31" t="s">
        <v>233</v>
      </c>
      <c r="L19" s="31" t="s">
        <v>233</v>
      </c>
      <c r="M19" s="31" t="s">
        <v>234</v>
      </c>
      <c r="N19" s="31" t="s">
        <v>234</v>
      </c>
      <c r="O19" s="31" t="s">
        <v>234</v>
      </c>
      <c r="P19" s="31" t="s">
        <v>234</v>
      </c>
      <c r="Q19" s="31" t="s">
        <v>234</v>
      </c>
      <c r="R19" s="63"/>
      <c r="S19" s="41"/>
      <c r="T19" s="59"/>
      <c r="U19" s="85"/>
      <c r="V19" s="75"/>
      <c r="W19" s="167" t="e">
        <f>VLOOKUP(טבלה13[[#This Row],[זיהוי]],#REF!,2,FALSE)</f>
        <v>#REF!</v>
      </c>
    </row>
    <row r="20" spans="1:23" s="145" customFormat="1" ht="150" x14ac:dyDescent="0.25">
      <c r="A20" s="29" t="s">
        <v>235</v>
      </c>
      <c r="B20" s="30" t="s">
        <v>236</v>
      </c>
      <c r="C20" s="27" t="s">
        <v>15</v>
      </c>
      <c r="D20" s="84" t="s">
        <v>37</v>
      </c>
      <c r="E20" s="84" t="s">
        <v>66</v>
      </c>
      <c r="F20" s="28">
        <v>46873</v>
      </c>
      <c r="G20" s="36">
        <v>46964</v>
      </c>
      <c r="H20" s="84" t="s">
        <v>44</v>
      </c>
      <c r="I20" s="85" t="str">
        <f t="shared" si="0"/>
        <v>WBS: WBJ-004
שם פרויקט: חפר-הקמת תחמ"ג 400/161 ק"ו,650*3 מגוו"א- שנאי קישור שלישי 454 יותקן ולא יחושמל-רב שלבי
מנה״פ: אוחנה, אלי
יעד תכנית פיתוח: 30/04/2028
יעד מסתמן: 30/07/2028</v>
      </c>
      <c r="J20" s="54" t="s">
        <v>237</v>
      </c>
      <c r="K20" s="54" t="s">
        <v>238</v>
      </c>
      <c r="L20" s="54" t="s">
        <v>239</v>
      </c>
      <c r="M20" s="54" t="s">
        <v>240</v>
      </c>
      <c r="N20" s="54" t="s">
        <v>240</v>
      </c>
      <c r="O20" s="54" t="s">
        <v>240</v>
      </c>
      <c r="P20" s="54" t="s">
        <v>241</v>
      </c>
      <c r="Q20" s="54" t="s">
        <v>1476</v>
      </c>
      <c r="R20" s="63" t="s">
        <v>242</v>
      </c>
      <c r="S20" s="86" t="s">
        <v>27</v>
      </c>
      <c r="T20" s="59"/>
      <c r="U20" s="85"/>
      <c r="V20" s="75"/>
      <c r="W20" s="167" t="e">
        <f>VLOOKUP(טבלה13[[#This Row],[זיהוי]],#REF!,2,FALSE)</f>
        <v>#REF!</v>
      </c>
    </row>
    <row r="21" spans="1:23" s="145" customFormat="1" ht="105" x14ac:dyDescent="0.25">
      <c r="A21" s="25" t="s">
        <v>243</v>
      </c>
      <c r="B21" s="26" t="s">
        <v>244</v>
      </c>
      <c r="C21" s="27" t="s">
        <v>219</v>
      </c>
      <c r="D21" s="84" t="s">
        <v>68</v>
      </c>
      <c r="E21" s="84"/>
      <c r="F21" s="28">
        <v>46112</v>
      </c>
      <c r="G21" s="28">
        <v>46537</v>
      </c>
      <c r="H21" s="84" t="s">
        <v>67</v>
      </c>
      <c r="I21" s="85" t="str">
        <f t="shared" si="0"/>
        <v>WBS: WBD-120
שם פרויקט: תפוח- הצבת תחמ"ש ניידת
מנה״פ: אוקון שמעון
יעד תכנית פיתוח: 31/03/2026
יעד מסתמן: 30/05/2027</v>
      </c>
      <c r="J21" s="89" t="s">
        <v>245</v>
      </c>
      <c r="K21" s="89" t="s">
        <v>245</v>
      </c>
      <c r="L21" s="89" t="s">
        <v>245</v>
      </c>
      <c r="M21" s="89" t="s">
        <v>246</v>
      </c>
      <c r="N21" s="89" t="s">
        <v>246</v>
      </c>
      <c r="O21" s="89" t="s">
        <v>246</v>
      </c>
      <c r="P21" s="89"/>
      <c r="Q21" s="89" t="s">
        <v>246</v>
      </c>
      <c r="R21" s="63" t="s">
        <v>247</v>
      </c>
      <c r="S21" s="87"/>
      <c r="T21" s="59"/>
      <c r="U21" s="85"/>
      <c r="V21" s="75"/>
      <c r="W21" s="167" t="e">
        <f>VLOOKUP(טבלה13[[#This Row],[זיהוי]],#REF!,2,FALSE)</f>
        <v>#REF!</v>
      </c>
    </row>
    <row r="22" spans="1:23" s="145" customFormat="1" ht="105" x14ac:dyDescent="0.25">
      <c r="A22" s="25" t="s">
        <v>248</v>
      </c>
      <c r="B22" s="26" t="s">
        <v>249</v>
      </c>
      <c r="C22" s="27" t="s">
        <v>219</v>
      </c>
      <c r="D22" s="84" t="s">
        <v>68</v>
      </c>
      <c r="E22" s="84"/>
      <c r="F22" s="28">
        <v>46172</v>
      </c>
      <c r="G22" s="28">
        <v>46203</v>
      </c>
      <c r="H22" s="84" t="s">
        <v>67</v>
      </c>
      <c r="I22" s="85" t="str">
        <f t="shared" si="0"/>
        <v>WBS: WBD-090
שם פרויקט: ענתות-הצבת תחמ"ש ניידת 30 מגוו"א
מנה״פ: אוקון שמעון
יעד תכנית פיתוח: 30/05/2026
יעד מסתמן: 30/06/2026</v>
      </c>
      <c r="J22" s="63" t="s">
        <v>250</v>
      </c>
      <c r="K22" s="89" t="s">
        <v>250</v>
      </c>
      <c r="L22" s="89" t="s">
        <v>250</v>
      </c>
      <c r="M22" s="89" t="s">
        <v>250</v>
      </c>
      <c r="N22" s="89" t="s">
        <v>250</v>
      </c>
      <c r="O22" s="89" t="s">
        <v>250</v>
      </c>
      <c r="P22" s="89"/>
      <c r="Q22" s="89" t="s">
        <v>250</v>
      </c>
      <c r="R22" s="63" t="s">
        <v>251</v>
      </c>
      <c r="S22" s="87"/>
      <c r="T22" s="59"/>
      <c r="U22" s="85"/>
      <c r="V22" s="75"/>
      <c r="W22" s="167" t="e">
        <f>VLOOKUP(טבלה13[[#This Row],[זיהוי]],#REF!,2,FALSE)</f>
        <v>#REF!</v>
      </c>
    </row>
    <row r="23" spans="1:23" s="145" customFormat="1" ht="105" x14ac:dyDescent="0.25">
      <c r="A23" s="25" t="s">
        <v>252</v>
      </c>
      <c r="B23" s="26" t="s">
        <v>253</v>
      </c>
      <c r="C23" s="27" t="s">
        <v>219</v>
      </c>
      <c r="D23" s="84" t="s">
        <v>68</v>
      </c>
      <c r="E23" s="84"/>
      <c r="F23" s="28">
        <v>46203</v>
      </c>
      <c r="G23" s="28">
        <v>46417</v>
      </c>
      <c r="H23" s="84" t="s">
        <v>85</v>
      </c>
      <c r="I23" s="85" t="str">
        <f t="shared" si="0"/>
        <v>WBS: WBD-121
שם פרויקט: עמנואל 2 ניידת- הצבת תחמ"ש ניידת
מנה״פ: אוקון שמעון
יעד תכנית פיתוח: 30/06/2026
יעד מסתמן: 30/01/2027</v>
      </c>
      <c r="J23" s="34" t="s">
        <v>254</v>
      </c>
      <c r="K23" s="34" t="s">
        <v>254</v>
      </c>
      <c r="L23" s="34" t="s">
        <v>254</v>
      </c>
      <c r="M23" s="34" t="s">
        <v>254</v>
      </c>
      <c r="N23" s="34" t="s">
        <v>255</v>
      </c>
      <c r="O23" s="34" t="s">
        <v>256</v>
      </c>
      <c r="P23" s="34"/>
      <c r="Q23" s="34" t="s">
        <v>256</v>
      </c>
      <c r="R23" s="63" t="s">
        <v>257</v>
      </c>
      <c r="S23" s="87"/>
      <c r="T23" s="59"/>
      <c r="U23" s="85"/>
      <c r="V23" s="75"/>
      <c r="W23" s="167" t="e">
        <f>VLOOKUP(טבלה13[[#This Row],[זיהוי]],#REF!,2,FALSE)</f>
        <v>#REF!</v>
      </c>
    </row>
    <row r="24" spans="1:23" s="145" customFormat="1" ht="120" x14ac:dyDescent="0.25">
      <c r="A24" s="25" t="s">
        <v>258</v>
      </c>
      <c r="B24" s="26" t="s">
        <v>259</v>
      </c>
      <c r="C24" s="27" t="s">
        <v>219</v>
      </c>
      <c r="D24" s="84" t="s">
        <v>68</v>
      </c>
      <c r="E24" s="84"/>
      <c r="F24" s="28">
        <v>46599</v>
      </c>
      <c r="G24" s="28">
        <v>46417</v>
      </c>
      <c r="H24" s="84" t="s">
        <v>74</v>
      </c>
      <c r="I24" s="85" t="str">
        <f t="shared" si="0"/>
        <v>WBS: WBD-096
שם פרויקט: א.ת. מכבים- הצבת תחמ"ש ניידת 161/33 ק"ו, 20 מגוו"א
מנה״פ: אוקון שמעון
יעד תכנית פיתוח: 31/07/2027
יעד מסתמן: 30/01/2027</v>
      </c>
      <c r="J24" s="34" t="s">
        <v>260</v>
      </c>
      <c r="K24" s="34" t="s">
        <v>261</v>
      </c>
      <c r="L24" s="34" t="s">
        <v>262</v>
      </c>
      <c r="M24" s="34" t="s">
        <v>262</v>
      </c>
      <c r="N24" s="34" t="s">
        <v>263</v>
      </c>
      <c r="O24" s="34" t="s">
        <v>264</v>
      </c>
      <c r="P24" s="34"/>
      <c r="Q24" s="34" t="s">
        <v>1554</v>
      </c>
      <c r="R24" s="63"/>
      <c r="S24" s="87"/>
      <c r="T24" s="59"/>
      <c r="U24" s="85"/>
      <c r="V24" s="75"/>
      <c r="W24" s="167" t="e">
        <f>VLOOKUP(טבלה13[[#This Row],[זיהוי]],#REF!,2,FALSE)</f>
        <v>#REF!</v>
      </c>
    </row>
    <row r="25" spans="1:23" s="145" customFormat="1" ht="120" x14ac:dyDescent="0.25">
      <c r="A25" s="29" t="s">
        <v>265</v>
      </c>
      <c r="B25" s="30" t="s">
        <v>266</v>
      </c>
      <c r="C25" s="27" t="s">
        <v>219</v>
      </c>
      <c r="D25" s="84" t="s">
        <v>68</v>
      </c>
      <c r="E25" s="84"/>
      <c r="F25" s="28">
        <v>46142</v>
      </c>
      <c r="G25" s="28">
        <v>46417</v>
      </c>
      <c r="H25" s="84" t="s">
        <v>74</v>
      </c>
      <c r="I25" s="85" t="str">
        <f t="shared" si="0"/>
        <v>WBS: WBD-123
שם פרויקט: א.ת. מכבים- הצבת תחמ"ש ניידת 161/24 ק"ו, 20 מגוו"א
מנה״פ: אוקון שמעון
יעד תכנית פיתוח: 30/04/2026
יעד מסתמן: 30/01/2027</v>
      </c>
      <c r="J25" s="34" t="s">
        <v>260</v>
      </c>
      <c r="K25" s="34" t="s">
        <v>261</v>
      </c>
      <c r="L25" s="34" t="s">
        <v>262</v>
      </c>
      <c r="M25" s="34" t="s">
        <v>262</v>
      </c>
      <c r="N25" s="34" t="s">
        <v>263</v>
      </c>
      <c r="O25" s="130" t="s">
        <v>264</v>
      </c>
      <c r="P25" s="130"/>
      <c r="Q25" s="130" t="s">
        <v>1554</v>
      </c>
      <c r="R25" s="63"/>
      <c r="S25" s="87"/>
      <c r="T25" s="59"/>
      <c r="U25" s="85"/>
      <c r="V25" s="75"/>
      <c r="W25" s="167" t="e">
        <f>VLOOKUP(טבלה13[[#This Row],[זיהוי]],#REF!,2,FALSE)</f>
        <v>#REF!</v>
      </c>
    </row>
    <row r="26" spans="1:23" s="145" customFormat="1" ht="135" x14ac:dyDescent="0.25">
      <c r="A26" s="25" t="s">
        <v>267</v>
      </c>
      <c r="B26" s="26" t="s">
        <v>268</v>
      </c>
      <c r="C26" s="27" t="s">
        <v>30</v>
      </c>
      <c r="D26" s="84" t="s">
        <v>84</v>
      </c>
      <c r="E26" s="84" t="s">
        <v>79</v>
      </c>
      <c r="F26" s="28">
        <v>47118</v>
      </c>
      <c r="G26" s="34" t="s">
        <v>269</v>
      </c>
      <c r="H26" s="84" t="s">
        <v>60</v>
      </c>
      <c r="I26" s="85" t="str">
        <f t="shared" si="0"/>
        <v>WBS: WBE-288
שם פרויקט: שפרינצק-התקנת שנאי רביעי מס' 524, 50 מגוו"א וסוללות קבלים
מנה״פ: ארליך-בקיש, רחלי
יעד תכנית פיתוח: 31/12/2028
יעד מסתמן: טרם נקבע</v>
      </c>
      <c r="J26" s="63" t="s">
        <v>270</v>
      </c>
      <c r="K26" s="63" t="s">
        <v>270</v>
      </c>
      <c r="L26" s="63" t="s">
        <v>270</v>
      </c>
      <c r="M26" s="63" t="s">
        <v>270</v>
      </c>
      <c r="N26" s="63" t="s">
        <v>270</v>
      </c>
      <c r="O26" s="63" t="s">
        <v>270</v>
      </c>
      <c r="P26" s="63" t="s">
        <v>270</v>
      </c>
      <c r="Q26" s="63" t="s">
        <v>270</v>
      </c>
      <c r="R26" s="63"/>
      <c r="S26" s="87"/>
      <c r="T26" s="59"/>
      <c r="U26" s="85"/>
      <c r="V26" s="75"/>
      <c r="W26" s="167" t="e">
        <f>VLOOKUP(טבלה13[[#This Row],[זיהוי]],#REF!,2,FALSE)</f>
        <v>#REF!</v>
      </c>
    </row>
    <row r="27" spans="1:23" s="145" customFormat="1" ht="240" x14ac:dyDescent="0.25">
      <c r="A27" s="29" t="s">
        <v>271</v>
      </c>
      <c r="B27" s="37" t="s">
        <v>272</v>
      </c>
      <c r="C27" s="27" t="s">
        <v>30</v>
      </c>
      <c r="D27" s="84" t="s">
        <v>61</v>
      </c>
      <c r="E27" s="84" t="s">
        <v>62</v>
      </c>
      <c r="F27" s="28">
        <v>46387</v>
      </c>
      <c r="G27" s="28">
        <v>46386</v>
      </c>
      <c r="H27" s="84" t="s">
        <v>51</v>
      </c>
      <c r="I27" s="85" t="str">
        <f t="shared" si="0"/>
        <v>WBS: WBE-290
שם פרויקט: איילון- התקנת שנאי רביעי 75 מגוו"א 161/24 ק"ו
מנה״פ: אוברקוביץ, ענת
יעד תכנית פיתוח: 31/12/2026
יעד מסתמן: 30/12/2026</v>
      </c>
      <c r="J27" s="63" t="s">
        <v>273</v>
      </c>
      <c r="K27" s="63" t="s">
        <v>274</v>
      </c>
      <c r="L27" s="63" t="s">
        <v>275</v>
      </c>
      <c r="M27" s="63" t="s">
        <v>276</v>
      </c>
      <c r="N27" s="63" t="s">
        <v>277</v>
      </c>
      <c r="O27" s="63" t="s">
        <v>278</v>
      </c>
      <c r="P27" s="63" t="s">
        <v>278</v>
      </c>
      <c r="Q27" s="63" t="s">
        <v>1551</v>
      </c>
      <c r="R27" s="63" t="s">
        <v>279</v>
      </c>
      <c r="S27" s="87" t="s">
        <v>27</v>
      </c>
      <c r="T27" s="59"/>
      <c r="U27" s="85"/>
      <c r="V27" s="75"/>
      <c r="W27" s="167" t="e">
        <f>VLOOKUP(טבלה13[[#This Row],[זיהוי]],#REF!,2,FALSE)</f>
        <v>#REF!</v>
      </c>
    </row>
    <row r="28" spans="1:23" s="145" customFormat="1" ht="120" x14ac:dyDescent="0.25">
      <c r="A28" s="29" t="s">
        <v>280</v>
      </c>
      <c r="B28" s="37" t="s">
        <v>281</v>
      </c>
      <c r="C28" s="27" t="s">
        <v>219</v>
      </c>
      <c r="D28" s="84" t="s">
        <v>78</v>
      </c>
      <c r="E28" s="84" t="s">
        <v>73</v>
      </c>
      <c r="F28" s="28">
        <v>46203</v>
      </c>
      <c r="G28" s="28">
        <v>46356</v>
      </c>
      <c r="H28" s="84" t="s">
        <v>51</v>
      </c>
      <c r="I28" s="85" t="str">
        <f>"WBS: " &amp; A28 &amp; CHAR(10) &amp;
"שם פרויקט: " &amp; B28 &amp; CHAR(10) &amp;
"מנה״פ: " &amp; D28 &amp; CHAR(10) &amp;
"יעד תכנית פיתוח: " &amp; TEXT(F28,"dd/mm/yyyy") &amp; CHAR(10) &amp;
"יעד מסתמן: " &amp; TEXT(G28,"dd/mm/yyyy")</f>
        <v>WBS: WBD-128
שם פרויקט: תימורים- תכנון הצבת 2 תחמ"ש ניידות,30 מגוו"א כ"א
מנה״פ: אלטחן, קובי
יעד תכנית פיתוח: 30/06/2026
יעד מסתמן: 30/11/2026</v>
      </c>
      <c r="J28" s="42" t="s">
        <v>282</v>
      </c>
      <c r="K28" s="42" t="s">
        <v>282</v>
      </c>
      <c r="L28" s="42" t="s">
        <v>282</v>
      </c>
      <c r="M28" s="42" t="s">
        <v>283</v>
      </c>
      <c r="N28" s="42" t="s">
        <v>283</v>
      </c>
      <c r="O28" s="42" t="s">
        <v>284</v>
      </c>
      <c r="P28" s="42" t="s">
        <v>284</v>
      </c>
      <c r="Q28" s="42" t="s">
        <v>1534</v>
      </c>
      <c r="R28" s="63" t="s">
        <v>285</v>
      </c>
      <c r="S28" s="91" t="s">
        <v>75</v>
      </c>
      <c r="T28" s="92"/>
      <c r="U28" s="85"/>
      <c r="V28" s="75"/>
      <c r="W28" s="167" t="e">
        <f>VLOOKUP(טבלה13[[#This Row],[זיהוי]],#REF!,2,FALSE)</f>
        <v>#REF!</v>
      </c>
    </row>
    <row r="29" spans="1:23" s="145" customFormat="1" ht="120" x14ac:dyDescent="0.25">
      <c r="A29" s="25" t="s">
        <v>286</v>
      </c>
      <c r="B29" s="26" t="s">
        <v>287</v>
      </c>
      <c r="C29" s="27" t="s">
        <v>15</v>
      </c>
      <c r="D29" s="84" t="s">
        <v>78</v>
      </c>
      <c r="E29" s="84" t="s">
        <v>73</v>
      </c>
      <c r="F29" s="28">
        <v>46356</v>
      </c>
      <c r="G29" s="28">
        <v>46660</v>
      </c>
      <c r="H29" s="84" t="s">
        <v>67</v>
      </c>
      <c r="I29" s="85" t="str">
        <f t="shared" si="0"/>
        <v>WBS: WBC-075
שם פרויקט: תימורים-הקמת תחמ"ש חיצונית 161/24 ק"ו
מנה״פ: אלטחן, קובי
יעד תכנית פיתוח: 30/11/2026
יעד מסתמן: 30/09/2027</v>
      </c>
      <c r="J29" s="63" t="s">
        <v>288</v>
      </c>
      <c r="K29" s="63" t="s">
        <v>289</v>
      </c>
      <c r="L29" s="63" t="s">
        <v>289</v>
      </c>
      <c r="M29" s="63" t="s">
        <v>289</v>
      </c>
      <c r="N29" s="63" t="s">
        <v>289</v>
      </c>
      <c r="O29" s="63" t="s">
        <v>290</v>
      </c>
      <c r="P29" s="63" t="s">
        <v>290</v>
      </c>
      <c r="Q29" s="63" t="s">
        <v>1535</v>
      </c>
      <c r="R29" s="63" t="s">
        <v>291</v>
      </c>
      <c r="S29" s="86" t="s">
        <v>91</v>
      </c>
      <c r="T29" s="59"/>
      <c r="U29" s="85"/>
      <c r="V29" s="75"/>
      <c r="W29" s="167" t="e">
        <f>VLOOKUP(טבלה13[[#This Row],[זיהוי]],#REF!,2,FALSE)</f>
        <v>#REF!</v>
      </c>
    </row>
    <row r="30" spans="1:23" s="145" customFormat="1" ht="120" x14ac:dyDescent="0.25">
      <c r="A30" s="25" t="s">
        <v>292</v>
      </c>
      <c r="B30" s="26" t="s">
        <v>293</v>
      </c>
      <c r="C30" s="27" t="s">
        <v>15</v>
      </c>
      <c r="D30" s="84" t="s">
        <v>78</v>
      </c>
      <c r="E30" s="84" t="s">
        <v>73</v>
      </c>
      <c r="F30" s="28">
        <v>46752</v>
      </c>
      <c r="G30" s="28">
        <v>46660</v>
      </c>
      <c r="H30" s="84" t="s">
        <v>67</v>
      </c>
      <c r="I30" s="85" t="str">
        <f t="shared" si="0"/>
        <v>WBS: WBC-123
שם פרויקט: שחר(כוכב מיכאל)-הקמת תחמ"ש חיצונית
מנה״פ: אלטחן, קובי
יעד תכנית פיתוח: 31/12/2027
יעד מסתמן: 30/09/2027</v>
      </c>
      <c r="J30" s="63" t="s">
        <v>294</v>
      </c>
      <c r="K30" s="63" t="s">
        <v>295</v>
      </c>
      <c r="L30" s="63" t="s">
        <v>296</v>
      </c>
      <c r="M30" s="63" t="s">
        <v>296</v>
      </c>
      <c r="N30" s="63" t="s">
        <v>296</v>
      </c>
      <c r="O30" s="63" t="s">
        <v>297</v>
      </c>
      <c r="P30" s="63" t="s">
        <v>297</v>
      </c>
      <c r="Q30" s="63" t="s">
        <v>1536</v>
      </c>
      <c r="R30" s="63" t="s">
        <v>298</v>
      </c>
      <c r="S30" s="87" t="s">
        <v>91</v>
      </c>
      <c r="T30" s="59"/>
      <c r="U30" s="85"/>
      <c r="V30" s="75"/>
      <c r="W30" s="167" t="e">
        <f>VLOOKUP(טבלה13[[#This Row],[זיהוי]],#REF!,2,FALSE)</f>
        <v>#REF!</v>
      </c>
    </row>
    <row r="31" spans="1:23" s="145" customFormat="1" ht="120" x14ac:dyDescent="0.25">
      <c r="A31" s="25" t="s">
        <v>299</v>
      </c>
      <c r="B31" s="26" t="s">
        <v>300</v>
      </c>
      <c r="C31" s="27" t="s">
        <v>15</v>
      </c>
      <c r="D31" s="84" t="s">
        <v>78</v>
      </c>
      <c r="E31" s="84" t="s">
        <v>73</v>
      </c>
      <c r="F31" s="28">
        <v>46356</v>
      </c>
      <c r="G31" s="28">
        <v>46842</v>
      </c>
      <c r="H31" s="84" t="s">
        <v>67</v>
      </c>
      <c r="I31" s="85" t="str">
        <f t="shared" si="0"/>
        <v>WBS: WBC-072
שם פרויקט: ראשון תעשיה- הקמת תחמ"ש פנימית 161/24 ק"
מנה״פ: אלטחן, קובי
יעד תכנית פיתוח: 30/11/2026
יעד מסתמן: 30/03/2028</v>
      </c>
      <c r="J31" s="63" t="s">
        <v>301</v>
      </c>
      <c r="K31" s="63" t="s">
        <v>302</v>
      </c>
      <c r="L31" s="63" t="s">
        <v>302</v>
      </c>
      <c r="M31" s="63" t="s">
        <v>303</v>
      </c>
      <c r="N31" s="63" t="s">
        <v>303</v>
      </c>
      <c r="O31" s="63" t="s">
        <v>304</v>
      </c>
      <c r="P31" s="63" t="s">
        <v>304</v>
      </c>
      <c r="Q31" s="63" t="s">
        <v>1537</v>
      </c>
      <c r="R31" s="63" t="s">
        <v>305</v>
      </c>
      <c r="S31" s="86" t="s">
        <v>39</v>
      </c>
      <c r="T31" s="59"/>
      <c r="U31" s="85"/>
      <c r="V31" s="75"/>
      <c r="W31" s="167" t="e">
        <f>VLOOKUP(טבלה13[[#This Row],[זיהוי]],#REF!,2,FALSE)</f>
        <v>#REF!</v>
      </c>
    </row>
    <row r="32" spans="1:23" s="145" customFormat="1" ht="270" x14ac:dyDescent="0.25">
      <c r="A32" s="93" t="s">
        <v>306</v>
      </c>
      <c r="B32" s="26" t="s">
        <v>307</v>
      </c>
      <c r="C32" s="27" t="s">
        <v>15</v>
      </c>
      <c r="D32" s="84" t="s">
        <v>78</v>
      </c>
      <c r="E32" s="84" t="s">
        <v>73</v>
      </c>
      <c r="F32" s="28">
        <v>46568</v>
      </c>
      <c r="G32" s="28" t="s">
        <v>308</v>
      </c>
      <c r="H32" s="84" t="s">
        <v>67</v>
      </c>
      <c r="I32" s="85" t="str">
        <f t="shared" si="0"/>
        <v>WBS: WBC-057
שם פרויקט: ליילנד-הקמת תחמ"ש פנימית 161/24ק"ו 50*2
מנה״פ: אלטחן, קובי
יעד תכנית פיתוח: 30/06/2027
יעד מסתמן: -</v>
      </c>
      <c r="J32" s="63" t="s">
        <v>309</v>
      </c>
      <c r="K32" s="63" t="s">
        <v>309</v>
      </c>
      <c r="L32" s="63" t="s">
        <v>309</v>
      </c>
      <c r="M32" s="63" t="s">
        <v>309</v>
      </c>
      <c r="N32" s="63" t="s">
        <v>310</v>
      </c>
      <c r="O32" s="63" t="s">
        <v>311</v>
      </c>
      <c r="P32" s="63" t="s">
        <v>311</v>
      </c>
      <c r="Q32" s="63" t="s">
        <v>1538</v>
      </c>
      <c r="R32" s="63" t="s">
        <v>312</v>
      </c>
      <c r="S32" s="87"/>
      <c r="T32" s="59"/>
      <c r="U32" s="85"/>
      <c r="V32" s="75"/>
      <c r="W32" s="167" t="e">
        <f>VLOOKUP(טבלה13[[#This Row],[זיהוי]],#REF!,2,FALSE)</f>
        <v>#REF!</v>
      </c>
    </row>
    <row r="33" spans="1:23" s="145" customFormat="1" ht="150" x14ac:dyDescent="0.25">
      <c r="A33" s="25" t="s">
        <v>313</v>
      </c>
      <c r="B33" s="26" t="s">
        <v>314</v>
      </c>
      <c r="C33" s="27" t="s">
        <v>15</v>
      </c>
      <c r="D33" s="84" t="s">
        <v>78</v>
      </c>
      <c r="E33" s="84" t="s">
        <v>73</v>
      </c>
      <c r="F33" s="28">
        <v>45838</v>
      </c>
      <c r="G33" s="28" t="s">
        <v>315</v>
      </c>
      <c r="H33" s="84" t="s">
        <v>88</v>
      </c>
      <c r="I33" s="85" t="str">
        <f t="shared" si="0"/>
        <v>WBS: WBC-061
שם פרויקט: גן רווה-הקמת תחמ"ש חיצונית קבועה 161/24 ק"ו
מנה״פ: אלטחן, קובי
יעד תכנית פיתוח: 30/06/2025
יעד מסתמן: חושמל ב30/06/2025</v>
      </c>
      <c r="J33" s="63" t="s">
        <v>316</v>
      </c>
      <c r="K33" s="63" t="s">
        <v>317</v>
      </c>
      <c r="L33" s="63" t="s">
        <v>317</v>
      </c>
      <c r="M33" s="63" t="s">
        <v>317</v>
      </c>
      <c r="N33" s="63" t="s">
        <v>317</v>
      </c>
      <c r="O33" s="63" t="s">
        <v>317</v>
      </c>
      <c r="P33" s="63" t="s">
        <v>317</v>
      </c>
      <c r="Q33" s="63" t="s">
        <v>317</v>
      </c>
      <c r="R33" s="63" t="s">
        <v>318</v>
      </c>
      <c r="S33" s="86" t="s">
        <v>91</v>
      </c>
      <c r="T33" s="59" t="s">
        <v>91</v>
      </c>
      <c r="U33" s="85"/>
      <c r="V33" s="75"/>
      <c r="W33" s="167" t="e">
        <f>VLOOKUP(טבלה13[[#This Row],[זיהוי]],#REF!,2,FALSE)</f>
        <v>#REF!</v>
      </c>
    </row>
    <row r="34" spans="1:23" s="145" customFormat="1" ht="120" x14ac:dyDescent="0.25">
      <c r="A34" s="25" t="s">
        <v>319</v>
      </c>
      <c r="B34" s="26" t="s">
        <v>320</v>
      </c>
      <c r="C34" s="27" t="s">
        <v>15</v>
      </c>
      <c r="D34" s="84" t="s">
        <v>78</v>
      </c>
      <c r="E34" s="84" t="s">
        <v>73</v>
      </c>
      <c r="F34" s="28">
        <v>45826</v>
      </c>
      <c r="G34" s="28" t="s">
        <v>321</v>
      </c>
      <c r="H34" s="84" t="s">
        <v>88</v>
      </c>
      <c r="I34" s="85" t="str">
        <f t="shared" si="0"/>
        <v>WBS: WBC-066
שם פרויקט: בית הלוחם- הקמת תחמ"ש פנימית
מנה״פ: אלטחן, קובי
יעד תכנית פיתוח: 18/06/2025
יעד מסתמן: חושמל 18/06/2025</v>
      </c>
      <c r="J34" s="63" t="s">
        <v>322</v>
      </c>
      <c r="K34" s="63" t="s">
        <v>322</v>
      </c>
      <c r="L34" s="63" t="s">
        <v>322</v>
      </c>
      <c r="M34" s="63" t="s">
        <v>322</v>
      </c>
      <c r="N34" s="63" t="s">
        <v>322</v>
      </c>
      <c r="O34" s="63" t="s">
        <v>323</v>
      </c>
      <c r="P34" s="63" t="s">
        <v>323</v>
      </c>
      <c r="Q34" s="63" t="s">
        <v>1539</v>
      </c>
      <c r="R34" s="63"/>
      <c r="S34" s="87"/>
      <c r="T34" s="59"/>
      <c r="U34" s="85"/>
      <c r="V34" s="75"/>
      <c r="W34" s="167" t="e">
        <f>VLOOKUP(טבלה13[[#This Row],[זיהוי]],#REF!,2,FALSE)</f>
        <v>#REF!</v>
      </c>
    </row>
    <row r="35" spans="1:23" s="145" customFormat="1" ht="150" x14ac:dyDescent="0.25">
      <c r="A35" s="29" t="s">
        <v>324</v>
      </c>
      <c r="B35" s="30" t="s">
        <v>325</v>
      </c>
      <c r="C35" s="27" t="s">
        <v>30</v>
      </c>
      <c r="D35" s="84" t="s">
        <v>78</v>
      </c>
      <c r="E35" s="84" t="s">
        <v>73</v>
      </c>
      <c r="F35" s="28">
        <v>46111</v>
      </c>
      <c r="G35" s="36">
        <v>46356</v>
      </c>
      <c r="H35" s="84" t="s">
        <v>44</v>
      </c>
      <c r="I35" s="85" t="str">
        <f t="shared" si="0"/>
        <v>WBS: WBE-285
שם פרויקט: איתן - הקמת שדה מס' 1 במסדר 161 ק"ו. יכולת זרם 2000 א'. משיק ל- WBM-40241.
מנה״פ: אלטחן, קובי
יעד תכנית פיתוח: 30/03/2026
יעד מסתמן: 30/11/2026</v>
      </c>
      <c r="J35" s="63" t="s">
        <v>326</v>
      </c>
      <c r="K35" s="63" t="s">
        <v>327</v>
      </c>
      <c r="L35" s="63" t="s">
        <v>328</v>
      </c>
      <c r="M35" s="63" t="s">
        <v>329</v>
      </c>
      <c r="N35" s="63" t="s">
        <v>330</v>
      </c>
      <c r="O35" s="63" t="s">
        <v>331</v>
      </c>
      <c r="P35" s="63" t="s">
        <v>331</v>
      </c>
      <c r="Q35" s="63" t="s">
        <v>1540</v>
      </c>
      <c r="R35" s="63"/>
      <c r="S35" s="87"/>
      <c r="T35" s="59"/>
      <c r="U35" s="85"/>
      <c r="V35" s="75"/>
      <c r="W35" s="167" t="e">
        <f>VLOOKUP(טבלה13[[#This Row],[זיהוי]],#REF!,2,FALSE)</f>
        <v>#REF!</v>
      </c>
    </row>
    <row r="36" spans="1:23" s="145" customFormat="1" ht="105" x14ac:dyDescent="0.25">
      <c r="A36" s="25" t="s">
        <v>332</v>
      </c>
      <c r="B36" s="26" t="s">
        <v>333</v>
      </c>
      <c r="C36" s="27" t="s">
        <v>30</v>
      </c>
      <c r="D36" s="84" t="s">
        <v>78</v>
      </c>
      <c r="E36" s="84" t="s">
        <v>73</v>
      </c>
      <c r="F36" s="28">
        <v>46476</v>
      </c>
      <c r="G36" s="28">
        <v>46476</v>
      </c>
      <c r="H36" s="84" t="s">
        <v>85</v>
      </c>
      <c r="I36" s="85" t="str">
        <f t="shared" si="0"/>
        <v>WBS: WBE-087
שם פרויקט: איתן-החל' שנאים ומסדרים-4 שלבים
מנה״פ: אלטחן, קובי
יעד תכנית פיתוח: 30/03/2027
יעד מסתמן: 30/03/2027</v>
      </c>
      <c r="J36" s="63" t="s">
        <v>334</v>
      </c>
      <c r="K36" s="63" t="s">
        <v>334</v>
      </c>
      <c r="L36" s="63" t="s">
        <v>335</v>
      </c>
      <c r="M36" s="63" t="s">
        <v>336</v>
      </c>
      <c r="N36" s="63" t="s">
        <v>337</v>
      </c>
      <c r="O36" s="63" t="s">
        <v>338</v>
      </c>
      <c r="P36" s="63" t="s">
        <v>338</v>
      </c>
      <c r="Q36" s="63" t="s">
        <v>1541</v>
      </c>
      <c r="R36" s="63"/>
      <c r="S36" s="86"/>
      <c r="T36" s="59"/>
      <c r="U36" s="85"/>
      <c r="V36" s="75"/>
      <c r="W36" s="167" t="e">
        <f>VLOOKUP(טבלה13[[#This Row],[זיהוי]],#REF!,2,FALSE)</f>
        <v>#REF!</v>
      </c>
    </row>
    <row r="37" spans="1:23" s="145" customFormat="1" ht="180" x14ac:dyDescent="0.25">
      <c r="A37" s="25" t="s">
        <v>339</v>
      </c>
      <c r="B37" s="26" t="s">
        <v>340</v>
      </c>
      <c r="C37" s="27" t="s">
        <v>30</v>
      </c>
      <c r="D37" s="84" t="s">
        <v>82</v>
      </c>
      <c r="E37" s="84" t="s">
        <v>73</v>
      </c>
      <c r="F37" s="28" t="s">
        <v>341</v>
      </c>
      <c r="G37" s="28"/>
      <c r="H37" s="84" t="s">
        <v>51</v>
      </c>
      <c r="I37" s="85" t="str">
        <f>"WBS: " &amp; A37 &amp; CHAR(10) &amp;
"שם פרויקט: " &amp; B37 &amp; CHAR(10) &amp;
"מנה״פ: " &amp; D37 &amp; CHAR(10) &amp;
"יעד תכנית פיתוח: " &amp; TEXT(F37,"dd/mm/yyyy") &amp; CHAR(10) &amp;
"יעד מסתמן: " &amp; TEXT(G37,"dd/mm/yyyy")</f>
        <v>WBS: WBE-309
שם פרויקט: גילת-חח"י-הוספת 2 שנאי חח"י 50 מגו"א
מנה״פ: אלמארו זיאמר
יעד תכנית פיתוח: 30.1.2029
יעד מסתמן: 00/01/1900</v>
      </c>
      <c r="J37" s="140" t="s">
        <v>342</v>
      </c>
      <c r="K37" s="140" t="s">
        <v>342</v>
      </c>
      <c r="L37" s="140" t="s">
        <v>342</v>
      </c>
      <c r="M37" s="54" t="s">
        <v>343</v>
      </c>
      <c r="N37" s="54" t="s">
        <v>343</v>
      </c>
      <c r="O37" s="54" t="s">
        <v>344</v>
      </c>
      <c r="P37" s="54" t="s">
        <v>344</v>
      </c>
      <c r="Q37" s="54" t="s">
        <v>1463</v>
      </c>
      <c r="R37" s="63"/>
      <c r="S37" s="91"/>
      <c r="T37" s="92"/>
      <c r="U37" s="85"/>
      <c r="V37" s="75"/>
      <c r="W37" s="167" t="e">
        <f>VLOOKUP(טבלה13[[#This Row],[זיהוי]],#REF!,2,FALSE)</f>
        <v>#REF!</v>
      </c>
    </row>
    <row r="38" spans="1:23" s="145" customFormat="1" ht="240" x14ac:dyDescent="0.25">
      <c r="A38" s="25" t="s">
        <v>345</v>
      </c>
      <c r="B38" s="26" t="s">
        <v>346</v>
      </c>
      <c r="C38" s="27" t="s">
        <v>30</v>
      </c>
      <c r="D38" s="84" t="s">
        <v>82</v>
      </c>
      <c r="E38" s="84" t="s">
        <v>73</v>
      </c>
      <c r="F38" s="28">
        <v>46387</v>
      </c>
      <c r="G38" s="28">
        <v>46325</v>
      </c>
      <c r="H38" s="84" t="s">
        <v>19</v>
      </c>
      <c r="I38" s="85" t="str">
        <f t="shared" si="0"/>
        <v>WBS: WBE-232
שם פרויקט: קרית המודיעין-הת' 2 שנאים 161/24ק'50 מגוו"א כ"א וסוללות קבלים
מנה״פ: אלמארו זיאמר
יעד תכנית פיתוח: 31/12/2026
יעד מסתמן: 30/10/2026</v>
      </c>
      <c r="J38" s="94" t="s">
        <v>347</v>
      </c>
      <c r="K38" s="94" t="s">
        <v>348</v>
      </c>
      <c r="L38" s="94" t="s">
        <v>349</v>
      </c>
      <c r="M38" s="94" t="s">
        <v>350</v>
      </c>
      <c r="N38" s="94" t="s">
        <v>351</v>
      </c>
      <c r="O38" s="94" t="s">
        <v>352</v>
      </c>
      <c r="P38" s="94" t="s">
        <v>353</v>
      </c>
      <c r="Q38" s="94" t="s">
        <v>353</v>
      </c>
      <c r="R38" s="95" t="s">
        <v>354</v>
      </c>
      <c r="S38" s="87" t="s">
        <v>27</v>
      </c>
      <c r="T38" s="59" t="s">
        <v>27</v>
      </c>
      <c r="U38" s="85"/>
      <c r="V38" s="75"/>
      <c r="W38" s="167" t="e">
        <f>VLOOKUP(טבלה13[[#This Row],[זיהוי]],#REF!,2,FALSE)</f>
        <v>#REF!</v>
      </c>
    </row>
    <row r="39" spans="1:23" s="145" customFormat="1" ht="255" x14ac:dyDescent="0.25">
      <c r="A39" s="38" t="s">
        <v>355</v>
      </c>
      <c r="B39" s="37" t="s">
        <v>356</v>
      </c>
      <c r="C39" s="27" t="s">
        <v>30</v>
      </c>
      <c r="D39" s="84" t="s">
        <v>82</v>
      </c>
      <c r="E39" s="84" t="s">
        <v>73</v>
      </c>
      <c r="F39" s="28">
        <v>47848</v>
      </c>
      <c r="G39" s="28">
        <v>47572</v>
      </c>
      <c r="H39" s="84" t="s">
        <v>51</v>
      </c>
      <c r="I39" s="85" t="str">
        <f t="shared" si="0"/>
        <v>WBS: WBE-236
שם פרויקט: נתיבות-הקמת שדה קו 161 ק"ו חדש מס' 9 יכולת 3000 א'
מנה״פ: אלמארו זיאמר
יעד תכנית פיתוח: 31/12/2030
יעד מסתמן: 30/03/2030</v>
      </c>
      <c r="J39" s="94" t="s">
        <v>357</v>
      </c>
      <c r="K39" s="94" t="s">
        <v>357</v>
      </c>
      <c r="L39" s="94" t="s">
        <v>358</v>
      </c>
      <c r="M39" s="94" t="s">
        <v>358</v>
      </c>
      <c r="N39" s="94" t="s">
        <v>358</v>
      </c>
      <c r="O39" s="94" t="s">
        <v>359</v>
      </c>
      <c r="P39" s="94" t="s">
        <v>359</v>
      </c>
      <c r="Q39" s="94" t="s">
        <v>359</v>
      </c>
      <c r="R39" s="94"/>
      <c r="S39" s="86"/>
      <c r="T39" s="59"/>
      <c r="U39" s="85"/>
      <c r="V39" s="75"/>
      <c r="W39" s="167" t="e">
        <f>VLOOKUP(טבלה13[[#This Row],[זיהוי]],#REF!,2,FALSE)</f>
        <v>#REF!</v>
      </c>
    </row>
    <row r="40" spans="1:23" s="145" customFormat="1" ht="99.75" customHeight="1" x14ac:dyDescent="0.25">
      <c r="A40" s="38" t="s">
        <v>360</v>
      </c>
      <c r="B40" s="37" t="s">
        <v>361</v>
      </c>
      <c r="C40" s="27" t="s">
        <v>362</v>
      </c>
      <c r="D40" s="84" t="s">
        <v>82</v>
      </c>
      <c r="E40" s="84" t="s">
        <v>73</v>
      </c>
      <c r="F40" s="28">
        <v>46387</v>
      </c>
      <c r="G40" s="28">
        <v>46387</v>
      </c>
      <c r="H40" s="84" t="s">
        <v>51</v>
      </c>
      <c r="I40" s="85" t="str">
        <f t="shared" si="0"/>
        <v>WBS: WBM-40525
שם פרויקט: נתיבות - שדרוג שדה 3 ליכולת 2000A
מנה״פ: אלמארו זיאמר
יעד תכנית פיתוח: 31/12/2026
יעד מסתמן: 31/12/2026</v>
      </c>
      <c r="J40" s="94" t="s">
        <v>363</v>
      </c>
      <c r="K40" s="94" t="s">
        <v>363</v>
      </c>
      <c r="L40" s="94" t="s">
        <v>364</v>
      </c>
      <c r="M40" s="94" t="s">
        <v>364</v>
      </c>
      <c r="N40" s="94" t="s">
        <v>364</v>
      </c>
      <c r="O40" s="94" t="s">
        <v>365</v>
      </c>
      <c r="P40" s="94" t="s">
        <v>366</v>
      </c>
      <c r="Q40" s="94" t="s">
        <v>366</v>
      </c>
      <c r="R40" s="94"/>
      <c r="S40" s="86"/>
      <c r="T40" s="59"/>
      <c r="U40" s="85"/>
      <c r="V40" s="75"/>
      <c r="W40" s="168"/>
    </row>
    <row r="41" spans="1:23" s="145" customFormat="1" ht="99.75" customHeight="1" x14ac:dyDescent="0.25">
      <c r="A41" s="38" t="s">
        <v>367</v>
      </c>
      <c r="B41" s="37" t="s">
        <v>368</v>
      </c>
      <c r="C41" s="27" t="s">
        <v>362</v>
      </c>
      <c r="D41" s="84" t="s">
        <v>82</v>
      </c>
      <c r="E41" s="84" t="s">
        <v>73</v>
      </c>
      <c r="F41" s="28">
        <v>46751</v>
      </c>
      <c r="G41" s="28">
        <v>46751</v>
      </c>
      <c r="H41" s="84" t="s">
        <v>51</v>
      </c>
      <c r="I41" s="85" t="str">
        <f t="shared" si="0"/>
        <v>WBS: WBM-70032
שם פרויקט: נתיבות - פירוק סוללת קבלים והתקנת 4 סוללות מודולריות  חדשות 
מנה״פ: אלמארו זיאמר
יעד תכנית פיתוח: 30/12/2027
יעד מסתמן: 30/12/2027</v>
      </c>
      <c r="J41" s="94" t="s">
        <v>369</v>
      </c>
      <c r="K41" s="94" t="s">
        <v>369</v>
      </c>
      <c r="L41" s="94" t="s">
        <v>370</v>
      </c>
      <c r="M41" s="94" t="s">
        <v>370</v>
      </c>
      <c r="N41" s="94" t="s">
        <v>370</v>
      </c>
      <c r="O41" s="94" t="s">
        <v>370</v>
      </c>
      <c r="P41" s="94" t="s">
        <v>370</v>
      </c>
      <c r="Q41" s="94" t="s">
        <v>370</v>
      </c>
      <c r="R41" s="95"/>
      <c r="S41" s="86"/>
      <c r="T41" s="59"/>
      <c r="U41" s="85"/>
      <c r="V41" s="75"/>
      <c r="W41" s="168"/>
    </row>
    <row r="42" spans="1:23" s="145" customFormat="1" ht="195" x14ac:dyDescent="0.25">
      <c r="A42" s="25" t="s">
        <v>371</v>
      </c>
      <c r="B42" s="26" t="s">
        <v>372</v>
      </c>
      <c r="C42" s="27" t="s">
        <v>219</v>
      </c>
      <c r="D42" s="84" t="s">
        <v>82</v>
      </c>
      <c r="E42" s="84" t="s">
        <v>73</v>
      </c>
      <c r="F42" s="28">
        <v>46203</v>
      </c>
      <c r="G42" s="28">
        <v>46356</v>
      </c>
      <c r="H42" s="84" t="s">
        <v>51</v>
      </c>
      <c r="I42" s="85" t="str">
        <f t="shared" si="0"/>
        <v>WBS: WBD-093
שם פרויקט: ניר יצחק ניידת-הצבת 2 תחמ"ש ניידות
מנה״פ: אלמארו זיאמר
יעד תכנית פיתוח: 30/06/2026
יעד מסתמן: 30/11/2026</v>
      </c>
      <c r="J42" s="96" t="s">
        <v>373</v>
      </c>
      <c r="K42" s="96" t="s">
        <v>374</v>
      </c>
      <c r="L42" s="96" t="s">
        <v>374</v>
      </c>
      <c r="M42" s="96" t="s">
        <v>375</v>
      </c>
      <c r="N42" s="96" t="s">
        <v>376</v>
      </c>
      <c r="O42" s="96" t="s">
        <v>377</v>
      </c>
      <c r="P42" s="96" t="s">
        <v>378</v>
      </c>
      <c r="Q42" s="96" t="s">
        <v>1464</v>
      </c>
      <c r="R42" s="95" t="s">
        <v>379</v>
      </c>
      <c r="S42" s="86" t="s">
        <v>21</v>
      </c>
      <c r="T42" s="59"/>
      <c r="U42" s="85"/>
      <c r="V42" s="75"/>
      <c r="W42" s="167" t="e">
        <f>VLOOKUP(טבלה13[[#This Row],[זיהוי]],#REF!,2,FALSE)</f>
        <v>#REF!</v>
      </c>
    </row>
    <row r="43" spans="1:23" s="145" customFormat="1" ht="255" x14ac:dyDescent="0.25">
      <c r="A43" s="25" t="s">
        <v>380</v>
      </c>
      <c r="B43" s="26" t="s">
        <v>381</v>
      </c>
      <c r="C43" s="27" t="s">
        <v>15</v>
      </c>
      <c r="D43" s="84" t="s">
        <v>82</v>
      </c>
      <c r="E43" s="84" t="s">
        <v>73</v>
      </c>
      <c r="F43" s="28">
        <v>46691</v>
      </c>
      <c r="G43" s="28">
        <v>46507</v>
      </c>
      <c r="H43" s="84" t="s">
        <v>51</v>
      </c>
      <c r="I43" s="85" t="str">
        <f t="shared" si="0"/>
        <v>WBS: WBC-122
שם פרויקט: ניר יצחק-הקמת תחמ"ש חיצונית ו- 2 שלבים
מנה״פ: אלמארו זיאמר
יעד תכנית פיתוח: 31/10/2027
יעד מסתמן: 30/04/2027</v>
      </c>
      <c r="J43" s="96" t="s">
        <v>382</v>
      </c>
      <c r="K43" s="96" t="s">
        <v>383</v>
      </c>
      <c r="L43" s="96" t="s">
        <v>383</v>
      </c>
      <c r="M43" s="96" t="s">
        <v>383</v>
      </c>
      <c r="N43" s="96" t="s">
        <v>383</v>
      </c>
      <c r="O43" s="96" t="s">
        <v>384</v>
      </c>
      <c r="P43" s="96" t="s">
        <v>384</v>
      </c>
      <c r="Q43" s="96" t="s">
        <v>1466</v>
      </c>
      <c r="R43" s="95" t="s">
        <v>1465</v>
      </c>
      <c r="S43" s="87" t="s">
        <v>75</v>
      </c>
      <c r="T43" s="59" t="s">
        <v>39</v>
      </c>
      <c r="U43" s="85"/>
      <c r="V43" s="75"/>
      <c r="W43" s="167" t="e">
        <f>VLOOKUP(טבלה13[[#This Row],[זיהוי]],#REF!,2,FALSE)</f>
        <v>#REF!</v>
      </c>
    </row>
    <row r="44" spans="1:23" s="145" customFormat="1" ht="165" x14ac:dyDescent="0.25">
      <c r="A44" s="25" t="s">
        <v>385</v>
      </c>
      <c r="B44" s="26" t="s">
        <v>386</v>
      </c>
      <c r="C44" s="27" t="s">
        <v>15</v>
      </c>
      <c r="D44" s="84" t="s">
        <v>82</v>
      </c>
      <c r="E44" s="84" t="s">
        <v>73</v>
      </c>
      <c r="F44" s="28">
        <v>46690</v>
      </c>
      <c r="G44" s="28">
        <v>46629</v>
      </c>
      <c r="H44" s="84" t="s">
        <v>51</v>
      </c>
      <c r="I44" s="85" t="str">
        <f t="shared" si="0"/>
        <v>WBS: WBC-083
שם פרויקט: בית הגדי- הקמת תחמ"ש חיצונית 161/24 ק"ו
מנה״פ: אלמארו זיאמר
יעד תכנית פיתוח: 30/10/2027
יעד מסתמן: 30/08/2027</v>
      </c>
      <c r="J44" s="97" t="s">
        <v>387</v>
      </c>
      <c r="K44" s="97" t="s">
        <v>387</v>
      </c>
      <c r="L44" s="97" t="s">
        <v>388</v>
      </c>
      <c r="M44" s="97" t="s">
        <v>389</v>
      </c>
      <c r="N44" s="97" t="s">
        <v>390</v>
      </c>
      <c r="O44" s="97" t="s">
        <v>390</v>
      </c>
      <c r="P44" s="97" t="s">
        <v>391</v>
      </c>
      <c r="Q44" s="97" t="s">
        <v>1467</v>
      </c>
      <c r="R44" s="95" t="s">
        <v>392</v>
      </c>
      <c r="S44" s="87" t="s">
        <v>89</v>
      </c>
      <c r="T44" s="59"/>
      <c r="U44" s="85"/>
      <c r="V44" s="75"/>
      <c r="W44" s="167" t="e">
        <f>VLOOKUP(טבלה13[[#This Row],[זיהוי]],#REF!,2,FALSE)</f>
        <v>#REF!</v>
      </c>
    </row>
    <row r="45" spans="1:23" s="145" customFormat="1" ht="165" x14ac:dyDescent="0.25">
      <c r="A45" s="151" t="s">
        <v>393</v>
      </c>
      <c r="B45" s="150" t="s">
        <v>394</v>
      </c>
      <c r="C45" s="27" t="s">
        <v>30</v>
      </c>
      <c r="D45" s="84" t="s">
        <v>82</v>
      </c>
      <c r="E45" s="84" t="s">
        <v>73</v>
      </c>
      <c r="F45" s="152">
        <v>46964</v>
      </c>
      <c r="G45" s="28"/>
      <c r="H45" s="84"/>
      <c r="I45" s="85" t="str">
        <f>"WBS: " &amp; A45 &amp; CHAR(10) &amp;
"שם פרויקט: " &amp; B45 &amp; CHAR(10) &amp;
"מנה״פ: " &amp; D45 &amp; CHAR(10) &amp;
"יעד תכנית פיתוח: " &amp; TEXT(F45,"dd/mm/yyyy") &amp; CHAR(10) &amp;
"יעד מסתמן: " &amp; TEXT(G45,"dd/mm/yyyy")</f>
        <v>WBS: WBE-310
שם פרויקט: יפתח-הוספת 2 שנאי חח"י 50 מגו"א
מנה״פ: אלמארו זיאמר
יעד תכנית פיתוח: 30/07/2028
יעד מסתמן: 00/01/1900</v>
      </c>
      <c r="J45" s="42"/>
      <c r="K45" s="42"/>
      <c r="L45" s="42" t="s">
        <v>395</v>
      </c>
      <c r="M45" s="42" t="s">
        <v>396</v>
      </c>
      <c r="N45" s="42" t="s">
        <v>396</v>
      </c>
      <c r="O45" s="42" t="s">
        <v>397</v>
      </c>
      <c r="P45" s="42" t="s">
        <v>398</v>
      </c>
      <c r="Q45" s="42" t="s">
        <v>398</v>
      </c>
      <c r="R45" s="63"/>
      <c r="S45" s="91"/>
      <c r="T45" s="92"/>
      <c r="U45" s="85"/>
      <c r="V45" s="75"/>
      <c r="W45" s="167" t="e">
        <f>VLOOKUP(טבלה13[[#This Row],[זיהוי]],#REF!,2,FALSE)</f>
        <v>#REF!</v>
      </c>
    </row>
    <row r="46" spans="1:23" s="145" customFormat="1" ht="135" x14ac:dyDescent="0.25">
      <c r="A46" s="25" t="s">
        <v>399</v>
      </c>
      <c r="B46" s="26" t="s">
        <v>400</v>
      </c>
      <c r="C46" s="27" t="s">
        <v>30</v>
      </c>
      <c r="D46" s="84" t="s">
        <v>82</v>
      </c>
      <c r="E46" s="84" t="s">
        <v>73</v>
      </c>
      <c r="F46" s="28">
        <v>46934</v>
      </c>
      <c r="G46" s="35">
        <v>46751</v>
      </c>
      <c r="H46" s="84" t="s">
        <v>44</v>
      </c>
      <c r="I46" s="85" t="str">
        <f t="shared" si="0"/>
        <v>WBS: WBE-177
שם פרויקט: אורים -חח"י-הוספת 2 שנאים 50 מגוו"א
מנה״פ: אלמארו זיאמר
יעד תכנית פיתוח: 30/06/2028
יעד מסתמן: 30/12/2027</v>
      </c>
      <c r="J46" s="95" t="s">
        <v>401</v>
      </c>
      <c r="K46" s="95" t="s">
        <v>401</v>
      </c>
      <c r="L46" s="95" t="s">
        <v>402</v>
      </c>
      <c r="M46" s="95" t="s">
        <v>403</v>
      </c>
      <c r="N46" s="95" t="s">
        <v>404</v>
      </c>
      <c r="O46" s="95" t="s">
        <v>404</v>
      </c>
      <c r="P46" s="95" t="s">
        <v>405</v>
      </c>
      <c r="Q46" s="95" t="s">
        <v>405</v>
      </c>
      <c r="R46" s="95"/>
      <c r="S46" s="87"/>
      <c r="T46" s="59"/>
      <c r="U46" s="85"/>
      <c r="V46" s="75"/>
      <c r="W46" s="167" t="e">
        <f>VLOOKUP(טבלה13[[#This Row],[זיהוי]],#REF!,2,FALSE)</f>
        <v>#REF!</v>
      </c>
    </row>
    <row r="47" spans="1:23" s="145" customFormat="1" ht="120" x14ac:dyDescent="0.25">
      <c r="A47" s="29" t="s">
        <v>406</v>
      </c>
      <c r="B47" s="30" t="s">
        <v>407</v>
      </c>
      <c r="C47" s="27" t="s">
        <v>30</v>
      </c>
      <c r="D47" s="84" t="s">
        <v>72</v>
      </c>
      <c r="E47" s="84" t="s">
        <v>73</v>
      </c>
      <c r="F47" s="28">
        <v>47664</v>
      </c>
      <c r="G47" s="28">
        <v>46660</v>
      </c>
      <c r="H47" s="84" t="s">
        <v>60</v>
      </c>
      <c r="I47" s="85" t="str">
        <f t="shared" si="0"/>
        <v>WBS: WBE-237
שם פרויקט: אופקים-הקמת שדה קו 161 ק"ו (מס' 1)
מנה״פ: אוריאל שטרית 
יעד תכנית פיתוח: 30/06/2030
יעד מסתמן: 30/09/2027</v>
      </c>
      <c r="J47" s="96" t="s">
        <v>408</v>
      </c>
      <c r="K47" s="96" t="s">
        <v>408</v>
      </c>
      <c r="L47" s="96" t="s">
        <v>409</v>
      </c>
      <c r="M47" s="96" t="s">
        <v>409</v>
      </c>
      <c r="N47" s="96" t="s">
        <v>409</v>
      </c>
      <c r="O47" s="96" t="s">
        <v>409</v>
      </c>
      <c r="P47" s="96" t="s">
        <v>409</v>
      </c>
      <c r="Q47" s="96" t="s">
        <v>409</v>
      </c>
      <c r="R47" s="95"/>
      <c r="S47" s="86"/>
      <c r="T47" s="59"/>
      <c r="U47" s="85"/>
      <c r="V47" s="75"/>
      <c r="W47" s="167" t="e">
        <f>VLOOKUP(טבלה13[[#This Row],[זיהוי]],#REF!,2,FALSE)</f>
        <v>#REF!</v>
      </c>
    </row>
    <row r="48" spans="1:23" s="145" customFormat="1" ht="120" x14ac:dyDescent="0.25">
      <c r="A48" s="25" t="s">
        <v>410</v>
      </c>
      <c r="B48" s="26" t="s">
        <v>411</v>
      </c>
      <c r="C48" s="27" t="s">
        <v>30</v>
      </c>
      <c r="D48" s="84" t="s">
        <v>72</v>
      </c>
      <c r="E48" s="84" t="s">
        <v>73</v>
      </c>
      <c r="F48" s="28">
        <v>47118</v>
      </c>
      <c r="G48" s="28">
        <v>47026</v>
      </c>
      <c r="H48" s="84" t="s">
        <v>60</v>
      </c>
      <c r="I48" s="85" t="str">
        <f t="shared" si="0"/>
        <v>WBS: WBE-210
שם פרויקט: אופקים-הוספת שנאי רביעי ( 524) 50 מגוו"א
מנה״פ: אוריאל שטרית 
יעד תכנית פיתוח: 31/12/2028
יעד מסתמן: 30/09/2028</v>
      </c>
      <c r="J48" s="96" t="s">
        <v>408</v>
      </c>
      <c r="K48" s="96" t="s">
        <v>408</v>
      </c>
      <c r="L48" s="96" t="s">
        <v>412</v>
      </c>
      <c r="M48" s="96" t="s">
        <v>409</v>
      </c>
      <c r="N48" s="96" t="s">
        <v>409</v>
      </c>
      <c r="O48" s="96" t="s">
        <v>409</v>
      </c>
      <c r="P48" s="96" t="s">
        <v>409</v>
      </c>
      <c r="Q48" s="96" t="s">
        <v>409</v>
      </c>
      <c r="R48" s="95" t="s">
        <v>413</v>
      </c>
      <c r="S48" s="87" t="s">
        <v>71</v>
      </c>
      <c r="T48" s="59"/>
      <c r="U48" s="85"/>
      <c r="V48" s="75"/>
      <c r="W48" s="167" t="e">
        <f>VLOOKUP(טבלה13[[#This Row],[זיהוי]],#REF!,2,FALSE)</f>
        <v>#REF!</v>
      </c>
    </row>
    <row r="49" spans="1:23" s="145" customFormat="1" ht="195" x14ac:dyDescent="0.25">
      <c r="A49" s="25" t="s">
        <v>414</v>
      </c>
      <c r="B49" s="26" t="s">
        <v>415</v>
      </c>
      <c r="C49" s="27" t="s">
        <v>30</v>
      </c>
      <c r="D49" s="84" t="s">
        <v>84</v>
      </c>
      <c r="E49" s="84" t="s">
        <v>79</v>
      </c>
      <c r="F49" s="28">
        <v>46688</v>
      </c>
      <c r="G49" s="28" t="s">
        <v>416</v>
      </c>
      <c r="H49" s="84" t="s">
        <v>19</v>
      </c>
      <c r="I49" s="85" t="str">
        <f t="shared" si="0"/>
        <v>WBS: WBE-018
שם פרויקט: ת"א צפון-החלפת 2 שנאים 50  ל- 75 מגוו"א
מנה״פ: ארליך-בקיש, רחלי
יעד תכנית פיתוח: 28/10/2027
יעד מסתמן: שנאי 1 - 31/06/27
שנאי 2 - 31/10/27</v>
      </c>
      <c r="J49" s="21" t="s">
        <v>417</v>
      </c>
      <c r="K49" s="21" t="s">
        <v>418</v>
      </c>
      <c r="L49" s="21" t="s">
        <v>418</v>
      </c>
      <c r="M49" s="21" t="s">
        <v>418</v>
      </c>
      <c r="N49" s="21" t="s">
        <v>418</v>
      </c>
      <c r="O49" s="21" t="s">
        <v>418</v>
      </c>
      <c r="P49" s="21" t="s">
        <v>418</v>
      </c>
      <c r="Q49" s="21" t="s">
        <v>418</v>
      </c>
      <c r="R49" s="63" t="s">
        <v>419</v>
      </c>
      <c r="S49" s="86" t="s">
        <v>75</v>
      </c>
      <c r="T49" s="59"/>
      <c r="U49" s="85"/>
      <c r="V49" s="75"/>
      <c r="W49" s="167" t="e">
        <f>VLOOKUP(טבלה13[[#This Row],[זיהוי]],#REF!,2,FALSE)</f>
        <v>#REF!</v>
      </c>
    </row>
    <row r="50" spans="1:23" s="145" customFormat="1" ht="120" x14ac:dyDescent="0.25">
      <c r="A50" s="25" t="s">
        <v>420</v>
      </c>
      <c r="B50" s="26" t="s">
        <v>421</v>
      </c>
      <c r="C50" s="27" t="s">
        <v>219</v>
      </c>
      <c r="D50" s="84" t="s">
        <v>84</v>
      </c>
      <c r="E50" s="84" t="s">
        <v>79</v>
      </c>
      <c r="F50" s="28">
        <v>46203</v>
      </c>
      <c r="G50" s="28">
        <v>46721</v>
      </c>
      <c r="H50" s="84" t="s">
        <v>51</v>
      </c>
      <c r="I50" s="85" t="str">
        <f t="shared" si="0"/>
        <v>WBS: WBD-119
שם פרויקט: שערי עכו- הצבת 2 תחמ"ש ניידות, 30 מגוו"ט כ"א
מנה״פ: ארליך-בקיש, רחלי
יעד תכנית פיתוח: 30/06/2026
יעד מסתמן: 30/11/2027</v>
      </c>
      <c r="J50" s="63" t="s">
        <v>422</v>
      </c>
      <c r="K50" s="63" t="s">
        <v>422</v>
      </c>
      <c r="L50" s="63" t="s">
        <v>422</v>
      </c>
      <c r="M50" s="63" t="s">
        <v>422</v>
      </c>
      <c r="N50" s="63" t="s">
        <v>422</v>
      </c>
      <c r="O50" s="63" t="s">
        <v>422</v>
      </c>
      <c r="P50" s="63" t="s">
        <v>422</v>
      </c>
      <c r="Q50" s="88" t="s">
        <v>1557</v>
      </c>
      <c r="R50" s="63" t="s">
        <v>423</v>
      </c>
      <c r="S50" s="86" t="s">
        <v>39</v>
      </c>
      <c r="T50" s="59"/>
      <c r="U50" s="85"/>
      <c r="V50" s="75"/>
      <c r="W50" s="167" t="e">
        <f>VLOOKUP(טבלה13[[#This Row],[זיהוי]],#REF!,2,FALSE)</f>
        <v>#REF!</v>
      </c>
    </row>
    <row r="51" spans="1:23" s="145" customFormat="1" ht="165" x14ac:dyDescent="0.25">
      <c r="A51" s="25" t="s">
        <v>424</v>
      </c>
      <c r="B51" s="26" t="s">
        <v>425</v>
      </c>
      <c r="C51" s="27" t="s">
        <v>30</v>
      </c>
      <c r="D51" s="84" t="s">
        <v>84</v>
      </c>
      <c r="E51" s="84" t="s">
        <v>79</v>
      </c>
      <c r="F51" s="28">
        <v>46387</v>
      </c>
      <c r="G51" s="28">
        <v>46295</v>
      </c>
      <c r="H51" s="84" t="s">
        <v>33</v>
      </c>
      <c r="I51" s="85" t="str">
        <f t="shared" si="0"/>
        <v>WBS: WBE-282
שם פרויקט: שירת הדבורה-חח"י – התקנת שנאי שלישי 161/24 ק"ו, 50 מגוו"א מס' 523
מנה״פ: ארליך-בקיש, רחלי
יעד תכנית פיתוח: 31/12/2026
יעד מסתמן: 30/09/2026</v>
      </c>
      <c r="J51" s="63" t="s">
        <v>426</v>
      </c>
      <c r="K51" s="63" t="s">
        <v>426</v>
      </c>
      <c r="L51" s="63" t="s">
        <v>426</v>
      </c>
      <c r="M51" s="63" t="s">
        <v>426</v>
      </c>
      <c r="N51" s="63" t="s">
        <v>427</v>
      </c>
      <c r="O51" s="63" t="s">
        <v>428</v>
      </c>
      <c r="P51" s="63" t="s">
        <v>428</v>
      </c>
      <c r="Q51" s="63" t="s">
        <v>1527</v>
      </c>
      <c r="R51" s="63" t="s">
        <v>1514</v>
      </c>
      <c r="S51" s="86" t="s">
        <v>39</v>
      </c>
      <c r="T51" s="98"/>
      <c r="U51" s="85"/>
      <c r="V51" s="75"/>
      <c r="W51" s="167" t="e">
        <f>VLOOKUP(טבלה13[[#This Row],[זיהוי]],#REF!,2,FALSE)</f>
        <v>#REF!</v>
      </c>
    </row>
    <row r="52" spans="1:23" s="145" customFormat="1" ht="210" x14ac:dyDescent="0.25">
      <c r="A52" s="25" t="s">
        <v>429</v>
      </c>
      <c r="B52" s="26" t="s">
        <v>430</v>
      </c>
      <c r="C52" s="27" t="s">
        <v>30</v>
      </c>
      <c r="D52" s="84" t="s">
        <v>84</v>
      </c>
      <c r="E52" s="84" t="s">
        <v>79</v>
      </c>
      <c r="F52" s="28">
        <v>45995</v>
      </c>
      <c r="G52" s="28" t="s">
        <v>431</v>
      </c>
      <c r="H52" s="84" t="s">
        <v>88</v>
      </c>
      <c r="I52" s="85" t="str">
        <f t="shared" si="0"/>
        <v xml:space="preserve">WBS: WBE-167
שם פרויקט: שירת דבורה - תחמ"ש -הוספת 2 שנאי חח"י 50 מו"א
מנה״פ: ארליך-בקיש, רחלי
יעד תכנית פיתוח: 04/12/2025
יעד מסתמן: חושמל 04/12/2025 </v>
      </c>
      <c r="J52" s="63" t="s">
        <v>432</v>
      </c>
      <c r="K52" s="63" t="s">
        <v>433</v>
      </c>
      <c r="L52" s="63" t="s">
        <v>433</v>
      </c>
      <c r="M52" s="63" t="s">
        <v>433</v>
      </c>
      <c r="N52" s="63" t="s">
        <v>433</v>
      </c>
      <c r="O52" s="63" t="s">
        <v>434</v>
      </c>
      <c r="P52" s="63" t="s">
        <v>435</v>
      </c>
      <c r="Q52" s="63" t="s">
        <v>1515</v>
      </c>
      <c r="R52" s="63" t="s">
        <v>436</v>
      </c>
      <c r="S52" s="86"/>
      <c r="T52" s="59"/>
      <c r="U52" s="85"/>
      <c r="V52" s="75"/>
      <c r="W52" s="167" t="e">
        <f>VLOOKUP(טבלה13[[#This Row],[זיהוי]],#REF!,2,FALSE)</f>
        <v>#REF!</v>
      </c>
    </row>
    <row r="53" spans="1:23" s="145" customFormat="1" ht="165" x14ac:dyDescent="0.25">
      <c r="A53" s="25" t="s">
        <v>437</v>
      </c>
      <c r="B53" s="26" t="s">
        <v>438</v>
      </c>
      <c r="C53" s="27" t="s">
        <v>30</v>
      </c>
      <c r="D53" s="84" t="s">
        <v>84</v>
      </c>
      <c r="E53" s="84" t="s">
        <v>79</v>
      </c>
      <c r="F53" s="28">
        <v>46051</v>
      </c>
      <c r="G53" s="28" t="s">
        <v>439</v>
      </c>
      <c r="H53" s="84" t="s">
        <v>93</v>
      </c>
      <c r="I53" s="85" t="str">
        <f t="shared" si="0"/>
        <v>WBS: WBE-229
שם פרויקט: קצרין- רב שלבי-החלפת 3 ניידות 20 מגוו"א ל2 שנאים 50 מגוו"א
מנה״פ: ארליך-בקיש, רחלי
יעד תכנית פיתוח: 29/01/2026
יעד מסתמן: בוצע  ב 11/3 חושמלו הקווים ונותקו מהניידת</v>
      </c>
      <c r="J53" s="63" t="s">
        <v>440</v>
      </c>
      <c r="K53" s="63" t="s">
        <v>441</v>
      </c>
      <c r="L53" s="63" t="s">
        <v>442</v>
      </c>
      <c r="M53" s="63" t="s">
        <v>442</v>
      </c>
      <c r="N53" s="63" t="s">
        <v>443</v>
      </c>
      <c r="O53" s="63" t="s">
        <v>444</v>
      </c>
      <c r="P53" s="63" t="s">
        <v>444</v>
      </c>
      <c r="Q53" s="63" t="s">
        <v>1516</v>
      </c>
      <c r="R53" s="64"/>
      <c r="S53" s="86"/>
      <c r="T53" s="59"/>
      <c r="U53" s="85"/>
      <c r="V53" s="75"/>
      <c r="W53" s="167" t="e">
        <f>VLOOKUP(טבלה13[[#This Row],[זיהוי]],#REF!,2,FALSE)</f>
        <v>#REF!</v>
      </c>
    </row>
    <row r="54" spans="1:23" s="145" customFormat="1" ht="180" x14ac:dyDescent="0.25">
      <c r="A54" s="25" t="s">
        <v>445</v>
      </c>
      <c r="B54" s="26" t="s">
        <v>446</v>
      </c>
      <c r="C54" s="27" t="s">
        <v>30</v>
      </c>
      <c r="D54" s="84" t="s">
        <v>84</v>
      </c>
      <c r="E54" s="84" t="s">
        <v>79</v>
      </c>
      <c r="F54" s="28">
        <v>46752</v>
      </c>
      <c r="G54" s="28">
        <v>47238</v>
      </c>
      <c r="H54" s="84" t="s">
        <v>51</v>
      </c>
      <c r="I54" s="85" t="str">
        <f t="shared" si="0"/>
        <v>WBS: WBE-100
שם פרויקט: נייר חדרה - שידרוג התחמ"ש
מנה״פ: ארליך-בקיש, רחלי
יעד תכנית פיתוח: 31/12/2027
יעד מסתמן: 30/04/2029</v>
      </c>
      <c r="J54" s="63" t="s">
        <v>447</v>
      </c>
      <c r="K54" s="63" t="s">
        <v>447</v>
      </c>
      <c r="L54" s="63" t="s">
        <v>447</v>
      </c>
      <c r="M54" s="63" t="s">
        <v>447</v>
      </c>
      <c r="N54" s="63" t="s">
        <v>447</v>
      </c>
      <c r="O54" s="63" t="s">
        <v>447</v>
      </c>
      <c r="P54" s="63" t="s">
        <v>447</v>
      </c>
      <c r="Q54" s="63" t="s">
        <v>1518</v>
      </c>
      <c r="R54" s="63"/>
      <c r="S54" s="86" t="s">
        <v>75</v>
      </c>
      <c r="T54" s="59"/>
      <c r="U54" s="85"/>
      <c r="V54" s="75"/>
      <c r="W54" s="167" t="e">
        <f>VLOOKUP(טבלה13[[#This Row],[זיהוי]],#REF!,2,FALSE)</f>
        <v>#REF!</v>
      </c>
    </row>
    <row r="55" spans="1:23" s="145" customFormat="1" ht="345" x14ac:dyDescent="0.25">
      <c r="A55" s="25" t="s">
        <v>448</v>
      </c>
      <c r="B55" s="26" t="s">
        <v>449</v>
      </c>
      <c r="C55" s="27" t="s">
        <v>30</v>
      </c>
      <c r="D55" s="84" t="s">
        <v>84</v>
      </c>
      <c r="E55" s="84" t="s">
        <v>79</v>
      </c>
      <c r="F55" s="28">
        <v>46752</v>
      </c>
      <c r="G55" s="28">
        <v>46295</v>
      </c>
      <c r="H55" s="84" t="s">
        <v>19</v>
      </c>
      <c r="I55" s="85" t="str">
        <f t="shared" si="0"/>
        <v>WBS: WBE-249
שם פרויקט: יאסיף-התקנת שני שנאים בהספק 50 מגו"א כ"א
מנה״פ: ארליך-בקיש, רחלי
יעד תכנית פיתוח: 31/12/2027
יעד מסתמן: 30/09/2026</v>
      </c>
      <c r="J55" s="63" t="s">
        <v>450</v>
      </c>
      <c r="K55" s="63" t="s">
        <v>450</v>
      </c>
      <c r="L55" s="63" t="s">
        <v>451</v>
      </c>
      <c r="M55" s="63" t="s">
        <v>452</v>
      </c>
      <c r="N55" s="63" t="s">
        <v>453</v>
      </c>
      <c r="O55" s="63" t="s">
        <v>454</v>
      </c>
      <c r="P55" s="63" t="s">
        <v>455</v>
      </c>
      <c r="Q55" s="63" t="s">
        <v>1519</v>
      </c>
      <c r="R55" s="63" t="s">
        <v>456</v>
      </c>
      <c r="S55" s="86"/>
      <c r="T55" s="99"/>
      <c r="U55" s="85"/>
      <c r="V55" s="75"/>
      <c r="W55" s="167" t="e">
        <f>VLOOKUP(טבלה13[[#This Row],[זיהוי]],#REF!,2,FALSE)</f>
        <v>#REF!</v>
      </c>
    </row>
    <row r="56" spans="1:23" s="145" customFormat="1" ht="210" x14ac:dyDescent="0.25">
      <c r="A56" s="25" t="s">
        <v>457</v>
      </c>
      <c r="B56" s="26" t="s">
        <v>458</v>
      </c>
      <c r="C56" s="27" t="s">
        <v>15</v>
      </c>
      <c r="D56" s="84" t="s">
        <v>84</v>
      </c>
      <c r="E56" s="84" t="s">
        <v>79</v>
      </c>
      <c r="F56" s="28">
        <v>46387</v>
      </c>
      <c r="G56" s="28" t="s">
        <v>459</v>
      </c>
      <c r="H56" s="84" t="s">
        <v>33</v>
      </c>
      <c r="I56" s="85" t="str">
        <f t="shared" si="0"/>
        <v>WBS: WBC-119
שם פרויקט: בראון (עמק הבכא)-הרחבת תחמ"ש פרטי(לחח"י)
מנה״פ: ארליך-בקיש, רחלי
יעד תכנית פיתוח: 31/12/2026
יעד מסתמן: שנאי 1 חושמל 13/05/25 
צפי חישמול לשנאי ה- 2 ה- 25/6
 שנאי 3 - 31/12/26 או לפי סדר עדיפות יח' התחמ"ש</v>
      </c>
      <c r="J56" s="63" t="s">
        <v>460</v>
      </c>
      <c r="K56" s="63" t="s">
        <v>461</v>
      </c>
      <c r="L56" s="63" t="s">
        <v>461</v>
      </c>
      <c r="M56" s="63" t="s">
        <v>462</v>
      </c>
      <c r="N56" s="74" t="s">
        <v>463</v>
      </c>
      <c r="O56" s="74" t="s">
        <v>464</v>
      </c>
      <c r="P56" s="74" t="s">
        <v>464</v>
      </c>
      <c r="Q56" s="74" t="s">
        <v>1520</v>
      </c>
      <c r="R56" s="63" t="s">
        <v>465</v>
      </c>
      <c r="S56" s="87" t="s">
        <v>83</v>
      </c>
      <c r="T56" s="59"/>
      <c r="U56" s="85"/>
      <c r="V56" s="75"/>
      <c r="W56" s="167" t="e">
        <f>VLOOKUP(טבלה13[[#This Row],[זיהוי]],#REF!,2,FALSE)</f>
        <v>#REF!</v>
      </c>
    </row>
    <row r="57" spans="1:23" s="145" customFormat="1" ht="120" x14ac:dyDescent="0.25">
      <c r="A57" s="25" t="s">
        <v>466</v>
      </c>
      <c r="B57" s="26" t="s">
        <v>467</v>
      </c>
      <c r="C57" s="27" t="s">
        <v>30</v>
      </c>
      <c r="D57" s="84" t="s">
        <v>84</v>
      </c>
      <c r="E57" s="84" t="s">
        <v>79</v>
      </c>
      <c r="F57" s="28">
        <v>46326</v>
      </c>
      <c r="G57" s="28" t="s">
        <v>269</v>
      </c>
      <c r="H57" s="84" t="s">
        <v>60</v>
      </c>
      <c r="I57" s="85" t="str">
        <f t="shared" si="0"/>
        <v>WBS: WBE-192
שם פרויקט: בראון- התקנת שנאי רביעי 161/36 ק"ו, 50 מגוו"א
מנה״פ: ארליך-בקיש, רחלי
יעד תכנית פיתוח: 31/10/2026
יעד מסתמן: טרם נקבע</v>
      </c>
      <c r="J57" s="63" t="s">
        <v>468</v>
      </c>
      <c r="K57" s="63" t="s">
        <v>469</v>
      </c>
      <c r="L57" s="63" t="s">
        <v>469</v>
      </c>
      <c r="M57" s="63" t="s">
        <v>469</v>
      </c>
      <c r="N57" s="63" t="s">
        <v>468</v>
      </c>
      <c r="O57" s="63" t="s">
        <v>468</v>
      </c>
      <c r="P57" s="63" t="s">
        <v>468</v>
      </c>
      <c r="Q57" s="63" t="s">
        <v>468</v>
      </c>
      <c r="R57" s="63"/>
      <c r="S57" s="86" t="s">
        <v>75</v>
      </c>
      <c r="T57" s="59"/>
      <c r="U57" s="85"/>
      <c r="V57" s="75"/>
      <c r="W57" s="167" t="e">
        <f>VLOOKUP(טבלה13[[#This Row],[זיהוי]],#REF!,2,FALSE)</f>
        <v>#REF!</v>
      </c>
    </row>
    <row r="58" spans="1:23" s="145" customFormat="1" ht="360" x14ac:dyDescent="0.25">
      <c r="A58" s="25" t="s">
        <v>470</v>
      </c>
      <c r="B58" s="26" t="s">
        <v>471</v>
      </c>
      <c r="C58" s="27" t="s">
        <v>30</v>
      </c>
      <c r="D58" s="84" t="s">
        <v>84</v>
      </c>
      <c r="E58" s="84" t="s">
        <v>79</v>
      </c>
      <c r="F58" s="28">
        <v>46387</v>
      </c>
      <c r="G58" s="28">
        <v>46387</v>
      </c>
      <c r="H58" s="84" t="s">
        <v>70</v>
      </c>
      <c r="I58" s="85" t="str">
        <f t="shared" ref="I58:I123" si="1">"WBS: " &amp; A58 &amp; CHAR(10) &amp;
"שם פרויקט: " &amp; B58 &amp; CHAR(10) &amp;
"מנה״פ: " &amp; D58 &amp; CHAR(10) &amp;
"יעד תכנית פיתוח: " &amp; TEXT(F58,"dd/mm/yyyy") &amp; CHAR(10) &amp;
"יעד מסתמן: " &amp; TEXT(G58,"dd/mm/yyyy")</f>
        <v>WBS: WBE-191
שם פרויקט: בר לב - התקנת שנאי שלישי 161/24 ק"ו , 50 מגוו"א
מנה״פ: ארליך-בקיש, רחלי
יעד תכנית פיתוח: 31/12/2026
יעד מסתמן: 31/12/2026</v>
      </c>
      <c r="J58" s="63" t="s">
        <v>472</v>
      </c>
      <c r="K58" s="63" t="s">
        <v>473</v>
      </c>
      <c r="L58" s="63" t="s">
        <v>474</v>
      </c>
      <c r="M58" s="63" t="s">
        <v>474</v>
      </c>
      <c r="N58" s="63" t="s">
        <v>475</v>
      </c>
      <c r="O58" s="63" t="s">
        <v>476</v>
      </c>
      <c r="P58" s="63" t="s">
        <v>477</v>
      </c>
      <c r="Q58" s="88" t="s">
        <v>1558</v>
      </c>
      <c r="R58" s="64" t="s">
        <v>1521</v>
      </c>
      <c r="S58" s="86"/>
      <c r="T58" s="59" t="s">
        <v>27</v>
      </c>
      <c r="U58" s="85"/>
      <c r="V58" s="75"/>
      <c r="W58" s="167" t="e">
        <f>VLOOKUP(טבלה13[[#This Row],[זיהוי]],#REF!,2,FALSE)</f>
        <v>#REF!</v>
      </c>
    </row>
    <row r="59" spans="1:23" s="145" customFormat="1" ht="409.6" x14ac:dyDescent="0.25">
      <c r="A59" s="25" t="s">
        <v>478</v>
      </c>
      <c r="B59" s="26" t="s">
        <v>479</v>
      </c>
      <c r="C59" s="27" t="s">
        <v>30</v>
      </c>
      <c r="D59" s="84" t="s">
        <v>84</v>
      </c>
      <c r="E59" s="84" t="s">
        <v>79</v>
      </c>
      <c r="F59" s="28">
        <v>46356</v>
      </c>
      <c r="G59" s="28">
        <v>46446</v>
      </c>
      <c r="H59" s="84" t="s">
        <v>44</v>
      </c>
      <c r="I59" s="85" t="str">
        <f t="shared" si="1"/>
        <v>WBS: WBE-223
שם פרויקט: בית שאן-התקנת שנאי חמישי 161/24 ק"ו 50 מ
מנה״פ: ארליך-בקיש, רחלי
יעד תכנית פיתוח: 30/11/2026
יעד מסתמן: 28/02/2027</v>
      </c>
      <c r="J59" s="32" t="s">
        <v>480</v>
      </c>
      <c r="K59" s="32" t="s">
        <v>481</v>
      </c>
      <c r="L59" s="88" t="s">
        <v>482</v>
      </c>
      <c r="M59" s="104" t="s">
        <v>483</v>
      </c>
      <c r="N59" s="104" t="s">
        <v>484</v>
      </c>
      <c r="O59" s="104" t="s">
        <v>485</v>
      </c>
      <c r="P59" s="104" t="s">
        <v>486</v>
      </c>
      <c r="Q59" s="104" t="s">
        <v>1525</v>
      </c>
      <c r="R59" s="63"/>
      <c r="S59" s="87"/>
      <c r="T59" s="59"/>
      <c r="U59" s="85"/>
      <c r="V59" s="75"/>
      <c r="W59" s="167" t="e">
        <f>VLOOKUP(טבלה13[[#This Row],[זיהוי]],#REF!,2,FALSE)</f>
        <v>#REF!</v>
      </c>
    </row>
    <row r="60" spans="1:23" s="145" customFormat="1" ht="249.6" customHeight="1" x14ac:dyDescent="0.25">
      <c r="A60" s="25" t="s">
        <v>487</v>
      </c>
      <c r="B60" s="26" t="s">
        <v>488</v>
      </c>
      <c r="C60" s="27" t="s">
        <v>30</v>
      </c>
      <c r="D60" s="63" t="s">
        <v>84</v>
      </c>
      <c r="E60" s="63" t="s">
        <v>79</v>
      </c>
      <c r="F60" s="28">
        <v>46386</v>
      </c>
      <c r="G60" s="28">
        <v>46446</v>
      </c>
      <c r="H60" s="84" t="s">
        <v>80</v>
      </c>
      <c r="I60" s="85" t="str">
        <f t="shared" si="1"/>
        <v>WBS: WBE-162
שם פרויקט: בית שאן- הקמת מסדר 161, בניין מסדרים מ"ג והחלפת שנאים 521,522,531
מנה״פ: ארליך-בקיש, רחלי
יעד תכנית פיתוח: 30/12/2026
יעד מסתמן: 28/02/2027</v>
      </c>
      <c r="J60" s="32" t="s">
        <v>480</v>
      </c>
      <c r="K60" s="32" t="s">
        <v>481</v>
      </c>
      <c r="L60" s="161" t="s">
        <v>482</v>
      </c>
      <c r="M60" s="160" t="s">
        <v>489</v>
      </c>
      <c r="N60" s="104" t="s">
        <v>484</v>
      </c>
      <c r="O60" s="104" t="s">
        <v>490</v>
      </c>
      <c r="P60" s="104" t="s">
        <v>486</v>
      </c>
      <c r="Q60" s="104" t="s">
        <v>1559</v>
      </c>
      <c r="R60" s="63"/>
      <c r="S60" s="87"/>
      <c r="T60" s="59"/>
      <c r="U60" s="85"/>
      <c r="V60" s="75"/>
      <c r="W60" s="167" t="e">
        <f>VLOOKUP(טבלה13[[#This Row],[זיהוי]],#REF!,2,FALSE)</f>
        <v>#REF!</v>
      </c>
    </row>
    <row r="61" spans="1:23" s="145" customFormat="1" ht="300" x14ac:dyDescent="0.25">
      <c r="A61" s="29" t="s">
        <v>491</v>
      </c>
      <c r="B61" s="30" t="s">
        <v>492</v>
      </c>
      <c r="C61" s="27" t="s">
        <v>30</v>
      </c>
      <c r="D61" s="84" t="s">
        <v>84</v>
      </c>
      <c r="E61" s="84" t="s">
        <v>79</v>
      </c>
      <c r="F61" s="28">
        <v>46752</v>
      </c>
      <c r="G61" s="28">
        <v>46660</v>
      </c>
      <c r="H61" s="84" t="s">
        <v>63</v>
      </c>
      <c r="I61" s="85" t="str">
        <f t="shared" si="1"/>
        <v>WBS: WBE-286
שם פרויקט: אלעד-התקנת שנאי שלישי 50 מגוו"א 161/24 ק"ו מס' 523
מנה״פ: ארליך-בקיש, רחלי
יעד תכנית פיתוח: 31/12/2027
יעד מסתמן: 30/09/2027</v>
      </c>
      <c r="J61" s="100" t="s">
        <v>493</v>
      </c>
      <c r="K61" s="100" t="s">
        <v>494</v>
      </c>
      <c r="L61" s="100" t="s">
        <v>495</v>
      </c>
      <c r="M61" s="157" t="s">
        <v>495</v>
      </c>
      <c r="N61" s="157" t="s">
        <v>496</v>
      </c>
      <c r="O61" s="157" t="s">
        <v>496</v>
      </c>
      <c r="P61" s="157" t="s">
        <v>496</v>
      </c>
      <c r="Q61" s="157" t="s">
        <v>496</v>
      </c>
      <c r="R61" s="63"/>
      <c r="S61" s="87"/>
      <c r="T61" s="59"/>
      <c r="U61" s="85"/>
      <c r="V61" s="75"/>
      <c r="W61" s="167" t="e">
        <f>VLOOKUP(טבלה13[[#This Row],[זיהוי]],#REF!,2,FALSE)</f>
        <v>#REF!</v>
      </c>
    </row>
    <row r="62" spans="1:23" s="145" customFormat="1" ht="135" x14ac:dyDescent="0.25">
      <c r="A62" s="25" t="s">
        <v>497</v>
      </c>
      <c r="B62" s="26" t="s">
        <v>498</v>
      </c>
      <c r="C62" s="27" t="s">
        <v>15</v>
      </c>
      <c r="D62" s="84" t="s">
        <v>84</v>
      </c>
      <c r="E62" s="84" t="s">
        <v>79</v>
      </c>
      <c r="F62" s="28">
        <v>45929</v>
      </c>
      <c r="G62" s="28" t="s">
        <v>499</v>
      </c>
      <c r="H62" s="84" t="s">
        <v>88</v>
      </c>
      <c r="I62" s="85" t="str">
        <f t="shared" si="1"/>
        <v>WBS: WBC-068
שם פרויקט: אלעד- הקמת תחמ"ש חיצונית, 161/24 ק"ו
מנה״פ: ארליך-בקיש, רחלי
יעד תכנית פיתוח: 29/09/2025
יעד מסתמן: חושמל 30/09/2025</v>
      </c>
      <c r="J62" s="63" t="s">
        <v>500</v>
      </c>
      <c r="K62" s="63" t="s">
        <v>501</v>
      </c>
      <c r="L62" s="63" t="s">
        <v>501</v>
      </c>
      <c r="M62" s="63" t="s">
        <v>501</v>
      </c>
      <c r="N62" s="63" t="s">
        <v>501</v>
      </c>
      <c r="O62" s="63" t="s">
        <v>501</v>
      </c>
      <c r="P62" s="63" t="s">
        <v>501</v>
      </c>
      <c r="Q62" s="63" t="s">
        <v>501</v>
      </c>
      <c r="R62" s="63"/>
      <c r="S62" s="87"/>
      <c r="T62" s="59"/>
      <c r="U62" s="85"/>
      <c r="V62" s="75"/>
      <c r="W62" s="167" t="e">
        <f>VLOOKUP(טבלה13[[#This Row],[זיהוי]],#REF!,2,FALSE)</f>
        <v>#REF!</v>
      </c>
    </row>
    <row r="63" spans="1:23" s="145" customFormat="1" ht="120" x14ac:dyDescent="0.25">
      <c r="A63" s="163" t="s">
        <v>502</v>
      </c>
      <c r="B63" s="54" t="s">
        <v>503</v>
      </c>
      <c r="C63" s="27" t="s">
        <v>362</v>
      </c>
      <c r="D63" s="84" t="s">
        <v>86</v>
      </c>
      <c r="E63" s="84" t="s">
        <v>77</v>
      </c>
      <c r="F63" s="28">
        <v>46843</v>
      </c>
      <c r="G63" s="28">
        <v>46844</v>
      </c>
      <c r="H63" s="84" t="s">
        <v>60</v>
      </c>
      <c r="I63" s="85" t="str">
        <f t="shared" si="1"/>
        <v>WBS: WBM-40194
שם פרויקט: תל אביב דרום - החלפת שנאי 512 ל-56 מגו"א
מנה״פ: אשקבנד, נסים
יעד תכנית פיתוח: 31/03/2028
יעד מסתמן: 01/04/2028</v>
      </c>
      <c r="J63" s="31" t="s">
        <v>504</v>
      </c>
      <c r="K63" s="31" t="s">
        <v>504</v>
      </c>
      <c r="L63" s="31" t="s">
        <v>504</v>
      </c>
      <c r="M63" s="31" t="s">
        <v>505</v>
      </c>
      <c r="N63" s="31" t="s">
        <v>505</v>
      </c>
      <c r="O63" s="31" t="s">
        <v>506</v>
      </c>
      <c r="P63" s="31" t="s">
        <v>506</v>
      </c>
      <c r="Q63" s="31" t="s">
        <v>506</v>
      </c>
      <c r="R63" s="31" t="s">
        <v>507</v>
      </c>
      <c r="S63" s="87" t="s">
        <v>71</v>
      </c>
      <c r="T63" s="59" t="s">
        <v>75</v>
      </c>
      <c r="U63" s="85"/>
      <c r="V63" s="75"/>
      <c r="W63" s="168"/>
    </row>
    <row r="64" spans="1:23" s="145" customFormat="1" ht="150" x14ac:dyDescent="0.25">
      <c r="A64" s="163" t="s">
        <v>508</v>
      </c>
      <c r="B64" s="54" t="s">
        <v>509</v>
      </c>
      <c r="C64" s="27" t="s">
        <v>362</v>
      </c>
      <c r="D64" s="84" t="s">
        <v>86</v>
      </c>
      <c r="E64" s="84" t="s">
        <v>77</v>
      </c>
      <c r="F64" s="28">
        <v>46326</v>
      </c>
      <c r="G64" s="28">
        <v>46752</v>
      </c>
      <c r="H64" s="84" t="s">
        <v>19</v>
      </c>
      <c r="I64" s="85" t="str">
        <f t="shared" si="1"/>
        <v>WBS: WBM-40276
שם פרויקט: באר שבע - שדרוג שדות 5, 13, שדרוג מקשר 7-8 והחלפת פ"צ
מנה״פ: אשקבנד, נסים
יעד תכנית פיתוח: 31/10/2026
יעד מסתמן: 31/12/2027</v>
      </c>
      <c r="J64" s="31" t="s">
        <v>510</v>
      </c>
      <c r="K64" s="63" t="s">
        <v>510</v>
      </c>
      <c r="L64" s="31" t="s">
        <v>510</v>
      </c>
      <c r="M64" s="31" t="s">
        <v>511</v>
      </c>
      <c r="N64" s="31" t="s">
        <v>511</v>
      </c>
      <c r="O64" s="31" t="s">
        <v>512</v>
      </c>
      <c r="P64" s="31" t="s">
        <v>512</v>
      </c>
      <c r="Q64" s="31" t="s">
        <v>512</v>
      </c>
      <c r="R64" s="63" t="s">
        <v>513</v>
      </c>
      <c r="S64" s="87" t="s">
        <v>83</v>
      </c>
      <c r="T64" s="59"/>
      <c r="U64" s="85"/>
      <c r="V64" s="75"/>
      <c r="W64" s="168"/>
    </row>
    <row r="65" spans="1:23" s="145" customFormat="1" ht="120" x14ac:dyDescent="0.25">
      <c r="A65" s="163" t="s">
        <v>514</v>
      </c>
      <c r="B65" s="54" t="s">
        <v>515</v>
      </c>
      <c r="C65" s="27" t="s">
        <v>362</v>
      </c>
      <c r="D65" s="84" t="s">
        <v>86</v>
      </c>
      <c r="E65" s="84" t="s">
        <v>77</v>
      </c>
      <c r="F65" s="28" t="s">
        <v>516</v>
      </c>
      <c r="G65" s="28">
        <v>47117</v>
      </c>
      <c r="H65" s="84" t="s">
        <v>63</v>
      </c>
      <c r="I65" s="85" t="str">
        <f t="shared" si="1"/>
        <v>WBS: WBM-40221
שם פרויקט: כורנוב- תוספת שדה מספר 1 ושדרוג שדה 7.
מנה״פ: אשקבנד, נסים
יעד תכנית פיתוח: 12.2027      12.2028
יעד מסתמן: 30/12/2028</v>
      </c>
      <c r="J65" s="31" t="s">
        <v>517</v>
      </c>
      <c r="K65" s="31" t="s">
        <v>517</v>
      </c>
      <c r="L65" s="31" t="s">
        <v>517</v>
      </c>
      <c r="M65" s="31" t="s">
        <v>518</v>
      </c>
      <c r="N65" s="31" t="s">
        <v>519</v>
      </c>
      <c r="O65" s="31" t="s">
        <v>520</v>
      </c>
      <c r="P65" s="31" t="s">
        <v>520</v>
      </c>
      <c r="Q65" s="31" t="s">
        <v>520</v>
      </c>
      <c r="R65" s="31" t="s">
        <v>521</v>
      </c>
      <c r="S65" s="39" t="s">
        <v>27</v>
      </c>
      <c r="T65" s="101"/>
      <c r="U65" s="85"/>
      <c r="V65" s="75"/>
      <c r="W65" s="168"/>
    </row>
    <row r="66" spans="1:23" s="145" customFormat="1" ht="135" x14ac:dyDescent="0.25">
      <c r="A66" s="163" t="s">
        <v>522</v>
      </c>
      <c r="B66" s="54" t="s">
        <v>523</v>
      </c>
      <c r="C66" s="27" t="s">
        <v>362</v>
      </c>
      <c r="D66" s="84" t="s">
        <v>86</v>
      </c>
      <c r="E66" s="84" t="s">
        <v>77</v>
      </c>
      <c r="F66" s="28">
        <v>46476</v>
      </c>
      <c r="G66" s="28">
        <v>46722</v>
      </c>
      <c r="H66" s="84" t="s">
        <v>51</v>
      </c>
      <c r="I66" s="85" t="str">
        <f>"WBS: " &amp; A66 &amp; CHAR(10) &amp;
"שם פרויקט: " &amp; B66 &amp; CHAR(10) &amp;
"מנה״פ: " &amp; D66 &amp; CHAR(10) &amp;
"יעד תכנית פיתוח: " &amp; TEXT(F66,"dd/mm/yyyy") &amp; CHAR(10) &amp;
"יעד מסתמן: " &amp; TEXT(G66,"dd/mm/yyyy")</f>
        <v>WBS: WBM-40611
שם פרויקט: שער הגיא- פירוק מסדר מ"ג מסוג BEU3  והתקנת מסדר מ"ג חדש
מנה״פ: אשקבנד, נסים
יעד תכנית פיתוח: 30/03/2027
יעד מסתמן: 01/12/2027</v>
      </c>
      <c r="J66" s="33" t="s">
        <v>524</v>
      </c>
      <c r="K66" s="33" t="s">
        <v>524</v>
      </c>
      <c r="L66" s="33" t="s">
        <v>524</v>
      </c>
      <c r="M66" s="33" t="s">
        <v>524</v>
      </c>
      <c r="N66" s="33" t="s">
        <v>524</v>
      </c>
      <c r="O66" s="33" t="s">
        <v>524</v>
      </c>
      <c r="P66" s="33" t="s">
        <v>524</v>
      </c>
      <c r="Q66" s="33" t="s">
        <v>524</v>
      </c>
      <c r="R66" s="31"/>
      <c r="S66" s="58"/>
      <c r="T66" s="102"/>
      <c r="U66" s="85"/>
      <c r="V66" s="75"/>
      <c r="W66" s="168"/>
    </row>
    <row r="67" spans="1:23" s="145" customFormat="1" ht="165" x14ac:dyDescent="0.25">
      <c r="A67" s="163" t="s">
        <v>525</v>
      </c>
      <c r="B67" s="54" t="s">
        <v>526</v>
      </c>
      <c r="C67" s="27" t="s">
        <v>30</v>
      </c>
      <c r="D67" s="84" t="s">
        <v>86</v>
      </c>
      <c r="E67" s="84" t="s">
        <v>77</v>
      </c>
      <c r="F67" s="28">
        <v>46568</v>
      </c>
      <c r="G67" s="28">
        <v>46568</v>
      </c>
      <c r="H67" s="84" t="s">
        <v>70</v>
      </c>
      <c r="I67" s="85" t="str">
        <f t="shared" si="1"/>
        <v>WBS: WBE-189
שם פרויקט: שער הגיא- הוספת שנאי שלישי 161/24 ק"ו, 50 מגוו"א מס' 524
מנה״פ: אשקבנד, נסים
יעד תכנית פיתוח: 30/06/2027
יעד מסתמן: 30/06/2027</v>
      </c>
      <c r="J67" s="31" t="s">
        <v>527</v>
      </c>
      <c r="K67" s="31" t="s">
        <v>527</v>
      </c>
      <c r="L67" s="31" t="s">
        <v>527</v>
      </c>
      <c r="M67" s="31" t="s">
        <v>528</v>
      </c>
      <c r="N67" s="31" t="s">
        <v>528</v>
      </c>
      <c r="O67" s="31" t="s">
        <v>528</v>
      </c>
      <c r="P67" s="31" t="s">
        <v>528</v>
      </c>
      <c r="Q67" s="31" t="s">
        <v>1553</v>
      </c>
      <c r="R67" s="31" t="s">
        <v>529</v>
      </c>
      <c r="S67" s="86"/>
      <c r="T67" s="59"/>
      <c r="U67" s="85"/>
      <c r="V67" s="75"/>
      <c r="W67" s="167" t="e">
        <f>VLOOKUP(טבלה13[[#This Row],[זיהוי]],#REF!,2,FALSE)</f>
        <v>#REF!</v>
      </c>
    </row>
    <row r="68" spans="1:23" s="145" customFormat="1" ht="120" x14ac:dyDescent="0.25">
      <c r="A68" s="163" t="s">
        <v>530</v>
      </c>
      <c r="B68" s="54" t="s">
        <v>531</v>
      </c>
      <c r="C68" s="27" t="s">
        <v>362</v>
      </c>
      <c r="D68" s="84" t="s">
        <v>86</v>
      </c>
      <c r="E68" s="84" t="s">
        <v>77</v>
      </c>
      <c r="F68" s="28">
        <v>46326</v>
      </c>
      <c r="G68" s="28">
        <v>46185</v>
      </c>
      <c r="H68" s="84" t="s">
        <v>93</v>
      </c>
      <c r="I68" s="85" t="str">
        <f t="shared" si="1"/>
        <v>WBS: WBM-40275
שם פרויקט: רמת חובב - שדרוג שדות 20 , 21
החלפת כל ציוד השדות
מנה״פ: אשקבנד, נסים
יעד תכנית פיתוח: 31/10/2026
יעד מסתמן: 12/06/2026</v>
      </c>
      <c r="J68" s="14" t="s">
        <v>532</v>
      </c>
      <c r="K68" s="68" t="s">
        <v>533</v>
      </c>
      <c r="L68" s="68" t="s">
        <v>534</v>
      </c>
      <c r="M68" s="68" t="s">
        <v>535</v>
      </c>
      <c r="N68" s="88" t="s">
        <v>536</v>
      </c>
      <c r="O68" s="88" t="s">
        <v>93</v>
      </c>
      <c r="P68" s="88" t="s">
        <v>93</v>
      </c>
      <c r="Q68" s="88" t="s">
        <v>93</v>
      </c>
      <c r="R68" s="31"/>
      <c r="S68" s="40"/>
      <c r="T68" s="59"/>
      <c r="U68" s="85"/>
      <c r="V68" s="75"/>
      <c r="W68" s="168"/>
    </row>
    <row r="69" spans="1:23" s="145" customFormat="1" ht="225" x14ac:dyDescent="0.25">
      <c r="A69" s="163" t="s">
        <v>537</v>
      </c>
      <c r="B69" s="54" t="s">
        <v>538</v>
      </c>
      <c r="C69" s="27" t="s">
        <v>30</v>
      </c>
      <c r="D69" s="84" t="s">
        <v>86</v>
      </c>
      <c r="E69" s="84" t="s">
        <v>77</v>
      </c>
      <c r="F69" s="28">
        <v>45917</v>
      </c>
      <c r="G69" s="28" t="s">
        <v>499</v>
      </c>
      <c r="H69" s="84" t="s">
        <v>93</v>
      </c>
      <c r="I69" s="85" t="str">
        <f t="shared" si="1"/>
        <v>WBS: WBE-184
שם פרויקט: רמת חובב-החלפת שנאי 33 מגוו"א 522 מגוו"א ל-50 מגוו"א
מנה״פ: אשקבנד, נסים
יעד תכנית פיתוח: 17/09/2025
יעד מסתמן: חושמל 30/09/2025</v>
      </c>
      <c r="J69" s="31" t="s">
        <v>539</v>
      </c>
      <c r="K69" s="31" t="s">
        <v>539</v>
      </c>
      <c r="L69" s="31" t="s">
        <v>539</v>
      </c>
      <c r="M69" s="31" t="s">
        <v>540</v>
      </c>
      <c r="N69" s="31" t="s">
        <v>541</v>
      </c>
      <c r="O69" s="31" t="s">
        <v>541</v>
      </c>
      <c r="P69" s="31" t="s">
        <v>541</v>
      </c>
      <c r="Q69" s="31" t="s">
        <v>541</v>
      </c>
      <c r="R69" s="31" t="s">
        <v>542</v>
      </c>
      <c r="S69" s="86" t="s">
        <v>83</v>
      </c>
      <c r="T69" s="59" t="s">
        <v>46</v>
      </c>
      <c r="U69" s="85"/>
      <c r="V69" s="75"/>
      <c r="W69" s="167" t="e">
        <f>VLOOKUP(טבלה13[[#This Row],[זיהוי]],#REF!,2,FALSE)</f>
        <v>#REF!</v>
      </c>
    </row>
    <row r="70" spans="1:23" s="145" customFormat="1" ht="225" x14ac:dyDescent="0.25">
      <c r="A70" s="163" t="s">
        <v>543</v>
      </c>
      <c r="B70" s="54" t="s">
        <v>544</v>
      </c>
      <c r="C70" s="27" t="s">
        <v>30</v>
      </c>
      <c r="D70" s="84" t="s">
        <v>86</v>
      </c>
      <c r="E70" s="84" t="s">
        <v>77</v>
      </c>
      <c r="F70" s="28">
        <v>46064</v>
      </c>
      <c r="G70" s="56" t="s">
        <v>545</v>
      </c>
      <c r="H70" s="84" t="s">
        <v>93</v>
      </c>
      <c r="I70" s="85" t="str">
        <f t="shared" si="1"/>
        <v>WBS: WBE-178
שם פרויקט: רמת חובב-החלפת שנאי 33 מגוו"א 521 מגוו"א ל-50 מגוו"א
מנה״פ: אשקבנד, נסים
יעד תכנית פיתוח: 11/02/2026
יעד מסתמן: שנאי חושמל , נשאר מ"ג</v>
      </c>
      <c r="J70" s="31" t="s">
        <v>539</v>
      </c>
      <c r="K70" s="31" t="s">
        <v>539</v>
      </c>
      <c r="L70" s="31" t="s">
        <v>539</v>
      </c>
      <c r="M70" s="31" t="s">
        <v>540</v>
      </c>
      <c r="N70" s="31" t="s">
        <v>541</v>
      </c>
      <c r="O70" s="31" t="s">
        <v>541</v>
      </c>
      <c r="P70" s="31" t="s">
        <v>541</v>
      </c>
      <c r="Q70" s="31" t="s">
        <v>541</v>
      </c>
      <c r="R70" s="31" t="s">
        <v>542</v>
      </c>
      <c r="S70" s="87" t="s">
        <v>83</v>
      </c>
      <c r="T70" s="59" t="s">
        <v>46</v>
      </c>
      <c r="U70" s="85"/>
      <c r="V70" s="75"/>
      <c r="W70" s="167" t="e">
        <f>VLOOKUP(טבלה13[[#This Row],[זיהוי]],#REF!,2,FALSE)</f>
        <v>#REF!</v>
      </c>
    </row>
    <row r="71" spans="1:23" s="146" customFormat="1" ht="285" x14ac:dyDescent="0.25">
      <c r="A71" s="163" t="s">
        <v>546</v>
      </c>
      <c r="B71" s="54" t="s">
        <v>547</v>
      </c>
      <c r="C71" s="27" t="s">
        <v>30</v>
      </c>
      <c r="D71" s="84" t="s">
        <v>86</v>
      </c>
      <c r="E71" s="84" t="s">
        <v>77</v>
      </c>
      <c r="F71" s="28">
        <v>46660</v>
      </c>
      <c r="G71" s="28" t="s">
        <v>548</v>
      </c>
      <c r="H71" s="84" t="s">
        <v>60</v>
      </c>
      <c r="I71" s="85" t="str">
        <f>"WBS: " &amp; A71 &amp; CHAR(10) &amp;
"שם פרויקט: " &amp; B71 &amp; CHAR(10) &amp;
"מנה״פ: " &amp; D71 &amp; CHAR(10) &amp;
"יעד תכנית פיתוח: " &amp; TEXT(F71,"dd/mm/yyyy") &amp; CHAR(10) &amp;
"יעד מסתמן: " &amp; TEXT(G71,"dd/mm/yyyy")</f>
        <v>WBS: WBE-305
שם פרויקט: רמת חובב - הוספת שנאי שלישי 50 מגוו"א, שדה שנאי, מכולת מ"ג
מנה״פ: אשקבנד, נסים
יעד תכנית פיתוח: 30/09/2027
יעד מסתמן: לא ידוע משום שתכנון אלק"מ טרם קיבל טיפול בנושא</v>
      </c>
      <c r="J71" s="33" t="s">
        <v>549</v>
      </c>
      <c r="K71" s="33" t="s">
        <v>550</v>
      </c>
      <c r="L71" s="33" t="s">
        <v>550</v>
      </c>
      <c r="M71" s="33" t="s">
        <v>551</v>
      </c>
      <c r="N71" s="33" t="s">
        <v>551</v>
      </c>
      <c r="O71" s="33" t="s">
        <v>551</v>
      </c>
      <c r="P71" s="33" t="s">
        <v>551</v>
      </c>
      <c r="Q71" s="179" t="s">
        <v>1449</v>
      </c>
      <c r="R71" s="31" t="s">
        <v>552</v>
      </c>
      <c r="S71" s="58" t="s">
        <v>27</v>
      </c>
      <c r="T71" s="66" t="s">
        <v>39</v>
      </c>
      <c r="U71" s="85"/>
      <c r="V71" s="75"/>
      <c r="W71" s="167" t="e">
        <f>VLOOKUP(טבלה13[[#This Row],[זיהוי]],#REF!,2,FALSE)</f>
        <v>#REF!</v>
      </c>
    </row>
    <row r="72" spans="1:23" s="146" customFormat="1" ht="150" x14ac:dyDescent="0.25">
      <c r="A72" s="180" t="s">
        <v>553</v>
      </c>
      <c r="B72" s="181" t="s">
        <v>554</v>
      </c>
      <c r="C72" s="182" t="s">
        <v>362</v>
      </c>
      <c r="D72" s="183" t="s">
        <v>86</v>
      </c>
      <c r="E72" s="183" t="s">
        <v>77</v>
      </c>
      <c r="F72" s="184" t="s">
        <v>555</v>
      </c>
      <c r="G72" s="184" t="s">
        <v>556</v>
      </c>
      <c r="H72" s="183" t="s">
        <v>60</v>
      </c>
      <c r="I72" s="85" t="str">
        <f>"WBS: " &amp; A72 &amp; CHAR(10) &amp;
"שם פרויקט: " &amp; B72 &amp; CHAR(10) &amp;
"מנה״פ: " &amp; D72 &amp; CHAR(10) &amp;
"יעד תכנית פיתוח: " &amp; TEXT(F72,"dd/mm/yyyy") &amp; CHAR(10) &amp;
"יעד מסתמן: " &amp; TEXT(G72,"dd/mm/yyyy")</f>
        <v>WBS: WBM-40506
שם פרויקט: רמת חובב שדה 2 - החלפת מפסק, החלפת 4 מנתקים, החלפת משנה זרם ( שנאי 522) 
מנה״פ: אשקבנד, נסים
יעד תכנית פיתוח: 31.03.2027
יעד מסתמן: 31.12.2027</v>
      </c>
      <c r="J72" s="42"/>
      <c r="K72" s="42"/>
      <c r="L72" s="42"/>
      <c r="M72" s="42"/>
      <c r="N72" s="42"/>
      <c r="O72" s="179"/>
      <c r="P72" s="179" t="s">
        <v>557</v>
      </c>
      <c r="Q72" s="179" t="s">
        <v>1450</v>
      </c>
      <c r="R72" s="185" t="s">
        <v>558</v>
      </c>
      <c r="S72" s="186" t="s">
        <v>27</v>
      </c>
      <c r="T72" s="187" t="s">
        <v>39</v>
      </c>
      <c r="U72" s="188"/>
      <c r="V72" s="189"/>
      <c r="W72" s="169"/>
    </row>
    <row r="73" spans="1:23" s="146" customFormat="1" ht="165" x14ac:dyDescent="0.25">
      <c r="A73" s="163" t="s">
        <v>559</v>
      </c>
      <c r="B73" s="54" t="s">
        <v>560</v>
      </c>
      <c r="C73" s="27" t="s">
        <v>362</v>
      </c>
      <c r="D73" s="81" t="s">
        <v>86</v>
      </c>
      <c r="E73" s="81" t="s">
        <v>77</v>
      </c>
      <c r="F73" s="28">
        <v>46745</v>
      </c>
      <c r="G73" s="28">
        <v>46745</v>
      </c>
      <c r="H73" s="81" t="s">
        <v>60</v>
      </c>
      <c r="I73" s="85" t="str">
        <f>"WBS: " &amp; A73 &amp; CHAR(10) &amp;
"שם פרויקט: " &amp; B73 &amp; CHAR(10) &amp;
"מנה״פ: " &amp; D73 &amp; CHAR(10) &amp;
"יעד תכנית פיתוח: " &amp; TEXT(F73,"dd/mm/yyyy") &amp; CHAR(10) &amp;
"יעד מסתמן: " &amp; TEXT(G73,"dd/mm/yyyy")</f>
        <v>WBS: WBM-00594
שם פרויקט: רמת חובב - הפרדת סוללות מצברים 220 וולט ב-2 חדרי מצברים נפרדים. התקנת 2 ממירים 220/60 וולט וביטול מצברים 60 וולט
מנה״פ: אשקבנד, נסים
יעד תכנית פיתוח: 24/12/2027
יעד מסתמן: 24/12/2027</v>
      </c>
      <c r="J73" s="42"/>
      <c r="K73" s="42"/>
      <c r="L73" s="42"/>
      <c r="M73" s="42"/>
      <c r="N73" s="33" t="s">
        <v>561</v>
      </c>
      <c r="O73" s="33" t="s">
        <v>562</v>
      </c>
      <c r="P73" s="33" t="s">
        <v>562</v>
      </c>
      <c r="Q73" s="33" t="s">
        <v>562</v>
      </c>
      <c r="R73" s="31"/>
      <c r="S73" s="58"/>
      <c r="T73" s="66"/>
      <c r="U73" s="85"/>
      <c r="V73" s="75"/>
      <c r="W73" s="169"/>
    </row>
    <row r="74" spans="1:23" s="145" customFormat="1" ht="240" x14ac:dyDescent="0.25">
      <c r="A74" s="163" t="s">
        <v>563</v>
      </c>
      <c r="B74" s="54" t="s">
        <v>564</v>
      </c>
      <c r="C74" s="27" t="s">
        <v>30</v>
      </c>
      <c r="D74" s="84" t="s">
        <v>86</v>
      </c>
      <c r="E74" s="84" t="s">
        <v>77</v>
      </c>
      <c r="F74" s="28">
        <v>45783</v>
      </c>
      <c r="G74" s="103" t="s">
        <v>565</v>
      </c>
      <c r="H74" s="84" t="s">
        <v>19</v>
      </c>
      <c r="I74" s="85" t="str">
        <f t="shared" si="1"/>
        <v>WBS: WBE-138
שם פרויקט: רותם-הקמת שני שדות והתקנת שני שנאים 161 כולל תוספת מפסק ומ"ז בשדה מקשר
מנה״פ: אשקבנד, נסים
יעד תכנית פיתוח: 06/05/2025
יעד מסתמן: חושמל</v>
      </c>
      <c r="J74" s="31" t="s">
        <v>566</v>
      </c>
      <c r="K74" s="31" t="s">
        <v>566</v>
      </c>
      <c r="L74" s="31" t="s">
        <v>566</v>
      </c>
      <c r="M74" s="31" t="s">
        <v>566</v>
      </c>
      <c r="N74" s="31" t="s">
        <v>566</v>
      </c>
      <c r="O74" s="31" t="s">
        <v>567</v>
      </c>
      <c r="P74" s="31" t="s">
        <v>567</v>
      </c>
      <c r="Q74" s="31" t="s">
        <v>567</v>
      </c>
      <c r="R74" s="63" t="s">
        <v>568</v>
      </c>
      <c r="S74" s="39" t="s">
        <v>83</v>
      </c>
      <c r="T74" s="59" t="s">
        <v>39</v>
      </c>
      <c r="U74" s="85"/>
      <c r="V74" s="75" t="s">
        <v>13</v>
      </c>
      <c r="W74" s="167" t="e">
        <f>VLOOKUP(טבלה13[[#This Row],[זיהוי]],#REF!,2,FALSE)</f>
        <v>#REF!</v>
      </c>
    </row>
    <row r="75" spans="1:23" s="145" customFormat="1" ht="165" x14ac:dyDescent="0.25">
      <c r="A75" s="163" t="s">
        <v>569</v>
      </c>
      <c r="B75" s="54" t="s">
        <v>570</v>
      </c>
      <c r="C75" s="27" t="s">
        <v>30</v>
      </c>
      <c r="D75" s="84" t="s">
        <v>86</v>
      </c>
      <c r="E75" s="84" t="s">
        <v>77</v>
      </c>
      <c r="F75" s="28">
        <v>47483</v>
      </c>
      <c r="G75" s="28">
        <v>47422</v>
      </c>
      <c r="H75" s="84" t="s">
        <v>60</v>
      </c>
      <c r="I75" s="85" t="str">
        <f t="shared" si="1"/>
        <v>WBS: WBE-181
שם פרויקט: רותם- התקנת 2 שדות קווים 1 , 7  לקליטת קו מערד
מנה״פ: אשקבנד, נסים
יעד תכנית פיתוח: 31/12/2029
יעד מסתמן: 31/10/2029</v>
      </c>
      <c r="J75" s="31" t="s">
        <v>571</v>
      </c>
      <c r="K75" s="31" t="s">
        <v>571</v>
      </c>
      <c r="L75" s="31" t="s">
        <v>571</v>
      </c>
      <c r="M75" s="31" t="s">
        <v>571</v>
      </c>
      <c r="N75" s="31" t="s">
        <v>571</v>
      </c>
      <c r="O75" s="31" t="s">
        <v>571</v>
      </c>
      <c r="P75" s="31" t="s">
        <v>571</v>
      </c>
      <c r="Q75" s="31" t="s">
        <v>571</v>
      </c>
      <c r="R75" s="63"/>
      <c r="S75" s="86" t="s">
        <v>71</v>
      </c>
      <c r="T75" s="59"/>
      <c r="U75" s="85"/>
      <c r="V75" s="75"/>
      <c r="W75" s="167" t="e">
        <f>VLOOKUP(טבלה13[[#This Row],[זיהוי]],#REF!,2,FALSE)</f>
        <v>#REF!</v>
      </c>
    </row>
    <row r="76" spans="1:23" s="145" customFormat="1" ht="105" x14ac:dyDescent="0.25">
      <c r="A76" s="163" t="s">
        <v>572</v>
      </c>
      <c r="B76" s="54" t="s">
        <v>573</v>
      </c>
      <c r="C76" s="27" t="s">
        <v>362</v>
      </c>
      <c r="D76" s="84" t="s">
        <v>86</v>
      </c>
      <c r="E76" s="84" t="s">
        <v>77</v>
      </c>
      <c r="F76" s="28">
        <v>46295</v>
      </c>
      <c r="G76" s="28"/>
      <c r="H76" s="84" t="s">
        <v>60</v>
      </c>
      <c r="I76" s="85" t="str">
        <f t="shared" si="1"/>
        <v>WBS: WBM-40195
שם פרויקט: רמת אביב – החלפת שנאים 511 ו-512
מנה״פ: אשקבנד, נסים
יעד תכנית פיתוח: 30/09/2026
יעד מסתמן: 00/01/1900</v>
      </c>
      <c r="J76" s="31" t="s">
        <v>574</v>
      </c>
      <c r="K76" s="31" t="s">
        <v>574</v>
      </c>
      <c r="L76" s="31" t="s">
        <v>574</v>
      </c>
      <c r="M76" s="31" t="s">
        <v>574</v>
      </c>
      <c r="N76" s="31" t="s">
        <v>574</v>
      </c>
      <c r="O76" s="31" t="s">
        <v>575</v>
      </c>
      <c r="P76" s="31" t="s">
        <v>575</v>
      </c>
      <c r="Q76" s="31" t="s">
        <v>575</v>
      </c>
      <c r="R76" s="63"/>
      <c r="S76" s="87"/>
      <c r="T76" s="59"/>
      <c r="U76" s="85"/>
      <c r="V76" s="75"/>
      <c r="W76" s="168"/>
    </row>
    <row r="77" spans="1:23" s="145" customFormat="1" ht="135" x14ac:dyDescent="0.25">
      <c r="A77" s="163" t="s">
        <v>578</v>
      </c>
      <c r="B77" s="54" t="s">
        <v>579</v>
      </c>
      <c r="C77" s="27" t="s">
        <v>30</v>
      </c>
      <c r="D77" s="84" t="s">
        <v>86</v>
      </c>
      <c r="E77" s="84" t="s">
        <v>77</v>
      </c>
      <c r="F77" s="28">
        <v>46234</v>
      </c>
      <c r="G77" s="28">
        <v>46233</v>
      </c>
      <c r="H77" s="84" t="s">
        <v>33</v>
      </c>
      <c r="I77" s="85" t="str">
        <f t="shared" si="1"/>
        <v>WBS: WBE-193
שם פרויקט: עטרות– התקנת שנאי חמישי 161/36 ק"ו
מנה״פ: אשקבנד, נסים
יעד תכנית פיתוח: 31/07/2026
יעד מסתמן: 30/07/2026</v>
      </c>
      <c r="J77" s="31" t="s">
        <v>580</v>
      </c>
      <c r="K77" s="31" t="s">
        <v>580</v>
      </c>
      <c r="L77" s="31" t="s">
        <v>581</v>
      </c>
      <c r="M77" s="31" t="s">
        <v>582</v>
      </c>
      <c r="N77" s="31" t="s">
        <v>583</v>
      </c>
      <c r="O77" s="31" t="s">
        <v>584</v>
      </c>
      <c r="P77" s="31" t="s">
        <v>584</v>
      </c>
      <c r="Q77" s="31" t="s">
        <v>584</v>
      </c>
      <c r="R77" s="31" t="s">
        <v>585</v>
      </c>
      <c r="S77" s="40" t="s">
        <v>83</v>
      </c>
      <c r="T77" s="41" t="s">
        <v>39</v>
      </c>
      <c r="U77" s="85"/>
      <c r="V77" s="75" t="s">
        <v>13</v>
      </c>
      <c r="W77" s="167" t="e">
        <f>VLOOKUP(טבלה13[[#This Row],[זיהוי]],#REF!,2,FALSE)</f>
        <v>#REF!</v>
      </c>
    </row>
    <row r="78" spans="1:23" s="146" customFormat="1" ht="165" x14ac:dyDescent="0.25">
      <c r="A78" s="163" t="s">
        <v>586</v>
      </c>
      <c r="B78" s="54" t="s">
        <v>587</v>
      </c>
      <c r="C78" s="27" t="s">
        <v>362</v>
      </c>
      <c r="D78" s="81" t="s">
        <v>86</v>
      </c>
      <c r="E78" s="81" t="s">
        <v>77</v>
      </c>
      <c r="F78" s="28">
        <v>46356</v>
      </c>
      <c r="G78" s="28">
        <v>46508</v>
      </c>
      <c r="H78" s="81" t="s">
        <v>51</v>
      </c>
      <c r="I78" s="85" t="str">
        <f>"WBS: " &amp; A78 &amp; CHAR(10) &amp;
"שם פרויקט: " &amp; B78 &amp; CHAR(10) &amp;
"מנה״פ: " &amp; D78 &amp; CHAR(10) &amp;
"יעד תכנית פיתוח: " &amp; TEXT(F78,"dd/mm/yyyy") &amp; CHAR(10) &amp;
"יעד מסתמן: " &amp; TEXT(G78,"dd/mm/yyyy")</f>
        <v>WBS: WBM-10317
שם פרויקט: עטרות - פירוק ציוד הצמדה  בשדה 5
מנה״פ: אשקבנד, נסים
יעד תכנית פיתוח: 30/11/2026
יעד מסתמן: 01/05/2027</v>
      </c>
      <c r="J78" s="42"/>
      <c r="K78" s="42"/>
      <c r="L78" s="33"/>
      <c r="M78" s="33" t="s">
        <v>588</v>
      </c>
      <c r="N78" s="33" t="s">
        <v>588</v>
      </c>
      <c r="O78" s="33" t="s">
        <v>588</v>
      </c>
      <c r="P78" s="33" t="s">
        <v>588</v>
      </c>
      <c r="Q78" s="33" t="s">
        <v>588</v>
      </c>
      <c r="R78" s="31" t="s">
        <v>589</v>
      </c>
      <c r="S78" s="58" t="s">
        <v>27</v>
      </c>
      <c r="T78" s="66"/>
      <c r="U78" s="85"/>
      <c r="V78" s="75"/>
      <c r="W78" s="169"/>
    </row>
    <row r="79" spans="1:23" s="146" customFormat="1" ht="195" x14ac:dyDescent="0.25">
      <c r="A79" s="163" t="s">
        <v>576</v>
      </c>
      <c r="B79" s="54" t="s">
        <v>590</v>
      </c>
      <c r="C79" s="27" t="s">
        <v>362</v>
      </c>
      <c r="D79" s="81" t="s">
        <v>86</v>
      </c>
      <c r="E79" s="81" t="s">
        <v>77</v>
      </c>
      <c r="F79" s="28">
        <v>46507</v>
      </c>
      <c r="G79" s="28">
        <v>46690</v>
      </c>
      <c r="H79" s="81" t="s">
        <v>51</v>
      </c>
      <c r="I79" s="85" t="str">
        <f>"WBS: " &amp; A79 &amp; CHAR(10) &amp;
"שם פרויקט: " &amp; B79 &amp; CHAR(10) &amp;
"מנה״פ: " &amp; D79 &amp; CHAR(10) &amp;
"יעד תכנית פיתוח: " &amp; TEXT(F79,"dd/mm/yyyy") &amp; CHAR(10) &amp;
"יעד מסתמן: " &amp; TEXT(G79,"dd/mm/yyyy")</f>
        <v>WBS: WBM-00358
שם פרויקט: עטרות - 1. פירוק 4 סוללות קבלים חיצוניות קיימות. .2 העתקת עמוד שנאי בית. .3התקנת 5 סוללות קבלים חדשות, בהספק של 2*5 מגווא"ר כ"א לשנאים 531, 532, 533, 534, 535.
מנה״פ: אשקבנד, נסים
יעד תכנית פיתוח: 30/04/2027
יעד מסתמן: 30/10/2027</v>
      </c>
      <c r="J79" s="42"/>
      <c r="K79" s="42"/>
      <c r="L79" s="42"/>
      <c r="M79" s="158" t="s">
        <v>591</v>
      </c>
      <c r="N79" s="158" t="s">
        <v>591</v>
      </c>
      <c r="O79" s="158" t="s">
        <v>591</v>
      </c>
      <c r="P79" s="158" t="s">
        <v>1451</v>
      </c>
      <c r="Q79" s="158" t="s">
        <v>1560</v>
      </c>
      <c r="R79" s="31" t="s">
        <v>589</v>
      </c>
      <c r="S79" s="58" t="s">
        <v>75</v>
      </c>
      <c r="T79" s="66" t="s">
        <v>27</v>
      </c>
      <c r="U79" s="85"/>
      <c r="V79" s="75"/>
      <c r="W79" s="169"/>
    </row>
    <row r="80" spans="1:23" s="145" customFormat="1" ht="120" x14ac:dyDescent="0.25">
      <c r="A80" s="163" t="s">
        <v>592</v>
      </c>
      <c r="B80" s="54" t="s">
        <v>593</v>
      </c>
      <c r="C80" s="27" t="s">
        <v>30</v>
      </c>
      <c r="D80" s="84" t="s">
        <v>86</v>
      </c>
      <c r="E80" s="84" t="s">
        <v>77</v>
      </c>
      <c r="F80" s="28">
        <v>46169</v>
      </c>
      <c r="G80" s="28" t="s">
        <v>594</v>
      </c>
      <c r="H80" s="84" t="s">
        <v>93</v>
      </c>
      <c r="I80" s="85" t="str">
        <f t="shared" si="1"/>
        <v>WBS: WBE-206
שם פרויקט: להבים-התקנת שנאי שלישי 50 מגוו"א
מנה״פ: אשקבנד, נסים
יעד תכנית פיתוח: 27/05/2026
יעד מסתמן: 31.05.26</v>
      </c>
      <c r="J80" s="31" t="s">
        <v>595</v>
      </c>
      <c r="K80" s="31" t="s">
        <v>595</v>
      </c>
      <c r="L80" s="31" t="s">
        <v>596</v>
      </c>
      <c r="M80" s="31" t="s">
        <v>597</v>
      </c>
      <c r="N80" s="31" t="s">
        <v>598</v>
      </c>
      <c r="O80" s="31" t="s">
        <v>565</v>
      </c>
      <c r="P80" s="31" t="s">
        <v>565</v>
      </c>
      <c r="Q80" s="31" t="s">
        <v>565</v>
      </c>
      <c r="R80" s="31"/>
      <c r="S80" s="40"/>
      <c r="T80" s="55"/>
      <c r="U80" s="85"/>
      <c r="V80" s="75"/>
      <c r="W80" s="167" t="e">
        <f>VLOOKUP(טבלה13[[#This Row],[זיהוי]],#REF!,2,FALSE)</f>
        <v>#REF!</v>
      </c>
    </row>
    <row r="81" spans="1:24" s="145" customFormat="1" ht="285" x14ac:dyDescent="0.25">
      <c r="A81" s="163" t="s">
        <v>599</v>
      </c>
      <c r="B81" s="54" t="s">
        <v>600</v>
      </c>
      <c r="C81" s="27" t="s">
        <v>15</v>
      </c>
      <c r="D81" s="84" t="s">
        <v>86</v>
      </c>
      <c r="E81" s="84" t="s">
        <v>77</v>
      </c>
      <c r="F81" s="28">
        <v>46599</v>
      </c>
      <c r="G81" s="28">
        <v>46630</v>
      </c>
      <c r="H81" s="84" t="s">
        <v>44</v>
      </c>
      <c r="I81" s="85" t="str">
        <f t="shared" si="1"/>
        <v>WBS: WBC-050
שם פרויקט: טרומן - הקמת תחמ"ש פנימית 161/24 ק"ו
מנה״פ: אשקבנד, נסים
יעד תכנית פיתוח: 31/07/2027
יעד מסתמן: 31/08/2027</v>
      </c>
      <c r="J81" s="14" t="s">
        <v>601</v>
      </c>
      <c r="K81" s="14" t="s">
        <v>601</v>
      </c>
      <c r="L81" s="14" t="s">
        <v>601</v>
      </c>
      <c r="M81" s="14" t="s">
        <v>601</v>
      </c>
      <c r="N81" s="14" t="s">
        <v>601</v>
      </c>
      <c r="O81" s="14" t="s">
        <v>601</v>
      </c>
      <c r="P81" s="14" t="s">
        <v>601</v>
      </c>
      <c r="Q81" s="190" t="s">
        <v>1452</v>
      </c>
      <c r="R81" s="31"/>
      <c r="S81" s="87"/>
      <c r="T81" s="59"/>
      <c r="U81" s="85"/>
      <c r="V81" s="75"/>
      <c r="W81" s="167" t="e">
        <f>VLOOKUP(טבלה13[[#This Row],[זיהוי]],#REF!,2,FALSE)</f>
        <v>#REF!</v>
      </c>
    </row>
    <row r="82" spans="1:24" s="145" customFormat="1" ht="345" x14ac:dyDescent="0.25">
      <c r="A82" s="163" t="s">
        <v>602</v>
      </c>
      <c r="B82" s="54" t="s">
        <v>603</v>
      </c>
      <c r="C82" s="27" t="s">
        <v>30</v>
      </c>
      <c r="D82" s="84" t="s">
        <v>86</v>
      </c>
      <c r="E82" s="84" t="s">
        <v>77</v>
      </c>
      <c r="F82" s="28">
        <v>46387</v>
      </c>
      <c r="G82" s="28">
        <v>46324</v>
      </c>
      <c r="H82" s="84" t="s">
        <v>19</v>
      </c>
      <c r="I82" s="85" t="str">
        <f t="shared" si="1"/>
        <v>WBS: WBE-280
שם פרויקט: דימונה סולארי- הקמת שדות 19 ו-21 במסדר 161 ק"ו
מנה״פ: אשקבנד, נסים
יעד תכנית פיתוח: 31/12/2026
יעד מסתמן: 29/10/2026</v>
      </c>
      <c r="J82" s="31" t="s">
        <v>604</v>
      </c>
      <c r="K82" s="31" t="s">
        <v>604</v>
      </c>
      <c r="L82" s="31" t="s">
        <v>605</v>
      </c>
      <c r="M82" s="31" t="s">
        <v>605</v>
      </c>
      <c r="N82" s="31" t="s">
        <v>606</v>
      </c>
      <c r="O82" s="31" t="s">
        <v>607</v>
      </c>
      <c r="P82" s="31" t="s">
        <v>607</v>
      </c>
      <c r="Q82" s="185" t="s">
        <v>1453</v>
      </c>
      <c r="R82" s="31" t="s">
        <v>608</v>
      </c>
      <c r="S82" s="87" t="s">
        <v>83</v>
      </c>
      <c r="T82" s="59" t="s">
        <v>39</v>
      </c>
      <c r="U82" s="85"/>
      <c r="V82" s="75"/>
      <c r="W82" s="167" t="e">
        <f>VLOOKUP(טבלה13[[#This Row],[זיהוי]],#REF!,2,FALSE)</f>
        <v>#REF!</v>
      </c>
    </row>
    <row r="83" spans="1:24" s="145" customFormat="1" ht="105" x14ac:dyDescent="0.25">
      <c r="A83" s="163" t="s">
        <v>609</v>
      </c>
      <c r="B83" s="54" t="s">
        <v>610</v>
      </c>
      <c r="C83" s="27" t="s">
        <v>362</v>
      </c>
      <c r="D83" s="84" t="s">
        <v>86</v>
      </c>
      <c r="E83" s="84" t="s">
        <v>77</v>
      </c>
      <c r="F83" s="28">
        <v>46751</v>
      </c>
      <c r="G83" s="28">
        <v>46356</v>
      </c>
      <c r="H83" s="84" t="s">
        <v>80</v>
      </c>
      <c r="I83" s="85" t="str">
        <f t="shared" si="1"/>
        <v>WBS: WBM-40507
שם פרויקט: דימונה - שדה 6 
מנה״פ: אשקבנד, נסים
יעד תכנית פיתוח: 30/12/2027
יעד מסתמן: 30/11/2026</v>
      </c>
      <c r="J83" s="43" t="s">
        <v>611</v>
      </c>
      <c r="K83" s="43" t="s">
        <v>611</v>
      </c>
      <c r="L83" s="43" t="s">
        <v>611</v>
      </c>
      <c r="M83" s="43" t="s">
        <v>612</v>
      </c>
      <c r="N83" s="43" t="s">
        <v>612</v>
      </c>
      <c r="O83" s="43" t="s">
        <v>612</v>
      </c>
      <c r="P83" s="43" t="s">
        <v>612</v>
      </c>
      <c r="Q83" s="43" t="s">
        <v>612</v>
      </c>
      <c r="R83" s="31"/>
      <c r="S83" s="39"/>
      <c r="T83" s="41"/>
      <c r="U83" s="85"/>
      <c r="V83" s="75"/>
      <c r="W83" s="168"/>
      <c r="X83" s="147"/>
    </row>
    <row r="84" spans="1:24" s="145" customFormat="1" ht="105" x14ac:dyDescent="0.25">
      <c r="A84" s="163" t="s">
        <v>613</v>
      </c>
      <c r="B84" s="54" t="s">
        <v>614</v>
      </c>
      <c r="C84" s="27" t="s">
        <v>362</v>
      </c>
      <c r="D84" s="84" t="s">
        <v>86</v>
      </c>
      <c r="E84" s="84" t="s">
        <v>77</v>
      </c>
      <c r="F84" s="28">
        <v>46203</v>
      </c>
      <c r="G84" s="28">
        <v>46233</v>
      </c>
      <c r="H84" s="84" t="s">
        <v>19</v>
      </c>
      <c r="I84" s="85" t="str">
        <f t="shared" si="1"/>
        <v>WBS: WBM-40523
שם פרויקט: דימונה - שדרוג שדה 13
מנה״פ: אשקבנד, נסים
יעד תכנית פיתוח: 30/06/2026
יעד מסתמן: 30/07/2026</v>
      </c>
      <c r="J84" s="31" t="s">
        <v>615</v>
      </c>
      <c r="K84" s="31" t="s">
        <v>615</v>
      </c>
      <c r="L84" s="31" t="s">
        <v>616</v>
      </c>
      <c r="M84" s="31" t="s">
        <v>617</v>
      </c>
      <c r="N84" s="31" t="s">
        <v>617</v>
      </c>
      <c r="O84" s="31" t="s">
        <v>618</v>
      </c>
      <c r="P84" s="31" t="s">
        <v>618</v>
      </c>
      <c r="Q84" s="31" t="s">
        <v>618</v>
      </c>
      <c r="R84" s="31" t="s">
        <v>589</v>
      </c>
      <c r="S84" s="87" t="s">
        <v>83</v>
      </c>
      <c r="T84" s="59"/>
      <c r="U84" s="85"/>
      <c r="V84" s="75"/>
      <c r="W84" s="168"/>
    </row>
    <row r="85" spans="1:24" s="145" customFormat="1" ht="120" x14ac:dyDescent="0.25">
      <c r="A85" s="163" t="s">
        <v>621</v>
      </c>
      <c r="B85" s="54" t="s">
        <v>622</v>
      </c>
      <c r="C85" s="27" t="s">
        <v>362</v>
      </c>
      <c r="D85" s="84" t="s">
        <v>86</v>
      </c>
      <c r="E85" s="84" t="s">
        <v>77</v>
      </c>
      <c r="F85" s="28">
        <v>46203</v>
      </c>
      <c r="G85" s="28"/>
      <c r="H85" s="84" t="s">
        <v>51</v>
      </c>
      <c r="I85" s="85" t="str">
        <f t="shared" si="1"/>
        <v>WBS: WBM-40062
שם פרויקט: דימונה - שדרוג שדה 14 - התאמת יכולת ל-1600 א'
מנה״פ: אשקבנד, נסים
יעד תכנית פיתוח: 30/06/2026
יעד מסתמן: 00/01/1900</v>
      </c>
      <c r="J85" s="31" t="s">
        <v>623</v>
      </c>
      <c r="K85" s="31" t="s">
        <v>623</v>
      </c>
      <c r="L85" s="31" t="s">
        <v>623</v>
      </c>
      <c r="M85" s="31" t="s">
        <v>623</v>
      </c>
      <c r="N85" s="31" t="s">
        <v>623</v>
      </c>
      <c r="O85" s="31" t="s">
        <v>623</v>
      </c>
      <c r="P85" s="31" t="s">
        <v>623</v>
      </c>
      <c r="Q85" s="31" t="s">
        <v>623</v>
      </c>
      <c r="R85" s="31"/>
      <c r="S85" s="87"/>
      <c r="T85" s="59"/>
      <c r="U85" s="85"/>
      <c r="V85" s="75"/>
      <c r="W85" s="168"/>
    </row>
    <row r="86" spans="1:24" s="145" customFormat="1" ht="180" x14ac:dyDescent="0.25">
      <c r="A86" s="164" t="s">
        <v>624</v>
      </c>
      <c r="B86" s="74" t="s">
        <v>625</v>
      </c>
      <c r="C86" s="27" t="s">
        <v>30</v>
      </c>
      <c r="D86" s="84" t="s">
        <v>86</v>
      </c>
      <c r="E86" s="84" t="s">
        <v>77</v>
      </c>
      <c r="F86" s="28">
        <v>47118</v>
      </c>
      <c r="G86" s="28" t="s">
        <v>556</v>
      </c>
      <c r="H86" s="84" t="s">
        <v>51</v>
      </c>
      <c r="I86" s="85" t="str">
        <f>"WBS: " &amp; A86 &amp; CHAR(10) &amp;
"שם פרויקט: " &amp; B86 &amp; CHAR(10) &amp;
"מנה״פ: " &amp; D86 &amp; CHAR(10) &amp;
"יעד תכנית פיתוח: " &amp; TEXT(F86,"dd/mm/yyyy") &amp; CHAR(10) &amp;
"יעד מסתמן: " &amp; TEXT(G86,"dd/mm/yyyy")</f>
        <v>WBS: WBE-289
שם פרויקט: דימונה-התאמת שדה 7 לדימונה סולארי ל-2500 א'
מנה״פ: אשקבנד, נסים
יעד תכנית פיתוח: 31/12/2028
יעד מסתמן: 31.12.2027</v>
      </c>
      <c r="J86" s="33" t="s">
        <v>626</v>
      </c>
      <c r="K86" s="33" t="s">
        <v>626</v>
      </c>
      <c r="L86" s="33" t="s">
        <v>626</v>
      </c>
      <c r="M86" s="33" t="s">
        <v>626</v>
      </c>
      <c r="N86" s="33" t="s">
        <v>626</v>
      </c>
      <c r="O86" s="33" t="s">
        <v>626</v>
      </c>
      <c r="P86" s="33" t="s">
        <v>626</v>
      </c>
      <c r="Q86" s="33" t="s">
        <v>626</v>
      </c>
      <c r="R86" s="31" t="s">
        <v>627</v>
      </c>
      <c r="S86" s="91"/>
      <c r="T86" s="92"/>
      <c r="U86" s="85"/>
      <c r="V86" s="75"/>
      <c r="W86" s="167" t="e">
        <f>VLOOKUP(טבלה13[[#This Row],[זיהוי]],#REF!,2,FALSE)</f>
        <v>#REF!</v>
      </c>
    </row>
    <row r="87" spans="1:24" s="145" customFormat="1" ht="210" x14ac:dyDescent="0.25">
      <c r="A87" s="191" t="s">
        <v>619</v>
      </c>
      <c r="B87" s="37" t="s">
        <v>628</v>
      </c>
      <c r="C87" s="27" t="s">
        <v>362</v>
      </c>
      <c r="D87" s="84" t="s">
        <v>86</v>
      </c>
      <c r="E87" s="84" t="s">
        <v>77</v>
      </c>
      <c r="F87" s="28">
        <v>47118</v>
      </c>
      <c r="G87" s="28">
        <v>47056</v>
      </c>
      <c r="H87" s="84" t="s">
        <v>51</v>
      </c>
      <c r="I87" s="85" t="str">
        <f>"WBS: " &amp; A87 &amp; CHAR(10) &amp;
"שם פרויקט: " &amp; B87 &amp; CHAR(10) &amp;
"מנה״פ: " &amp; D87 &amp; CHAR(10) &amp;
"יעד תכנית פיתוח: " &amp; TEXT(F87,"dd/mm/yyyy") &amp; CHAR(10) &amp;
"יעד מסתמן: " &amp; TEXT(G87,"dd/mm/yyyy")</f>
        <v>WBS: WBM-10432
שם פרויקט: דימונה - בחינת הפורטל לכוחות החדשים של תיילים בחתך 1*774 הנובעים מפרויקט הולכה WBO-483. התאמת הירידות, התיילים והמהדקים מקו ההולכה לפורטל בשדות: 20, 6 לחתך 1*774
מנה״פ: אשקבנד, נסים
יעד תכנית פיתוח: 31/12/2028
יעד מסתמן: 30/10/2028</v>
      </c>
      <c r="J87" s="42"/>
      <c r="K87" s="42"/>
      <c r="L87" s="42"/>
      <c r="M87" s="42"/>
      <c r="N87" s="42"/>
      <c r="O87" s="42"/>
      <c r="P87" s="63" t="s">
        <v>620</v>
      </c>
      <c r="Q87" s="31" t="s">
        <v>620</v>
      </c>
      <c r="R87" s="31"/>
      <c r="S87" s="91"/>
      <c r="T87" s="92"/>
      <c r="U87" s="85"/>
      <c r="V87" s="75"/>
      <c r="W87" s="167"/>
    </row>
    <row r="88" spans="1:24" s="145" customFormat="1" ht="240" x14ac:dyDescent="0.25">
      <c r="A88" s="163" t="s">
        <v>629</v>
      </c>
      <c r="B88" s="54" t="s">
        <v>630</v>
      </c>
      <c r="C88" s="27" t="s">
        <v>30</v>
      </c>
      <c r="D88" s="84" t="s">
        <v>86</v>
      </c>
      <c r="E88" s="84" t="s">
        <v>77</v>
      </c>
      <c r="F88" s="28">
        <v>46173</v>
      </c>
      <c r="G88" s="28">
        <v>46203</v>
      </c>
      <c r="H88" s="84" t="s">
        <v>33</v>
      </c>
      <c r="I88" s="85" t="str">
        <f t="shared" si="1"/>
        <v>WBS: WBE-088
שם פרויקט: דימונה- התקנת שנאי שלישי 33 ק"ו 50 מגו"א
מנה״פ: אשקבנד, נסים
יעד תכנית פיתוח: 31/05/2026
יעד מסתמן: 30/06/2026</v>
      </c>
      <c r="J88" s="31" t="s">
        <v>631</v>
      </c>
      <c r="K88" s="31" t="s">
        <v>631</v>
      </c>
      <c r="L88" s="31" t="s">
        <v>631</v>
      </c>
      <c r="M88" s="31" t="s">
        <v>632</v>
      </c>
      <c r="N88" s="31" t="s">
        <v>632</v>
      </c>
      <c r="O88" s="31" t="s">
        <v>632</v>
      </c>
      <c r="P88" s="31" t="s">
        <v>632</v>
      </c>
      <c r="Q88" s="194" t="s">
        <v>1454</v>
      </c>
      <c r="R88" s="31" t="s">
        <v>627</v>
      </c>
      <c r="S88" s="40" t="s">
        <v>83</v>
      </c>
      <c r="T88" s="41" t="s">
        <v>81</v>
      </c>
      <c r="U88" s="85"/>
      <c r="V88" s="75" t="s">
        <v>13</v>
      </c>
      <c r="W88" s="167" t="e">
        <f>VLOOKUP(טבלה13[[#This Row],[זיהוי]],#REF!,2,FALSE)</f>
        <v>#REF!</v>
      </c>
    </row>
    <row r="89" spans="1:24" s="145" customFormat="1" ht="135" x14ac:dyDescent="0.25">
      <c r="A89" s="165" t="s">
        <v>633</v>
      </c>
      <c r="B89" s="54" t="s">
        <v>634</v>
      </c>
      <c r="C89" s="27" t="s">
        <v>362</v>
      </c>
      <c r="D89" s="84" t="s">
        <v>86</v>
      </c>
      <c r="E89" s="84" t="s">
        <v>77</v>
      </c>
      <c r="F89" s="28">
        <v>46325</v>
      </c>
      <c r="G89" s="28" t="s">
        <v>577</v>
      </c>
      <c r="H89" s="84" t="s">
        <v>33</v>
      </c>
      <c r="I89" s="85" t="str">
        <f>"WBS: " &amp; A89 &amp; CHAR(10) &amp;
"שם פרויקט: " &amp; B89 &amp; CHAR(10) &amp;
"מנה״פ: " &amp; D89 &amp; CHAR(10) &amp;
"יעד תכנית פיתוח: " &amp; TEXT(F89,"dd/mm/yyyy") &amp; CHAR(10) &amp;
"יעד מסתמן: " &amp; TEXT(G89,"dd/mm/yyyy")</f>
        <v>WBS: WBM-01445
שם פרויקט: קרית גת-החלפת ציוד בשדות 5, 13 ומקשר
מנה״פ: אשקבנד, נסים
יעד תכנית פיתוח: 30/10/2026
יעד מסתמן: לא ידוע</v>
      </c>
      <c r="J89" s="33" t="s">
        <v>635</v>
      </c>
      <c r="K89" s="33" t="s">
        <v>635</v>
      </c>
      <c r="L89" s="33" t="s">
        <v>635</v>
      </c>
      <c r="M89" s="33" t="s">
        <v>636</v>
      </c>
      <c r="N89" s="33" t="s">
        <v>636</v>
      </c>
      <c r="O89" s="33" t="s">
        <v>636</v>
      </c>
      <c r="P89" s="33" t="s">
        <v>636</v>
      </c>
      <c r="Q89" s="192" t="s">
        <v>636</v>
      </c>
      <c r="R89" s="31"/>
      <c r="S89" s="58" t="s">
        <v>83</v>
      </c>
      <c r="T89" s="66"/>
      <c r="U89" s="85"/>
      <c r="V89" s="75"/>
      <c r="W89" s="168"/>
    </row>
    <row r="90" spans="1:24" s="145" customFormat="1" ht="135" x14ac:dyDescent="0.25">
      <c r="A90" s="163" t="s">
        <v>637</v>
      </c>
      <c r="B90" s="54" t="s">
        <v>638</v>
      </c>
      <c r="C90" s="27" t="s">
        <v>362</v>
      </c>
      <c r="D90" s="84" t="s">
        <v>86</v>
      </c>
      <c r="E90" s="84" t="s">
        <v>77</v>
      </c>
      <c r="F90" s="28">
        <v>46203</v>
      </c>
      <c r="G90" s="28">
        <v>46264</v>
      </c>
      <c r="H90" s="84" t="s">
        <v>33</v>
      </c>
      <c r="I90" s="85" t="str">
        <f t="shared" si="1"/>
        <v>WBS: WBM-01448
שם פרויקט: אריאל - פירוק סוללות קבלים מ"ג קיימות והתקנת 5 סוללות קבלים מודולריות 
מנה״פ: אשקבנד, נסים
יעד תכנית פיתוח: 30/06/2026
יעד מסתמן: 30/08/2026</v>
      </c>
      <c r="J90" s="31" t="s">
        <v>639</v>
      </c>
      <c r="K90" s="31" t="s">
        <v>639</v>
      </c>
      <c r="L90" s="31" t="s">
        <v>639</v>
      </c>
      <c r="M90" s="31" t="s">
        <v>640</v>
      </c>
      <c r="N90" s="31" t="s">
        <v>640</v>
      </c>
      <c r="O90" s="31" t="s">
        <v>641</v>
      </c>
      <c r="P90" s="31" t="s">
        <v>641</v>
      </c>
      <c r="Q90" s="31" t="s">
        <v>641</v>
      </c>
      <c r="R90" s="31" t="s">
        <v>642</v>
      </c>
      <c r="S90" s="39" t="s">
        <v>83</v>
      </c>
      <c r="T90" s="41"/>
      <c r="U90" s="85"/>
      <c r="V90" s="75"/>
      <c r="W90" s="168"/>
    </row>
    <row r="91" spans="1:24" s="145" customFormat="1" ht="120" x14ac:dyDescent="0.25">
      <c r="A91" s="163" t="s">
        <v>643</v>
      </c>
      <c r="B91" s="54" t="s">
        <v>644</v>
      </c>
      <c r="C91" s="27" t="s">
        <v>30</v>
      </c>
      <c r="D91" s="84" t="s">
        <v>86</v>
      </c>
      <c r="E91" s="84" t="s">
        <v>77</v>
      </c>
      <c r="F91" s="28">
        <v>46387</v>
      </c>
      <c r="G91" s="28">
        <v>46446</v>
      </c>
      <c r="H91" s="84" t="s">
        <v>44</v>
      </c>
      <c r="I91" s="85" t="str">
        <f t="shared" si="1"/>
        <v>WBS: WBE-190
שם פרויקט: אריאל – התקנת שנאי חמישי 161/36 ק"ו
מנה״פ: אשקבנד, נסים
יעד תכנית פיתוח: 31/12/2026
יעד מסתמן: 28/02/2027</v>
      </c>
      <c r="J91" s="31" t="s">
        <v>645</v>
      </c>
      <c r="K91" s="31" t="s">
        <v>645</v>
      </c>
      <c r="L91" s="31" t="s">
        <v>646</v>
      </c>
      <c r="M91" s="31" t="s">
        <v>647</v>
      </c>
      <c r="N91" s="31" t="s">
        <v>647</v>
      </c>
      <c r="O91" s="31" t="s">
        <v>648</v>
      </c>
      <c r="P91" s="31" t="s">
        <v>648</v>
      </c>
      <c r="Q91" s="31" t="s">
        <v>648</v>
      </c>
      <c r="R91" s="31"/>
      <c r="S91" s="86"/>
      <c r="T91" s="59"/>
      <c r="U91" s="85"/>
      <c r="V91" s="75"/>
      <c r="W91" s="167" t="e">
        <f>VLOOKUP(טבלה13[[#This Row],[זיהוי]],#REF!,2,FALSE)</f>
        <v>#REF!</v>
      </c>
    </row>
    <row r="92" spans="1:24" s="145" customFormat="1" ht="120" x14ac:dyDescent="0.25">
      <c r="A92" s="25" t="s">
        <v>649</v>
      </c>
      <c r="B92" s="26" t="s">
        <v>650</v>
      </c>
      <c r="C92" s="27" t="s">
        <v>15</v>
      </c>
      <c r="D92" s="84" t="s">
        <v>101</v>
      </c>
      <c r="E92" s="84" t="s">
        <v>62</v>
      </c>
      <c r="F92" s="28">
        <v>47482</v>
      </c>
      <c r="G92" s="28"/>
      <c r="H92" s="84"/>
      <c r="I92" s="85" t="str">
        <f>"WBS: " &amp; A92 &amp; CHAR(10) &amp;
"שם פרויקט: " &amp; B92 &amp; CHAR(10) &amp;
"מנה״פ: " &amp; D92 &amp; CHAR(10) &amp;
"יעד תכנית פיתוח: " &amp; TEXT(F92,"dd/mm/yyyy") &amp; CHAR(10) &amp;
"יעד מסתמן: " &amp; TEXT(G92,"dd/mm/yyyy")</f>
        <v>WBS: WBC-041
שם פרויקט: עזריאלי -הקמת תחמ"ש פנימית 161/24 ק"ו
מנה״פ: פוטרמן, שרון 
יעד תכנית פיתוח: 30/12/2029
יעד מסתמן: 00/01/1900</v>
      </c>
      <c r="J92" s="33" t="s">
        <v>651</v>
      </c>
      <c r="K92" s="33" t="s">
        <v>652</v>
      </c>
      <c r="L92" s="33" t="s">
        <v>653</v>
      </c>
      <c r="M92" s="33" t="s">
        <v>654</v>
      </c>
      <c r="N92" s="33" t="s">
        <v>655</v>
      </c>
      <c r="O92" s="33" t="s">
        <v>656</v>
      </c>
      <c r="P92" s="33" t="s">
        <v>656</v>
      </c>
      <c r="Q92" s="33" t="s">
        <v>1528</v>
      </c>
      <c r="R92" s="63"/>
      <c r="S92" s="91"/>
      <c r="T92" s="92"/>
      <c r="U92" s="85"/>
      <c r="V92" s="75"/>
      <c r="W92" s="167" t="e">
        <f>VLOOKUP(טבלה13[[#This Row],[זיהוי]],#REF!,2,FALSE)</f>
        <v>#REF!</v>
      </c>
    </row>
    <row r="93" spans="1:24" s="145" customFormat="1" ht="195" x14ac:dyDescent="0.25">
      <c r="A93" s="25" t="s">
        <v>41</v>
      </c>
      <c r="B93" s="26" t="s">
        <v>657</v>
      </c>
      <c r="C93" s="27" t="s">
        <v>30</v>
      </c>
      <c r="D93" s="84" t="s">
        <v>61</v>
      </c>
      <c r="E93" s="84" t="s">
        <v>62</v>
      </c>
      <c r="F93" s="67">
        <v>46203</v>
      </c>
      <c r="G93" s="28">
        <v>46264</v>
      </c>
      <c r="H93" s="84" t="s">
        <v>19</v>
      </c>
      <c r="I93" s="85" t="str">
        <f t="shared" si="1"/>
        <v>WBS: WBE-175
שם פרויקט: פתח תקווה-הוספת שנאי 525 161/24 ק"ו 50 מ
מנה״פ: אוברקוביץ, ענת
יעד תכנית פיתוח: 30/06/2026
יעד מסתמן: 30/08/2026</v>
      </c>
      <c r="J93" s="33" t="s">
        <v>658</v>
      </c>
      <c r="K93" s="33" t="s">
        <v>658</v>
      </c>
      <c r="L93" s="33" t="s">
        <v>659</v>
      </c>
      <c r="M93" s="33" t="s">
        <v>660</v>
      </c>
      <c r="N93" s="33" t="s">
        <v>661</v>
      </c>
      <c r="O93" s="33" t="s">
        <v>662</v>
      </c>
      <c r="P93" s="33" t="s">
        <v>663</v>
      </c>
      <c r="Q93" s="33" t="s">
        <v>663</v>
      </c>
      <c r="R93" s="63" t="s">
        <v>664</v>
      </c>
      <c r="S93" s="87"/>
      <c r="T93" s="59"/>
      <c r="U93" s="85"/>
      <c r="V93" s="75"/>
      <c r="W93" s="167" t="e">
        <f>VLOOKUP(טבלה13[[#This Row],[זיהוי]],#REF!,2,FALSE)</f>
        <v>#REF!</v>
      </c>
    </row>
    <row r="94" spans="1:24" s="145" customFormat="1" ht="135" x14ac:dyDescent="0.25">
      <c r="A94" s="25" t="s">
        <v>665</v>
      </c>
      <c r="B94" s="105" t="s">
        <v>666</v>
      </c>
      <c r="C94" s="27" t="s">
        <v>30</v>
      </c>
      <c r="D94" s="84" t="s">
        <v>72</v>
      </c>
      <c r="E94" s="84" t="s">
        <v>73</v>
      </c>
      <c r="F94" s="28">
        <v>46203</v>
      </c>
      <c r="G94" s="28">
        <v>46419</v>
      </c>
      <c r="H94" s="84" t="s">
        <v>44</v>
      </c>
      <c r="I94" s="85" t="str">
        <f t="shared" si="1"/>
        <v>WBS: WBE-205
שם פרויקט: ערד-החלפת 2 שנאים 33 ל-2 שנאים 50, הוספת שנאי רביעי 50 מגוו"א רב שלבי
מנה״פ: אוריאל שטרית 
יעד תכנית פיתוח: 30/06/2026
יעד מסתמן: 01/02/2027</v>
      </c>
      <c r="J94" s="63" t="s">
        <v>667</v>
      </c>
      <c r="K94" s="63" t="s">
        <v>668</v>
      </c>
      <c r="L94" s="63" t="s">
        <v>669</v>
      </c>
      <c r="M94" s="63" t="s">
        <v>670</v>
      </c>
      <c r="N94" s="63" t="s">
        <v>670</v>
      </c>
      <c r="O94" s="63" t="s">
        <v>671</v>
      </c>
      <c r="P94" s="63" t="s">
        <v>672</v>
      </c>
      <c r="Q94" s="63" t="s">
        <v>1568</v>
      </c>
      <c r="R94" s="63"/>
      <c r="S94" s="87"/>
      <c r="T94" s="59"/>
      <c r="U94" s="85"/>
      <c r="V94" s="75"/>
      <c r="W94" s="167" t="e">
        <f>VLOOKUP(טבלה13[[#This Row],[זיהוי]],#REF!,2,FALSE)</f>
        <v>#REF!</v>
      </c>
    </row>
    <row r="95" spans="1:24" s="145" customFormat="1" ht="120" x14ac:dyDescent="0.25">
      <c r="A95" s="25" t="s">
        <v>673</v>
      </c>
      <c r="B95" s="26" t="s">
        <v>674</v>
      </c>
      <c r="C95" s="27" t="s">
        <v>30</v>
      </c>
      <c r="D95" s="84" t="s">
        <v>72</v>
      </c>
      <c r="E95" s="84" t="s">
        <v>73</v>
      </c>
      <c r="F95" s="28">
        <v>46081</v>
      </c>
      <c r="G95" s="28">
        <v>46201</v>
      </c>
      <c r="H95" s="84" t="s">
        <v>93</v>
      </c>
      <c r="I95" s="85" t="str">
        <f t="shared" si="1"/>
        <v>WBS: WBE-153
שם פרויקט: ערד-הוספת שנאי שלישי 161/36 ק"ו 50 מגו"א
מנה״פ: אוריאל שטרית 
יעד תכנית פיתוח: 28/02/2026
יעד מסתמן: 28/06/2026</v>
      </c>
      <c r="J95" s="31" t="s">
        <v>675</v>
      </c>
      <c r="K95" s="31" t="s">
        <v>676</v>
      </c>
      <c r="L95" s="31" t="s">
        <v>677</v>
      </c>
      <c r="M95" s="31" t="s">
        <v>678</v>
      </c>
      <c r="N95" s="31" t="s">
        <v>678</v>
      </c>
      <c r="O95" s="31" t="s">
        <v>679</v>
      </c>
      <c r="P95" s="63" t="s">
        <v>680</v>
      </c>
      <c r="Q95" s="63" t="s">
        <v>680</v>
      </c>
      <c r="R95" s="106" t="s">
        <v>681</v>
      </c>
      <c r="S95" s="87"/>
      <c r="T95" s="59"/>
      <c r="U95" s="85"/>
      <c r="V95" s="75"/>
      <c r="W95" s="167" t="e">
        <f>VLOOKUP(טבלה13[[#This Row],[זיהוי]],#REF!,2,FALSE)</f>
        <v>#REF!</v>
      </c>
    </row>
    <row r="96" spans="1:24" s="145" customFormat="1" ht="120" x14ac:dyDescent="0.25">
      <c r="A96" s="25" t="s">
        <v>682</v>
      </c>
      <c r="B96" s="26" t="s">
        <v>683</v>
      </c>
      <c r="C96" s="27" t="s">
        <v>30</v>
      </c>
      <c r="D96" s="84" t="s">
        <v>72</v>
      </c>
      <c r="E96" s="84" t="s">
        <v>73</v>
      </c>
      <c r="F96" s="28">
        <v>46081</v>
      </c>
      <c r="G96" s="28">
        <v>46201</v>
      </c>
      <c r="H96" s="84" t="s">
        <v>93</v>
      </c>
      <c r="I96" s="85" t="str">
        <f t="shared" si="1"/>
        <v>WBS: WBE-152
שם פרויקט: ערד-הוספת 2 מסדרי מ"ג 36 ק"ו (פ''צ 3, 4).
מנה״פ: אוריאל שטרית 
יעד תכנית פיתוח: 28/02/2026
יעד מסתמן: 28/06/2026</v>
      </c>
      <c r="J96" s="63" t="s">
        <v>684</v>
      </c>
      <c r="K96" s="63" t="s">
        <v>676</v>
      </c>
      <c r="L96" s="63" t="s">
        <v>677</v>
      </c>
      <c r="M96" s="63" t="s">
        <v>678</v>
      </c>
      <c r="N96" s="63" t="s">
        <v>678</v>
      </c>
      <c r="O96" s="63" t="s">
        <v>679</v>
      </c>
      <c r="P96" s="63" t="s">
        <v>680</v>
      </c>
      <c r="Q96" s="63" t="s">
        <v>680</v>
      </c>
      <c r="R96" s="106" t="s">
        <v>681</v>
      </c>
      <c r="S96" s="87"/>
      <c r="T96" s="59"/>
      <c r="U96" s="85"/>
      <c r="V96" s="75"/>
      <c r="W96" s="167" t="e">
        <f>VLOOKUP(טבלה13[[#This Row],[זיהוי]],#REF!,2,FALSE)</f>
        <v>#REF!</v>
      </c>
    </row>
    <row r="97" spans="1:23" s="145" customFormat="1" ht="135" x14ac:dyDescent="0.25">
      <c r="A97" s="25" t="s">
        <v>685</v>
      </c>
      <c r="B97" s="26" t="s">
        <v>686</v>
      </c>
      <c r="C97" s="27" t="s">
        <v>30</v>
      </c>
      <c r="D97" s="84" t="s">
        <v>72</v>
      </c>
      <c r="E97" s="84" t="s">
        <v>73</v>
      </c>
      <c r="F97" s="28">
        <v>46387</v>
      </c>
      <c r="G97" s="28">
        <v>46386</v>
      </c>
      <c r="H97" s="84" t="s">
        <v>44</v>
      </c>
      <c r="I97" s="85" t="str">
        <f t="shared" si="1"/>
        <v>WBS: WBE-273
שם פרויקט: ערד- השלמת שדה מקשר פ"צ, הוספת מ"מ לפ"צ מס' 2, התקנת הגנת פ"צ
מנה״פ: אוריאל שטרית 
יעד תכנית פיתוח: 31/12/2026
יעד מסתמן: 30/12/2026</v>
      </c>
      <c r="J97" s="63" t="s">
        <v>667</v>
      </c>
      <c r="K97" s="63" t="s">
        <v>668</v>
      </c>
      <c r="L97" s="63" t="s">
        <v>669</v>
      </c>
      <c r="M97" s="63" t="s">
        <v>670</v>
      </c>
      <c r="N97" s="63" t="s">
        <v>670</v>
      </c>
      <c r="O97" s="63" t="s">
        <v>671</v>
      </c>
      <c r="P97" s="63" t="s">
        <v>672</v>
      </c>
      <c r="Q97" s="63" t="s">
        <v>1568</v>
      </c>
      <c r="R97" s="63"/>
      <c r="S97" s="87"/>
      <c r="T97" s="59"/>
      <c r="U97" s="85"/>
      <c r="V97" s="75"/>
      <c r="W97" s="167" t="e">
        <f>VLOOKUP(טבלה13[[#This Row],[זיהוי]],#REF!,2,FALSE)</f>
        <v>#REF!</v>
      </c>
    </row>
    <row r="98" spans="1:23" s="145" customFormat="1" ht="105" x14ac:dyDescent="0.25">
      <c r="A98" s="25" t="s">
        <v>687</v>
      </c>
      <c r="B98" s="26" t="s">
        <v>688</v>
      </c>
      <c r="C98" s="27" t="s">
        <v>30</v>
      </c>
      <c r="D98" s="84" t="s">
        <v>72</v>
      </c>
      <c r="E98" s="84" t="s">
        <v>73</v>
      </c>
      <c r="F98" s="28">
        <v>46295</v>
      </c>
      <c r="G98" s="28">
        <v>46388</v>
      </c>
      <c r="H98" s="84" t="s">
        <v>44</v>
      </c>
      <c r="I98" s="85" t="str">
        <f t="shared" si="1"/>
        <v>WBS: WBE-272
שם פרויקט: ערד- הקמת שדה 9 במסדר 161 ק"ו
מנה״פ: אוריאל שטרית 
יעד תכנית פיתוח: 30/09/2026
יעד מסתמן: 01/01/2027</v>
      </c>
      <c r="J98" s="63" t="s">
        <v>667</v>
      </c>
      <c r="K98" s="63" t="s">
        <v>668</v>
      </c>
      <c r="L98" s="63" t="s">
        <v>669</v>
      </c>
      <c r="M98" s="63" t="s">
        <v>669</v>
      </c>
      <c r="N98" s="63" t="s">
        <v>670</v>
      </c>
      <c r="O98" s="63" t="s">
        <v>671</v>
      </c>
      <c r="P98" s="63" t="s">
        <v>672</v>
      </c>
      <c r="Q98" s="63" t="s">
        <v>1568</v>
      </c>
      <c r="R98" s="63"/>
      <c r="S98" s="87"/>
      <c r="T98" s="59"/>
      <c r="U98" s="85"/>
      <c r="V98" s="75"/>
      <c r="W98" s="167" t="e">
        <f>VLOOKUP(טבלה13[[#This Row],[זיהוי]],#REF!,2,FALSE)</f>
        <v>#REF!</v>
      </c>
    </row>
    <row r="99" spans="1:23" s="145" customFormat="1" ht="270" x14ac:dyDescent="0.25">
      <c r="A99" s="25" t="s">
        <v>689</v>
      </c>
      <c r="B99" s="26" t="s">
        <v>690</v>
      </c>
      <c r="C99" s="27" t="s">
        <v>15</v>
      </c>
      <c r="D99" s="84" t="s">
        <v>62</v>
      </c>
      <c r="E99" s="84" t="s">
        <v>62</v>
      </c>
      <c r="F99" s="28">
        <v>45988</v>
      </c>
      <c r="G99" s="28" t="s">
        <v>691</v>
      </c>
      <c r="H99" s="84" t="s">
        <v>88</v>
      </c>
      <c r="I99" s="85" t="str">
        <f t="shared" si="1"/>
        <v>WBS: WBC-116
שם פרויקט: נחל צופים-הקמת תחמ"ש פנימית 161/13.8 ק"ו
מנה״פ: בסיל כהן יפעת 
יעד תכנית פיתוח: 27/11/2025
יעד מסתמן: חושמל 27/11/2025</v>
      </c>
      <c r="J99" s="63" t="s">
        <v>692</v>
      </c>
      <c r="K99" s="63" t="s">
        <v>692</v>
      </c>
      <c r="L99" s="63" t="s">
        <v>692</v>
      </c>
      <c r="M99" s="63" t="s">
        <v>693</v>
      </c>
      <c r="N99" s="63" t="s">
        <v>694</v>
      </c>
      <c r="O99" s="63" t="s">
        <v>694</v>
      </c>
      <c r="P99" s="63" t="s">
        <v>694</v>
      </c>
      <c r="Q99" s="63" t="s">
        <v>1469</v>
      </c>
      <c r="R99" s="63" t="s">
        <v>695</v>
      </c>
      <c r="S99" s="87"/>
      <c r="T99" s="59"/>
      <c r="U99" s="85"/>
      <c r="V99" s="75"/>
      <c r="W99" s="167" t="e">
        <f>VLOOKUP(טבלה13[[#This Row],[זיהוי]],#REF!,2,FALSE)</f>
        <v>#REF!</v>
      </c>
    </row>
    <row r="100" spans="1:23" s="145" customFormat="1" ht="120" x14ac:dyDescent="0.25">
      <c r="A100" s="25" t="s">
        <v>696</v>
      </c>
      <c r="B100" s="26" t="s">
        <v>697</v>
      </c>
      <c r="C100" s="27" t="s">
        <v>15</v>
      </c>
      <c r="D100" s="84" t="s">
        <v>96</v>
      </c>
      <c r="E100" s="84" t="s">
        <v>69</v>
      </c>
      <c r="F100" s="28">
        <v>46660</v>
      </c>
      <c r="G100" s="28">
        <v>47056</v>
      </c>
      <c r="H100" s="84" t="s">
        <v>67</v>
      </c>
      <c r="I100" s="85" t="str">
        <f t="shared" si="1"/>
        <v>WBS: WBC-015
שם פרויקט: גנים(אתר מכבית)-הקמת תחמ"ש פנימית 161/24
מנה״פ: יהודר בכר, אורית
יעד תכנית פיתוח: 30/09/2027
יעד מסתמן: 30/10/2028</v>
      </c>
      <c r="J100" s="13" t="s">
        <v>698</v>
      </c>
      <c r="K100" s="13" t="s">
        <v>698</v>
      </c>
      <c r="L100" s="13" t="s">
        <v>698</v>
      </c>
      <c r="M100" s="13" t="s">
        <v>699</v>
      </c>
      <c r="N100" s="13" t="s">
        <v>699</v>
      </c>
      <c r="O100" s="13" t="s">
        <v>700</v>
      </c>
      <c r="P100" s="13"/>
      <c r="Q100" s="13" t="s">
        <v>1543</v>
      </c>
      <c r="R100" s="63" t="s">
        <v>1544</v>
      </c>
      <c r="S100" s="87" t="s">
        <v>39</v>
      </c>
      <c r="T100" s="59"/>
      <c r="U100" s="85"/>
      <c r="V100" s="75"/>
      <c r="W100" s="167" t="e">
        <f>VLOOKUP(טבלה13[[#This Row],[זיהוי]],#REF!,2,FALSE)</f>
        <v>#REF!</v>
      </c>
    </row>
    <row r="101" spans="1:23" s="145" customFormat="1" ht="120" x14ac:dyDescent="0.25">
      <c r="A101" s="25" t="s">
        <v>701</v>
      </c>
      <c r="B101" s="26" t="s">
        <v>702</v>
      </c>
      <c r="C101" s="27" t="s">
        <v>219</v>
      </c>
      <c r="D101" s="84" t="s">
        <v>96</v>
      </c>
      <c r="E101" s="84" t="s">
        <v>69</v>
      </c>
      <c r="F101" s="28">
        <v>46142</v>
      </c>
      <c r="G101" s="56">
        <v>46264</v>
      </c>
      <c r="H101" s="84" t="s">
        <v>33</v>
      </c>
      <c r="I101" s="85" t="str">
        <f t="shared" si="1"/>
        <v>WBS: WBD-049
שם פרויקט: גנים (מכבית) ניידת-  הצבת תחמ"ש ניידת
מנה״פ: יהודר בכר, אורית
יעד תכנית פיתוח: 30/04/2026
יעד מסתמן: 30/08/2026</v>
      </c>
      <c r="J101" s="63" t="s">
        <v>703</v>
      </c>
      <c r="K101" s="63" t="s">
        <v>703</v>
      </c>
      <c r="L101" s="63" t="s">
        <v>703</v>
      </c>
      <c r="M101" s="63" t="s">
        <v>703</v>
      </c>
      <c r="N101" s="63" t="s">
        <v>703</v>
      </c>
      <c r="O101" s="63" t="s">
        <v>703</v>
      </c>
      <c r="P101" s="63"/>
      <c r="Q101" s="63" t="s">
        <v>1542</v>
      </c>
      <c r="R101" s="63" t="s">
        <v>704</v>
      </c>
      <c r="S101" s="87" t="s">
        <v>83</v>
      </c>
      <c r="T101" s="59"/>
      <c r="U101" s="85"/>
      <c r="V101" s="75"/>
      <c r="W101" s="167" t="e">
        <f>VLOOKUP(טבלה13[[#This Row],[זיהוי]],#REF!,2,FALSE)</f>
        <v>#REF!</v>
      </c>
    </row>
    <row r="102" spans="1:23" s="145" customFormat="1" ht="255" x14ac:dyDescent="0.25">
      <c r="A102" s="25" t="s">
        <v>705</v>
      </c>
      <c r="B102" s="26" t="s">
        <v>706</v>
      </c>
      <c r="C102" s="27" t="s">
        <v>15</v>
      </c>
      <c r="D102" s="84" t="s">
        <v>62</v>
      </c>
      <c r="E102" s="84" t="s">
        <v>62</v>
      </c>
      <c r="F102" s="28">
        <v>45853</v>
      </c>
      <c r="G102" s="28" t="s">
        <v>565</v>
      </c>
      <c r="H102" s="84" t="s">
        <v>88</v>
      </c>
      <c r="I102" s="85" t="str">
        <f t="shared" si="1"/>
        <v>WBS: WBC-027
שם פרויקט: גבעתיים - הקמת תחמ"ש פנימית 161/24 ק"ו
מנה״פ: בסיל כהן יפעת 
יעד תכנית פיתוח: 15/07/2025
יעד מסתמן: חושמל</v>
      </c>
      <c r="J102" s="104" t="s">
        <v>707</v>
      </c>
      <c r="K102" s="104" t="s">
        <v>707</v>
      </c>
      <c r="L102" s="104" t="s">
        <v>707</v>
      </c>
      <c r="M102" s="104" t="s">
        <v>707</v>
      </c>
      <c r="N102" s="104" t="s">
        <v>708</v>
      </c>
      <c r="O102" s="104" t="s">
        <v>708</v>
      </c>
      <c r="P102" s="104" t="s">
        <v>708</v>
      </c>
      <c r="Q102" s="104" t="s">
        <v>1470</v>
      </c>
      <c r="R102" s="63"/>
      <c r="S102" s="87"/>
      <c r="T102" s="59"/>
      <c r="U102" s="85"/>
      <c r="V102" s="75"/>
      <c r="W102" s="167" t="e">
        <f>VLOOKUP(טבלה13[[#This Row],[זיהוי]],#REF!,2,FALSE)</f>
        <v>#REF!</v>
      </c>
    </row>
    <row r="103" spans="1:23" s="145" customFormat="1" ht="120" x14ac:dyDescent="0.25">
      <c r="A103" s="25" t="s">
        <v>709</v>
      </c>
      <c r="B103" s="26" t="s">
        <v>710</v>
      </c>
      <c r="C103" s="27" t="s">
        <v>30</v>
      </c>
      <c r="D103" s="84" t="s">
        <v>72</v>
      </c>
      <c r="E103" s="84" t="s">
        <v>73</v>
      </c>
      <c r="F103" s="28">
        <v>46111</v>
      </c>
      <c r="G103" s="28">
        <v>46325</v>
      </c>
      <c r="H103" s="84" t="s">
        <v>44</v>
      </c>
      <c r="I103" s="85" t="str">
        <f t="shared" si="1"/>
        <v>WBS: WBE-204
שם פרויקט: אשלים-התקנת  2 שנאים 50 מגוו"א
מנה״פ: אוריאל שטרית 
יעד תכנית פיתוח: 30/03/2026
יעד מסתמן: 30/10/2026</v>
      </c>
      <c r="J103" s="13" t="s">
        <v>711</v>
      </c>
      <c r="K103" s="13" t="s">
        <v>712</v>
      </c>
      <c r="L103" s="13" t="s">
        <v>712</v>
      </c>
      <c r="M103" s="13" t="s">
        <v>713</v>
      </c>
      <c r="N103" s="13" t="s">
        <v>713</v>
      </c>
      <c r="O103" s="13" t="s">
        <v>713</v>
      </c>
      <c r="P103" s="13" t="s">
        <v>714</v>
      </c>
      <c r="Q103" s="13" t="s">
        <v>714</v>
      </c>
      <c r="R103" s="63"/>
      <c r="S103" s="87"/>
      <c r="T103" s="59"/>
      <c r="U103" s="85"/>
      <c r="V103" s="75"/>
      <c r="W103" s="167" t="e">
        <f>VLOOKUP(טבלה13[[#This Row],[זיהוי]],#REF!,2,FALSE)</f>
        <v>#REF!</v>
      </c>
    </row>
    <row r="104" spans="1:23" s="145" customFormat="1" ht="120" x14ac:dyDescent="0.25">
      <c r="A104" s="25" t="s">
        <v>715</v>
      </c>
      <c r="B104" s="26" t="s">
        <v>716</v>
      </c>
      <c r="C104" s="27" t="s">
        <v>30</v>
      </c>
      <c r="D104" s="84" t="s">
        <v>72</v>
      </c>
      <c r="E104" s="84" t="s">
        <v>73</v>
      </c>
      <c r="F104" s="28">
        <v>46418</v>
      </c>
      <c r="G104" s="28">
        <v>46325</v>
      </c>
      <c r="H104" s="84" t="s">
        <v>44</v>
      </c>
      <c r="I104" s="85" t="str">
        <f t="shared" si="1"/>
        <v>WBS: WBE-180
שם פרויקט: אשלים-PV3- התקנת שני שדות קווים 161/24 ק"ו
מנה״פ: אוריאל שטרית 
יעד תכנית פיתוח: 31/01/2027
יעד מסתמן: 30/10/2026</v>
      </c>
      <c r="J104" s="13" t="s">
        <v>711</v>
      </c>
      <c r="K104" s="13" t="s">
        <v>717</v>
      </c>
      <c r="L104" s="13" t="s">
        <v>717</v>
      </c>
      <c r="M104" s="13" t="s">
        <v>717</v>
      </c>
      <c r="N104" s="13" t="s">
        <v>717</v>
      </c>
      <c r="O104" s="13" t="s">
        <v>717</v>
      </c>
      <c r="P104" s="13" t="s">
        <v>717</v>
      </c>
      <c r="Q104" s="13" t="s">
        <v>717</v>
      </c>
      <c r="R104" s="63"/>
      <c r="S104" s="87"/>
      <c r="T104" s="59"/>
      <c r="U104" s="85"/>
      <c r="V104" s="75"/>
      <c r="W104" s="167" t="e">
        <f>VLOOKUP(טבלה13[[#This Row],[זיהוי]],#REF!,2,FALSE)</f>
        <v>#REF!</v>
      </c>
    </row>
    <row r="105" spans="1:23" s="145" customFormat="1" ht="135" x14ac:dyDescent="0.25">
      <c r="A105" s="25" t="s">
        <v>718</v>
      </c>
      <c r="B105" s="26" t="s">
        <v>719</v>
      </c>
      <c r="C105" s="27" t="s">
        <v>30</v>
      </c>
      <c r="D105" s="84" t="s">
        <v>87</v>
      </c>
      <c r="E105" s="84" t="s">
        <v>73</v>
      </c>
      <c r="F105" s="28">
        <v>46418</v>
      </c>
      <c r="G105" s="28">
        <v>46476</v>
      </c>
      <c r="H105" s="84" t="s">
        <v>51</v>
      </c>
      <c r="I105" s="85" t="str">
        <f t="shared" si="1"/>
        <v>WBS: WBK-021
שם פרויקט: אבן ספיר-התקנת שנאי קישור 400/161 ק"ו שלישי, 575 מגוו"א
מנה״פ: בן חמו, דביר 
יעד תכנית פיתוח: 31/01/2027
יעד מסתמן: 30/03/2027</v>
      </c>
      <c r="J105" s="140" t="s">
        <v>720</v>
      </c>
      <c r="K105" s="140" t="s">
        <v>720</v>
      </c>
      <c r="L105" s="140" t="s">
        <v>720</v>
      </c>
      <c r="M105" s="140" t="s">
        <v>721</v>
      </c>
      <c r="N105" s="140" t="s">
        <v>721</v>
      </c>
      <c r="O105" s="140" t="s">
        <v>721</v>
      </c>
      <c r="P105" s="140"/>
      <c r="Q105" s="140" t="s">
        <v>721</v>
      </c>
      <c r="R105" s="63"/>
      <c r="S105" s="86"/>
      <c r="T105" s="59"/>
      <c r="U105" s="85"/>
      <c r="V105" s="75"/>
      <c r="W105" s="167" t="e">
        <f>VLOOKUP(טבלה13[[#This Row],[זיהוי]],#REF!,2,FALSE)</f>
        <v>#REF!</v>
      </c>
    </row>
    <row r="106" spans="1:23" s="145" customFormat="1" ht="120" x14ac:dyDescent="0.25">
      <c r="A106" s="25" t="s">
        <v>722</v>
      </c>
      <c r="B106" s="26" t="s">
        <v>723</v>
      </c>
      <c r="C106" s="27" t="s">
        <v>30</v>
      </c>
      <c r="D106" s="84" t="s">
        <v>87</v>
      </c>
      <c r="E106" s="84" t="s">
        <v>73</v>
      </c>
      <c r="F106" s="28">
        <v>46934</v>
      </c>
      <c r="G106" s="28">
        <v>47087</v>
      </c>
      <c r="H106" s="84" t="s">
        <v>63</v>
      </c>
      <c r="I106" s="85" t="str">
        <f t="shared" si="1"/>
        <v>WBS: WBK-014
שם פרויקט: אבן ספיר-הרחבת תחמ"ג וחיבור שנאי קישור שלישי 453
מנה״פ: בן חמו, דביר 
יעד תכנית פיתוח: 30/06/2028
יעד מסתמן: 30/11/2028</v>
      </c>
      <c r="J106" s="140" t="s">
        <v>720</v>
      </c>
      <c r="K106" s="140" t="s">
        <v>720</v>
      </c>
      <c r="L106" s="140" t="s">
        <v>720</v>
      </c>
      <c r="M106" s="140" t="s">
        <v>724</v>
      </c>
      <c r="N106" s="140" t="s">
        <v>724</v>
      </c>
      <c r="O106" s="140" t="s">
        <v>724</v>
      </c>
      <c r="P106" s="140"/>
      <c r="Q106" s="140" t="s">
        <v>724</v>
      </c>
      <c r="R106" s="63"/>
      <c r="S106" s="86"/>
      <c r="T106" s="59"/>
      <c r="U106" s="85"/>
      <c r="V106" s="75"/>
      <c r="W106" s="167" t="e">
        <f>VLOOKUP(טבלה13[[#This Row],[זיהוי]],#REF!,2,FALSE)</f>
        <v>#REF!</v>
      </c>
    </row>
    <row r="107" spans="1:23" s="145" customFormat="1" ht="409.6" x14ac:dyDescent="0.25">
      <c r="A107" s="25" t="s">
        <v>725</v>
      </c>
      <c r="B107" s="26" t="s">
        <v>726</v>
      </c>
      <c r="C107" s="27" t="s">
        <v>15</v>
      </c>
      <c r="D107" s="84" t="s">
        <v>92</v>
      </c>
      <c r="E107" s="84" t="s">
        <v>65</v>
      </c>
      <c r="F107" s="28">
        <v>47847</v>
      </c>
      <c r="G107" s="28">
        <v>47847</v>
      </c>
      <c r="H107" s="84" t="s">
        <v>67</v>
      </c>
      <c r="I107" s="85" t="str">
        <f t="shared" si="1"/>
        <v>WBS: WBJ-015
שם פרויקט: דן- הקמת תחמ"ג 
מנה״פ: ברח'ד, טובה
יעד תכנית פיתוח: 30/12/2030
יעד מסתמן: 30/12/2030</v>
      </c>
      <c r="J107" s="63" t="s">
        <v>727</v>
      </c>
      <c r="K107" s="63" t="s">
        <v>728</v>
      </c>
      <c r="L107" s="63" t="s">
        <v>729</v>
      </c>
      <c r="M107" s="63" t="s">
        <v>730</v>
      </c>
      <c r="N107" s="63" t="s">
        <v>731</v>
      </c>
      <c r="O107" s="63" t="s">
        <v>732</v>
      </c>
      <c r="P107" s="63" t="s">
        <v>733</v>
      </c>
      <c r="Q107" s="63" t="s">
        <v>1477</v>
      </c>
      <c r="R107" s="64" t="s">
        <v>1478</v>
      </c>
      <c r="S107" s="86" t="s">
        <v>39</v>
      </c>
      <c r="T107" s="101"/>
      <c r="U107" s="85"/>
      <c r="V107" s="75"/>
      <c r="W107" s="167" t="e">
        <f>VLOOKUP(טבלה13[[#This Row],[זיהוי]],#REF!,2,FALSE)</f>
        <v>#REF!</v>
      </c>
    </row>
    <row r="108" spans="1:23" s="145" customFormat="1" ht="120" x14ac:dyDescent="0.25">
      <c r="A108" s="25" t="s">
        <v>734</v>
      </c>
      <c r="B108" s="26" t="s">
        <v>735</v>
      </c>
      <c r="C108" s="27" t="s">
        <v>30</v>
      </c>
      <c r="D108" s="84" t="s">
        <v>92</v>
      </c>
      <c r="E108" s="84" t="s">
        <v>65</v>
      </c>
      <c r="F108" s="28">
        <v>46783</v>
      </c>
      <c r="G108" s="28">
        <v>46356</v>
      </c>
      <c r="H108" s="84" t="s">
        <v>19</v>
      </c>
      <c r="I108" s="85" t="str">
        <f t="shared" si="1"/>
        <v>WBS: WBE-283
שם פרויקט: צחר-הקמת שדה קו חיבור כבל תת"ק משדה עמיאל
מנה״פ: ברח'ד, טובה
יעד תכנית פיתוח: 31/01/2028
יעד מסתמן: 30/11/2026</v>
      </c>
      <c r="J108" s="63" t="s">
        <v>736</v>
      </c>
      <c r="K108" s="63" t="s">
        <v>737</v>
      </c>
      <c r="L108" s="63" t="s">
        <v>737</v>
      </c>
      <c r="M108" s="63" t="s">
        <v>737</v>
      </c>
      <c r="N108" s="63" t="s">
        <v>737</v>
      </c>
      <c r="O108" s="63" t="s">
        <v>737</v>
      </c>
      <c r="P108" s="63" t="s">
        <v>738</v>
      </c>
      <c r="Q108" s="63" t="s">
        <v>738</v>
      </c>
      <c r="R108" s="63"/>
      <c r="S108" s="87"/>
      <c r="T108" s="59"/>
      <c r="U108" s="85"/>
      <c r="V108" s="75"/>
      <c r="W108" s="167" t="e">
        <f>VLOOKUP(טבלה13[[#This Row],[זיהוי]],#REF!,2,FALSE)</f>
        <v>#REF!</v>
      </c>
    </row>
    <row r="109" spans="1:23" s="145" customFormat="1" ht="210" x14ac:dyDescent="0.25">
      <c r="A109" s="25" t="s">
        <v>739</v>
      </c>
      <c r="B109" s="26" t="s">
        <v>740</v>
      </c>
      <c r="C109" s="27" t="s">
        <v>15</v>
      </c>
      <c r="D109" s="84" t="s">
        <v>92</v>
      </c>
      <c r="E109" s="84" t="s">
        <v>65</v>
      </c>
      <c r="F109" s="28">
        <v>46356</v>
      </c>
      <c r="G109" s="28">
        <v>46356</v>
      </c>
      <c r="H109" s="84" t="s">
        <v>19</v>
      </c>
      <c r="I109" s="85" t="str">
        <f t="shared" si="1"/>
        <v>WBS: WBC-007
שם פרויקט: צחר- הקמת תחמש חיצונית 161/24 ק"ו
מנה״פ: ברח'ד, טובה
יעד תכנית פיתוח: 30/11/2026
יעד מסתמן: 30/11/2026</v>
      </c>
      <c r="J109" s="31" t="s">
        <v>741</v>
      </c>
      <c r="K109" s="31" t="s">
        <v>742</v>
      </c>
      <c r="L109" s="31" t="s">
        <v>742</v>
      </c>
      <c r="M109" s="31" t="s">
        <v>743</v>
      </c>
      <c r="N109" s="31" t="s">
        <v>744</v>
      </c>
      <c r="O109" s="63" t="s">
        <v>745</v>
      </c>
      <c r="P109" s="63" t="s">
        <v>746</v>
      </c>
      <c r="Q109" s="63" t="s">
        <v>1479</v>
      </c>
      <c r="R109" s="31" t="s">
        <v>747</v>
      </c>
      <c r="S109" s="87"/>
      <c r="T109" s="59"/>
      <c r="U109" s="85"/>
      <c r="V109" s="75"/>
      <c r="W109" s="167" t="e">
        <f>VLOOKUP(טבלה13[[#This Row],[זיהוי]],#REF!,2,FALSE)</f>
        <v>#REF!</v>
      </c>
    </row>
    <row r="110" spans="1:23" s="145" customFormat="1" ht="409.6" x14ac:dyDescent="0.25">
      <c r="A110" s="25" t="s">
        <v>748</v>
      </c>
      <c r="B110" s="26" t="s">
        <v>749</v>
      </c>
      <c r="C110" s="27" t="s">
        <v>15</v>
      </c>
      <c r="D110" s="84" t="s">
        <v>92</v>
      </c>
      <c r="E110" s="84" t="s">
        <v>65</v>
      </c>
      <c r="F110" s="28">
        <v>47118</v>
      </c>
      <c r="G110" s="35">
        <v>46934</v>
      </c>
      <c r="H110" s="84" t="s">
        <v>51</v>
      </c>
      <c r="I110" s="85" t="str">
        <f t="shared" si="1"/>
        <v>WBS: WBC-004
שם פרויקט: ביכורים (אסיף)-הקמת תחמ"ש פנימית 161/24
מנה״פ: ברח'ד, טובה
יעד תכנית פיתוח: 31/12/2028
יעד מסתמן: 30/06/2028</v>
      </c>
      <c r="J110" s="63" t="s">
        <v>750</v>
      </c>
      <c r="K110" s="63" t="s">
        <v>750</v>
      </c>
      <c r="L110" s="63" t="s">
        <v>751</v>
      </c>
      <c r="M110" s="63" t="s">
        <v>751</v>
      </c>
      <c r="N110" s="63" t="s">
        <v>752</v>
      </c>
      <c r="O110" s="63" t="s">
        <v>753</v>
      </c>
      <c r="P110" s="63" t="s">
        <v>754</v>
      </c>
      <c r="Q110" s="63" t="s">
        <v>754</v>
      </c>
      <c r="R110" s="63" t="s">
        <v>755</v>
      </c>
      <c r="S110" s="86" t="s">
        <v>81</v>
      </c>
      <c r="T110" s="59"/>
      <c r="U110" s="85"/>
      <c r="V110" s="75"/>
      <c r="W110" s="167" t="e">
        <f>VLOOKUP(טבלה13[[#This Row],[זיהוי]],#REF!,2,FALSE)</f>
        <v>#REF!</v>
      </c>
    </row>
    <row r="111" spans="1:23" s="148" customFormat="1" ht="210" x14ac:dyDescent="0.25">
      <c r="A111" s="25" t="s">
        <v>756</v>
      </c>
      <c r="B111" s="26" t="s">
        <v>757</v>
      </c>
      <c r="C111" s="27" t="s">
        <v>30</v>
      </c>
      <c r="D111" s="84" t="s">
        <v>94</v>
      </c>
      <c r="E111" s="84" t="s">
        <v>69</v>
      </c>
      <c r="F111" s="28">
        <v>46173</v>
      </c>
      <c r="G111" s="28">
        <v>46599</v>
      </c>
      <c r="H111" s="84" t="s">
        <v>33</v>
      </c>
      <c r="I111" s="85" t="str">
        <f>"WBS: " &amp; A111 &amp; CHAR(10) &amp;
"שם פרויקט: " &amp; B111 &amp; CHAR(10) &amp;
"מנה״פ: " &amp; D111 &amp; CHAR(10) &amp;
"יעד תכנית פיתוח: " &amp; TEXT(F111,"dd/mm/yyyy") &amp; CHAR(10) &amp;
"יעד מסתמן: " &amp; TEXT(G111,"dd/mm/yyyy")</f>
        <v>WBS: WBE-154
שם פרויקט: ירושלים ה -הוספת שנאי 514 , 56 מגוו"א
מנה״פ: ברקוביץ, משה
יעד תכנית פיתוח: 31/05/2026
יעד מסתמן: 31/07/2027</v>
      </c>
      <c r="J111" s="34" t="s">
        <v>758</v>
      </c>
      <c r="K111" s="34" t="s">
        <v>759</v>
      </c>
      <c r="L111" s="34" t="s">
        <v>760</v>
      </c>
      <c r="M111" s="34" t="s">
        <v>760</v>
      </c>
      <c r="N111" s="34" t="s">
        <v>761</v>
      </c>
      <c r="O111" s="63" t="s">
        <v>762</v>
      </c>
      <c r="P111" s="63" t="s">
        <v>762</v>
      </c>
      <c r="Q111" s="63" t="s">
        <v>1471</v>
      </c>
      <c r="R111" s="63" t="s">
        <v>763</v>
      </c>
      <c r="S111" s="59"/>
      <c r="T111" s="59"/>
      <c r="U111" s="85"/>
      <c r="V111" s="75" t="s">
        <v>13</v>
      </c>
      <c r="W111" s="167" t="e">
        <f>VLOOKUP(טבלה13[[#This Row],[זיהוי]],#REF!,2,FALSE)</f>
        <v>#REF!</v>
      </c>
    </row>
    <row r="112" spans="1:23" s="148" customFormat="1" ht="345" x14ac:dyDescent="0.25">
      <c r="A112" s="25" t="s">
        <v>764</v>
      </c>
      <c r="B112" s="26" t="s">
        <v>765</v>
      </c>
      <c r="C112" s="27" t="s">
        <v>362</v>
      </c>
      <c r="D112" s="84" t="s">
        <v>94</v>
      </c>
      <c r="E112" s="84" t="s">
        <v>69</v>
      </c>
      <c r="F112" s="28">
        <v>46173</v>
      </c>
      <c r="G112" s="28">
        <v>46387</v>
      </c>
      <c r="H112" s="84" t="s">
        <v>51</v>
      </c>
      <c r="I112" s="85" t="str">
        <f>"WBS: " &amp; A112 &amp; CHAR(10) &amp;
"שם פרויקט: " &amp; B112 &amp; CHAR(10) &amp;
"מנה״פ: " &amp; D112 &amp; CHAR(10) &amp;
"יעד תכנית פיתוח: " &amp; TEXT(F112,"dd/mm/yyyy") &amp; CHAR(10) &amp;
"יעד מסתמן: " &amp; TEXT(G112,"dd/mm/yyyy")</f>
        <v>WBS: WBM-00885-055
שם פרויקט: ירושלים ה'- התאמת מע' מים לכיבוי אש
מנה״פ: ברקוביץ, משה
יעד תכנית פיתוח: 31/05/2026
יעד מסתמן: 31/12/2026</v>
      </c>
      <c r="J112" s="42" t="s">
        <v>766</v>
      </c>
      <c r="K112" s="42" t="s">
        <v>767</v>
      </c>
      <c r="L112" s="42" t="s">
        <v>768</v>
      </c>
      <c r="M112" s="42" t="s">
        <v>769</v>
      </c>
      <c r="N112" s="42" t="s">
        <v>770</v>
      </c>
      <c r="O112" s="42" t="s">
        <v>771</v>
      </c>
      <c r="P112" s="42" t="s">
        <v>772</v>
      </c>
      <c r="Q112" s="42" t="s">
        <v>1472</v>
      </c>
      <c r="R112" s="63" t="s">
        <v>773</v>
      </c>
      <c r="S112" s="59"/>
      <c r="T112" s="59"/>
      <c r="U112" s="85"/>
      <c r="V112" s="75"/>
      <c r="W112" s="168"/>
    </row>
    <row r="113" spans="1:23" s="148" customFormat="1" ht="409.6" x14ac:dyDescent="0.25">
      <c r="A113" s="25" t="s">
        <v>774</v>
      </c>
      <c r="B113" s="26" t="s">
        <v>775</v>
      </c>
      <c r="C113" s="27" t="s">
        <v>15</v>
      </c>
      <c r="D113" s="84" t="s">
        <v>94</v>
      </c>
      <c r="E113" s="84" t="s">
        <v>69</v>
      </c>
      <c r="F113" s="28">
        <v>47299</v>
      </c>
      <c r="G113" s="28">
        <v>47299</v>
      </c>
      <c r="H113" s="84" t="s">
        <v>51</v>
      </c>
      <c r="I113" s="108" t="str">
        <f>"WBS: " &amp; A113 &amp; CHAR(10) &amp;
"שם פרויקט: " &amp; B113 &amp; CHAR(10) &amp;
"מנה״פ: " &amp; D113 &amp; CHAR(10) &amp;
"יעד תכנית פיתוח: " &amp; TEXT(F113,"dd/mm/yyyy") &amp; CHAR(10) &amp;
"יעד מסתמן: " &amp; TEXT(G113,"dd/mm/yyyy")</f>
        <v>WBS: WBC-044
שם פרויקט: ירושלים דרום (גבעת המטוס)-הקמת תחמ"ש פנימית 161/13.8
מנה״פ: ברקוביץ, משה
יעד תכנית פיתוח: 30/06/2029
יעד מסתמן: 30/06/2029</v>
      </c>
      <c r="J113" s="63" t="s">
        <v>776</v>
      </c>
      <c r="K113" s="63" t="s">
        <v>777</v>
      </c>
      <c r="L113" s="63" t="s">
        <v>778</v>
      </c>
      <c r="M113" s="42"/>
      <c r="N113" s="63" t="s">
        <v>779</v>
      </c>
      <c r="O113" s="63" t="s">
        <v>780</v>
      </c>
      <c r="P113" s="63" t="s">
        <v>780</v>
      </c>
      <c r="Q113" s="63" t="s">
        <v>1473</v>
      </c>
      <c r="R113" s="63" t="s">
        <v>781</v>
      </c>
      <c r="S113" s="109" t="s">
        <v>83</v>
      </c>
      <c r="T113" s="59"/>
      <c r="U113" s="85"/>
      <c r="V113" s="75"/>
      <c r="W113" s="167" t="e">
        <f>VLOOKUP(טבלה13[[#This Row],[זיהוי]],#REF!,2,FALSE)</f>
        <v>#REF!</v>
      </c>
    </row>
    <row r="114" spans="1:23" s="145" customFormat="1" ht="105" x14ac:dyDescent="0.25">
      <c r="A114" s="25" t="s">
        <v>782</v>
      </c>
      <c r="B114" s="26" t="s">
        <v>783</v>
      </c>
      <c r="C114" s="27" t="s">
        <v>30</v>
      </c>
      <c r="D114" s="84" t="s">
        <v>94</v>
      </c>
      <c r="E114" s="84" t="s">
        <v>69</v>
      </c>
      <c r="F114" s="28">
        <v>46142</v>
      </c>
      <c r="G114" s="28">
        <v>46172</v>
      </c>
      <c r="H114" s="84" t="s">
        <v>93</v>
      </c>
      <c r="I114" s="85" t="str">
        <f t="shared" si="1"/>
        <v>WBS: WBE-093
שם פרויקט: ירושלים ד'- הקמת בנין
מנה״פ: ברקוביץ, משה
יעד תכנית פיתוח: 30/04/2026
יעד מסתמן: 30/05/2026</v>
      </c>
      <c r="J114" s="63" t="s">
        <v>784</v>
      </c>
      <c r="K114" s="63" t="s">
        <v>785</v>
      </c>
      <c r="L114" s="63" t="s">
        <v>786</v>
      </c>
      <c r="M114" s="63" t="s">
        <v>786</v>
      </c>
      <c r="N114" s="63" t="s">
        <v>786</v>
      </c>
      <c r="O114" s="63" t="s">
        <v>786</v>
      </c>
      <c r="P114" s="63" t="s">
        <v>786</v>
      </c>
      <c r="Q114" s="63" t="s">
        <v>786</v>
      </c>
      <c r="R114" s="71"/>
      <c r="S114" s="84"/>
      <c r="T114" s="59"/>
      <c r="U114" s="85"/>
      <c r="V114" s="75"/>
      <c r="W114" s="167" t="e">
        <f>VLOOKUP(טבלה13[[#This Row],[זיהוי]],#REF!,2,FALSE)</f>
        <v>#REF!</v>
      </c>
    </row>
    <row r="115" spans="1:23" s="145" customFormat="1" ht="135" x14ac:dyDescent="0.25">
      <c r="A115" s="25" t="s">
        <v>787</v>
      </c>
      <c r="B115" s="26" t="s">
        <v>788</v>
      </c>
      <c r="C115" s="27" t="s">
        <v>30</v>
      </c>
      <c r="D115" s="84" t="s">
        <v>87</v>
      </c>
      <c r="E115" s="84" t="s">
        <v>73</v>
      </c>
      <c r="F115" s="28">
        <v>47483</v>
      </c>
      <c r="G115" s="28">
        <v>46660</v>
      </c>
      <c r="H115" s="84" t="s">
        <v>60</v>
      </c>
      <c r="I115" s="85" t="str">
        <f t="shared" si="1"/>
        <v>WBS: WBE-278
שם פרויקט: תעשיה אדומים-משיק ל-wbn-103-הוספת שני שדות מעגלים 161 ק"ו
מנה״פ: בן חמו, דביר 
יעד תכנית פיתוח: 31/12/2029
יעד מסתמן: 30/09/2027</v>
      </c>
      <c r="J115" s="88" t="s">
        <v>789</v>
      </c>
      <c r="K115" s="88" t="s">
        <v>789</v>
      </c>
      <c r="L115" s="88" t="s">
        <v>790</v>
      </c>
      <c r="M115" s="88" t="s">
        <v>790</v>
      </c>
      <c r="N115" s="88" t="s">
        <v>790</v>
      </c>
      <c r="O115" s="88" t="s">
        <v>790</v>
      </c>
      <c r="P115" s="88"/>
      <c r="Q115" s="173" t="s">
        <v>790</v>
      </c>
      <c r="R115" s="63"/>
      <c r="S115" s="87"/>
      <c r="T115" s="59"/>
      <c r="U115" s="85"/>
      <c r="V115" s="75"/>
      <c r="W115" s="167" t="e">
        <f>VLOOKUP(טבלה13[[#This Row],[זיהוי]],#REF!,2,FALSE)</f>
        <v>#REF!</v>
      </c>
    </row>
    <row r="116" spans="1:23" s="145" customFormat="1" ht="150" x14ac:dyDescent="0.25">
      <c r="A116" s="25" t="s">
        <v>791</v>
      </c>
      <c r="B116" s="26" t="s">
        <v>792</v>
      </c>
      <c r="C116" s="27" t="s">
        <v>30</v>
      </c>
      <c r="D116" s="84" t="s">
        <v>87</v>
      </c>
      <c r="E116" s="84" t="s">
        <v>73</v>
      </c>
      <c r="F116" s="28">
        <v>46843</v>
      </c>
      <c r="G116" s="28" t="s">
        <v>793</v>
      </c>
      <c r="H116" s="84" t="s">
        <v>80</v>
      </c>
      <c r="I116" s="85" t="str">
        <f t="shared" si="1"/>
        <v>WBS: WBE-148
שם פרויקט: צפית-החלפת מנתקים, מ"ז ומ"מ 400 ק"ו
מנה״פ: בן חמו, דביר 
יעד תכנית פיתוח: 31/03/2028
יעד מסתמן: מדובר בפרויקט בשלבים בכל עונת מעבר להפסקות עד לתאריך 30/03/2028</v>
      </c>
      <c r="J116" s="63" t="s">
        <v>794</v>
      </c>
      <c r="K116" s="63" t="s">
        <v>795</v>
      </c>
      <c r="L116" s="63" t="s">
        <v>796</v>
      </c>
      <c r="M116" s="63" t="s">
        <v>796</v>
      </c>
      <c r="N116" s="63" t="s">
        <v>797</v>
      </c>
      <c r="O116" s="63" t="s">
        <v>798</v>
      </c>
      <c r="P116" s="63"/>
      <c r="Q116" s="74" t="s">
        <v>798</v>
      </c>
      <c r="R116" s="63"/>
      <c r="S116" s="87"/>
      <c r="T116" s="59"/>
      <c r="U116" s="85"/>
      <c r="V116" s="75"/>
      <c r="W116" s="167" t="e">
        <f>VLOOKUP(טבלה13[[#This Row],[זיהוי]],#REF!,2,FALSE)</f>
        <v>#REF!</v>
      </c>
    </row>
    <row r="117" spans="1:23" s="145" customFormat="1" ht="150" x14ac:dyDescent="0.25">
      <c r="A117" s="25" t="s">
        <v>799</v>
      </c>
      <c r="B117" s="26" t="s">
        <v>800</v>
      </c>
      <c r="C117" s="27" t="s">
        <v>362</v>
      </c>
      <c r="D117" s="84" t="s">
        <v>87</v>
      </c>
      <c r="E117" s="84" t="s">
        <v>73</v>
      </c>
      <c r="F117" s="28">
        <v>46295</v>
      </c>
      <c r="G117" s="28" t="s">
        <v>801</v>
      </c>
      <c r="H117" s="84" t="s">
        <v>51</v>
      </c>
      <c r="I117" s="85" t="str">
        <f t="shared" si="1"/>
        <v>WBS: WBM-40487
שם פרויקט: צפית -החלפת ציוד 161 ק"ו-שדות 6,9
מנה״פ: בן חמו, דביר 
יעד תכנית פיתוח: 30/09/2026
יעד מסתמן: מדובר בשלוש עונות מעבר של הפסקות עד ל- 03/2027</v>
      </c>
      <c r="J117" s="63" t="s">
        <v>802</v>
      </c>
      <c r="K117" s="63" t="s">
        <v>802</v>
      </c>
      <c r="L117" s="63" t="s">
        <v>802</v>
      </c>
      <c r="M117" s="63" t="s">
        <v>802</v>
      </c>
      <c r="N117" s="63" t="s">
        <v>802</v>
      </c>
      <c r="O117" s="63" t="s">
        <v>802</v>
      </c>
      <c r="P117" s="63"/>
      <c r="Q117" s="74" t="s">
        <v>802</v>
      </c>
      <c r="R117" s="63"/>
      <c r="S117" s="87"/>
      <c r="T117" s="59"/>
      <c r="U117" s="85"/>
      <c r="V117" s="75"/>
      <c r="W117" s="168"/>
    </row>
    <row r="118" spans="1:23" s="145" customFormat="1" ht="150" x14ac:dyDescent="0.25">
      <c r="A118" s="25" t="s">
        <v>803</v>
      </c>
      <c r="B118" s="26" t="s">
        <v>804</v>
      </c>
      <c r="C118" s="27" t="s">
        <v>362</v>
      </c>
      <c r="D118" s="84" t="s">
        <v>87</v>
      </c>
      <c r="E118" s="84" t="s">
        <v>73</v>
      </c>
      <c r="F118" s="28">
        <v>46356</v>
      </c>
      <c r="G118" s="28" t="s">
        <v>805</v>
      </c>
      <c r="H118" s="84" t="s">
        <v>51</v>
      </c>
      <c r="I118" s="85" t="str">
        <f t="shared" si="1"/>
        <v>WBS: WBM-40489-ST2
שם פרויקט: צפית  - החלפת ציוד 161 ק"ו בשדה 14
מנה״פ: בן חמו, דביר 
יעד תכנית פיתוח: 30/11/2026
יעד מסתמן: מדובר בשלוש עונות מעבר של הפסקותעד ל- 03/2027</v>
      </c>
      <c r="J118" s="63" t="s">
        <v>806</v>
      </c>
      <c r="K118" s="63" t="s">
        <v>806</v>
      </c>
      <c r="L118" s="63" t="s">
        <v>806</v>
      </c>
      <c r="M118" s="63" t="s">
        <v>806</v>
      </c>
      <c r="N118" s="63" t="s">
        <v>806</v>
      </c>
      <c r="O118" s="63" t="s">
        <v>806</v>
      </c>
      <c r="P118" s="63"/>
      <c r="Q118" s="74" t="s">
        <v>806</v>
      </c>
      <c r="R118" s="63"/>
      <c r="S118" s="87"/>
      <c r="T118" s="59"/>
      <c r="U118" s="85"/>
      <c r="V118" s="75"/>
      <c r="W118" s="168"/>
    </row>
    <row r="119" spans="1:23" s="145" customFormat="1" ht="120" x14ac:dyDescent="0.25">
      <c r="A119" s="25" t="s">
        <v>807</v>
      </c>
      <c r="B119" s="26" t="s">
        <v>808</v>
      </c>
      <c r="C119" s="27" t="s">
        <v>30</v>
      </c>
      <c r="D119" s="84" t="s">
        <v>87</v>
      </c>
      <c r="E119" s="84" t="s">
        <v>73</v>
      </c>
      <c r="F119" s="28">
        <v>46387</v>
      </c>
      <c r="G119" s="28">
        <v>46387</v>
      </c>
      <c r="H119" s="84"/>
      <c r="I119" s="85" t="str">
        <f t="shared" si="1"/>
        <v>WBS: WBE-240
שם פרויקט: סדום צפון-הקמת שדה לצורך קליטת קו מפארן
מנה״פ: בן חמו, דביר 
יעד תכנית פיתוח: 31/12/2026
יעד מסתמן: 31/12/2026</v>
      </c>
      <c r="J119" s="63" t="s">
        <v>809</v>
      </c>
      <c r="K119" s="63" t="s">
        <v>810</v>
      </c>
      <c r="L119" s="63" t="s">
        <v>810</v>
      </c>
      <c r="M119" s="63" t="s">
        <v>810</v>
      </c>
      <c r="N119" s="63" t="s">
        <v>810</v>
      </c>
      <c r="O119" s="63" t="s">
        <v>810</v>
      </c>
      <c r="P119" s="63"/>
      <c r="Q119" s="74" t="s">
        <v>810</v>
      </c>
      <c r="R119" s="63"/>
      <c r="S119" s="87"/>
      <c r="T119" s="59"/>
      <c r="U119" s="85"/>
      <c r="V119" s="75"/>
      <c r="W119" s="167" t="e">
        <f>VLOOKUP(טבלה13[[#This Row],[זיהוי]],#REF!,2,FALSE)</f>
        <v>#REF!</v>
      </c>
    </row>
    <row r="120" spans="1:23" s="145" customFormat="1" ht="150" x14ac:dyDescent="0.25">
      <c r="A120" s="25" t="s">
        <v>811</v>
      </c>
      <c r="B120" s="26" t="s">
        <v>812</v>
      </c>
      <c r="C120" s="27" t="s">
        <v>362</v>
      </c>
      <c r="D120" s="84" t="s">
        <v>87</v>
      </c>
      <c r="E120" s="84" t="s">
        <v>73</v>
      </c>
      <c r="F120" s="28">
        <v>46203</v>
      </c>
      <c r="G120" s="28" t="s">
        <v>813</v>
      </c>
      <c r="H120" s="84" t="s">
        <v>63</v>
      </c>
      <c r="I120" s="85" t="str">
        <f t="shared" si="1"/>
        <v>WBS: WBM-40305
שם פרויקט: סדום צפון-התא.שדות (3)לכורנוב ו (8) לסדו
מנה״פ: בן חמו, דביר 
יעד תכנית פיתוח: 30/06/2026
יעד מסתמן: 01/07/2026 לא אפשרי, יתקבל יעד חדש לאחר קבלת המסמכים</v>
      </c>
      <c r="J120" s="63" t="s">
        <v>814</v>
      </c>
      <c r="K120" s="63" t="s">
        <v>814</v>
      </c>
      <c r="L120" s="63" t="s">
        <v>814</v>
      </c>
      <c r="M120" s="63" t="s">
        <v>815</v>
      </c>
      <c r="N120" s="63" t="s">
        <v>816</v>
      </c>
      <c r="O120" s="63" t="s">
        <v>817</v>
      </c>
      <c r="P120" s="63"/>
      <c r="Q120" s="74" t="s">
        <v>817</v>
      </c>
      <c r="R120" s="63" t="s">
        <v>818</v>
      </c>
      <c r="S120" s="87"/>
      <c r="T120" s="59"/>
      <c r="U120" s="85"/>
      <c r="V120" s="75"/>
      <c r="W120" s="168"/>
    </row>
    <row r="121" spans="1:23" s="145" customFormat="1" ht="120" x14ac:dyDescent="0.25">
      <c r="A121" s="25" t="s">
        <v>819</v>
      </c>
      <c r="B121" s="26" t="s">
        <v>820</v>
      </c>
      <c r="C121" s="27" t="s">
        <v>30</v>
      </c>
      <c r="D121" s="84" t="s">
        <v>87</v>
      </c>
      <c r="E121" s="84" t="s">
        <v>73</v>
      </c>
      <c r="F121" s="28">
        <v>46112</v>
      </c>
      <c r="G121" s="28">
        <v>46071</v>
      </c>
      <c r="H121" s="84" t="s">
        <v>93</v>
      </c>
      <c r="I121" s="85" t="str">
        <f t="shared" si="1"/>
        <v>WBS: WBE-114
שם פרויקט: סדום צפון-החלפת שנאי  ל-50 מגוו"א והתאמת יציאות מ"ג
מנה״פ: בן חמו, דביר 
יעד תכנית פיתוח: 31/03/2026
יעד מסתמן: 18/02/2026</v>
      </c>
      <c r="J121" s="63" t="s">
        <v>821</v>
      </c>
      <c r="K121" s="63" t="s">
        <v>821</v>
      </c>
      <c r="L121" s="63" t="s">
        <v>821</v>
      </c>
      <c r="M121" s="63" t="s">
        <v>821</v>
      </c>
      <c r="N121" s="63" t="s">
        <v>821</v>
      </c>
      <c r="O121" s="63" t="s">
        <v>821</v>
      </c>
      <c r="P121" s="63"/>
      <c r="Q121" s="74" t="s">
        <v>821</v>
      </c>
      <c r="R121" s="63"/>
      <c r="S121" s="87"/>
      <c r="T121" s="59"/>
      <c r="U121" s="85"/>
      <c r="V121" s="75"/>
      <c r="W121" s="167" t="e">
        <f>VLOOKUP(טבלה13[[#This Row],[זיהוי]],#REF!,2,FALSE)</f>
        <v>#REF!</v>
      </c>
    </row>
    <row r="122" spans="1:23" s="145" customFormat="1" ht="135" x14ac:dyDescent="0.25">
      <c r="A122" s="25" t="s">
        <v>822</v>
      </c>
      <c r="B122" s="26" t="s">
        <v>823</v>
      </c>
      <c r="C122" s="27" t="s">
        <v>30</v>
      </c>
      <c r="D122" s="84" t="s">
        <v>87</v>
      </c>
      <c r="E122" s="84" t="s">
        <v>73</v>
      </c>
      <c r="F122" s="28">
        <v>47483</v>
      </c>
      <c r="G122" s="28">
        <v>46660</v>
      </c>
      <c r="H122" s="84" t="s">
        <v>60</v>
      </c>
      <c r="I122" s="85" t="str">
        <f t="shared" si="1"/>
        <v>WBS: WBE-279
שם פרויקט: מעלה אפריים- משיק ל-wbo-103-הוספת ארבעה שדות מעגלים 161 ק"ו
מנה״פ: בן חמו, דביר 
יעד תכנית פיתוח: 31/12/2029
יעד מסתמן: 30/09/2027</v>
      </c>
      <c r="J122" s="63" t="s">
        <v>809</v>
      </c>
      <c r="K122" s="63" t="s">
        <v>809</v>
      </c>
      <c r="L122" s="63" t="s">
        <v>790</v>
      </c>
      <c r="M122" s="63" t="s">
        <v>790</v>
      </c>
      <c r="N122" s="63" t="s">
        <v>790</v>
      </c>
      <c r="O122" s="63" t="s">
        <v>790</v>
      </c>
      <c r="P122" s="63"/>
      <c r="Q122" s="74" t="s">
        <v>790</v>
      </c>
      <c r="R122" s="63"/>
      <c r="S122" s="39"/>
      <c r="T122" s="63"/>
      <c r="U122" s="85"/>
      <c r="V122" s="75"/>
      <c r="W122" s="167" t="e">
        <f>VLOOKUP(טבלה13[[#This Row],[זיהוי]],#REF!,2,FALSE)</f>
        <v>#REF!</v>
      </c>
    </row>
    <row r="123" spans="1:23" s="145" customFormat="1" ht="105" x14ac:dyDescent="0.25">
      <c r="A123" s="110" t="s">
        <v>824</v>
      </c>
      <c r="B123" s="26" t="s">
        <v>825</v>
      </c>
      <c r="C123" s="27" t="s">
        <v>362</v>
      </c>
      <c r="D123" s="84" t="s">
        <v>87</v>
      </c>
      <c r="E123" s="84" t="s">
        <v>73</v>
      </c>
      <c r="F123" s="28">
        <v>46386</v>
      </c>
      <c r="G123" s="28"/>
      <c r="H123" s="84" t="s">
        <v>19</v>
      </c>
      <c r="I123" s="85" t="str">
        <f t="shared" si="1"/>
        <v>WBS: WBM-60088-024
שם פרויקט: ירושלים ג' – השלמת מאצרות שמן
מנה״פ: בן חמו, דביר 
יעד תכנית פיתוח: 30/12/2026
יעד מסתמן: 00/01/1900</v>
      </c>
      <c r="J123" s="63" t="s">
        <v>826</v>
      </c>
      <c r="K123" s="63" t="s">
        <v>826</v>
      </c>
      <c r="L123" s="63" t="s">
        <v>826</v>
      </c>
      <c r="M123" s="63" t="s">
        <v>826</v>
      </c>
      <c r="N123" s="63" t="s">
        <v>826</v>
      </c>
      <c r="O123" s="63" t="s">
        <v>826</v>
      </c>
      <c r="P123" s="63"/>
      <c r="Q123" s="74" t="s">
        <v>826</v>
      </c>
      <c r="R123" s="63"/>
      <c r="S123" s="87"/>
      <c r="T123" s="59"/>
      <c r="U123" s="85"/>
      <c r="V123" s="75"/>
      <c r="W123" s="168"/>
    </row>
    <row r="124" spans="1:23" s="145" customFormat="1" ht="150" x14ac:dyDescent="0.25">
      <c r="A124" s="25" t="s">
        <v>827</v>
      </c>
      <c r="B124" s="26" t="s">
        <v>828</v>
      </c>
      <c r="C124" s="27" t="s">
        <v>362</v>
      </c>
      <c r="D124" s="84" t="s">
        <v>87</v>
      </c>
      <c r="E124" s="84" t="s">
        <v>73</v>
      </c>
      <c r="F124" s="28">
        <v>46203</v>
      </c>
      <c r="G124" s="28">
        <v>46387</v>
      </c>
      <c r="H124" s="84" t="s">
        <v>51</v>
      </c>
      <c r="I124" s="85" t="str">
        <f t="shared" ref="I124:I187" si="2">"WBS: " &amp; A124 &amp; CHAR(10) &amp;
"שם פרויקט: " &amp; B124 &amp; CHAR(10) &amp;
"מנה״פ: " &amp; D124 &amp; CHAR(10) &amp;
"יעד תכנית פיתוח: " &amp; TEXT(F124,"dd/mm/yyyy") &amp; CHAR(10) &amp;
"יעד מסתמן: " &amp; TEXT(G124,"dd/mm/yyyy")</f>
        <v>WBS: WBM-40532
שם פרויקט: ירושלים ג'- התאמת שדה מקשר (5,6) ליכולת 1400 א'
מנה״פ: בן חמו, דביר 
יעד תכנית פיתוח: 30/06/2026
יעד מסתמן: 31/12/2026</v>
      </c>
      <c r="J124" s="63" t="s">
        <v>829</v>
      </c>
      <c r="K124" s="63" t="s">
        <v>829</v>
      </c>
      <c r="L124" s="63" t="s">
        <v>829</v>
      </c>
      <c r="M124" s="63" t="s">
        <v>829</v>
      </c>
      <c r="N124" s="63" t="s">
        <v>829</v>
      </c>
      <c r="O124" s="63" t="s">
        <v>829</v>
      </c>
      <c r="P124" s="63"/>
      <c r="Q124" s="42" t="s">
        <v>1508</v>
      </c>
      <c r="R124" s="63"/>
      <c r="S124" s="111"/>
      <c r="T124" s="59"/>
      <c r="U124" s="85"/>
      <c r="V124" s="75"/>
      <c r="W124" s="168"/>
    </row>
    <row r="125" spans="1:23" s="145" customFormat="1" ht="120" x14ac:dyDescent="0.25">
      <c r="A125" s="112" t="s">
        <v>830</v>
      </c>
      <c r="B125" s="26" t="s">
        <v>831</v>
      </c>
      <c r="C125" s="27" t="s">
        <v>362</v>
      </c>
      <c r="D125" s="84" t="s">
        <v>87</v>
      </c>
      <c r="E125" s="84" t="s">
        <v>73</v>
      </c>
      <c r="F125" s="28">
        <v>46081</v>
      </c>
      <c r="G125" s="28">
        <v>46568</v>
      </c>
      <c r="H125" s="84" t="s">
        <v>44</v>
      </c>
      <c r="I125" s="85" t="str">
        <f t="shared" si="2"/>
        <v>WBS: WBM-40531
שם פרויקט: ירושלים ג'- התאמת שדה 3 ליכולת 1400 א'
מנה״פ: בן חמו, דביר 
יעד תכנית פיתוח: 28/02/2026
יעד מסתמן: 30/06/2027</v>
      </c>
      <c r="J125" s="63" t="s">
        <v>832</v>
      </c>
      <c r="K125" s="63" t="s">
        <v>832</v>
      </c>
      <c r="L125" s="63" t="s">
        <v>833</v>
      </c>
      <c r="M125" s="63" t="s">
        <v>834</v>
      </c>
      <c r="N125" s="63" t="s">
        <v>834</v>
      </c>
      <c r="O125" s="63" t="s">
        <v>834</v>
      </c>
      <c r="P125" s="63"/>
      <c r="Q125" s="74" t="s">
        <v>834</v>
      </c>
      <c r="R125" s="63" t="s">
        <v>835</v>
      </c>
      <c r="S125" s="111"/>
      <c r="T125" s="59"/>
      <c r="U125" s="85"/>
      <c r="V125" s="75"/>
      <c r="W125" s="168"/>
    </row>
    <row r="126" spans="1:23" s="145" customFormat="1" ht="120" x14ac:dyDescent="0.25">
      <c r="A126" s="25" t="s">
        <v>836</v>
      </c>
      <c r="B126" s="26" t="s">
        <v>837</v>
      </c>
      <c r="C126" s="27" t="s">
        <v>30</v>
      </c>
      <c r="D126" s="84" t="s">
        <v>87</v>
      </c>
      <c r="E126" s="84" t="s">
        <v>73</v>
      </c>
      <c r="F126" s="28">
        <v>46173</v>
      </c>
      <c r="G126" s="28">
        <v>46203</v>
      </c>
      <c r="H126" s="84" t="s">
        <v>33</v>
      </c>
      <c r="I126" s="85" t="str">
        <f t="shared" si="2"/>
        <v>WBS: WBE-258
שם פרויקט: ירושלים ג- החלפת שנאי 521 וציוד בשדה 161 ק"ו מס' 2
מנה״פ: בן חמו, דביר 
יעד תכנית פיתוח: 31/05/2026
יעד מסתמן: 30/06/2026</v>
      </c>
      <c r="J126" s="63" t="s">
        <v>838</v>
      </c>
      <c r="K126" s="63" t="s">
        <v>838</v>
      </c>
      <c r="L126" s="63" t="s">
        <v>839</v>
      </c>
      <c r="M126" s="63" t="s">
        <v>840</v>
      </c>
      <c r="N126" s="63" t="s">
        <v>841</v>
      </c>
      <c r="O126" s="63" t="s">
        <v>842</v>
      </c>
      <c r="P126" s="63"/>
      <c r="Q126" s="74" t="s">
        <v>1507</v>
      </c>
      <c r="R126" s="63"/>
      <c r="S126" s="87"/>
      <c r="T126" s="59"/>
      <c r="U126" s="85"/>
      <c r="V126" s="75"/>
      <c r="W126" s="167" t="e">
        <f>VLOOKUP(טבלה13[[#This Row],[זיהוי]],#REF!,2,FALSE)</f>
        <v>#REF!</v>
      </c>
    </row>
    <row r="127" spans="1:23" s="145" customFormat="1" ht="135" x14ac:dyDescent="0.25">
      <c r="A127" s="25" t="s">
        <v>843</v>
      </c>
      <c r="B127" s="113" t="s">
        <v>844</v>
      </c>
      <c r="C127" s="27" t="s">
        <v>362</v>
      </c>
      <c r="D127" s="84" t="s">
        <v>87</v>
      </c>
      <c r="E127" s="84" t="s">
        <v>73</v>
      </c>
      <c r="F127" s="28">
        <v>46081</v>
      </c>
      <c r="G127" s="28" t="s">
        <v>845</v>
      </c>
      <c r="H127" s="84" t="s">
        <v>44</v>
      </c>
      <c r="I127" s="85" t="str">
        <f t="shared" si="2"/>
        <v>WBS: WBM-00895
שם פרויקט: סדום דרום
מנה״פ: בן חמו, דביר 
יעד תכנית פיתוח: 28/02/2026
יעד מסתמן: 30/06/2026 לא אפשרי,עיכוב בקבלת קבלן נכון להודעה אחרונה החישמול יהיה ב-09.2026</v>
      </c>
      <c r="J127" s="63" t="s">
        <v>846</v>
      </c>
      <c r="K127" s="63" t="s">
        <v>847</v>
      </c>
      <c r="L127" s="63" t="s">
        <v>848</v>
      </c>
      <c r="M127" s="63" t="s">
        <v>849</v>
      </c>
      <c r="N127" s="63" t="s">
        <v>850</v>
      </c>
      <c r="O127" s="42" t="s">
        <v>851</v>
      </c>
      <c r="P127" s="42"/>
      <c r="Q127" s="174" t="s">
        <v>1513</v>
      </c>
      <c r="R127" s="63" t="s">
        <v>852</v>
      </c>
      <c r="S127" s="86"/>
      <c r="T127" s="59"/>
      <c r="U127" s="85"/>
      <c r="V127" s="75"/>
      <c r="W127" s="168"/>
    </row>
    <row r="128" spans="1:23" s="145" customFormat="1" ht="150" x14ac:dyDescent="0.25">
      <c r="A128" s="25" t="s">
        <v>853</v>
      </c>
      <c r="B128" s="26" t="s">
        <v>854</v>
      </c>
      <c r="C128" s="27" t="s">
        <v>30</v>
      </c>
      <c r="D128" s="84" t="s">
        <v>87</v>
      </c>
      <c r="E128" s="84" t="s">
        <v>73</v>
      </c>
      <c r="F128" s="28">
        <v>47299</v>
      </c>
      <c r="G128" s="28">
        <v>46903</v>
      </c>
      <c r="H128" s="84" t="s">
        <v>63</v>
      </c>
      <c r="I128" s="85" t="str">
        <f t="shared" si="2"/>
        <v>WBS: WBE-194
שם פרויקט: קרית הלאום
משיק wbo-122-הרחבת מסדר פנימי 161 ק"ו ב-3 שדות מ"ע , 2שדות קווים למעגלים מתחמ"ג ירושלים
מנה״פ: בן חמו, דביר 
יעד תכנית פיתוח: 30/06/2029
יעד מסתמן: 30/05/2028</v>
      </c>
      <c r="J128" s="95" t="s">
        <v>855</v>
      </c>
      <c r="K128" s="95" t="s">
        <v>856</v>
      </c>
      <c r="L128" s="95" t="s">
        <v>857</v>
      </c>
      <c r="M128" s="95" t="s">
        <v>857</v>
      </c>
      <c r="N128" s="95" t="s">
        <v>857</v>
      </c>
      <c r="O128" s="95" t="s">
        <v>857</v>
      </c>
      <c r="P128" s="95"/>
      <c r="Q128" s="175" t="s">
        <v>1509</v>
      </c>
      <c r="R128" s="95"/>
      <c r="S128" s="87"/>
      <c r="T128" s="59"/>
      <c r="U128" s="85"/>
      <c r="V128" s="75"/>
      <c r="W128" s="167" t="e">
        <f>VLOOKUP(טבלה13[[#This Row],[זיהוי]],#REF!,2,FALSE)</f>
        <v>#REF!</v>
      </c>
    </row>
    <row r="129" spans="1:23" s="145" customFormat="1" ht="135" x14ac:dyDescent="0.25">
      <c r="A129" s="25" t="s">
        <v>858</v>
      </c>
      <c r="B129" s="26" t="s">
        <v>859</v>
      </c>
      <c r="C129" s="27" t="s">
        <v>30</v>
      </c>
      <c r="D129" s="84" t="s">
        <v>87</v>
      </c>
      <c r="E129" s="84" t="s">
        <v>73</v>
      </c>
      <c r="F129" s="28">
        <v>48699</v>
      </c>
      <c r="G129" s="28">
        <v>48699</v>
      </c>
      <c r="H129" s="84" t="s">
        <v>60</v>
      </c>
      <c r="I129" s="85" t="str">
        <f t="shared" si="2"/>
        <v>WBS: WBK-022
שם פרויקט: גן שורק מסדר 400 ק"ו-הקמת דיאמטר 5 עם 2 יציאות 400 ק"ו לתחמ"ג תקומה
מנה״פ: בן חמו, דביר 
יעד תכנית פיתוח: 30/04/2033
יעד מסתמן: 30/04/2033</v>
      </c>
      <c r="J129" s="95" t="s">
        <v>860</v>
      </c>
      <c r="K129" s="95" t="s">
        <v>860</v>
      </c>
      <c r="L129" s="95" t="s">
        <v>860</v>
      </c>
      <c r="M129" s="95" t="s">
        <v>860</v>
      </c>
      <c r="N129" s="95" t="s">
        <v>860</v>
      </c>
      <c r="O129" s="95" t="s">
        <v>860</v>
      </c>
      <c r="P129" s="95"/>
      <c r="Q129" s="175" t="s">
        <v>860</v>
      </c>
      <c r="R129" s="55" t="s">
        <v>861</v>
      </c>
      <c r="S129" s="86"/>
      <c r="T129" s="59"/>
      <c r="U129" s="85"/>
      <c r="V129" s="75"/>
      <c r="W129" s="167" t="e">
        <f>VLOOKUP(טבלה13[[#This Row],[זיהוי]],#REF!,2,FALSE)</f>
        <v>#REF!</v>
      </c>
    </row>
    <row r="130" spans="1:23" s="145" customFormat="1" ht="135" x14ac:dyDescent="0.25">
      <c r="A130" s="29" t="s">
        <v>862</v>
      </c>
      <c r="B130" s="30" t="s">
        <v>863</v>
      </c>
      <c r="C130" s="27" t="s">
        <v>30</v>
      </c>
      <c r="D130" s="84" t="s">
        <v>87</v>
      </c>
      <c r="E130" s="84" t="s">
        <v>73</v>
      </c>
      <c r="F130" s="28">
        <v>46964</v>
      </c>
      <c r="G130" s="28">
        <v>46721</v>
      </c>
      <c r="H130" s="84" t="s">
        <v>60</v>
      </c>
      <c r="I130" s="85" t="str">
        <f t="shared" si="2"/>
        <v>WBS: WBE-287
שם פרויקט: גן שורק-חיבור 4 מעגלי כבלים מתח"כ שורק 900 לשדות 6,7,8,9
מנה״פ: בן חמו, דביר 
יעד תכנית פיתוח: 30/07/2028
יעד מסתמן: 30/11/2027</v>
      </c>
      <c r="J130" s="95" t="s">
        <v>864</v>
      </c>
      <c r="K130" s="95" t="s">
        <v>864</v>
      </c>
      <c r="L130" s="95" t="s">
        <v>864</v>
      </c>
      <c r="M130" s="95" t="s">
        <v>864</v>
      </c>
      <c r="N130" s="95" t="s">
        <v>865</v>
      </c>
      <c r="O130" s="95" t="s">
        <v>865</v>
      </c>
      <c r="P130" s="95"/>
      <c r="Q130" s="175" t="s">
        <v>1510</v>
      </c>
      <c r="R130" s="63"/>
      <c r="S130" s="87"/>
      <c r="T130" s="59"/>
      <c r="U130" s="85"/>
      <c r="V130" s="75"/>
      <c r="W130" s="167" t="e">
        <f>VLOOKUP(טבלה13[[#This Row],[זיהוי]],#REF!,2,FALSE)</f>
        <v>#REF!</v>
      </c>
    </row>
    <row r="131" spans="1:23" s="145" customFormat="1" ht="240" x14ac:dyDescent="0.25">
      <c r="A131" s="25" t="s">
        <v>866</v>
      </c>
      <c r="B131" s="26" t="s">
        <v>867</v>
      </c>
      <c r="C131" s="27" t="s">
        <v>15</v>
      </c>
      <c r="D131" s="84" t="s">
        <v>96</v>
      </c>
      <c r="E131" s="84" t="s">
        <v>69</v>
      </c>
      <c r="F131" s="28">
        <v>46538</v>
      </c>
      <c r="G131" s="28">
        <v>46721</v>
      </c>
      <c r="H131" s="84" t="s">
        <v>44</v>
      </c>
      <c r="I131" s="85" t="str">
        <f t="shared" si="2"/>
        <v>WBS: WBC-078
שם פרויקט: תל השומר- הקמת תחמ"ש פנימית 161/24 ק"ו
מנה״פ: יהודר בכר, אורית
יעד תכנית פיתוח: 31/05/2027
יעד מסתמן: 30/11/2027</v>
      </c>
      <c r="J131" s="63" t="s">
        <v>868</v>
      </c>
      <c r="K131" s="63" t="s">
        <v>869</v>
      </c>
      <c r="L131" s="63" t="s">
        <v>869</v>
      </c>
      <c r="M131" s="63" t="s">
        <v>870</v>
      </c>
      <c r="N131" s="63" t="s">
        <v>871</v>
      </c>
      <c r="O131" s="63" t="s">
        <v>872</v>
      </c>
      <c r="P131" s="63"/>
      <c r="Q131" s="63" t="s">
        <v>1545</v>
      </c>
      <c r="R131" s="63" t="s">
        <v>873</v>
      </c>
      <c r="S131" s="87" t="s">
        <v>89</v>
      </c>
      <c r="T131" s="59" t="s">
        <v>27</v>
      </c>
      <c r="U131" s="85"/>
      <c r="V131" s="75"/>
      <c r="W131" s="167" t="e">
        <f>VLOOKUP(טבלה13[[#This Row],[זיהוי]],#REF!,2,FALSE)</f>
        <v>#REF!</v>
      </c>
    </row>
    <row r="132" spans="1:23" s="145" customFormat="1" ht="409.6" x14ac:dyDescent="0.25">
      <c r="A132" s="25" t="s">
        <v>874</v>
      </c>
      <c r="B132" s="26" t="s">
        <v>875</v>
      </c>
      <c r="C132" s="27" t="s">
        <v>15</v>
      </c>
      <c r="D132" s="84" t="s">
        <v>96</v>
      </c>
      <c r="E132" s="84" t="s">
        <v>69</v>
      </c>
      <c r="F132" s="28">
        <v>46326</v>
      </c>
      <c r="G132" s="28">
        <v>46325</v>
      </c>
      <c r="H132" s="84" t="s">
        <v>85</v>
      </c>
      <c r="I132" s="85" t="str">
        <f t="shared" si="2"/>
        <v>WBS: WBC-073
שם פרויקט: רחובות צפון- הקמת תחמ"ש פנימית 161/24 ק"
מנה״פ: יהודר בכר, אורית
יעד תכנית פיתוח: 31/10/2026
יעד מסתמן: 30/10/2026</v>
      </c>
      <c r="J132" s="65" t="s">
        <v>876</v>
      </c>
      <c r="K132" s="65" t="s">
        <v>877</v>
      </c>
      <c r="L132" s="65" t="s">
        <v>878</v>
      </c>
      <c r="M132" s="65" t="s">
        <v>879</v>
      </c>
      <c r="N132" s="65" t="s">
        <v>880</v>
      </c>
      <c r="O132" s="65" t="s">
        <v>881</v>
      </c>
      <c r="P132" s="65"/>
      <c r="Q132" s="65" t="s">
        <v>1546</v>
      </c>
      <c r="R132" s="63" t="s">
        <v>882</v>
      </c>
      <c r="S132" s="86" t="s">
        <v>46</v>
      </c>
      <c r="T132" s="59" t="s">
        <v>39</v>
      </c>
      <c r="U132" s="85"/>
      <c r="V132" s="75"/>
      <c r="W132" s="167" t="e">
        <f>VLOOKUP(טבלה13[[#This Row],[זיהוי]],#REF!,2,FALSE)</f>
        <v>#REF!</v>
      </c>
    </row>
    <row r="133" spans="1:23" s="145" customFormat="1" ht="120" x14ac:dyDescent="0.25">
      <c r="A133" s="96" t="s">
        <v>883</v>
      </c>
      <c r="B133" s="26" t="s">
        <v>884</v>
      </c>
      <c r="C133" s="27" t="s">
        <v>15</v>
      </c>
      <c r="D133" s="84" t="s">
        <v>96</v>
      </c>
      <c r="E133" s="84" t="s">
        <v>69</v>
      </c>
      <c r="F133" s="28">
        <v>45644</v>
      </c>
      <c r="G133" s="28" t="s">
        <v>885</v>
      </c>
      <c r="H133" s="84" t="s">
        <v>93</v>
      </c>
      <c r="I133" s="85" t="str">
        <f t="shared" si="2"/>
        <v>WBS: WBC-042
שם פרויקט: קרית משה
הקמת תחמ"ש פנימית
מנה״פ: יהודר בכר, אורית
יעד תכנית פיתוח: 18/12/2024
יעד מסתמן: חושמל 18/12/24</v>
      </c>
      <c r="J133" s="63" t="s">
        <v>886</v>
      </c>
      <c r="K133" s="63" t="s">
        <v>886</v>
      </c>
      <c r="L133" s="63" t="s">
        <v>886</v>
      </c>
      <c r="M133" s="63" t="s">
        <v>886</v>
      </c>
      <c r="N133" s="63" t="s">
        <v>886</v>
      </c>
      <c r="O133" s="63" t="s">
        <v>886</v>
      </c>
      <c r="P133" s="63"/>
      <c r="Q133" s="63" t="s">
        <v>887</v>
      </c>
      <c r="R133" s="63" t="s">
        <v>887</v>
      </c>
      <c r="S133" s="87" t="s">
        <v>75</v>
      </c>
      <c r="T133" s="59"/>
      <c r="U133" s="85"/>
      <c r="V133" s="75"/>
      <c r="W133" s="167" t="e">
        <f>VLOOKUP(טבלה13[[#This Row],[זיהוי]],#REF!,2,FALSE)</f>
        <v>#REF!</v>
      </c>
    </row>
    <row r="134" spans="1:23" s="145" customFormat="1" ht="120" x14ac:dyDescent="0.25">
      <c r="A134" s="25" t="s">
        <v>888</v>
      </c>
      <c r="B134" s="26" t="s">
        <v>889</v>
      </c>
      <c r="C134" s="27" t="s">
        <v>30</v>
      </c>
      <c r="D134" s="84" t="s">
        <v>96</v>
      </c>
      <c r="E134" s="84" t="s">
        <v>69</v>
      </c>
      <c r="F134" s="28">
        <v>45666</v>
      </c>
      <c r="G134" s="28" t="s">
        <v>565</v>
      </c>
      <c r="H134" s="84" t="s">
        <v>33</v>
      </c>
      <c r="I134" s="85" t="str">
        <f t="shared" si="2"/>
        <v>WBS: WBE-170
שם פרויקט: לוד-הוספת שנאי 526 161/24 ק"ו 50 מגוו"א
מנה״פ: יהודר בכר, אורית
יעד תכנית פיתוח: 09/01/2025
יעד מסתמן: חושמל</v>
      </c>
      <c r="J134" s="63" t="s">
        <v>890</v>
      </c>
      <c r="K134" s="63" t="s">
        <v>890</v>
      </c>
      <c r="L134" s="63" t="s">
        <v>890</v>
      </c>
      <c r="M134" s="63" t="s">
        <v>890</v>
      </c>
      <c r="N134" s="63" t="s">
        <v>890</v>
      </c>
      <c r="O134" s="63" t="s">
        <v>890</v>
      </c>
      <c r="P134" s="63"/>
      <c r="Q134" s="63" t="s">
        <v>891</v>
      </c>
      <c r="R134" s="63" t="s">
        <v>891</v>
      </c>
      <c r="S134" s="87" t="s">
        <v>83</v>
      </c>
      <c r="T134" s="59"/>
      <c r="U134" s="85"/>
      <c r="V134" s="75"/>
      <c r="W134" s="167" t="e">
        <f>VLOOKUP(טבלה13[[#This Row],[זיהוי]],#REF!,2,FALSE)</f>
        <v>#REF!</v>
      </c>
    </row>
    <row r="135" spans="1:23" s="145" customFormat="1" ht="409.6" x14ac:dyDescent="0.25">
      <c r="A135" s="25" t="s">
        <v>892</v>
      </c>
      <c r="B135" s="26" t="s">
        <v>893</v>
      </c>
      <c r="C135" s="27" t="s">
        <v>15</v>
      </c>
      <c r="D135" s="84" t="s">
        <v>96</v>
      </c>
      <c r="E135" s="84" t="s">
        <v>69</v>
      </c>
      <c r="F135" s="28">
        <v>46356</v>
      </c>
      <c r="G135" s="28">
        <v>46386</v>
      </c>
      <c r="H135" s="84" t="s">
        <v>80</v>
      </c>
      <c r="I135" s="85" t="str">
        <f t="shared" si="2"/>
        <v>WBS: WBC-028
שם פרויקט: בת ים - הקמת תחמ"ש פנימית 161/24 ק"ו
מנה״פ: יהודר בכר, אורית
יעד תכנית פיתוח: 30/11/2026
יעד מסתמן: 30/12/2026</v>
      </c>
      <c r="J135" s="63" t="s">
        <v>894</v>
      </c>
      <c r="K135" s="63" t="s">
        <v>895</v>
      </c>
      <c r="L135" s="63" t="s">
        <v>895</v>
      </c>
      <c r="M135" s="63" t="s">
        <v>896</v>
      </c>
      <c r="N135" s="63" t="s">
        <v>897</v>
      </c>
      <c r="O135" s="63" t="s">
        <v>898</v>
      </c>
      <c r="P135" s="63"/>
      <c r="Q135" s="63" t="s">
        <v>1555</v>
      </c>
      <c r="R135" s="31" t="s">
        <v>1556</v>
      </c>
      <c r="S135" s="87" t="s">
        <v>83</v>
      </c>
      <c r="T135" s="59" t="s">
        <v>39</v>
      </c>
      <c r="U135" s="85"/>
      <c r="V135" s="75" t="s">
        <v>13</v>
      </c>
      <c r="W135" s="167" t="e">
        <f>VLOOKUP(טבלה13[[#This Row],[זיהוי]],#REF!,2,FALSE)</f>
        <v>#REF!</v>
      </c>
    </row>
    <row r="136" spans="1:23" s="145" customFormat="1" ht="135" x14ac:dyDescent="0.25">
      <c r="A136" s="29" t="s">
        <v>899</v>
      </c>
      <c r="B136" s="30" t="s">
        <v>900</v>
      </c>
      <c r="C136" s="27" t="s">
        <v>30</v>
      </c>
      <c r="D136" s="84" t="s">
        <v>97</v>
      </c>
      <c r="E136" s="84" t="s">
        <v>66</v>
      </c>
      <c r="F136" s="28">
        <v>47118</v>
      </c>
      <c r="G136" s="28">
        <v>47118</v>
      </c>
      <c r="H136" s="84" t="s">
        <v>60</v>
      </c>
      <c r="I136" s="85" t="str">
        <f t="shared" si="2"/>
        <v>WBS: WBK-015
שם פרויקט: קיסריה- התקנת ש"ק שלישי 650 מגוו"א
מנה״פ: יעקבי, ניר
יעד תכנית פיתוח: 31/12/2028
יעד מסתמן: 31/12/2028</v>
      </c>
      <c r="J136" s="63" t="s">
        <v>901</v>
      </c>
      <c r="K136" s="63" t="s">
        <v>901</v>
      </c>
      <c r="L136" s="63" t="s">
        <v>902</v>
      </c>
      <c r="M136" s="63" t="s">
        <v>902</v>
      </c>
      <c r="N136" s="63" t="s">
        <v>902</v>
      </c>
      <c r="O136" s="63" t="s">
        <v>902</v>
      </c>
      <c r="P136" s="63" t="s">
        <v>903</v>
      </c>
      <c r="Q136" s="63" t="s">
        <v>1480</v>
      </c>
      <c r="R136" s="63" t="s">
        <v>1481</v>
      </c>
      <c r="S136" s="41" t="s">
        <v>91</v>
      </c>
      <c r="T136" s="59"/>
      <c r="U136" s="85"/>
      <c r="V136" s="75"/>
      <c r="W136" s="167" t="e">
        <f>VLOOKUP(טבלה13[[#This Row],[זיהוי]],#REF!,2,FALSE)</f>
        <v>#REF!</v>
      </c>
    </row>
    <row r="137" spans="1:23" s="145" customFormat="1" ht="120" x14ac:dyDescent="0.25">
      <c r="A137" s="25" t="s">
        <v>904</v>
      </c>
      <c r="B137" s="26" t="s">
        <v>905</v>
      </c>
      <c r="C137" s="27" t="s">
        <v>30</v>
      </c>
      <c r="D137" s="84" t="s">
        <v>97</v>
      </c>
      <c r="E137" s="84" t="s">
        <v>66</v>
      </c>
      <c r="F137" s="28">
        <v>46568</v>
      </c>
      <c r="G137" s="28">
        <v>46568</v>
      </c>
      <c r="H137" s="84" t="s">
        <v>51</v>
      </c>
      <c r="I137" s="85" t="str">
        <f t="shared" si="2"/>
        <v>WBS: WBE-221
שם פרויקט: ציפורית-התקנת שנאי רביעי והחלפת 2 שנאים
מנה״פ: יעקבי, ניר
יעד תכנית פיתוח: 30/06/2027
יעד מסתמן: 30/06/2027</v>
      </c>
      <c r="J137" s="63" t="s">
        <v>906</v>
      </c>
      <c r="K137" s="63" t="s">
        <v>906</v>
      </c>
      <c r="L137" s="63" t="s">
        <v>907</v>
      </c>
      <c r="M137" s="63" t="s">
        <v>908</v>
      </c>
      <c r="N137" s="63" t="s">
        <v>909</v>
      </c>
      <c r="O137" s="63" t="s">
        <v>910</v>
      </c>
      <c r="P137" s="63" t="s">
        <v>910</v>
      </c>
      <c r="Q137" s="63" t="s">
        <v>910</v>
      </c>
      <c r="R137" s="88" t="s">
        <v>911</v>
      </c>
      <c r="S137" s="40" t="s">
        <v>71</v>
      </c>
      <c r="T137" s="59" t="s">
        <v>27</v>
      </c>
      <c r="U137" s="85"/>
      <c r="V137" s="75"/>
      <c r="W137" s="167" t="e">
        <f>VLOOKUP(טבלה13[[#This Row],[זיהוי]],#REF!,2,FALSE)</f>
        <v>#REF!</v>
      </c>
    </row>
    <row r="138" spans="1:23" s="145" customFormat="1" ht="165" x14ac:dyDescent="0.25">
      <c r="A138" s="25" t="s">
        <v>912</v>
      </c>
      <c r="B138" s="26" t="s">
        <v>913</v>
      </c>
      <c r="C138" s="27" t="s">
        <v>30</v>
      </c>
      <c r="D138" s="84" t="s">
        <v>97</v>
      </c>
      <c r="E138" s="84" t="s">
        <v>66</v>
      </c>
      <c r="F138" s="28">
        <v>46326</v>
      </c>
      <c r="G138" s="28">
        <v>46387</v>
      </c>
      <c r="H138" s="84" t="s">
        <v>74</v>
      </c>
      <c r="I138" s="85" t="str">
        <f t="shared" si="2"/>
        <v>WBS: WBE-168
שם פרויקט: צור שלום - התקנת שנאי 524 161/24 ק"ו, 50 מגוו"א בשדה 10 בתחמ"ש צור שלום. התקנת סוללות קבלים 2x5 מגווא"ר.
מנה״פ: יעקבי, ניר
יעד תכנית פיתוח: 31/10/2026
יעד מסתמן: 31/12/2026</v>
      </c>
      <c r="J138" s="90" t="s">
        <v>914</v>
      </c>
      <c r="K138" s="90" t="s">
        <v>915</v>
      </c>
      <c r="L138" s="90" t="s">
        <v>916</v>
      </c>
      <c r="M138" s="90" t="s">
        <v>917</v>
      </c>
      <c r="N138" s="90" t="s">
        <v>918</v>
      </c>
      <c r="O138" s="90" t="s">
        <v>919</v>
      </c>
      <c r="P138" s="90" t="s">
        <v>919</v>
      </c>
      <c r="Q138" s="90" t="s">
        <v>1482</v>
      </c>
      <c r="R138" s="63" t="s">
        <v>1483</v>
      </c>
      <c r="S138" s="87" t="s">
        <v>75</v>
      </c>
      <c r="T138" s="59"/>
      <c r="U138" s="85"/>
      <c r="V138" s="75"/>
      <c r="W138" s="167" t="e">
        <f>VLOOKUP(טבלה13[[#This Row],[זיהוי]],#REF!,2,FALSE)</f>
        <v>#REF!</v>
      </c>
    </row>
    <row r="139" spans="1:23" s="145" customFormat="1" ht="180" x14ac:dyDescent="0.25">
      <c r="A139" s="25" t="s">
        <v>920</v>
      </c>
      <c r="B139" s="26" t="s">
        <v>921</v>
      </c>
      <c r="C139" s="27" t="s">
        <v>30</v>
      </c>
      <c r="D139" s="84" t="s">
        <v>97</v>
      </c>
      <c r="E139" s="84" t="s">
        <v>66</v>
      </c>
      <c r="F139" s="28">
        <v>46568</v>
      </c>
      <c r="G139" s="28" t="s">
        <v>1485</v>
      </c>
      <c r="H139" s="84" t="s">
        <v>44</v>
      </c>
      <c r="I139" s="85" t="str">
        <f t="shared" si="2"/>
        <v>WBS: WBE-263
שם פרויקט: כרמיאל-החלפת 4 שנ.מ-33 ל-50 מו"א-רב שלבי
מנה״פ: יעקבי, ניר
יעד תכנית פיתוח: 30/06/2027
יעד מסתמן: שנאי 522 ב12/2026 , שנאי 521 ב06/2027 ,שנאי 523 12/2027, שנאי 524 ב06/2028</v>
      </c>
      <c r="J139" s="63" t="s">
        <v>922</v>
      </c>
      <c r="K139" s="63" t="s">
        <v>922</v>
      </c>
      <c r="L139" s="63" t="s">
        <v>922</v>
      </c>
      <c r="M139" s="63" t="s">
        <v>922</v>
      </c>
      <c r="N139" s="63" t="s">
        <v>923</v>
      </c>
      <c r="O139" s="63" t="s">
        <v>923</v>
      </c>
      <c r="P139" s="63" t="s">
        <v>923</v>
      </c>
      <c r="Q139" s="63" t="s">
        <v>1484</v>
      </c>
      <c r="R139" s="63" t="s">
        <v>924</v>
      </c>
      <c r="S139" s="84"/>
      <c r="T139" s="84"/>
      <c r="U139" s="85"/>
      <c r="V139" s="75"/>
      <c r="W139" s="167" t="e">
        <f>VLOOKUP(טבלה13[[#This Row],[זיהוי]],#REF!,2,FALSE)</f>
        <v>#REF!</v>
      </c>
    </row>
    <row r="140" spans="1:23" s="145" customFormat="1" ht="225" x14ac:dyDescent="0.25">
      <c r="A140" s="25" t="s">
        <v>925</v>
      </c>
      <c r="B140" s="26" t="s">
        <v>926</v>
      </c>
      <c r="C140" s="27" t="s">
        <v>30</v>
      </c>
      <c r="D140" s="84" t="s">
        <v>97</v>
      </c>
      <c r="E140" s="84" t="s">
        <v>66</v>
      </c>
      <c r="F140" s="28">
        <v>46568</v>
      </c>
      <c r="G140" s="28" t="s">
        <v>1499</v>
      </c>
      <c r="H140" s="84" t="s">
        <v>44</v>
      </c>
      <c r="I140" s="85" t="str">
        <f t="shared" si="2"/>
        <v xml:space="preserve">WBS: WBE-226
שם פרויקט: כורסי-רב שלבי-החלפת 2 שנאים 521,522 והתקנת 2 שנאים 523,524
מנה״פ: יעקבי, ניר
יעד תכנית פיתוח: 30/06/2027
יעד מסתמן: שנאי 521 11/2026
שנאים 523,524 
30/06/2027
שנאי 522
28/02/2028
</v>
      </c>
      <c r="J140" s="71" t="s">
        <v>927</v>
      </c>
      <c r="K140" s="71" t="s">
        <v>928</v>
      </c>
      <c r="L140" s="71" t="s">
        <v>929</v>
      </c>
      <c r="M140" s="71" t="s">
        <v>929</v>
      </c>
      <c r="N140" s="71" t="s">
        <v>929</v>
      </c>
      <c r="O140" s="71" t="s">
        <v>929</v>
      </c>
      <c r="P140" s="71" t="s">
        <v>929</v>
      </c>
      <c r="Q140" s="71" t="s">
        <v>1486</v>
      </c>
      <c r="R140" s="63" t="s">
        <v>930</v>
      </c>
      <c r="S140" s="87"/>
      <c r="T140" s="59"/>
      <c r="U140" s="85"/>
      <c r="V140" s="75"/>
      <c r="W140" s="167" t="e">
        <f>VLOOKUP(טבלה13[[#This Row],[זיהוי]],#REF!,2,FALSE)</f>
        <v>#REF!</v>
      </c>
    </row>
    <row r="141" spans="1:23" s="145" customFormat="1" ht="165" x14ac:dyDescent="0.25">
      <c r="A141" s="25" t="s">
        <v>931</v>
      </c>
      <c r="B141" s="26" t="s">
        <v>932</v>
      </c>
      <c r="C141" s="27" t="s">
        <v>30</v>
      </c>
      <c r="D141" s="84" t="s">
        <v>97</v>
      </c>
      <c r="E141" s="84" t="s">
        <v>66</v>
      </c>
      <c r="F141" s="28">
        <v>46356</v>
      </c>
      <c r="G141" s="28">
        <v>46386</v>
      </c>
      <c r="H141" s="84" t="s">
        <v>85</v>
      </c>
      <c r="I141" s="85" t="str">
        <f t="shared" si="2"/>
        <v>WBS: WBE-233
שם פרויקט: יזרעאל-הח' 2 שנאים161/24 30 ב-50מגוו"א כ"א
מנה״פ: יעקבי, ניר
יעד תכנית פיתוח: 30/11/2026
יעד מסתמן: 30/12/2026</v>
      </c>
      <c r="J141" s="31" t="s">
        <v>933</v>
      </c>
      <c r="K141" s="31" t="s">
        <v>933</v>
      </c>
      <c r="L141" s="31" t="s">
        <v>934</v>
      </c>
      <c r="M141" s="31" t="s">
        <v>935</v>
      </c>
      <c r="N141" s="31" t="s">
        <v>936</v>
      </c>
      <c r="O141" s="31" t="s">
        <v>937</v>
      </c>
      <c r="P141" s="31" t="s">
        <v>937</v>
      </c>
      <c r="Q141" s="31" t="s">
        <v>937</v>
      </c>
      <c r="R141" s="63"/>
      <c r="S141" s="59"/>
      <c r="T141" s="59"/>
      <c r="U141" s="85"/>
      <c r="V141" s="75"/>
      <c r="W141" s="167" t="e">
        <f>VLOOKUP(טבלה13[[#This Row],[זיהוי]],#REF!,2,FALSE)</f>
        <v>#REF!</v>
      </c>
    </row>
    <row r="142" spans="1:23" s="145" customFormat="1" ht="120" x14ac:dyDescent="0.25">
      <c r="A142" s="25" t="s">
        <v>938</v>
      </c>
      <c r="B142" s="26" t="s">
        <v>939</v>
      </c>
      <c r="C142" s="27" t="s">
        <v>30</v>
      </c>
      <c r="D142" s="84" t="s">
        <v>97</v>
      </c>
      <c r="E142" s="84" t="s">
        <v>66</v>
      </c>
      <c r="F142" s="28">
        <v>46568</v>
      </c>
      <c r="G142" s="28">
        <v>46752</v>
      </c>
      <c r="H142" s="84" t="s">
        <v>74</v>
      </c>
      <c r="I142" s="85" t="str">
        <f t="shared" si="2"/>
        <v>WBS: WBE-135
שם פרויקט: יזרעאל- החלפת שנאים 522 ו-524 ל-50 מגוו"א.
מנה״פ: יעקבי, ניר
יעד תכנית פיתוח: 30/06/2027
יעד מסתמן: 31/12/2027</v>
      </c>
      <c r="J142" s="63" t="s">
        <v>940</v>
      </c>
      <c r="K142" s="63" t="s">
        <v>940</v>
      </c>
      <c r="L142" s="63" t="s">
        <v>941</v>
      </c>
      <c r="M142" s="63" t="s">
        <v>941</v>
      </c>
      <c r="N142" s="63" t="s">
        <v>942</v>
      </c>
      <c r="O142" s="63" t="s">
        <v>942</v>
      </c>
      <c r="P142" s="63" t="s">
        <v>941</v>
      </c>
      <c r="Q142" s="63" t="s">
        <v>941</v>
      </c>
      <c r="R142" s="63"/>
      <c r="S142" s="86"/>
      <c r="T142" s="59"/>
      <c r="U142" s="85"/>
      <c r="V142" s="75"/>
      <c r="W142" s="167" t="e">
        <f>VLOOKUP(טבלה13[[#This Row],[זיהוי]],#REF!,2,FALSE)</f>
        <v>#REF!</v>
      </c>
    </row>
    <row r="143" spans="1:23" s="145" customFormat="1" ht="105" x14ac:dyDescent="0.25">
      <c r="A143" s="25" t="s">
        <v>943</v>
      </c>
      <c r="B143" s="26" t="s">
        <v>944</v>
      </c>
      <c r="C143" s="27" t="s">
        <v>30</v>
      </c>
      <c r="D143" s="84" t="s">
        <v>97</v>
      </c>
      <c r="E143" s="84" t="s">
        <v>66</v>
      </c>
      <c r="F143" s="28">
        <v>46021</v>
      </c>
      <c r="G143" s="28" t="s">
        <v>565</v>
      </c>
      <c r="H143" s="84" t="s">
        <v>93</v>
      </c>
      <c r="I143" s="85" t="str">
        <f t="shared" si="2"/>
        <v>WBS: WBE-169
שם פרויקט: יהלום-הוספת שנאי 50 MVA רב שלבי
מנה״פ: יעקבי, ניר
יעד תכנית פיתוח: 30/12/2025
יעד מסתמן: חושמל</v>
      </c>
      <c r="J143" s="63" t="s">
        <v>945</v>
      </c>
      <c r="K143" s="63" t="s">
        <v>946</v>
      </c>
      <c r="L143" s="63" t="s">
        <v>947</v>
      </c>
      <c r="M143" s="63" t="s">
        <v>948</v>
      </c>
      <c r="N143" s="63" t="s">
        <v>948</v>
      </c>
      <c r="O143" s="63" t="s">
        <v>948</v>
      </c>
      <c r="P143" s="63" t="s">
        <v>948</v>
      </c>
      <c r="Q143" s="63" t="s">
        <v>948</v>
      </c>
      <c r="R143" s="63"/>
      <c r="S143" s="87"/>
      <c r="T143" s="59"/>
      <c r="U143" s="85"/>
      <c r="V143" s="75"/>
      <c r="W143" s="167" t="e">
        <f>VLOOKUP(טבלה13[[#This Row],[זיהוי]],#REF!,2,FALSE)</f>
        <v>#REF!</v>
      </c>
    </row>
    <row r="144" spans="1:23" s="145" customFormat="1" ht="165" x14ac:dyDescent="0.25">
      <c r="A144" s="25" t="s">
        <v>949</v>
      </c>
      <c r="B144" s="26" t="s">
        <v>950</v>
      </c>
      <c r="C144" s="27" t="s">
        <v>30</v>
      </c>
      <c r="D144" s="84" t="s">
        <v>97</v>
      </c>
      <c r="E144" s="84" t="s">
        <v>66</v>
      </c>
      <c r="F144" s="28">
        <v>46203</v>
      </c>
      <c r="G144" s="28">
        <v>46295</v>
      </c>
      <c r="H144" s="84" t="s">
        <v>44</v>
      </c>
      <c r="I144" s="85" t="str">
        <f t="shared" si="2"/>
        <v>WBS: WBE-252
שם פרויקט: חולה - החלפת שנאי 522 מ- 33 ל- 50 מגוו"א והחלפת מסדר מ"ג פ"צ 2
מנה״פ: יעקבי, ניר
יעד תכנית פיתוח: 30/06/2026
יעד מסתמן: 30/09/2026</v>
      </c>
      <c r="J144" s="63" t="s">
        <v>951</v>
      </c>
      <c r="K144" s="63" t="s">
        <v>952</v>
      </c>
      <c r="L144" s="63" t="s">
        <v>952</v>
      </c>
      <c r="M144" s="63" t="s">
        <v>953</v>
      </c>
      <c r="N144" s="63" t="s">
        <v>954</v>
      </c>
      <c r="O144" s="63" t="s">
        <v>954</v>
      </c>
      <c r="P144" s="63" t="s">
        <v>955</v>
      </c>
      <c r="Q144" s="63" t="s">
        <v>955</v>
      </c>
      <c r="R144" s="63" t="s">
        <v>930</v>
      </c>
      <c r="S144" s="87"/>
      <c r="T144" s="59"/>
      <c r="U144" s="85"/>
      <c r="V144" s="75"/>
      <c r="W144" s="167" t="e">
        <f>VLOOKUP(טבלה13[[#This Row],[זיהוי]],#REF!,2,FALSE)</f>
        <v>#REF!</v>
      </c>
    </row>
    <row r="145" spans="1:23" s="145" customFormat="1" ht="120" x14ac:dyDescent="0.25">
      <c r="A145" s="25" t="s">
        <v>956</v>
      </c>
      <c r="B145" s="26" t="s">
        <v>957</v>
      </c>
      <c r="C145" s="27" t="s">
        <v>30</v>
      </c>
      <c r="D145" s="84" t="s">
        <v>97</v>
      </c>
      <c r="E145" s="84" t="s">
        <v>66</v>
      </c>
      <c r="F145" s="28">
        <v>46934</v>
      </c>
      <c r="G145" s="28">
        <v>46843</v>
      </c>
      <c r="H145" s="84" t="s">
        <v>51</v>
      </c>
      <c r="I145" s="85" t="str">
        <f t="shared" si="2"/>
        <v>WBS: WBE-199
שם פרויקט: זבולון-התקנת שנאי שלישי 161/24 ק"ו 50 מגוו"א
מנה״פ: יעקבי, ניר
יעד תכנית פיתוח: 30/06/2028
יעד מסתמן: 31/03/2028</v>
      </c>
      <c r="J145" s="63" t="s">
        <v>958</v>
      </c>
      <c r="K145" s="63" t="s">
        <v>958</v>
      </c>
      <c r="L145" s="63" t="s">
        <v>958</v>
      </c>
      <c r="M145" s="63" t="s">
        <v>958</v>
      </c>
      <c r="N145" s="63" t="s">
        <v>958</v>
      </c>
      <c r="O145" s="63" t="s">
        <v>958</v>
      </c>
      <c r="P145" s="63" t="s">
        <v>958</v>
      </c>
      <c r="Q145" s="63" t="s">
        <v>958</v>
      </c>
      <c r="R145" s="63"/>
      <c r="S145" s="87"/>
      <c r="T145" s="59"/>
      <c r="U145" s="85"/>
      <c r="V145" s="75"/>
      <c r="W145" s="167" t="e">
        <f>VLOOKUP(טבלה13[[#This Row],[זיהוי]],#REF!,2,FALSE)</f>
        <v>#REF!</v>
      </c>
    </row>
    <row r="146" spans="1:23" s="145" customFormat="1" ht="210" x14ac:dyDescent="0.25">
      <c r="A146" s="29" t="s">
        <v>959</v>
      </c>
      <c r="B146" s="30" t="s">
        <v>960</v>
      </c>
      <c r="C146" s="27" t="s">
        <v>30</v>
      </c>
      <c r="D146" s="84" t="s">
        <v>97</v>
      </c>
      <c r="E146" s="84" t="s">
        <v>66</v>
      </c>
      <c r="F146" s="28">
        <v>47026</v>
      </c>
      <c r="G146" s="28">
        <v>47118</v>
      </c>
      <c r="H146" s="84" t="s">
        <v>51</v>
      </c>
      <c r="I146" s="85" t="str">
        <f t="shared" si="2"/>
        <v>WBS: WBK-013
שם פרויקט: זבולון-השלמת שדה 23 והתאמתו ליכולת 2500 א' במסדר 161 ק"ו. התקנת אוטו שנאי 400/170 ק"ו רביעי, בהספק 575 מגוו"א
מנה״פ: יעקבי, ניר
יעד תכנית פיתוח: 30/09/2028
יעד מסתמן: 31/12/2028</v>
      </c>
      <c r="J146" s="63" t="s">
        <v>961</v>
      </c>
      <c r="K146" s="63" t="s">
        <v>961</v>
      </c>
      <c r="L146" s="63" t="s">
        <v>961</v>
      </c>
      <c r="M146" s="63" t="s">
        <v>962</v>
      </c>
      <c r="N146" s="63" t="s">
        <v>962</v>
      </c>
      <c r="O146" s="63" t="s">
        <v>962</v>
      </c>
      <c r="P146" s="63" t="s">
        <v>962</v>
      </c>
      <c r="Q146" s="63" t="s">
        <v>1489</v>
      </c>
      <c r="R146" s="63"/>
      <c r="S146" s="86" t="s">
        <v>75</v>
      </c>
      <c r="T146" s="59" t="s">
        <v>91</v>
      </c>
      <c r="U146" s="85"/>
      <c r="V146" s="75"/>
      <c r="W146" s="167" t="e">
        <f>VLOOKUP(טבלה13[[#This Row],[זיהוי]],#REF!,2,FALSE)</f>
        <v>#REF!</v>
      </c>
    </row>
    <row r="147" spans="1:23" s="145" customFormat="1" ht="165" x14ac:dyDescent="0.25">
      <c r="A147" s="25" t="s">
        <v>963</v>
      </c>
      <c r="B147" s="26" t="s">
        <v>964</v>
      </c>
      <c r="C147" s="27" t="s">
        <v>15</v>
      </c>
      <c r="D147" s="84" t="s">
        <v>97</v>
      </c>
      <c r="E147" s="84" t="s">
        <v>66</v>
      </c>
      <c r="F147" s="28">
        <v>46233</v>
      </c>
      <c r="G147" s="28">
        <v>46326</v>
      </c>
      <c r="H147" s="84" t="s">
        <v>33</v>
      </c>
      <c r="I147" s="85" t="str">
        <f t="shared" si="2"/>
        <v>WBS: WBC-206
שם פרויקט: הדרי שאן(טירת צבי)-חח"י-התקנת 4 שנאים 50 מגוו"א
מנה״פ: יעקבי, ניר
יעד תכנית פיתוח: 30/07/2026
יעד מסתמן: 31/10/2026</v>
      </c>
      <c r="J147" s="31" t="s">
        <v>965</v>
      </c>
      <c r="K147" s="31" t="s">
        <v>965</v>
      </c>
      <c r="L147" s="31" t="s">
        <v>965</v>
      </c>
      <c r="M147" s="31" t="s">
        <v>965</v>
      </c>
      <c r="N147" s="31" t="s">
        <v>966</v>
      </c>
      <c r="O147" s="31" t="s">
        <v>967</v>
      </c>
      <c r="P147" s="31" t="s">
        <v>1561</v>
      </c>
      <c r="Q147" s="195" t="s">
        <v>1565</v>
      </c>
      <c r="R147" s="63" t="s">
        <v>1490</v>
      </c>
      <c r="S147" s="59"/>
      <c r="T147" s="41"/>
      <c r="U147" s="85"/>
      <c r="V147" s="75"/>
      <c r="W147" s="167" t="e">
        <f>VLOOKUP(טבלה13[[#This Row],[זיהוי]],#REF!,2,FALSE)</f>
        <v>#REF!</v>
      </c>
    </row>
    <row r="148" spans="1:23" s="145" customFormat="1" ht="120" x14ac:dyDescent="0.25">
      <c r="A148" s="25" t="s">
        <v>968</v>
      </c>
      <c r="B148" s="26" t="s">
        <v>969</v>
      </c>
      <c r="C148" s="27" t="s">
        <v>30</v>
      </c>
      <c r="D148" s="84" t="s">
        <v>97</v>
      </c>
      <c r="E148" s="84" t="s">
        <v>66</v>
      </c>
      <c r="F148" s="28">
        <v>46752</v>
      </c>
      <c r="G148" s="28">
        <v>46812</v>
      </c>
      <c r="H148" s="84" t="s">
        <v>63</v>
      </c>
      <c r="I148" s="85" t="str">
        <f t="shared" si="2"/>
        <v>WBS: WBE-197
שם פרויקט: אדמירליטי -התקנת שנאי שלישי 161/24 ק"ו, 50 מגוו"א
מנה״פ: יעקבי, ניר
יעד תכנית פיתוח: 31/12/2027
יעד מסתמן: 29/02/2028</v>
      </c>
      <c r="J148" s="31" t="s">
        <v>970</v>
      </c>
      <c r="K148" s="31" t="s">
        <v>970</v>
      </c>
      <c r="L148" s="31" t="s">
        <v>970</v>
      </c>
      <c r="M148" s="31" t="s">
        <v>970</v>
      </c>
      <c r="N148" s="31" t="s">
        <v>971</v>
      </c>
      <c r="O148" s="31" t="s">
        <v>971</v>
      </c>
      <c r="P148" s="31" t="s">
        <v>971</v>
      </c>
      <c r="Q148" s="31" t="s">
        <v>971</v>
      </c>
      <c r="R148" s="63"/>
      <c r="S148" s="87"/>
      <c r="T148" s="59"/>
      <c r="U148" s="85"/>
      <c r="V148" s="75"/>
      <c r="W148" s="167" t="e">
        <f>VLOOKUP(טבלה13[[#This Row],[זיהוי]],#REF!,2,FALSE)</f>
        <v>#REF!</v>
      </c>
    </row>
    <row r="149" spans="1:23" s="145" customFormat="1" ht="120" x14ac:dyDescent="0.25">
      <c r="A149" s="25" t="s">
        <v>972</v>
      </c>
      <c r="B149" s="26" t="s">
        <v>973</v>
      </c>
      <c r="C149" s="27" t="s">
        <v>219</v>
      </c>
      <c r="D149" s="84" t="s">
        <v>97</v>
      </c>
      <c r="E149" s="84" t="s">
        <v>66</v>
      </c>
      <c r="F149" s="28">
        <v>46203</v>
      </c>
      <c r="G149" s="28">
        <v>46205</v>
      </c>
      <c r="H149" s="84" t="s">
        <v>33</v>
      </c>
      <c r="I149" s="85" t="str">
        <f>"WBS: " &amp; A149 &amp; CHAR(10) &amp;
"שם פרויקט: " &amp; B149 &amp; CHAR(10) &amp;
"מנה״פ: " &amp; D149 &amp; CHAR(10) &amp;
"יעד תכנית פיתוח: " &amp; TEXT(F149,"dd/mm/yyyy") &amp; CHAR(10) &amp;
"יעד מסתמן: " &amp; TEXT(G149,"dd/mm/yyyy")</f>
        <v>WBS: WBD-127
שם פרויקט: כרמיאל ניידת- תכנון הצבת תחמ"ש ניידת
מנה״פ: יעקבי, ניר
יעד תכנית פיתוח: 30/06/2026
יעד מסתמן: 02/07/2026</v>
      </c>
      <c r="J149" s="63" t="s">
        <v>974</v>
      </c>
      <c r="K149" s="63" t="s">
        <v>974</v>
      </c>
      <c r="L149" s="63" t="s">
        <v>974</v>
      </c>
      <c r="M149" s="63" t="s">
        <v>975</v>
      </c>
      <c r="N149" s="63" t="s">
        <v>975</v>
      </c>
      <c r="O149" s="63" t="s">
        <v>976</v>
      </c>
      <c r="P149" s="63" t="s">
        <v>977</v>
      </c>
      <c r="Q149" s="63" t="s">
        <v>1492</v>
      </c>
      <c r="R149" s="63"/>
      <c r="S149" s="91"/>
      <c r="T149" s="92"/>
      <c r="U149" s="85"/>
      <c r="V149" s="75" t="s">
        <v>13</v>
      </c>
      <c r="W149" s="167" t="e">
        <f>VLOOKUP(טבלה13[[#This Row],[זיהוי]],#REF!,2,FALSE)</f>
        <v>#REF!</v>
      </c>
    </row>
    <row r="150" spans="1:23" s="145" customFormat="1" ht="120" x14ac:dyDescent="0.25">
      <c r="A150" s="25" t="s">
        <v>978</v>
      </c>
      <c r="B150" s="26" t="s">
        <v>979</v>
      </c>
      <c r="C150" s="27" t="s">
        <v>219</v>
      </c>
      <c r="D150" s="84" t="s">
        <v>97</v>
      </c>
      <c r="E150" s="84" t="s">
        <v>66</v>
      </c>
      <c r="F150" s="28">
        <v>46085</v>
      </c>
      <c r="G150" s="28">
        <v>46085</v>
      </c>
      <c r="H150" s="84" t="s">
        <v>93</v>
      </c>
      <c r="I150" s="85" t="str">
        <f>"WBS: " &amp; A150 &amp; CHAR(10) &amp;
"שם פרויקט: " &amp; B150 &amp; CHAR(10) &amp;
"מנה״פ: " &amp; D150 &amp; CHAR(10) &amp;
"יעד תכנית פיתוח: " &amp; TEXT(F150,"dd/mm/yyyy") &amp; CHAR(10) &amp;
"יעד מסתמן: " &amp; TEXT(G150,"dd/mm/yyyy")</f>
        <v>WBS: WBD-129
שם פרויקט: הדרי שאן- תכנון הצבת תחמ"ש ניידת, 30 מגוו"א
מנה״פ: יעקבי, ניר
יעד תכנית פיתוח: 04/03/2026
יעד מסתמן: 04/03/2026</v>
      </c>
      <c r="J150" s="42" t="s">
        <v>980</v>
      </c>
      <c r="K150" s="42" t="s">
        <v>980</v>
      </c>
      <c r="L150" s="42" t="s">
        <v>980</v>
      </c>
      <c r="M150" s="42" t="s">
        <v>980</v>
      </c>
      <c r="N150" s="42" t="s">
        <v>980</v>
      </c>
      <c r="O150" s="42" t="s">
        <v>980</v>
      </c>
      <c r="P150" s="42" t="s">
        <v>980</v>
      </c>
      <c r="Q150" s="42" t="s">
        <v>980</v>
      </c>
      <c r="R150" s="63"/>
      <c r="S150" s="91"/>
      <c r="T150" s="92"/>
      <c r="U150" s="85"/>
      <c r="V150" s="75"/>
      <c r="W150" s="167" t="e">
        <f>VLOOKUP(טבלה13[[#This Row],[זיהוי]],#REF!,2,FALSE)</f>
        <v>#REF!</v>
      </c>
    </row>
    <row r="151" spans="1:23" s="145" customFormat="1" ht="120" x14ac:dyDescent="0.25">
      <c r="A151" s="25" t="s">
        <v>981</v>
      </c>
      <c r="B151" s="26" t="s">
        <v>982</v>
      </c>
      <c r="C151" s="27" t="s">
        <v>30</v>
      </c>
      <c r="D151" s="84" t="s">
        <v>97</v>
      </c>
      <c r="E151" s="84" t="s">
        <v>66</v>
      </c>
      <c r="F151" s="28">
        <v>46752</v>
      </c>
      <c r="G151" s="28">
        <v>46752</v>
      </c>
      <c r="H151" s="84" t="s">
        <v>51</v>
      </c>
      <c r="I151" s="85" t="str">
        <f t="shared" si="2"/>
        <v>WBS: WBE-253
שם פרויקט: "כברי - החלפת שנאי 523  ומסדר מ""ג פ""צ 3"
מנה״פ: יעקבי, ניר
יעד תכנית פיתוח: 31/12/2027
יעד מסתמן: 31/12/2027</v>
      </c>
      <c r="J151" s="63" t="s">
        <v>983</v>
      </c>
      <c r="K151" s="63" t="s">
        <v>983</v>
      </c>
      <c r="L151" s="63" t="s">
        <v>983</v>
      </c>
      <c r="M151" s="63" t="s">
        <v>983</v>
      </c>
      <c r="N151" s="63" t="s">
        <v>983</v>
      </c>
      <c r="O151" s="63" t="s">
        <v>983</v>
      </c>
      <c r="P151" s="63" t="s">
        <v>983</v>
      </c>
      <c r="Q151" s="63" t="s">
        <v>983</v>
      </c>
      <c r="R151" s="63"/>
      <c r="S151" s="87"/>
      <c r="T151" s="59"/>
      <c r="U151" s="85"/>
      <c r="V151" s="75"/>
      <c r="W151" s="167" t="e">
        <f>VLOOKUP(טבלה13[[#This Row],[זיהוי]],#REF!,2,FALSE)</f>
        <v>#REF!</v>
      </c>
    </row>
    <row r="152" spans="1:23" s="145" customFormat="1" ht="153" customHeight="1" x14ac:dyDescent="0.25">
      <c r="A152" s="25" t="s">
        <v>984</v>
      </c>
      <c r="B152" s="26" t="s">
        <v>985</v>
      </c>
      <c r="C152" s="27" t="s">
        <v>219</v>
      </c>
      <c r="D152" s="84" t="s">
        <v>986</v>
      </c>
      <c r="E152" s="84"/>
      <c r="F152" s="28">
        <v>46078</v>
      </c>
      <c r="G152" s="28" t="s">
        <v>565</v>
      </c>
      <c r="H152" s="84" t="s">
        <v>93</v>
      </c>
      <c r="I152" s="85" t="str">
        <f t="shared" si="2"/>
        <v>WBS: WBD-092
שם פרויקט: שרון ניידת-הצבת תחמ"ש ניידת
מנה״פ: כוכבה כהן
יעד תכנית פיתוח: 25/02/2026
יעד מסתמן: חושמל</v>
      </c>
      <c r="J152" s="68" t="s">
        <v>987</v>
      </c>
      <c r="K152" s="68" t="s">
        <v>988</v>
      </c>
      <c r="L152" s="68" t="s">
        <v>988</v>
      </c>
      <c r="M152" s="68" t="s">
        <v>989</v>
      </c>
      <c r="N152" s="68" t="s">
        <v>989</v>
      </c>
      <c r="O152" s="68" t="s">
        <v>990</v>
      </c>
      <c r="P152" s="68" t="s">
        <v>991</v>
      </c>
      <c r="Q152" s="68" t="s">
        <v>1522</v>
      </c>
      <c r="R152" s="63"/>
      <c r="S152" s="87"/>
      <c r="T152" s="59"/>
      <c r="U152" s="85"/>
      <c r="V152" s="75"/>
      <c r="W152" s="167" t="e">
        <f>VLOOKUP(טבלה13[[#This Row],[זיהוי]],#REF!,2,FALSE)</f>
        <v>#REF!</v>
      </c>
    </row>
    <row r="153" spans="1:23" s="145" customFormat="1" ht="409.6" x14ac:dyDescent="0.25">
      <c r="A153" s="25" t="s">
        <v>992</v>
      </c>
      <c r="B153" s="26" t="s">
        <v>993</v>
      </c>
      <c r="C153" s="27" t="s">
        <v>219</v>
      </c>
      <c r="D153" s="84" t="s">
        <v>986</v>
      </c>
      <c r="E153" s="84"/>
      <c r="F153" s="28">
        <v>46173</v>
      </c>
      <c r="G153" s="28" t="s">
        <v>994</v>
      </c>
      <c r="H153" s="84" t="s">
        <v>60</v>
      </c>
      <c r="I153" s="85" t="str">
        <f t="shared" si="2"/>
        <v xml:space="preserve">WBS: WBD-118
שם פרויקט: שוהם-ב.ס.ר-הצבת תחמ"ש ניידת, 30 מגוו"א
מנה״פ: כוכבה כהן
יעד תכנית פיתוח: 31/05/2026
יעד מסתמן: טרם ידוע </v>
      </c>
      <c r="J153" s="69" t="s">
        <v>995</v>
      </c>
      <c r="K153" s="69" t="s">
        <v>996</v>
      </c>
      <c r="L153" s="54" t="s">
        <v>996</v>
      </c>
      <c r="M153" s="106" t="s">
        <v>997</v>
      </c>
      <c r="N153" s="106" t="s">
        <v>998</v>
      </c>
      <c r="O153" s="106" t="s">
        <v>998</v>
      </c>
      <c r="P153" s="106" t="s">
        <v>998</v>
      </c>
      <c r="Q153" s="106" t="s">
        <v>998</v>
      </c>
      <c r="R153" s="63"/>
      <c r="S153" s="87"/>
      <c r="T153" s="59"/>
      <c r="U153" s="85"/>
      <c r="V153" s="75"/>
      <c r="W153" s="167" t="e">
        <f>VLOOKUP(טבלה13[[#This Row],[זיהוי]],#REF!,2,FALSE)</f>
        <v>#REF!</v>
      </c>
    </row>
    <row r="154" spans="1:23" s="145" customFormat="1" ht="409.6" x14ac:dyDescent="0.25">
      <c r="A154" s="25" t="s">
        <v>999</v>
      </c>
      <c r="B154" s="26" t="s">
        <v>1000</v>
      </c>
      <c r="C154" s="27" t="s">
        <v>219</v>
      </c>
      <c r="D154" s="84" t="s">
        <v>986</v>
      </c>
      <c r="E154" s="84"/>
      <c r="F154" s="28">
        <v>46112</v>
      </c>
      <c r="G154" s="28">
        <v>46537</v>
      </c>
      <c r="H154" s="84" t="s">
        <v>60</v>
      </c>
      <c r="I154" s="85" t="str">
        <f t="shared" si="2"/>
        <v>WBS: WBD-117
שם פרויקט: עזריאלי ניידות- הצבת 2 תחמ"ש ניידות, 20 מגוו"א כ"א
מנה״פ: כוכבה כהן
יעד תכנית פיתוח: 31/03/2026
יעד מסתמן: 30/05/2027</v>
      </c>
      <c r="J154" s="70" t="s">
        <v>1001</v>
      </c>
      <c r="K154" s="70" t="s">
        <v>1002</v>
      </c>
      <c r="L154" s="70" t="s">
        <v>1003</v>
      </c>
      <c r="M154" s="70" t="s">
        <v>1004</v>
      </c>
      <c r="N154" s="70" t="s">
        <v>1004</v>
      </c>
      <c r="O154" s="70" t="s">
        <v>1005</v>
      </c>
      <c r="P154" s="70" t="s">
        <v>1005</v>
      </c>
      <c r="Q154" s="70" t="s">
        <v>1523</v>
      </c>
      <c r="R154" s="63"/>
      <c r="S154" s="87" t="s">
        <v>75</v>
      </c>
      <c r="T154" s="59"/>
      <c r="U154" s="85"/>
      <c r="V154" s="75"/>
      <c r="W154" s="167" t="e">
        <f>VLOOKUP(טבלה13[[#This Row],[זיהוי]],#REF!,2,FALSE)</f>
        <v>#REF!</v>
      </c>
    </row>
    <row r="155" spans="1:23" s="145" customFormat="1" ht="285" x14ac:dyDescent="0.25">
      <c r="A155" s="25" t="s">
        <v>1006</v>
      </c>
      <c r="B155" s="26" t="s">
        <v>1007</v>
      </c>
      <c r="C155" s="27" t="s">
        <v>219</v>
      </c>
      <c r="D155" s="84" t="s">
        <v>986</v>
      </c>
      <c r="E155" s="84"/>
      <c r="F155" s="28">
        <v>46537</v>
      </c>
      <c r="G155" s="28">
        <v>46537</v>
      </c>
      <c r="H155" s="84" t="s">
        <v>51</v>
      </c>
      <c r="I155" s="85" t="str">
        <f t="shared" si="2"/>
        <v>WBS: WBD-099
שם פרויקט: ספיר ניידת- תכנון הצבת 2 ניידות
מנה״פ: כוכבה כהן
יעד תכנית פיתוח: 30/05/2027
יעד מסתמן: 30/05/2027</v>
      </c>
      <c r="J155" s="71" t="s">
        <v>1008</v>
      </c>
      <c r="K155" s="71" t="s">
        <v>1009</v>
      </c>
      <c r="L155" s="71" t="s">
        <v>1009</v>
      </c>
      <c r="M155" s="64" t="s">
        <v>1010</v>
      </c>
      <c r="N155" s="64" t="s">
        <v>1010</v>
      </c>
      <c r="O155" s="64" t="s">
        <v>1010</v>
      </c>
      <c r="P155" s="64" t="s">
        <v>1010</v>
      </c>
      <c r="Q155" s="64" t="s">
        <v>1524</v>
      </c>
      <c r="R155" s="114"/>
      <c r="S155" s="115"/>
      <c r="T155" s="59"/>
      <c r="U155" s="85"/>
      <c r="V155" s="75"/>
      <c r="W155" s="167" t="e">
        <f>VLOOKUP(טבלה13[[#This Row],[זיהוי]],#REF!,2,FALSE)</f>
        <v>#REF!</v>
      </c>
    </row>
    <row r="156" spans="1:23" s="145" customFormat="1" ht="120" x14ac:dyDescent="0.25">
      <c r="A156" s="25" t="s">
        <v>1011</v>
      </c>
      <c r="B156" s="26" t="s">
        <v>1012</v>
      </c>
      <c r="C156" s="27" t="s">
        <v>30</v>
      </c>
      <c r="D156" s="84" t="s">
        <v>99</v>
      </c>
      <c r="E156" s="84" t="s">
        <v>79</v>
      </c>
      <c r="F156" s="28">
        <v>46568</v>
      </c>
      <c r="G156" s="28">
        <v>46598</v>
      </c>
      <c r="H156" s="84" t="s">
        <v>63</v>
      </c>
      <c r="I156" s="85" t="str">
        <f>"WBS: " &amp; A156 &amp; CHAR(10) &amp;
"שם פרויקט: " &amp; B156 &amp; CHAR(10) &amp;
"מנה״פ: " &amp; D156 &amp; CHAR(10) &amp;
"יעד תכנית פיתוח: " &amp; TEXT(F156,"dd/mm/yyyy") &amp; CHAR(10) &amp;
"יעד מסתמן: " &amp; TEXT(G156,"dd/mm/yyyy")</f>
        <v>WBS: WBE-295
שם פרויקט: נתניה-התקנת שנאי רביעי 161/24 ק"ו , 50 מגוו"א
מנה״פ: לופטון כהן, אדווה
יעד תכנית פיתוח: 30/06/2027
יעד מסתמן: 30/07/2027</v>
      </c>
      <c r="J156" s="42" t="s">
        <v>1013</v>
      </c>
      <c r="K156" s="42" t="s">
        <v>1013</v>
      </c>
      <c r="L156" s="42" t="s">
        <v>1014</v>
      </c>
      <c r="M156" s="42" t="s">
        <v>1014</v>
      </c>
      <c r="N156" s="42" t="s">
        <v>1014</v>
      </c>
      <c r="O156" s="42" t="s">
        <v>1015</v>
      </c>
      <c r="P156" s="42" t="s">
        <v>1016</v>
      </c>
      <c r="Q156" s="42" t="s">
        <v>1016</v>
      </c>
      <c r="R156" s="63"/>
      <c r="S156" s="91"/>
      <c r="T156" s="92"/>
      <c r="U156" s="85"/>
      <c r="V156" s="75"/>
      <c r="W156" s="167" t="e">
        <f>VLOOKUP(טבלה13[[#This Row],[זיהוי]],#REF!,2,FALSE)</f>
        <v>#REF!</v>
      </c>
    </row>
    <row r="157" spans="1:23" s="145" customFormat="1" ht="120" x14ac:dyDescent="0.25">
      <c r="A157" s="25" t="s">
        <v>1017</v>
      </c>
      <c r="B157" s="26" t="s">
        <v>1018</v>
      </c>
      <c r="C157" s="27" t="s">
        <v>30</v>
      </c>
      <c r="D157" s="84" t="s">
        <v>99</v>
      </c>
      <c r="E157" s="84" t="s">
        <v>79</v>
      </c>
      <c r="F157" s="28">
        <v>46387</v>
      </c>
      <c r="G157" s="28">
        <v>46751</v>
      </c>
      <c r="H157" s="84" t="s">
        <v>90</v>
      </c>
      <c r="I157" s="85" t="str">
        <f t="shared" si="2"/>
        <v>WBS: WBE-274
שם פרויקט: תל אור - 2 מתקני אגירת אנרגיה בסוללות
מנה״פ: לופטון כהן, אדווה
יעד תכנית פיתוח: 31/12/2026
יעד מסתמן: 30/12/2027</v>
      </c>
      <c r="J157" s="72" t="s">
        <v>1019</v>
      </c>
      <c r="K157" s="72" t="s">
        <v>1019</v>
      </c>
      <c r="L157" s="72" t="s">
        <v>1019</v>
      </c>
      <c r="M157" s="72" t="s">
        <v>1019</v>
      </c>
      <c r="N157" s="140" t="s">
        <v>1019</v>
      </c>
      <c r="O157" s="140" t="s">
        <v>1019</v>
      </c>
      <c r="P157" s="140" t="s">
        <v>1019</v>
      </c>
      <c r="Q157" s="140" t="s">
        <v>1019</v>
      </c>
      <c r="R157" s="140"/>
      <c r="S157" s="87"/>
      <c r="T157" s="59"/>
      <c r="U157" s="85"/>
      <c r="V157" s="75"/>
      <c r="W157" s="167" t="e">
        <f>VLOOKUP(טבלה13[[#This Row],[זיהוי]],#REF!,2,FALSE)</f>
        <v>#REF!</v>
      </c>
    </row>
    <row r="158" spans="1:23" s="145" customFormat="1" ht="120" x14ac:dyDescent="0.25">
      <c r="A158" s="25" t="s">
        <v>1020</v>
      </c>
      <c r="B158" s="26" t="s">
        <v>1021</v>
      </c>
      <c r="C158" s="27" t="s">
        <v>219</v>
      </c>
      <c r="D158" s="84" t="s">
        <v>99</v>
      </c>
      <c r="E158" s="84" t="s">
        <v>79</v>
      </c>
      <c r="F158" s="28">
        <v>46112</v>
      </c>
      <c r="G158" s="56">
        <v>46091</v>
      </c>
      <c r="H158" s="84" t="s">
        <v>93</v>
      </c>
      <c r="I158" s="85" t="str">
        <f t="shared" si="2"/>
        <v>WBS: WBD-087
שם פרויקט: שער שומרון – התקנת תחמ"ש ניידת 20 מגוו"א
מנה״פ: לופטון כהן, אדווה
יעד תכנית פיתוח: 31/03/2026
יעד מסתמן: 10/03/2026</v>
      </c>
      <c r="J158" s="55" t="s">
        <v>1022</v>
      </c>
      <c r="K158" s="55" t="s">
        <v>1022</v>
      </c>
      <c r="L158" s="55" t="s">
        <v>1023</v>
      </c>
      <c r="M158" s="55" t="s">
        <v>1023</v>
      </c>
      <c r="N158" s="55" t="s">
        <v>1024</v>
      </c>
      <c r="O158" s="55" t="s">
        <v>1024</v>
      </c>
      <c r="P158" s="55" t="s">
        <v>1025</v>
      </c>
      <c r="Q158" s="55" t="s">
        <v>1025</v>
      </c>
      <c r="R158" s="55"/>
      <c r="S158" s="87"/>
      <c r="T158" s="59"/>
      <c r="U158" s="85"/>
      <c r="V158" s="75"/>
      <c r="W158" s="167" t="e">
        <f>VLOOKUP(טבלה13[[#This Row],[זיהוי]],#REF!,2,FALSE)</f>
        <v>#REF!</v>
      </c>
    </row>
    <row r="159" spans="1:23" s="145" customFormat="1" ht="409.6" x14ac:dyDescent="0.3">
      <c r="A159" s="25" t="s">
        <v>1026</v>
      </c>
      <c r="B159" s="26" t="s">
        <v>1027</v>
      </c>
      <c r="C159" s="27" t="s">
        <v>219</v>
      </c>
      <c r="D159" s="84" t="s">
        <v>99</v>
      </c>
      <c r="E159" s="84" t="s">
        <v>79</v>
      </c>
      <c r="F159" s="28">
        <v>46203</v>
      </c>
      <c r="G159" s="28">
        <v>46183</v>
      </c>
      <c r="H159" s="84" t="s">
        <v>44</v>
      </c>
      <c r="I159" s="85" t="str">
        <f t="shared" si="2"/>
        <v>WBS: WBD-084
שם פרויקט: רמת רחל ניידת- העתקת ניידת
מנה״פ: לופטון כהן, אדווה
יעד תכנית פיתוח: 30/06/2026
יעד מסתמן: 10/06/2026</v>
      </c>
      <c r="J159" s="118" t="s">
        <v>1028</v>
      </c>
      <c r="K159" s="118" t="s">
        <v>1029</v>
      </c>
      <c r="L159" s="118" t="s">
        <v>1030</v>
      </c>
      <c r="M159" s="118" t="s">
        <v>1031</v>
      </c>
      <c r="N159" s="118" t="s">
        <v>1032</v>
      </c>
      <c r="O159" s="118" t="s">
        <v>1033</v>
      </c>
      <c r="P159" s="118" t="s">
        <v>1562</v>
      </c>
      <c r="Q159" s="118" t="s">
        <v>1563</v>
      </c>
      <c r="R159" s="193"/>
      <c r="S159" s="59"/>
      <c r="T159" s="59"/>
      <c r="U159" s="85"/>
      <c r="V159" s="75"/>
      <c r="W159" s="167" t="e">
        <f>VLOOKUP(טבלה13[[#This Row],[זיהוי]],#REF!,2,FALSE)</f>
        <v>#REF!</v>
      </c>
    </row>
    <row r="160" spans="1:23" s="145" customFormat="1" ht="409.6" x14ac:dyDescent="0.25">
      <c r="A160" s="25" t="s">
        <v>1034</v>
      </c>
      <c r="B160" s="26" t="s">
        <v>1035</v>
      </c>
      <c r="C160" s="27" t="s">
        <v>30</v>
      </c>
      <c r="D160" s="84" t="s">
        <v>99</v>
      </c>
      <c r="E160" s="84" t="s">
        <v>79</v>
      </c>
      <c r="F160" s="28">
        <v>46387</v>
      </c>
      <c r="G160" s="28">
        <v>46751</v>
      </c>
      <c r="H160" s="84" t="s">
        <v>90</v>
      </c>
      <c r="I160" s="85" t="str">
        <f t="shared" si="2"/>
        <v>WBS: WBE-276
שם פרויקט: קרית שמונה- מתקן אגירת אנרגיה בסוללות
מנה״פ: לופטון כהן, אדווה
יעד תכנית פיתוח: 31/12/2026
יעד מסתמן: 30/12/2027</v>
      </c>
      <c r="J160" s="64" t="s">
        <v>1036</v>
      </c>
      <c r="K160" s="64" t="s">
        <v>1036</v>
      </c>
      <c r="L160" s="64" t="s">
        <v>1036</v>
      </c>
      <c r="M160" s="64" t="s">
        <v>1037</v>
      </c>
      <c r="N160" s="64" t="s">
        <v>1037</v>
      </c>
      <c r="O160" s="64" t="s">
        <v>1038</v>
      </c>
      <c r="P160" s="64" t="s">
        <v>1039</v>
      </c>
      <c r="Q160" s="64" t="s">
        <v>1039</v>
      </c>
      <c r="R160" s="117" t="s">
        <v>1040</v>
      </c>
      <c r="S160" s="87" t="s">
        <v>75</v>
      </c>
      <c r="T160" s="87" t="s">
        <v>39</v>
      </c>
      <c r="U160" s="85"/>
      <c r="V160" s="75"/>
      <c r="W160" s="167" t="e">
        <f>VLOOKUP(טבלה13[[#This Row],[זיהוי]],#REF!,2,FALSE)</f>
        <v>#REF!</v>
      </c>
    </row>
    <row r="161" spans="1:23" s="145" customFormat="1" ht="120" x14ac:dyDescent="0.25">
      <c r="A161" s="25" t="s">
        <v>1041</v>
      </c>
      <c r="B161" s="26" t="s">
        <v>1042</v>
      </c>
      <c r="C161" s="27" t="s">
        <v>219</v>
      </c>
      <c r="D161" s="84" t="s">
        <v>99</v>
      </c>
      <c r="E161" s="84" t="s">
        <v>79</v>
      </c>
      <c r="F161" s="28">
        <v>46112</v>
      </c>
      <c r="G161" s="56">
        <v>46159</v>
      </c>
      <c r="H161" s="84" t="s">
        <v>93</v>
      </c>
      <c r="I161" s="85" t="str">
        <f t="shared" si="2"/>
        <v>WBS: WBD-088
שם פרויקט: קרית ארבע ניידת -  התקנת תחמ"ש ניידת
מנה״פ: לופטון כהן, אדווה
יעד תכנית פיתוח: 31/03/2026
יעד מסתמן: 17/05/2026</v>
      </c>
      <c r="J161" s="57" t="s">
        <v>1043</v>
      </c>
      <c r="K161" s="57" t="s">
        <v>1043</v>
      </c>
      <c r="L161" s="57" t="s">
        <v>1044</v>
      </c>
      <c r="M161" s="57" t="s">
        <v>1044</v>
      </c>
      <c r="N161" s="57" t="s">
        <v>1044</v>
      </c>
      <c r="O161" s="57" t="s">
        <v>1045</v>
      </c>
      <c r="P161" s="57" t="s">
        <v>1045</v>
      </c>
      <c r="Q161" s="57" t="s">
        <v>1045</v>
      </c>
      <c r="R161" s="117"/>
      <c r="S161" s="87"/>
      <c r="T161" s="87"/>
      <c r="U161" s="85"/>
      <c r="V161" s="75"/>
      <c r="W161" s="167" t="e">
        <f>VLOOKUP(טבלה13[[#This Row],[זיהוי]],#REF!,2,FALSE)</f>
        <v>#REF!</v>
      </c>
    </row>
    <row r="162" spans="1:23" s="145" customFormat="1" ht="120" x14ac:dyDescent="0.25">
      <c r="A162" s="25" t="s">
        <v>1046</v>
      </c>
      <c r="B162" s="26" t="s">
        <v>1047</v>
      </c>
      <c r="C162" s="27" t="s">
        <v>30</v>
      </c>
      <c r="D162" s="84" t="s">
        <v>99</v>
      </c>
      <c r="E162" s="84" t="s">
        <v>79</v>
      </c>
      <c r="F162" s="28">
        <v>46142</v>
      </c>
      <c r="G162" s="28">
        <v>46751</v>
      </c>
      <c r="H162" s="84" t="s">
        <v>90</v>
      </c>
      <c r="I162" s="85" t="str">
        <f t="shared" si="2"/>
        <v>WBS: WBE-265
שם פרויקט: קציעות-  2 מתקנים לאגירת אנרגיה בסוללות
מנה״פ: לופטון כהן, אדווה
יעד תכנית פיתוח: 30/04/2026
יעד מסתמן: 30/12/2027</v>
      </c>
      <c r="J162" s="63" t="s">
        <v>1048</v>
      </c>
      <c r="K162" s="63" t="s">
        <v>1048</v>
      </c>
      <c r="L162" s="63" t="s">
        <v>1048</v>
      </c>
      <c r="M162" s="63" t="s">
        <v>1048</v>
      </c>
      <c r="N162" s="63" t="s">
        <v>1049</v>
      </c>
      <c r="O162" s="63" t="s">
        <v>1049</v>
      </c>
      <c r="P162" s="63" t="s">
        <v>1049</v>
      </c>
      <c r="Q162" s="63" t="s">
        <v>1049</v>
      </c>
      <c r="R162" s="118" t="s">
        <v>1050</v>
      </c>
      <c r="S162" s="55"/>
      <c r="T162" s="119" t="s">
        <v>27</v>
      </c>
      <c r="U162" s="85"/>
      <c r="V162" s="75"/>
      <c r="W162" s="167" t="e">
        <f>VLOOKUP(טבלה13[[#This Row],[זיהוי]],#REF!,2,FALSE)</f>
        <v>#REF!</v>
      </c>
    </row>
    <row r="163" spans="1:23" s="145" customFormat="1" ht="390" x14ac:dyDescent="0.25">
      <c r="A163" s="25" t="s">
        <v>1051</v>
      </c>
      <c r="B163" s="26" t="s">
        <v>1052</v>
      </c>
      <c r="C163" s="27" t="s">
        <v>30</v>
      </c>
      <c r="D163" s="84" t="s">
        <v>99</v>
      </c>
      <c r="E163" s="84" t="s">
        <v>79</v>
      </c>
      <c r="F163" s="28">
        <v>46142</v>
      </c>
      <c r="G163" s="28">
        <v>46751</v>
      </c>
      <c r="H163" s="84" t="s">
        <v>90</v>
      </c>
      <c r="I163" s="85" t="str">
        <f t="shared" si="2"/>
        <v>WBS: WBE-140
שם פרויקט: ערד - 2 מתקנים לאגירת אנרגיה בסוללות
מנה״פ: לופטון כהן, אדווה
יעד תכנית פיתוח: 30/04/2026
יעד מסתמן: 30/12/2027</v>
      </c>
      <c r="J163" s="31" t="s">
        <v>1053</v>
      </c>
      <c r="K163" s="31" t="s">
        <v>1054</v>
      </c>
      <c r="L163" s="31" t="s">
        <v>1054</v>
      </c>
      <c r="M163" s="31" t="s">
        <v>1055</v>
      </c>
      <c r="N163" s="31" t="s">
        <v>1055</v>
      </c>
      <c r="O163" s="31" t="s">
        <v>1056</v>
      </c>
      <c r="P163" s="31" t="s">
        <v>1057</v>
      </c>
      <c r="Q163" s="31" t="s">
        <v>1462</v>
      </c>
      <c r="R163" s="63" t="s">
        <v>1058</v>
      </c>
      <c r="S163" s="87" t="s">
        <v>27</v>
      </c>
      <c r="T163" s="87" t="s">
        <v>75</v>
      </c>
      <c r="U163" s="85"/>
      <c r="V163" s="75"/>
      <c r="W163" s="167" t="e">
        <f>VLOOKUP(טבלה13[[#This Row],[זיהוי]],#REF!,2,FALSE)</f>
        <v>#REF!</v>
      </c>
    </row>
    <row r="164" spans="1:23" s="145" customFormat="1" ht="120" x14ac:dyDescent="0.25">
      <c r="A164" s="25" t="s">
        <v>1059</v>
      </c>
      <c r="B164" s="26" t="s">
        <v>1060</v>
      </c>
      <c r="C164" s="27" t="s">
        <v>30</v>
      </c>
      <c r="D164" s="84" t="s">
        <v>99</v>
      </c>
      <c r="E164" s="63" t="s">
        <v>79</v>
      </c>
      <c r="F164" s="28">
        <v>46142</v>
      </c>
      <c r="G164" s="28">
        <v>46751</v>
      </c>
      <c r="H164" s="84" t="s">
        <v>90</v>
      </c>
      <c r="I164" s="85" t="str">
        <f t="shared" si="2"/>
        <v>WBS: WBE-275
שם פרויקט: עין חרוד - מתקן אגירת אנרגיה בסוללות
מנה״פ: לופטון כהן, אדווה
יעד תכנית פיתוח: 30/04/2026
יעד מסתמן: 30/12/2027</v>
      </c>
      <c r="J164" s="63" t="s">
        <v>1019</v>
      </c>
      <c r="K164" s="63" t="s">
        <v>1019</v>
      </c>
      <c r="L164" s="63" t="s">
        <v>1019</v>
      </c>
      <c r="M164" s="63" t="s">
        <v>1019</v>
      </c>
      <c r="N164" s="63" t="s">
        <v>1019</v>
      </c>
      <c r="O164" s="63" t="s">
        <v>1019</v>
      </c>
      <c r="P164" s="63" t="s">
        <v>1019</v>
      </c>
      <c r="Q164" s="63" t="s">
        <v>1019</v>
      </c>
      <c r="R164" s="63"/>
      <c r="S164" s="87"/>
      <c r="T164" s="59"/>
      <c r="U164" s="85"/>
      <c r="V164" s="75"/>
      <c r="W164" s="167" t="e">
        <f>VLOOKUP(טבלה13[[#This Row],[זיהוי]],#REF!,2,FALSE)</f>
        <v>#REF!</v>
      </c>
    </row>
    <row r="165" spans="1:23" s="145" customFormat="1" ht="195" x14ac:dyDescent="0.25">
      <c r="A165" s="25" t="s">
        <v>1061</v>
      </c>
      <c r="B165" s="26" t="s">
        <v>1062</v>
      </c>
      <c r="C165" s="27" t="s">
        <v>30</v>
      </c>
      <c r="D165" s="84" t="s">
        <v>99</v>
      </c>
      <c r="E165" s="84" t="s">
        <v>79</v>
      </c>
      <c r="F165" s="28">
        <v>46142</v>
      </c>
      <c r="G165" s="28">
        <v>46751</v>
      </c>
      <c r="H165" s="84" t="s">
        <v>90</v>
      </c>
      <c r="I165" s="85" t="str">
        <f t="shared" si="2"/>
        <v>WBS: WBE-268
שם פרויקט: נחל שחורת- מתקן אגירת אנרגיה בסוללות
מנה״פ: לופטון כהן, אדווה
יעד תכנית פיתוח: 30/04/2026
יעד מסתמן: 30/12/2027</v>
      </c>
      <c r="J165" s="63" t="s">
        <v>1063</v>
      </c>
      <c r="K165" s="63" t="s">
        <v>1063</v>
      </c>
      <c r="L165" s="63" t="s">
        <v>1063</v>
      </c>
      <c r="M165" s="63" t="s">
        <v>1064</v>
      </c>
      <c r="N165" s="63" t="s">
        <v>1064</v>
      </c>
      <c r="O165" s="63" t="s">
        <v>1064</v>
      </c>
      <c r="P165" s="63" t="s">
        <v>1064</v>
      </c>
      <c r="Q165" s="63" t="s">
        <v>1064</v>
      </c>
      <c r="R165" s="63"/>
      <c r="S165" s="87"/>
      <c r="T165" s="59"/>
      <c r="U165" s="85"/>
      <c r="V165" s="75"/>
      <c r="W165" s="167" t="e">
        <f>VLOOKUP(טבלה13[[#This Row],[זיהוי]],#REF!,2,FALSE)</f>
        <v>#REF!</v>
      </c>
    </row>
    <row r="166" spans="1:23" s="145" customFormat="1" ht="120" x14ac:dyDescent="0.25">
      <c r="A166" s="25" t="s">
        <v>1065</v>
      </c>
      <c r="B166" s="26" t="s">
        <v>1066</v>
      </c>
      <c r="C166" s="27" t="s">
        <v>219</v>
      </c>
      <c r="D166" s="84" t="s">
        <v>99</v>
      </c>
      <c r="E166" s="84" t="s">
        <v>79</v>
      </c>
      <c r="F166" s="28">
        <v>46022</v>
      </c>
      <c r="G166" s="28">
        <v>46052</v>
      </c>
      <c r="H166" s="84" t="s">
        <v>88</v>
      </c>
      <c r="I166" s="85" t="str">
        <f t="shared" si="2"/>
        <v>WBS: WBD-054
שם פרויקט: חצבה (ספיר) ניידת-תחמ"ש ניידת 161/36 ק"ו
מנה״פ: לופטון כהן, אדווה
יעד תכנית פיתוח: 31/12/2025
יעד מסתמן: 30/01/2026</v>
      </c>
      <c r="J166" s="63" t="s">
        <v>1067</v>
      </c>
      <c r="K166" s="63" t="s">
        <v>1067</v>
      </c>
      <c r="L166" s="63" t="s">
        <v>1068</v>
      </c>
      <c r="M166" s="63" t="s">
        <v>1068</v>
      </c>
      <c r="N166" s="63" t="s">
        <v>1068</v>
      </c>
      <c r="O166" s="63" t="s">
        <v>1068</v>
      </c>
      <c r="P166" s="63" t="s">
        <v>1068</v>
      </c>
      <c r="Q166" s="63" t="s">
        <v>1068</v>
      </c>
      <c r="R166" s="63"/>
      <c r="S166" s="87"/>
      <c r="T166" s="59"/>
      <c r="U166" s="85"/>
      <c r="V166" s="75"/>
      <c r="W166" s="167" t="e">
        <f>VLOOKUP(טבלה13[[#This Row],[זיהוי]],#REF!,2,FALSE)</f>
        <v>#REF!</v>
      </c>
    </row>
    <row r="167" spans="1:23" s="145" customFormat="1" ht="120" x14ac:dyDescent="0.25">
      <c r="A167" s="25" t="s">
        <v>1069</v>
      </c>
      <c r="B167" s="26" t="s">
        <v>1070</v>
      </c>
      <c r="C167" s="27" t="s">
        <v>219</v>
      </c>
      <c r="D167" s="84" t="s">
        <v>99</v>
      </c>
      <c r="E167" s="84" t="s">
        <v>79</v>
      </c>
      <c r="F167" s="28">
        <v>45991</v>
      </c>
      <c r="G167" s="28" t="s">
        <v>1071</v>
      </c>
      <c r="H167" s="84" t="s">
        <v>88</v>
      </c>
      <c r="I167" s="85" t="str">
        <f t="shared" si="2"/>
        <v>WBS: WBD-100
שם פרויקט: בית הגדי ניידת- הצבת תחמ"ש ניידת
מנה״פ: לופטון כהן, אדווה
יעד תכנית פיתוח: 30/11/2025
יעד מסתמן: חושמל 30/08/2025</v>
      </c>
      <c r="J167" s="63" t="s">
        <v>1072</v>
      </c>
      <c r="K167" s="63" t="s">
        <v>1072</v>
      </c>
      <c r="L167" s="63" t="s">
        <v>1072</v>
      </c>
      <c r="M167" s="63" t="s">
        <v>1072</v>
      </c>
      <c r="N167" s="63" t="s">
        <v>1072</v>
      </c>
      <c r="O167" s="63" t="s">
        <v>1072</v>
      </c>
      <c r="P167" s="63" t="s">
        <v>1072</v>
      </c>
      <c r="Q167" s="63" t="s">
        <v>1072</v>
      </c>
      <c r="R167" s="55" t="s">
        <v>1073</v>
      </c>
      <c r="S167" s="116"/>
      <c r="T167" s="59"/>
      <c r="U167" s="85"/>
      <c r="V167" s="75"/>
      <c r="W167" s="167" t="e">
        <f>VLOOKUP(טבלה13[[#This Row],[זיהוי]],#REF!,2,FALSE)</f>
        <v>#REF!</v>
      </c>
    </row>
    <row r="168" spans="1:23" s="145" customFormat="1" ht="405" x14ac:dyDescent="0.25">
      <c r="A168" s="25" t="s">
        <v>1074</v>
      </c>
      <c r="B168" s="26" t="s">
        <v>1075</v>
      </c>
      <c r="C168" s="27" t="s">
        <v>30</v>
      </c>
      <c r="D168" s="84" t="s">
        <v>99</v>
      </c>
      <c r="E168" s="84" t="s">
        <v>79</v>
      </c>
      <c r="F168" s="28">
        <v>46142</v>
      </c>
      <c r="G168" s="28">
        <v>46751</v>
      </c>
      <c r="H168" s="84" t="s">
        <v>90</v>
      </c>
      <c r="I168" s="85" t="str">
        <f t="shared" si="2"/>
        <v>WBS: WBE-139
שם פרויקט: ב"ש מערב -מתקן אגירת אנרגיה בסוללות
מנה״פ: לופטון כהן, אדווה
יעד תכנית פיתוח: 30/04/2026
יעד מסתמן: 30/12/2027</v>
      </c>
      <c r="J168" s="31" t="s">
        <v>1076</v>
      </c>
      <c r="K168" s="31" t="s">
        <v>1076</v>
      </c>
      <c r="L168" s="31" t="s">
        <v>1076</v>
      </c>
      <c r="M168" s="31" t="s">
        <v>1077</v>
      </c>
      <c r="N168" s="31" t="s">
        <v>1078</v>
      </c>
      <c r="O168" s="31" t="s">
        <v>1078</v>
      </c>
      <c r="P168" s="31" t="s">
        <v>1079</v>
      </c>
      <c r="Q168" s="31" t="s">
        <v>1468</v>
      </c>
      <c r="R168" s="63"/>
      <c r="S168" s="87"/>
      <c r="T168" s="59"/>
      <c r="U168" s="85"/>
      <c r="V168" s="75"/>
      <c r="W168" s="167" t="e">
        <f>VLOOKUP(טבלה13[[#This Row],[זיהוי]],#REF!,2,FALSE)</f>
        <v>#REF!</v>
      </c>
    </row>
    <row r="169" spans="1:23" s="145" customFormat="1" ht="120" x14ac:dyDescent="0.25">
      <c r="A169" s="25" t="s">
        <v>1080</v>
      </c>
      <c r="B169" s="26" t="s">
        <v>1081</v>
      </c>
      <c r="C169" s="27" t="s">
        <v>30</v>
      </c>
      <c r="D169" s="84" t="s">
        <v>95</v>
      </c>
      <c r="E169" s="84" t="s">
        <v>65</v>
      </c>
      <c r="F169" s="28">
        <v>47118</v>
      </c>
      <c r="G169" s="35">
        <v>47026</v>
      </c>
      <c r="H169" s="84" t="s">
        <v>51</v>
      </c>
      <c r="I169" s="85" t="str">
        <f t="shared" si="2"/>
        <v>WBS: WBE-164
שם פרויקט: קישון -שדרוג תחמ"ש והחלפת שנאים 521, 522
מנה״פ: גולן, לירון
יעד תכנית פיתוח: 31/12/2028
יעד מסתמן: 30/09/2028</v>
      </c>
      <c r="J169" s="63" t="s">
        <v>1082</v>
      </c>
      <c r="K169" s="63" t="s">
        <v>1082</v>
      </c>
      <c r="L169" s="63" t="s">
        <v>1082</v>
      </c>
      <c r="M169" s="63" t="s">
        <v>1082</v>
      </c>
      <c r="N169" s="63" t="s">
        <v>1082</v>
      </c>
      <c r="O169" s="63" t="s">
        <v>1082</v>
      </c>
      <c r="P169" s="63" t="s">
        <v>1082</v>
      </c>
      <c r="Q169" s="63" t="s">
        <v>1082</v>
      </c>
      <c r="R169" s="63" t="s">
        <v>1083</v>
      </c>
      <c r="S169" s="87" t="s">
        <v>75</v>
      </c>
      <c r="T169" s="59"/>
      <c r="U169" s="85"/>
      <c r="V169" s="75"/>
      <c r="W169" s="167" t="e">
        <f>VLOOKUP(טבלה13[[#This Row],[זיהוי]],#REF!,2,FALSE)</f>
        <v>#REF!</v>
      </c>
    </row>
    <row r="170" spans="1:23" s="145" customFormat="1" ht="105" x14ac:dyDescent="0.25">
      <c r="A170" s="25" t="s">
        <v>1084</v>
      </c>
      <c r="B170" s="26" t="s">
        <v>1085</v>
      </c>
      <c r="C170" s="27" t="s">
        <v>30</v>
      </c>
      <c r="D170" s="84" t="s">
        <v>95</v>
      </c>
      <c r="E170" s="84" t="s">
        <v>65</v>
      </c>
      <c r="F170" s="28">
        <v>46387</v>
      </c>
      <c r="G170" s="28">
        <v>46295</v>
      </c>
      <c r="H170" s="84" t="s">
        <v>80</v>
      </c>
      <c r="I170" s="85" t="str">
        <f t="shared" si="2"/>
        <v>WBS: WBE-145
שם פרויקט: קישון - החלפת שנאים  524, 523
מנה״פ: גולן, לירון
יעד תכנית פיתוח: 31/12/2026
יעד מסתמן: 30/09/2026</v>
      </c>
      <c r="J170" s="89" t="s">
        <v>1086</v>
      </c>
      <c r="K170" s="63" t="s">
        <v>1087</v>
      </c>
      <c r="L170" s="63" t="s">
        <v>1088</v>
      </c>
      <c r="M170" s="63" t="s">
        <v>1088</v>
      </c>
      <c r="N170" s="63" t="s">
        <v>1088</v>
      </c>
      <c r="O170" s="63" t="s">
        <v>1089</v>
      </c>
      <c r="P170" s="63" t="s">
        <v>1487</v>
      </c>
      <c r="Q170" s="63" t="s">
        <v>1488</v>
      </c>
      <c r="R170" s="63"/>
      <c r="S170" s="87" t="s">
        <v>89</v>
      </c>
      <c r="T170" s="87"/>
      <c r="U170" s="85"/>
      <c r="V170" s="75"/>
      <c r="W170" s="167" t="e">
        <f>VLOOKUP(טבלה13[[#This Row],[זיהוי]],#REF!,2,FALSE)</f>
        <v>#REF!</v>
      </c>
    </row>
    <row r="171" spans="1:23" s="145" customFormat="1" ht="225" x14ac:dyDescent="0.25">
      <c r="A171" s="44" t="s">
        <v>1090</v>
      </c>
      <c r="B171" s="26" t="s">
        <v>1091</v>
      </c>
      <c r="C171" s="27" t="s">
        <v>362</v>
      </c>
      <c r="D171" s="84" t="s">
        <v>95</v>
      </c>
      <c r="E171" s="84" t="s">
        <v>65</v>
      </c>
      <c r="F171" s="28" t="s">
        <v>1092</v>
      </c>
      <c r="G171" s="28" t="s">
        <v>1093</v>
      </c>
      <c r="H171" s="84" t="s">
        <v>70</v>
      </c>
      <c r="I171" s="85" t="str">
        <f>"WBS: " &amp; A171 &amp; CHAR(10) &amp;
"שם פרויקט: " &amp; B171 &amp; CHAR(10) &amp;
"מנה״פ: " &amp; D171 &amp; CHAR(10) &amp;
"יעד תכנית פיתוח: " &amp; TEXT(F171,"dd/mm/yyyy") &amp; CHAR(10) &amp;
"יעד מסתמן: " &amp; TEXT(G171,"dd/mm/yyyy")</f>
        <v>WBS: WBM-406333
WBM-40534
WBM-40200
שם פרויקט: קישון שדות 11,17,20,25 ומ"ז
מנה״פ: גולן, לירון
יעד תכנית פיתוח: 30/06/2026
31/12/2029
31/12/2026
יעד מסתמן: 28/02/2027
31/05/2027
31/12/2026</v>
      </c>
      <c r="J171" s="73" t="s">
        <v>1094</v>
      </c>
      <c r="K171" s="31" t="s">
        <v>1094</v>
      </c>
      <c r="L171" s="31" t="s">
        <v>1094</v>
      </c>
      <c r="M171" s="31" t="s">
        <v>1094</v>
      </c>
      <c r="N171" s="31" t="s">
        <v>1095</v>
      </c>
      <c r="O171" s="31" t="s">
        <v>1095</v>
      </c>
      <c r="P171" s="31" t="s">
        <v>1564</v>
      </c>
      <c r="Q171" s="31" t="s">
        <v>1491</v>
      </c>
      <c r="R171" s="71" t="s">
        <v>1096</v>
      </c>
      <c r="S171" s="59" t="s">
        <v>89</v>
      </c>
      <c r="T171" s="59"/>
      <c r="U171" s="85"/>
      <c r="V171" s="75"/>
      <c r="W171" s="168"/>
    </row>
    <row r="172" spans="1:23" s="145" customFormat="1" ht="120" x14ac:dyDescent="0.25">
      <c r="A172" s="25" t="s">
        <v>1097</v>
      </c>
      <c r="B172" s="26" t="s">
        <v>1098</v>
      </c>
      <c r="C172" s="27" t="s">
        <v>30</v>
      </c>
      <c r="D172" s="84" t="s">
        <v>95</v>
      </c>
      <c r="E172" s="84" t="s">
        <v>65</v>
      </c>
      <c r="F172" s="28">
        <v>46203</v>
      </c>
      <c r="G172" s="28">
        <v>46537</v>
      </c>
      <c r="H172" s="84" t="s">
        <v>70</v>
      </c>
      <c r="I172" s="85" t="str">
        <f t="shared" si="2"/>
        <v>WBS: WBE-186
שם פרויקט: צפת -התקנת שנאי רביעי 161/24 ק"ו, 50 מגוו"א
מנה״פ: גולן, לירון
יעד תכנית פיתוח: 30/06/2026
יעד מסתמן: 30/05/2027</v>
      </c>
      <c r="J172" s="63" t="s">
        <v>1099</v>
      </c>
      <c r="K172" s="63" t="s">
        <v>1100</v>
      </c>
      <c r="L172" s="63" t="s">
        <v>1101</v>
      </c>
      <c r="M172" s="63" t="s">
        <v>1102</v>
      </c>
      <c r="N172" s="63" t="s">
        <v>1102</v>
      </c>
      <c r="O172" s="63" t="s">
        <v>1102</v>
      </c>
      <c r="P172" s="63" t="s">
        <v>1103</v>
      </c>
      <c r="Q172" s="63" t="s">
        <v>1103</v>
      </c>
      <c r="R172" s="63"/>
      <c r="S172" s="87"/>
      <c r="T172" s="59"/>
      <c r="U172" s="85"/>
      <c r="V172" s="75"/>
      <c r="W172" s="167" t="e">
        <f>VLOOKUP(טבלה13[[#This Row],[זיהוי]],#REF!,2,FALSE)</f>
        <v>#REF!</v>
      </c>
    </row>
    <row r="173" spans="1:23" s="145" customFormat="1" ht="120" x14ac:dyDescent="0.25">
      <c r="A173" s="25" t="s">
        <v>1104</v>
      </c>
      <c r="B173" s="26" t="s">
        <v>1105</v>
      </c>
      <c r="C173" s="27" t="s">
        <v>30</v>
      </c>
      <c r="D173" s="84" t="s">
        <v>95</v>
      </c>
      <c r="E173" s="84" t="s">
        <v>65</v>
      </c>
      <c r="F173" s="28">
        <v>46721</v>
      </c>
      <c r="G173" s="28">
        <v>46660</v>
      </c>
      <c r="H173" s="84" t="s">
        <v>70</v>
      </c>
      <c r="I173" s="85" t="str">
        <f t="shared" si="2"/>
        <v>WBS: WBE-195
שם פרויקט: עתלית- התקנת שנאי שלישי (524) 161/24 ק"ו, 50 מגוו"א
מנה״פ: גולן, לירון
יעד תכנית פיתוח: 30/11/2027
יעד מסתמן: 30/09/2027</v>
      </c>
      <c r="J173" s="63" t="s">
        <v>1106</v>
      </c>
      <c r="K173" s="63" t="s">
        <v>1106</v>
      </c>
      <c r="L173" s="63" t="s">
        <v>1107</v>
      </c>
      <c r="M173" s="63" t="s">
        <v>1108</v>
      </c>
      <c r="N173" s="63" t="s">
        <v>1109</v>
      </c>
      <c r="O173" s="63" t="s">
        <v>1110</v>
      </c>
      <c r="P173" s="63" t="s">
        <v>1111</v>
      </c>
      <c r="Q173" s="63" t="s">
        <v>1111</v>
      </c>
      <c r="R173" s="63"/>
      <c r="S173" s="87"/>
      <c r="T173" s="59"/>
      <c r="U173" s="85"/>
      <c r="V173" s="75"/>
      <c r="W173" s="167" t="e">
        <f>VLOOKUP(טבלה13[[#This Row],[זיהוי]],#REF!,2,FALSE)</f>
        <v>#REF!</v>
      </c>
    </row>
    <row r="174" spans="1:23" s="145" customFormat="1" ht="120" x14ac:dyDescent="0.25">
      <c r="A174" s="25" t="s">
        <v>1112</v>
      </c>
      <c r="B174" s="26" t="s">
        <v>1113</v>
      </c>
      <c r="C174" s="27" t="s">
        <v>30</v>
      </c>
      <c r="D174" s="84" t="s">
        <v>17</v>
      </c>
      <c r="E174" s="84" t="s">
        <v>77</v>
      </c>
      <c r="F174" s="28">
        <v>46203</v>
      </c>
      <c r="G174" s="28" t="s">
        <v>1114</v>
      </c>
      <c r="H174" s="84" t="s">
        <v>88</v>
      </c>
      <c r="I174" s="85" t="str">
        <f t="shared" si="2"/>
        <v>WBS: WBE-141
שם פרויקט: פארן - מתקן אגירת אנרגיה בסוללות
מנה״פ: מזרחי, סולי
יעד תכנית פיתוח: 30/06/2026
יעד מסתמן: חושמל 30/10/2024</v>
      </c>
      <c r="J174" s="43" t="s">
        <v>1115</v>
      </c>
      <c r="K174" s="43" t="s">
        <v>1115</v>
      </c>
      <c r="L174" s="43" t="s">
        <v>1115</v>
      </c>
      <c r="M174" s="43" t="s">
        <v>1116</v>
      </c>
      <c r="N174" s="43" t="s">
        <v>1117</v>
      </c>
      <c r="O174" s="43" t="s">
        <v>1117</v>
      </c>
      <c r="P174" s="43" t="s">
        <v>1117</v>
      </c>
      <c r="Q174" s="43" t="s">
        <v>1117</v>
      </c>
      <c r="R174" s="63"/>
      <c r="S174" s="87"/>
      <c r="T174" s="59"/>
      <c r="U174" s="85"/>
      <c r="V174" s="75"/>
      <c r="W174" s="167" t="e">
        <f>VLOOKUP(טבלה13[[#This Row],[זיהוי]],#REF!,2,FALSE)</f>
        <v>#REF!</v>
      </c>
    </row>
    <row r="175" spans="1:23" s="145" customFormat="1" ht="135" x14ac:dyDescent="0.25">
      <c r="A175" s="25" t="s">
        <v>1118</v>
      </c>
      <c r="B175" s="26" t="s">
        <v>1119</v>
      </c>
      <c r="C175" s="27" t="s">
        <v>30</v>
      </c>
      <c r="D175" s="84" t="s">
        <v>17</v>
      </c>
      <c r="E175" s="142" t="s">
        <v>77</v>
      </c>
      <c r="F175" s="143">
        <v>46173</v>
      </c>
      <c r="G175" s="28" t="s">
        <v>1120</v>
      </c>
      <c r="H175" s="84" t="s">
        <v>88</v>
      </c>
      <c r="I175" s="85" t="str">
        <f t="shared" si="2"/>
        <v>WBS: WBE-134
שם פרויקט: נתיבות - התקנת מתקן אגירת אנרגיה
מנה״פ: מזרחי, סולי
יעד תכנית פיתוח: 31/05/2026
יעד מסתמן: חושמל 30/12/2024</v>
      </c>
      <c r="J175" s="43" t="s">
        <v>1121</v>
      </c>
      <c r="K175" s="43" t="s">
        <v>1121</v>
      </c>
      <c r="L175" s="43" t="s">
        <v>1121</v>
      </c>
      <c r="M175" s="43" t="s">
        <v>1121</v>
      </c>
      <c r="N175" s="43" t="s">
        <v>1121</v>
      </c>
      <c r="O175" s="43" t="s">
        <v>1121</v>
      </c>
      <c r="P175" s="43" t="s">
        <v>1122</v>
      </c>
      <c r="Q175" s="43" t="s">
        <v>1122</v>
      </c>
      <c r="R175" s="63"/>
      <c r="S175" s="87"/>
      <c r="T175" s="59"/>
      <c r="U175" s="85"/>
      <c r="V175" s="75"/>
      <c r="W175" s="167" t="e">
        <f>VLOOKUP(טבלה13[[#This Row],[זיהוי]],#REF!,2,FALSE)</f>
        <v>#REF!</v>
      </c>
    </row>
    <row r="176" spans="1:23" s="145" customFormat="1" ht="135" x14ac:dyDescent="0.25">
      <c r="A176" s="25" t="s">
        <v>1123</v>
      </c>
      <c r="B176" s="26" t="s">
        <v>1124</v>
      </c>
      <c r="C176" s="27" t="s">
        <v>362</v>
      </c>
      <c r="D176" s="84" t="s">
        <v>17</v>
      </c>
      <c r="E176" s="84" t="s">
        <v>77</v>
      </c>
      <c r="F176" s="162">
        <v>46843</v>
      </c>
      <c r="G176" s="28"/>
      <c r="H176" s="84" t="s">
        <v>51</v>
      </c>
      <c r="I176" s="85" t="str">
        <f t="shared" si="2"/>
        <v>WBS: WBM-00289
שם פרויקט: כפר סבא-התקנת 3 ס"ק 5*2 מגווא"ר כ"א
מנה״פ: מזרחי, סולי
יעד תכנית פיתוח: 31/03/2028
יעד מסתמן: 00/01/1900</v>
      </c>
      <c r="J176" s="63" t="s">
        <v>1125</v>
      </c>
      <c r="K176" s="63" t="s">
        <v>1125</v>
      </c>
      <c r="L176" s="63" t="s">
        <v>1125</v>
      </c>
      <c r="M176" s="63" t="s">
        <v>1125</v>
      </c>
      <c r="N176" s="63" t="s">
        <v>1125</v>
      </c>
      <c r="O176" s="63" t="s">
        <v>1126</v>
      </c>
      <c r="P176" s="63" t="s">
        <v>1126</v>
      </c>
      <c r="Q176" s="63" t="s">
        <v>1126</v>
      </c>
      <c r="R176" s="63"/>
      <c r="S176" s="86" t="s">
        <v>75</v>
      </c>
      <c r="T176" s="59"/>
      <c r="U176" s="85"/>
      <c r="V176" s="75"/>
      <c r="W176" s="168"/>
    </row>
    <row r="177" spans="1:23" s="145" customFormat="1" ht="183.6" customHeight="1" x14ac:dyDescent="0.25">
      <c r="A177" s="25" t="s">
        <v>1127</v>
      </c>
      <c r="B177" s="26" t="s">
        <v>1128</v>
      </c>
      <c r="C177" s="27" t="s">
        <v>30</v>
      </c>
      <c r="D177" s="84" t="s">
        <v>17</v>
      </c>
      <c r="E177" s="84" t="s">
        <v>77</v>
      </c>
      <c r="F177" s="28">
        <v>46326</v>
      </c>
      <c r="G177" s="28">
        <v>46478</v>
      </c>
      <c r="H177" s="84" t="s">
        <v>19</v>
      </c>
      <c r="I177" s="85" t="str">
        <f t="shared" si="2"/>
        <v>WBS: WBE-182
שם פרויקט: כפר סבא-הרחבת מסדר 161 ק"ו והתקנת שנאי רביעי 161/24 ק"ו  50 מגוו"א
מנה״פ: מזרחי, סולי
יעד תכנית פיתוח: 31/10/2026
יעד מסתמן: 01/04/2027</v>
      </c>
      <c r="J177" s="31" t="s">
        <v>1129</v>
      </c>
      <c r="K177" s="31" t="s">
        <v>1130</v>
      </c>
      <c r="L177" s="31" t="s">
        <v>1131</v>
      </c>
      <c r="M177" s="63" t="s">
        <v>1132</v>
      </c>
      <c r="N177" s="63" t="s">
        <v>1133</v>
      </c>
      <c r="O177" s="63" t="s">
        <v>1134</v>
      </c>
      <c r="P177" s="63" t="s">
        <v>1135</v>
      </c>
      <c r="Q177" s="63" t="s">
        <v>1500</v>
      </c>
      <c r="R177" s="63"/>
      <c r="S177" s="87" t="s">
        <v>75</v>
      </c>
      <c r="T177" s="59"/>
      <c r="U177" s="85"/>
      <c r="V177" s="75"/>
      <c r="W177" s="167" t="e">
        <f>VLOOKUP(טבלה13[[#This Row],[זיהוי]],#REF!,2,FALSE)</f>
        <v>#REF!</v>
      </c>
    </row>
    <row r="178" spans="1:23" s="145" customFormat="1" ht="285" x14ac:dyDescent="0.25">
      <c r="A178" s="120" t="s">
        <v>1136</v>
      </c>
      <c r="B178" s="26" t="s">
        <v>1137</v>
      </c>
      <c r="C178" s="27" t="s">
        <v>30</v>
      </c>
      <c r="D178" s="84" t="s">
        <v>17</v>
      </c>
      <c r="E178" s="84" t="s">
        <v>77</v>
      </c>
      <c r="F178" s="28">
        <v>46507</v>
      </c>
      <c r="G178" s="28">
        <v>46629</v>
      </c>
      <c r="H178" s="84" t="s">
        <v>70</v>
      </c>
      <c r="I178" s="85" t="str">
        <f>"WBS: " &amp; A178 &amp; CHAR(10) &amp;
"שם פרויקט: " &amp; B178 &amp; CHAR(10) &amp;
"מנה״פ: " &amp; D178 &amp; CHAR(10) &amp;
"יעד תכנית פיתוח: " &amp; TEXT(F178,"dd/mm/yyyy") &amp; CHAR(10) &amp;
"יעד מסתמן: " &amp; TEXT(G178,"dd/mm/yyyy")</f>
        <v>WBS: WBE-306
שם פרויקט: זמורות - הקמת בניין פיקוד ו- 4 מסדרי מ''ג
מנה״פ: מזרחי, סולי
יעד תכנית פיתוח: 30/04/2027
יעד מסתמן: 30/08/2027</v>
      </c>
      <c r="J178" s="31" t="s">
        <v>1138</v>
      </c>
      <c r="K178" s="31" t="s">
        <v>1139</v>
      </c>
      <c r="L178" s="31" t="s">
        <v>1140</v>
      </c>
      <c r="M178" s="63" t="s">
        <v>1141</v>
      </c>
      <c r="N178" s="63" t="s">
        <v>1142</v>
      </c>
      <c r="O178" s="63" t="s">
        <v>1143</v>
      </c>
      <c r="P178" s="63" t="s">
        <v>1143</v>
      </c>
      <c r="Q178" s="63" t="s">
        <v>1501</v>
      </c>
      <c r="R178" s="63" t="s">
        <v>589</v>
      </c>
      <c r="S178" s="87" t="s">
        <v>39</v>
      </c>
      <c r="T178" s="59"/>
      <c r="U178" s="85"/>
      <c r="V178" s="75"/>
      <c r="W178" s="167" t="e">
        <f>VLOOKUP(טבלה13[[#This Row],[זיהוי]],#REF!,2,FALSE)</f>
        <v>#REF!</v>
      </c>
    </row>
    <row r="179" spans="1:23" s="145" customFormat="1" ht="135" x14ac:dyDescent="0.25">
      <c r="A179" s="25" t="s">
        <v>1144</v>
      </c>
      <c r="B179" s="26" t="s">
        <v>1145</v>
      </c>
      <c r="C179" s="27" t="s">
        <v>30</v>
      </c>
      <c r="D179" s="84" t="s">
        <v>17</v>
      </c>
      <c r="E179" s="84" t="s">
        <v>77</v>
      </c>
      <c r="F179" s="28">
        <v>46203</v>
      </c>
      <c r="G179" s="28">
        <v>46216</v>
      </c>
      <c r="H179" s="84" t="s">
        <v>33</v>
      </c>
      <c r="I179" s="85" t="str">
        <f t="shared" si="2"/>
        <v>WBS: WBE-115
שם פרויקט: זמורות-הוספת שנאי רביעי 524 50 מגוו"א ומסדר מ"ג (מכולה)
מנה״פ: מזרחי, סולי
יעד תכנית פיתוח: 30/06/2026
יעד מסתמן: 13/07/2026</v>
      </c>
      <c r="J179" s="63" t="s">
        <v>1146</v>
      </c>
      <c r="K179" s="63" t="s">
        <v>1147</v>
      </c>
      <c r="L179" s="63" t="s">
        <v>1148</v>
      </c>
      <c r="M179" s="63" t="s">
        <v>1149</v>
      </c>
      <c r="N179" s="63" t="s">
        <v>1150</v>
      </c>
      <c r="O179" s="63" t="s">
        <v>1151</v>
      </c>
      <c r="P179" s="63" t="s">
        <v>1152</v>
      </c>
      <c r="Q179" s="63" t="s">
        <v>1502</v>
      </c>
      <c r="R179" s="63"/>
      <c r="S179" s="87"/>
      <c r="T179" s="59"/>
      <c r="U179" s="85"/>
      <c r="V179" s="75"/>
      <c r="W179" s="167" t="e">
        <f>VLOOKUP(טבלה13[[#This Row],[זיהוי]],#REF!,2,FALSE)</f>
        <v>#REF!</v>
      </c>
    </row>
    <row r="180" spans="1:23" s="145" customFormat="1" ht="135" x14ac:dyDescent="0.25">
      <c r="A180" s="25" t="s">
        <v>1153</v>
      </c>
      <c r="B180" s="26" t="s">
        <v>1154</v>
      </c>
      <c r="C180" s="27" t="s">
        <v>30</v>
      </c>
      <c r="D180" s="84" t="s">
        <v>17</v>
      </c>
      <c r="E180" s="84" t="s">
        <v>77</v>
      </c>
      <c r="F180" s="28">
        <v>46173</v>
      </c>
      <c r="G180" s="28" t="s">
        <v>1114</v>
      </c>
      <c r="H180" s="84" t="s">
        <v>88</v>
      </c>
      <c r="I180" s="85" t="str">
        <f t="shared" si="2"/>
        <v>WBS: WBE-172
שם פרויקט: דימונה-התקנת מת.אגירת אנרגיה בליתיום יון
מנה״פ: מזרחי, סולי
יעד תכנית פיתוח: 31/05/2026
יעד מסתמן: חושמל 30/10/2024</v>
      </c>
      <c r="J180" s="43" t="s">
        <v>1155</v>
      </c>
      <c r="K180" s="43" t="s">
        <v>1155</v>
      </c>
      <c r="L180" s="43" t="s">
        <v>1155</v>
      </c>
      <c r="M180" s="43" t="s">
        <v>1155</v>
      </c>
      <c r="N180" s="43" t="s">
        <v>1155</v>
      </c>
      <c r="O180" s="43" t="s">
        <v>1155</v>
      </c>
      <c r="P180" s="43" t="s">
        <v>1122</v>
      </c>
      <c r="Q180" s="43" t="s">
        <v>1122</v>
      </c>
      <c r="R180" s="63"/>
      <c r="S180" s="87"/>
      <c r="T180" s="59"/>
      <c r="U180" s="85"/>
      <c r="V180" s="75"/>
      <c r="W180" s="167" t="e">
        <f>VLOOKUP(טבלה13[[#This Row],[זיהוי]],#REF!,2,FALSE)</f>
        <v>#REF!</v>
      </c>
    </row>
    <row r="181" spans="1:23" s="145" customFormat="1" ht="240" x14ac:dyDescent="0.25">
      <c r="A181" s="25" t="s">
        <v>1156</v>
      </c>
      <c r="B181" s="26" t="s">
        <v>1157</v>
      </c>
      <c r="C181" s="27" t="s">
        <v>30</v>
      </c>
      <c r="D181" s="84" t="s">
        <v>17</v>
      </c>
      <c r="E181" s="84" t="s">
        <v>77</v>
      </c>
      <c r="F181" s="28">
        <v>46538</v>
      </c>
      <c r="G181" s="28">
        <v>46310</v>
      </c>
      <c r="H181" s="84" t="s">
        <v>19</v>
      </c>
      <c r="I181" s="85" t="str">
        <f t="shared" si="2"/>
        <v>WBS: WBE-185
שם פרויקט: גליל-התקנת 2 שנאים 50 מגוו"א 161/24 ק"ו
מנה״פ: מזרחי, סולי
יעד תכנית פיתוח: 31/05/2027
יעד מסתמן: 15/10/2026</v>
      </c>
      <c r="J181" s="31" t="s">
        <v>1158</v>
      </c>
      <c r="K181" s="31" t="s">
        <v>1159</v>
      </c>
      <c r="L181" s="31" t="s">
        <v>1160</v>
      </c>
      <c r="M181" s="63" t="s">
        <v>1161</v>
      </c>
      <c r="N181" s="63" t="s">
        <v>1162</v>
      </c>
      <c r="O181" s="63" t="s">
        <v>1163</v>
      </c>
      <c r="P181" s="63" t="s">
        <v>1164</v>
      </c>
      <c r="Q181" s="63" t="s">
        <v>1503</v>
      </c>
      <c r="R181" s="63"/>
      <c r="S181" s="87" t="s">
        <v>46</v>
      </c>
      <c r="T181" s="59"/>
      <c r="U181" s="85"/>
      <c r="V181" s="75"/>
      <c r="W181" s="167" t="e">
        <f>VLOOKUP(טבלה13[[#This Row],[זיהוי]],#REF!,2,FALSE)</f>
        <v>#REF!</v>
      </c>
    </row>
    <row r="182" spans="1:23" s="145" customFormat="1" ht="409.6" x14ac:dyDescent="0.25">
      <c r="A182" s="25" t="s">
        <v>1165</v>
      </c>
      <c r="B182" s="26" t="s">
        <v>1166</v>
      </c>
      <c r="C182" s="27" t="s">
        <v>15</v>
      </c>
      <c r="D182" s="84" t="s">
        <v>17</v>
      </c>
      <c r="E182" s="84" t="s">
        <v>77</v>
      </c>
      <c r="F182" s="28">
        <v>46537</v>
      </c>
      <c r="G182" s="159" t="s">
        <v>1517</v>
      </c>
      <c r="H182" s="84" t="s">
        <v>33</v>
      </c>
      <c r="I182" s="85" t="str">
        <f t="shared" si="2"/>
        <v>WBS: WBJ-002
שם פרויקט: גליל-הקמת תחמ"ג 400/161, 650*2 מגוו"א-רב שלבי
מנה״פ: מזרחי, סולי
יעד תכנית פיתוח: 30/05/2027
יעד מסתמן: 30/06/2026
31/7/2026 מסדר 161 ק"ו
מסדר 400 ק"ו 30/09/2026
(מותנא בהמשך בדיקות מגזר הביצוע)</v>
      </c>
      <c r="J182" s="144" t="s">
        <v>1167</v>
      </c>
      <c r="K182" s="144" t="s">
        <v>1168</v>
      </c>
      <c r="L182" s="144" t="s">
        <v>1169</v>
      </c>
      <c r="M182" s="144" t="s">
        <v>1170</v>
      </c>
      <c r="N182" s="88" t="s">
        <v>1171</v>
      </c>
      <c r="O182" s="88" t="s">
        <v>1172</v>
      </c>
      <c r="P182" s="88" t="s">
        <v>1173</v>
      </c>
      <c r="Q182" s="88" t="s">
        <v>1566</v>
      </c>
      <c r="R182" s="58"/>
      <c r="S182" s="87" t="s">
        <v>27</v>
      </c>
      <c r="T182" s="59"/>
      <c r="U182" s="85"/>
      <c r="V182" s="75"/>
      <c r="W182" s="167" t="e">
        <f>VLOOKUP(טבלה13[[#This Row],[זיהוי]],#REF!,2,FALSE)</f>
        <v>#REF!</v>
      </c>
    </row>
    <row r="183" spans="1:23" s="145" customFormat="1" ht="135" x14ac:dyDescent="0.25">
      <c r="A183" s="25" t="s">
        <v>1174</v>
      </c>
      <c r="B183" s="26" t="s">
        <v>1175</v>
      </c>
      <c r="C183" s="27" t="s">
        <v>30</v>
      </c>
      <c r="D183" s="84" t="s">
        <v>17</v>
      </c>
      <c r="E183" s="84" t="s">
        <v>77</v>
      </c>
      <c r="F183" s="28">
        <v>46081</v>
      </c>
      <c r="G183" s="28" t="s">
        <v>1114</v>
      </c>
      <c r="H183" s="84" t="s">
        <v>88</v>
      </c>
      <c r="I183" s="85" t="str">
        <f t="shared" si="2"/>
        <v>WBS: WBE-131
שם פרויקט: בשור - התקנת מתקן אגירת אנרגיה
מנה״פ: מזרחי, סולי
יעד תכנית פיתוח: 28/02/2026
יעד מסתמן: חושמל 30/10/2024</v>
      </c>
      <c r="J183" s="63" t="s">
        <v>1176</v>
      </c>
      <c r="K183" s="63" t="s">
        <v>1176</v>
      </c>
      <c r="L183" s="63" t="s">
        <v>1176</v>
      </c>
      <c r="M183" s="63" t="s">
        <v>1176</v>
      </c>
      <c r="N183" s="63" t="s">
        <v>1176</v>
      </c>
      <c r="O183" s="63" t="s">
        <v>1176</v>
      </c>
      <c r="P183" s="43" t="s">
        <v>1122</v>
      </c>
      <c r="Q183" s="43" t="s">
        <v>1122</v>
      </c>
      <c r="R183" s="63"/>
      <c r="S183" s="121"/>
      <c r="T183" s="122"/>
      <c r="U183" s="85"/>
      <c r="V183" s="75"/>
      <c r="W183" s="167" t="e">
        <f>VLOOKUP(טבלה13[[#This Row],[זיהוי]],#REF!,2,FALSE)</f>
        <v>#REF!</v>
      </c>
    </row>
    <row r="184" spans="1:23" s="145" customFormat="1" ht="195" x14ac:dyDescent="0.25">
      <c r="A184" s="25" t="s">
        <v>1177</v>
      </c>
      <c r="B184" s="26" t="s">
        <v>1178</v>
      </c>
      <c r="C184" s="27" t="s">
        <v>30</v>
      </c>
      <c r="D184" s="84" t="s">
        <v>17</v>
      </c>
      <c r="E184" s="84" t="s">
        <v>77</v>
      </c>
      <c r="F184" s="28">
        <v>46783</v>
      </c>
      <c r="G184" s="28" t="s">
        <v>1179</v>
      </c>
      <c r="H184" s="84"/>
      <c r="I184" s="85" t="str">
        <f>"WBS: " &amp; A184 &amp; CHAR(10) &amp;
"שם פרויקט: " &amp; B184 &amp; CHAR(10) &amp;
"מנה״פ: " &amp; D184 &amp; CHAR(10) &amp;
"יעד תכנית פיתוח: " &amp; TEXT(F184,"dd/mm/yyyy") &amp; CHAR(10) &amp;
"יעד מסתמן: " &amp; TEXT(G184,"dd/mm/yyyy")</f>
        <v>WBS: WBE-284
שם פרויקט: בשור-הקמת שדה שנאי 161 ק"ו  מותאם ליכולת 2500 אמפר
מנה״פ: מזרחי, סולי
יעד תכנית פיתוח: 31/01/2028
יעד מסתמן: לא ניתן לקבוע עד להגשת תכנון מאושר</v>
      </c>
      <c r="J184" s="63" t="s">
        <v>1180</v>
      </c>
      <c r="K184" s="63" t="s">
        <v>1180</v>
      </c>
      <c r="L184" s="63" t="s">
        <v>1180</v>
      </c>
      <c r="M184" s="63" t="s">
        <v>1180</v>
      </c>
      <c r="N184" s="63" t="s">
        <v>1181</v>
      </c>
      <c r="O184" s="63" t="s">
        <v>1182</v>
      </c>
      <c r="P184" s="63" t="s">
        <v>1183</v>
      </c>
      <c r="Q184" s="63" t="s">
        <v>1183</v>
      </c>
      <c r="R184" s="63"/>
      <c r="S184" s="86" t="s">
        <v>75</v>
      </c>
      <c r="T184" s="59"/>
      <c r="U184" s="85"/>
      <c r="V184" s="75"/>
      <c r="W184" s="167" t="e">
        <f>VLOOKUP(טבלה13[[#This Row],[זיהוי]],#REF!,2,FALSE)</f>
        <v>#REF!</v>
      </c>
    </row>
    <row r="185" spans="1:23" s="145" customFormat="1" ht="164.4" customHeight="1" x14ac:dyDescent="0.25">
      <c r="A185" s="25" t="s">
        <v>1184</v>
      </c>
      <c r="B185" s="26" t="s">
        <v>1185</v>
      </c>
      <c r="C185" s="27" t="s">
        <v>30</v>
      </c>
      <c r="D185" s="84" t="s">
        <v>17</v>
      </c>
      <c r="E185" s="84" t="s">
        <v>77</v>
      </c>
      <c r="F185" s="28">
        <v>46173</v>
      </c>
      <c r="G185" s="28" t="s">
        <v>1186</v>
      </c>
      <c r="H185" s="84" t="s">
        <v>19</v>
      </c>
      <c r="I185" s="85" t="str">
        <f>"WBS: " &amp; A185 &amp; CHAR(10) &amp;
"שם פרויקט: " &amp; B185 &amp; CHAR(10) &amp;
"מנה״פ: " &amp; D185 &amp; CHAR(10) &amp;
"יעד תכנית פיתוח: " &amp; TEXT(F185,"dd/mm/yyyy") &amp; CHAR(10) &amp;
"יעד מסתמן: " &amp; TEXT(G185,"dd/mm/yyyy")</f>
        <v>WBS: WBE-119
שם פרויקט: בשור- התקנת שנאי  50 מגוו"א ומאצרת שמן לשנאי
מנה״פ: מזרחי, סולי
יעד תכנית פיתוח: 31/05/2026
יעד מסתמן:  09/08/26</v>
      </c>
      <c r="J185" s="63" t="s">
        <v>1187</v>
      </c>
      <c r="K185" s="63" t="s">
        <v>1188</v>
      </c>
      <c r="L185" s="63" t="s">
        <v>1189</v>
      </c>
      <c r="M185" s="63" t="s">
        <v>1190</v>
      </c>
      <c r="N185" s="63" t="s">
        <v>1191</v>
      </c>
      <c r="O185" s="63" t="s">
        <v>1192</v>
      </c>
      <c r="P185" s="63" t="s">
        <v>1193</v>
      </c>
      <c r="Q185" s="63" t="s">
        <v>1504</v>
      </c>
      <c r="R185" s="63"/>
      <c r="S185" s="91"/>
      <c r="T185" s="92"/>
      <c r="U185" s="85"/>
      <c r="V185" s="75"/>
      <c r="W185" s="167" t="e">
        <f>VLOOKUP(טבלה13[[#This Row],[זיהוי]],#REF!,2,FALSE)</f>
        <v>#REF!</v>
      </c>
    </row>
    <row r="186" spans="1:23" s="145" customFormat="1" ht="240" x14ac:dyDescent="0.25">
      <c r="A186" s="25" t="s">
        <v>1194</v>
      </c>
      <c r="B186" s="26" t="s">
        <v>1195</v>
      </c>
      <c r="C186" s="27" t="s">
        <v>362</v>
      </c>
      <c r="D186" s="84" t="s">
        <v>17</v>
      </c>
      <c r="E186" s="84" t="s">
        <v>77</v>
      </c>
      <c r="F186" s="28">
        <v>46203</v>
      </c>
      <c r="G186" s="28">
        <v>46295</v>
      </c>
      <c r="H186" s="84" t="s">
        <v>44</v>
      </c>
      <c r="I186" s="85" t="str">
        <f>"WBS: " &amp; A186 &amp; CHAR(10) &amp;
"שם פרויקט: " &amp; B186 &amp; CHAR(10) &amp;
"מנה״פ: " &amp; D186 &amp; CHAR(10) &amp;
"יעד תכנית פיתוח: " &amp; TEXT(F186,"dd/mm/yyyy") &amp; CHAR(10) &amp;
"יעד מסתמן: " &amp; TEXT(G186,"dd/mm/yyyy")</f>
        <v>WBS: WBM-40609
שם פרויקט: בשור- הקמת בניין פקוד, התקנת 3 מסדרי מ''ג והעתקת היציאות למסדרים החדשים ומאצרת שמן לשנאי
מנה״פ: מזרחי, סולי
יעד תכנית פיתוח: 30/06/2026
יעד מסתמן: 30/09/2026</v>
      </c>
      <c r="J186" s="33" t="s">
        <v>1196</v>
      </c>
      <c r="K186" s="33" t="s">
        <v>1197</v>
      </c>
      <c r="L186" s="33" t="s">
        <v>1198</v>
      </c>
      <c r="M186" s="42" t="s">
        <v>1198</v>
      </c>
      <c r="N186" s="42" t="s">
        <v>1198</v>
      </c>
      <c r="O186" s="42" t="s">
        <v>1199</v>
      </c>
      <c r="P186" s="42" t="s">
        <v>1200</v>
      </c>
      <c r="Q186" s="42" t="s">
        <v>1505</v>
      </c>
      <c r="R186" s="63"/>
      <c r="S186" s="91"/>
      <c r="T186" s="92"/>
      <c r="U186" s="85"/>
      <c r="V186" s="75"/>
      <c r="W186" s="168"/>
    </row>
    <row r="187" spans="1:23" s="145" customFormat="1" ht="270" x14ac:dyDescent="0.25">
      <c r="A187" s="25" t="s">
        <v>1201</v>
      </c>
      <c r="B187" s="26" t="s">
        <v>1202</v>
      </c>
      <c r="C187" s="27" t="s">
        <v>30</v>
      </c>
      <c r="D187" s="84" t="s">
        <v>17</v>
      </c>
      <c r="E187" s="84" t="s">
        <v>77</v>
      </c>
      <c r="F187" s="28">
        <v>46691</v>
      </c>
      <c r="G187" s="28" t="s">
        <v>1203</v>
      </c>
      <c r="H187" s="84" t="s">
        <v>44</v>
      </c>
      <c r="I187" s="85" t="str">
        <f t="shared" si="2"/>
        <v>WBS: WBE-239
שם פרויקט: בשור-הקמת 2 שדות קו 161חדשים והתא' שד' קו והקמת 2 שד' קו161ק"ו חדשים לניר יצחק
מנה״פ: מזרחי, סולי
יעד תכנית פיתוח: 31/10/2027
יעד מסתמן: שני שדות - 30/12/2026 , שני שדות 30/09/2027</v>
      </c>
      <c r="J187" s="31" t="s">
        <v>1204</v>
      </c>
      <c r="K187" s="31" t="s">
        <v>1205</v>
      </c>
      <c r="L187" s="31" t="s">
        <v>1205</v>
      </c>
      <c r="M187" s="63" t="s">
        <v>1206</v>
      </c>
      <c r="N187" s="63" t="s">
        <v>1207</v>
      </c>
      <c r="O187" s="63" t="s">
        <v>1208</v>
      </c>
      <c r="P187" s="63" t="s">
        <v>1209</v>
      </c>
      <c r="Q187" s="63" t="s">
        <v>1506</v>
      </c>
      <c r="R187" s="63"/>
      <c r="S187" s="87" t="s">
        <v>89</v>
      </c>
      <c r="T187" s="59"/>
      <c r="U187" s="85"/>
      <c r="V187" s="75"/>
      <c r="W187" s="167" t="e">
        <f>VLOOKUP(טבלה13[[#This Row],[זיהוי]],#REF!,2,FALSE)</f>
        <v>#REF!</v>
      </c>
    </row>
    <row r="188" spans="1:23" s="145" customFormat="1" ht="135" x14ac:dyDescent="0.25">
      <c r="A188" s="25" t="s">
        <v>1210</v>
      </c>
      <c r="B188" s="26" t="s">
        <v>1211</v>
      </c>
      <c r="C188" s="27" t="s">
        <v>30</v>
      </c>
      <c r="D188" s="84" t="s">
        <v>17</v>
      </c>
      <c r="E188" s="84" t="s">
        <v>77</v>
      </c>
      <c r="F188" s="28">
        <v>46173</v>
      </c>
      <c r="G188" s="28" t="s">
        <v>1114</v>
      </c>
      <c r="H188" s="84" t="s">
        <v>88</v>
      </c>
      <c r="I188" s="85" t="str">
        <f t="shared" ref="I188:I235" si="3">"WBS: " &amp; A188 &amp; CHAR(10) &amp;
"שם פרויקט: " &amp; B188 &amp; CHAR(10) &amp;
"מנה״פ: " &amp; D188 &amp; CHAR(10) &amp;
"יעד תכנית פיתוח: " &amp; TEXT(F188,"dd/mm/yyyy") &amp; CHAR(10) &amp;
"יעד מסתמן: " &amp; TEXT(G188,"dd/mm/yyyy")</f>
        <v>WBS: WBE-129
שם פרויקט: אילת- התקנת מתקן אגירת אנרגיה + פירוק
מנה״פ: מזרחי, סולי
יעד תכנית פיתוח: 31/05/2026
יעד מסתמן: חושמל 30/10/2024</v>
      </c>
      <c r="J188" s="43" t="s">
        <v>1212</v>
      </c>
      <c r="K188" s="43" t="s">
        <v>1212</v>
      </c>
      <c r="L188" s="43" t="s">
        <v>1212</v>
      </c>
      <c r="M188" s="43" t="s">
        <v>1212</v>
      </c>
      <c r="N188" s="43" t="s">
        <v>1212</v>
      </c>
      <c r="O188" s="43" t="s">
        <v>1212</v>
      </c>
      <c r="P188" s="43" t="s">
        <v>1122</v>
      </c>
      <c r="Q188" s="43" t="s">
        <v>1122</v>
      </c>
      <c r="R188" s="63"/>
      <c r="S188" s="87"/>
      <c r="T188" s="59"/>
      <c r="U188" s="85"/>
      <c r="V188" s="75"/>
      <c r="W188" s="167" t="e">
        <f>VLOOKUP(טבלה13[[#This Row],[זיהוי]],#REF!,2,FALSE)</f>
        <v>#REF!</v>
      </c>
    </row>
    <row r="189" spans="1:23" s="145" customFormat="1" ht="120" x14ac:dyDescent="0.25">
      <c r="A189" s="25" t="s">
        <v>1213</v>
      </c>
      <c r="B189" s="26" t="s">
        <v>1214</v>
      </c>
      <c r="C189" s="27" t="s">
        <v>30</v>
      </c>
      <c r="D189" s="84" t="s">
        <v>17</v>
      </c>
      <c r="E189" s="84" t="s">
        <v>77</v>
      </c>
      <c r="F189" s="28">
        <v>46387</v>
      </c>
      <c r="G189" s="28">
        <v>46124</v>
      </c>
      <c r="H189" s="84" t="s">
        <v>93</v>
      </c>
      <c r="I189" s="85" t="str">
        <f t="shared" si="3"/>
        <v>WBS: WBE-244
שם פרויקט: אופקים - עע"א - התקנת שנאי 45 מו"א לרכבת
מנה״פ: מזרחי, סולי
יעד תכנית פיתוח: 31/12/2026
יעד מסתמן: 12/04/2026</v>
      </c>
      <c r="J189" s="31" t="s">
        <v>1215</v>
      </c>
      <c r="K189" s="31" t="s">
        <v>1215</v>
      </c>
      <c r="L189" s="31" t="s">
        <v>1215</v>
      </c>
      <c r="M189" s="63" t="s">
        <v>1215</v>
      </c>
      <c r="N189" s="63" t="s">
        <v>1215</v>
      </c>
      <c r="O189" s="63" t="s">
        <v>1216</v>
      </c>
      <c r="P189" s="63" t="s">
        <v>1216</v>
      </c>
      <c r="Q189" s="63" t="s">
        <v>1216</v>
      </c>
      <c r="R189" s="63"/>
      <c r="S189" s="87"/>
      <c r="T189" s="59"/>
      <c r="U189" s="85"/>
      <c r="V189" s="75"/>
      <c r="W189" s="167" t="e">
        <f>VLOOKUP(טבלה13[[#This Row],[זיהוי]],#REF!,2,FALSE)</f>
        <v>#REF!</v>
      </c>
    </row>
    <row r="190" spans="1:23" s="145" customFormat="1" ht="409.6" customHeight="1" x14ac:dyDescent="0.25">
      <c r="A190" s="25" t="s">
        <v>22</v>
      </c>
      <c r="B190" s="26" t="s">
        <v>1217</v>
      </c>
      <c r="C190" s="27" t="s">
        <v>15</v>
      </c>
      <c r="D190" s="84" t="s">
        <v>17</v>
      </c>
      <c r="E190" s="84" t="s">
        <v>77</v>
      </c>
      <c r="F190" s="28">
        <v>46233</v>
      </c>
      <c r="G190" s="28" t="s">
        <v>1218</v>
      </c>
      <c r="H190" s="84" t="s">
        <v>33</v>
      </c>
      <c r="I190" s="85" t="str">
        <f t="shared" si="3"/>
        <v>WBS: WBC-024
שם פרויקט: אוניברסיטת תל אביב-הקמת תחמ"ש פנימית 161
מנה״פ: מזרחי, סולי
יעד תכנית פיתוח: 30/07/2026
יעד מסתמן:  צפי חשמול שאר התחמש ב30/9/2026 
 עבור מסדר 161 15/07/2026</v>
      </c>
      <c r="J190" s="123" t="s">
        <v>1219</v>
      </c>
      <c r="K190" s="123" t="s">
        <v>1220</v>
      </c>
      <c r="L190" s="123" t="s">
        <v>1221</v>
      </c>
      <c r="M190" s="123" t="s">
        <v>1222</v>
      </c>
      <c r="N190" s="123" t="s">
        <v>1223</v>
      </c>
      <c r="O190" s="123" t="s">
        <v>1224</v>
      </c>
      <c r="P190" s="123" t="s">
        <v>1225</v>
      </c>
      <c r="Q190" s="123" t="s">
        <v>1567</v>
      </c>
      <c r="R190" s="63"/>
      <c r="S190" s="55"/>
      <c r="T190" s="124"/>
      <c r="U190" s="85"/>
      <c r="V190" s="75"/>
      <c r="W190" s="167" t="e">
        <f>VLOOKUP(טבלה13[[#This Row],[זיהוי]],#REF!,2,FALSE)</f>
        <v>#REF!</v>
      </c>
    </row>
    <row r="191" spans="1:23" s="145" customFormat="1" ht="187.2" x14ac:dyDescent="0.25">
      <c r="A191" s="107" t="s">
        <v>1226</v>
      </c>
      <c r="B191" s="26" t="s">
        <v>1227</v>
      </c>
      <c r="C191" s="27" t="s">
        <v>15</v>
      </c>
      <c r="D191" s="84" t="s">
        <v>17</v>
      </c>
      <c r="E191" s="84" t="s">
        <v>77</v>
      </c>
      <c r="F191" s="28">
        <v>49247</v>
      </c>
      <c r="G191" s="28">
        <v>47818</v>
      </c>
      <c r="H191" s="84" t="s">
        <v>51</v>
      </c>
      <c r="I191" s="85" t="str">
        <f>"WBS: " &amp; A191 &amp; CHAR(10) &amp;
"שם פרויקט: " &amp; B191 &amp; CHAR(10) &amp;
"מנה״פ: " &amp; D191 &amp; CHAR(10) &amp;
"יעד תכנית פיתוח: " &amp; TEXT(F191,"dd/mm/yyyy") &amp; CHAR(10) &amp;
"יעד מסתמן: " &amp; TEXT(G191,"dd/mm/yyyy")</f>
        <v>WBS: WBC-082
שם פרויקט: תחמ"ש נווה ימין 
(כפר סבא)
מנה״פ: מזרחי, סולי
יעד תכנית פיתוח: 30/10/2034
יעד מסתמן: 01/12/2030</v>
      </c>
      <c r="J191" s="125" t="s">
        <v>1228</v>
      </c>
      <c r="K191" s="125" t="s">
        <v>1229</v>
      </c>
      <c r="L191" s="125" t="s">
        <v>1229</v>
      </c>
      <c r="M191" s="125" t="s">
        <v>1229</v>
      </c>
      <c r="N191" s="125" t="s">
        <v>1230</v>
      </c>
      <c r="O191" s="125" t="s">
        <v>1231</v>
      </c>
      <c r="P191" s="125" t="s">
        <v>1232</v>
      </c>
      <c r="Q191" s="125" t="s">
        <v>1232</v>
      </c>
      <c r="R191" s="63"/>
      <c r="S191" s="58"/>
      <c r="T191" s="92"/>
      <c r="U191" s="85"/>
      <c r="V191" s="75"/>
      <c r="W191" s="167" t="e">
        <f>VLOOKUP(טבלה13[[#This Row],[זיהוי]],#REF!,2,FALSE)</f>
        <v>#REF!</v>
      </c>
    </row>
    <row r="192" spans="1:23" s="145" customFormat="1" ht="135" x14ac:dyDescent="0.25">
      <c r="A192" s="151" t="s">
        <v>1233</v>
      </c>
      <c r="B192" s="150" t="s">
        <v>1234</v>
      </c>
      <c r="C192" s="27" t="s">
        <v>30</v>
      </c>
      <c r="D192" s="84" t="s">
        <v>101</v>
      </c>
      <c r="E192" s="84" t="s">
        <v>62</v>
      </c>
      <c r="F192" s="152">
        <v>47118</v>
      </c>
      <c r="G192" s="28"/>
      <c r="H192" s="84" t="s">
        <v>60</v>
      </c>
      <c r="I192" s="85" t="str">
        <f>"WBS: " &amp; A192 &amp; CHAR(10) &amp;
"שם פרויקט: " &amp; B192 &amp; CHAR(10) &amp;
"מנה״פ: " &amp; D192 &amp; CHAR(10) &amp;
"יעד תכנית פיתוח: " &amp; TEXT(F192,"dd/mm/yyyy") &amp; CHAR(10) &amp;
"יעד מסתמן: " &amp; TEXT(G192,"dd/mm/yyyy")</f>
        <v>WBS: WBE-183
שם פרויקט: ת"א מרכז-התקנת שנאי רביעי 161/13.8/13.8 ק"ו 56 מגוו"א
מנה״פ: פוטרמן, שרון 
יעד תכנית פיתוח: 31/12/2028
יעד מסתמן: 00/01/1900</v>
      </c>
      <c r="J192" s="42"/>
      <c r="K192" s="42"/>
      <c r="L192" s="42" t="s">
        <v>1235</v>
      </c>
      <c r="M192" s="42" t="s">
        <v>1235</v>
      </c>
      <c r="N192" s="42" t="s">
        <v>1235</v>
      </c>
      <c r="O192" s="42" t="s">
        <v>1235</v>
      </c>
      <c r="P192" s="42" t="s">
        <v>1235</v>
      </c>
      <c r="Q192" s="42" t="s">
        <v>1235</v>
      </c>
      <c r="R192" s="63"/>
      <c r="S192" s="58"/>
      <c r="T192" s="92"/>
      <c r="U192" s="85"/>
      <c r="V192" s="75"/>
      <c r="W192" s="167" t="e">
        <f>VLOOKUP(טבלה13[[#This Row],[זיהוי]],#REF!,2,FALSE)</f>
        <v>#REF!</v>
      </c>
    </row>
    <row r="193" spans="1:24" s="145" customFormat="1" ht="105" x14ac:dyDescent="0.25">
      <c r="A193" s="151" t="s">
        <v>1236</v>
      </c>
      <c r="B193" s="150" t="s">
        <v>1237</v>
      </c>
      <c r="C193" s="27" t="s">
        <v>30</v>
      </c>
      <c r="D193" s="84" t="s">
        <v>1238</v>
      </c>
      <c r="E193" s="84" t="s">
        <v>1238</v>
      </c>
      <c r="F193" s="152">
        <v>46843</v>
      </c>
      <c r="G193" s="28"/>
      <c r="H193" s="84" t="s">
        <v>63</v>
      </c>
      <c r="I193" s="85" t="str">
        <f>"WBS: " &amp; A193 &amp; CHAR(10) &amp;
"שם פרויקט: " &amp; B193 &amp; CHAR(10) &amp;
"מנה״פ: " &amp; D193 &amp; CHAR(10) &amp;
"יעד תכנית פיתוח: " &amp; TEXT(F193,"dd/mm/yyyy") &amp; CHAR(10) &amp;
"יעד מסתמן: " &amp; TEXT(G193,"dd/mm/yyyy")</f>
        <v>WBS: WBE-302
שם פרויקט: מודיעין-הקמת שני שדות 1 ו-13
מנה״פ: טרם הוקצאה
יעד תכנית פיתוח: 31/03/2028
יעד מסתמן: 00/01/1900</v>
      </c>
      <c r="J193" s="42"/>
      <c r="K193" s="42"/>
      <c r="L193" s="42" t="s">
        <v>1239</v>
      </c>
      <c r="M193" s="42" t="s">
        <v>1239</v>
      </c>
      <c r="N193" s="42" t="s">
        <v>1239</v>
      </c>
      <c r="O193" s="42" t="s">
        <v>1239</v>
      </c>
      <c r="P193" s="84" t="s">
        <v>63</v>
      </c>
      <c r="Q193" s="84" t="s">
        <v>63</v>
      </c>
      <c r="R193" s="63"/>
      <c r="S193" s="58"/>
      <c r="T193" s="92"/>
      <c r="U193" s="85"/>
      <c r="V193" s="75"/>
      <c r="W193" s="167" t="e">
        <f>VLOOKUP(טבלה13[[#This Row],[זיהוי]],#REF!,2,FALSE)</f>
        <v>#REF!</v>
      </c>
    </row>
    <row r="194" spans="1:24" s="145" customFormat="1" ht="256.64999999999998" customHeight="1" x14ac:dyDescent="0.25">
      <c r="A194" s="25" t="s">
        <v>1240</v>
      </c>
      <c r="B194" s="26" t="s">
        <v>1241</v>
      </c>
      <c r="C194" s="27" t="s">
        <v>30</v>
      </c>
      <c r="D194" s="84" t="s">
        <v>101</v>
      </c>
      <c r="E194" s="84" t="s">
        <v>62</v>
      </c>
      <c r="F194" s="28">
        <v>46387</v>
      </c>
      <c r="G194" s="28">
        <v>46476</v>
      </c>
      <c r="H194" s="84" t="s">
        <v>70</v>
      </c>
      <c r="I194" s="85" t="str">
        <f t="shared" si="3"/>
        <v>WBS: WBE-281
שם פרויקט: מודיעין – התקנת שנאי שישי (525) 50 מגוו"א.
מנה״פ: פוטרמן, שרון 
יעד תכנית פיתוח: 31/12/2026
יעד מסתמן: 30/03/2027</v>
      </c>
      <c r="J194" s="63" t="s">
        <v>1242</v>
      </c>
      <c r="K194" s="63" t="s">
        <v>1243</v>
      </c>
      <c r="L194" s="63" t="s">
        <v>1243</v>
      </c>
      <c r="M194" s="63" t="s">
        <v>1243</v>
      </c>
      <c r="N194" s="63" t="s">
        <v>1244</v>
      </c>
      <c r="O194" s="63" t="s">
        <v>1244</v>
      </c>
      <c r="P194" s="63" t="s">
        <v>1244</v>
      </c>
      <c r="Q194" s="63" t="s">
        <v>1529</v>
      </c>
      <c r="R194" s="63"/>
      <c r="S194" s="87"/>
      <c r="T194" s="109"/>
      <c r="U194" s="85"/>
      <c r="V194" s="75"/>
      <c r="W194" s="167" t="e">
        <f>VLOOKUP(טבלה13[[#This Row],[זיהוי]],#REF!,2,FALSE)</f>
        <v>#REF!</v>
      </c>
    </row>
    <row r="195" spans="1:24" s="145" customFormat="1" ht="226.65" customHeight="1" x14ac:dyDescent="0.25">
      <c r="A195" s="25" t="s">
        <v>1245</v>
      </c>
      <c r="B195" s="26" t="s">
        <v>1246</v>
      </c>
      <c r="C195" s="27" t="s">
        <v>30</v>
      </c>
      <c r="D195" s="84" t="s">
        <v>101</v>
      </c>
      <c r="E195" s="84" t="s">
        <v>62</v>
      </c>
      <c r="F195" s="28">
        <v>46538</v>
      </c>
      <c r="G195" s="28">
        <v>46507</v>
      </c>
      <c r="H195" s="84" t="s">
        <v>51</v>
      </c>
      <c r="I195" s="85" t="str">
        <f t="shared" si="3"/>
        <v>WBS: WBE-198
שם פרויקט: לוד-הוספת שנאי שישי  (525) 161/24 ק"ו 50 מגוו"א
מנה״פ: פוטרמן, שרון 
יעד תכנית פיתוח: 31/05/2027
יעד מסתמן: 30/04/2027</v>
      </c>
      <c r="J195" s="104" t="s">
        <v>1247</v>
      </c>
      <c r="K195" s="104" t="s">
        <v>1247</v>
      </c>
      <c r="L195" s="104" t="s">
        <v>1247</v>
      </c>
      <c r="M195" s="104" t="s">
        <v>1247</v>
      </c>
      <c r="N195" s="104" t="s">
        <v>1247</v>
      </c>
      <c r="O195" s="104" t="s">
        <v>1248</v>
      </c>
      <c r="P195" s="104" t="s">
        <v>1530</v>
      </c>
      <c r="Q195" s="104" t="s">
        <v>1530</v>
      </c>
      <c r="R195" s="104"/>
      <c r="S195" s="55"/>
      <c r="T195" s="109"/>
      <c r="U195" s="85"/>
      <c r="V195" s="75"/>
      <c r="W195" s="167" t="e">
        <f>VLOOKUP(טבלה13[[#This Row],[זיהוי]],#REF!,2,FALSE)</f>
        <v>#REF!</v>
      </c>
    </row>
    <row r="196" spans="1:24" s="145" customFormat="1" ht="120" x14ac:dyDescent="0.25">
      <c r="A196" s="25" t="s">
        <v>1249</v>
      </c>
      <c r="B196" s="26" t="s">
        <v>1250</v>
      </c>
      <c r="C196" s="27" t="s">
        <v>30</v>
      </c>
      <c r="D196" s="84" t="s">
        <v>101</v>
      </c>
      <c r="E196" s="84" t="s">
        <v>62</v>
      </c>
      <c r="F196" s="28">
        <v>46417</v>
      </c>
      <c r="G196" s="28">
        <v>46476</v>
      </c>
      <c r="H196" s="84" t="s">
        <v>51</v>
      </c>
      <c r="I196" s="85" t="str">
        <f t="shared" si="3"/>
        <v>WBS: WBE-216
שם פרויקט: כנות-התקנת שנאי שלישי 161/24 ק"ו 50 מו"א
מנה״פ: פוטרמן, שרון 
יעד תכנית פיתוח: 30/01/2027
יעד מסתמן: 30/03/2027</v>
      </c>
      <c r="J196" s="104" t="s">
        <v>1251</v>
      </c>
      <c r="K196" s="104" t="s">
        <v>1251</v>
      </c>
      <c r="L196" s="104" t="s">
        <v>1252</v>
      </c>
      <c r="M196" s="104" t="s">
        <v>1252</v>
      </c>
      <c r="N196" s="104" t="s">
        <v>1252</v>
      </c>
      <c r="O196" s="104" t="s">
        <v>1252</v>
      </c>
      <c r="P196" s="104" t="s">
        <v>1252</v>
      </c>
      <c r="Q196" s="104" t="s">
        <v>1252</v>
      </c>
      <c r="R196" s="63"/>
      <c r="S196" s="126"/>
      <c r="T196" s="59"/>
      <c r="U196" s="85"/>
      <c r="V196" s="75"/>
      <c r="W196" s="167" t="e">
        <f>VLOOKUP(טבלה13[[#This Row],[זיהוי]],#REF!,2,FALSE)</f>
        <v>#REF!</v>
      </c>
    </row>
    <row r="197" spans="1:24" s="145" customFormat="1" ht="189.6" customHeight="1" x14ac:dyDescent="0.25">
      <c r="A197" s="25" t="s">
        <v>1253</v>
      </c>
      <c r="B197" s="45" t="s">
        <v>1254</v>
      </c>
      <c r="C197" s="27" t="s">
        <v>362</v>
      </c>
      <c r="D197" s="84" t="s">
        <v>101</v>
      </c>
      <c r="E197" s="84" t="s">
        <v>62</v>
      </c>
      <c r="F197" s="28">
        <v>46568</v>
      </c>
      <c r="G197" s="28"/>
      <c r="H197" s="84" t="s">
        <v>70</v>
      </c>
      <c r="I197" s="85" t="str">
        <f t="shared" si="3"/>
        <v>WBS: WBM-10482
שם פרויקט: גזר-
ST-1 התקנת מסדר 24 ק"ו, פ"צ 4, השלמת מערכת SCS במסדרי 161 ו 400 ק"ו.
ST-2 החלפת 2 מסדרי מ"ג ומערכת SCS
מנה״פ: פוטרמן, שרון 
יעד תכנית פיתוח: 30/06/2027
יעד מסתמן: 00/01/1900</v>
      </c>
      <c r="J197" s="89" t="s">
        <v>1255</v>
      </c>
      <c r="K197" s="89" t="s">
        <v>1255</v>
      </c>
      <c r="L197" s="89" t="s">
        <v>1255</v>
      </c>
      <c r="M197" s="89" t="s">
        <v>1255</v>
      </c>
      <c r="N197" s="89" t="s">
        <v>1256</v>
      </c>
      <c r="O197" s="89" t="s">
        <v>1257</v>
      </c>
      <c r="P197" s="89" t="s">
        <v>1258</v>
      </c>
      <c r="Q197" s="89" t="s">
        <v>1531</v>
      </c>
      <c r="R197" s="63"/>
      <c r="S197" s="87"/>
      <c r="T197" s="59"/>
      <c r="U197" s="85"/>
      <c r="V197" s="75"/>
      <c r="W197" s="168"/>
    </row>
    <row r="198" spans="1:24" s="145" customFormat="1" ht="120" x14ac:dyDescent="0.25">
      <c r="A198" s="25" t="s">
        <v>47</v>
      </c>
      <c r="B198" s="26" t="s">
        <v>1259</v>
      </c>
      <c r="C198" s="27" t="s">
        <v>30</v>
      </c>
      <c r="D198" s="84" t="s">
        <v>101</v>
      </c>
      <c r="E198" s="84" t="s">
        <v>62</v>
      </c>
      <c r="F198" s="28">
        <v>46324</v>
      </c>
      <c r="G198" s="28">
        <v>46324</v>
      </c>
      <c r="H198" s="84" t="s">
        <v>19</v>
      </c>
      <c r="I198" s="85" t="str">
        <f t="shared" si="3"/>
        <v>WBS: WBE-179
שם פרויקט: גבעת שאול-הרחבת מסדר 161 ק"ו והתקנת שנאי רביעי
מנה״פ: פוטרמן, שרון 
יעד תכנית פיתוח: 29/10/2026
יעד מסתמן: 29/10/2026</v>
      </c>
      <c r="J198" s="127" t="s">
        <v>1260</v>
      </c>
      <c r="K198" s="127" t="s">
        <v>1261</v>
      </c>
      <c r="L198" s="127" t="s">
        <v>1262</v>
      </c>
      <c r="M198" s="127" t="s">
        <v>1263</v>
      </c>
      <c r="N198" s="127" t="s">
        <v>1263</v>
      </c>
      <c r="O198" s="127" t="s">
        <v>1264</v>
      </c>
      <c r="P198" s="127" t="s">
        <v>1264</v>
      </c>
      <c r="Q198" s="127" t="s">
        <v>1532</v>
      </c>
      <c r="R198" s="63" t="s">
        <v>1265</v>
      </c>
      <c r="S198" s="87" t="s">
        <v>83</v>
      </c>
      <c r="T198" s="59" t="s">
        <v>46</v>
      </c>
      <c r="U198" s="85"/>
      <c r="V198" s="75"/>
      <c r="W198" s="167" t="e">
        <f>VLOOKUP(טבלה13[[#This Row],[זיהוי]],#REF!,2,FALSE)</f>
        <v>#REF!</v>
      </c>
    </row>
    <row r="199" spans="1:24" s="145" customFormat="1" ht="165" x14ac:dyDescent="0.25">
      <c r="A199" s="25" t="s">
        <v>1266</v>
      </c>
      <c r="B199" s="26" t="s">
        <v>1267</v>
      </c>
      <c r="C199" s="27" t="s">
        <v>30</v>
      </c>
      <c r="D199" s="84" t="s">
        <v>101</v>
      </c>
      <c r="E199" s="84" t="s">
        <v>62</v>
      </c>
      <c r="F199" s="28">
        <v>46081</v>
      </c>
      <c r="G199" s="28" t="s">
        <v>1268</v>
      </c>
      <c r="H199" s="84" t="s">
        <v>33</v>
      </c>
      <c r="I199" s="85" t="str">
        <f t="shared" si="3"/>
        <v xml:space="preserve">WBS: WBE-261
שם פרויקט: ביתר – הוספת שנאי רביעי  36KV 50 MVA
מנה״פ: פוטרמן, שרון 
יעד תכנית פיתוח: 28/02/2026
יעד מסתמן: התחנה נמסרה ליח' התחמש. מועד חשמול בהתאם לזמינות יח' התחמ"ש </v>
      </c>
      <c r="J199" s="14" t="s">
        <v>1269</v>
      </c>
      <c r="K199" s="14" t="s">
        <v>1269</v>
      </c>
      <c r="L199" s="14" t="s">
        <v>1269</v>
      </c>
      <c r="M199" s="14" t="s">
        <v>1270</v>
      </c>
      <c r="N199" s="14" t="s">
        <v>1270</v>
      </c>
      <c r="O199" s="14" t="s">
        <v>1270</v>
      </c>
      <c r="P199" s="14" t="s">
        <v>1270</v>
      </c>
      <c r="Q199" s="14" t="s">
        <v>1270</v>
      </c>
      <c r="R199" s="63" t="s">
        <v>1265</v>
      </c>
      <c r="S199" s="87" t="s">
        <v>83</v>
      </c>
      <c r="T199" s="59"/>
      <c r="U199" s="85"/>
      <c r="V199" s="75"/>
      <c r="W199" s="167" t="e">
        <f>VLOOKUP(טבלה13[[#This Row],[זיהוי]],#REF!,2,FALSE)</f>
        <v>#REF!</v>
      </c>
    </row>
    <row r="200" spans="1:24" s="145" customFormat="1" ht="120" x14ac:dyDescent="0.25">
      <c r="A200" s="25" t="s">
        <v>1271</v>
      </c>
      <c r="B200" s="26" t="s">
        <v>1272</v>
      </c>
      <c r="C200" s="27" t="s">
        <v>15</v>
      </c>
      <c r="D200" s="84" t="s">
        <v>101</v>
      </c>
      <c r="E200" s="84" t="s">
        <v>62</v>
      </c>
      <c r="F200" s="28">
        <v>46934</v>
      </c>
      <c r="G200" s="35">
        <v>46934</v>
      </c>
      <c r="H200" s="84" t="s">
        <v>67</v>
      </c>
      <c r="I200" s="85" t="str">
        <f t="shared" si="3"/>
        <v>WBS: WBC-031
שם פרויקט: בית וגן - הקמת תחמ"ש פנימית 161/24 ק"ו
מנה״פ: פוטרמן, שרון 
יעד תכנית פיתוח: 30/06/2028
יעד מסתמן: 30/06/2028</v>
      </c>
      <c r="J200" s="127" t="s">
        <v>1273</v>
      </c>
      <c r="K200" s="127" t="s">
        <v>1274</v>
      </c>
      <c r="L200" s="127" t="s">
        <v>1274</v>
      </c>
      <c r="M200" s="127" t="s">
        <v>1274</v>
      </c>
      <c r="N200" s="127" t="s">
        <v>1274</v>
      </c>
      <c r="O200" s="127" t="s">
        <v>1274</v>
      </c>
      <c r="P200" s="127" t="s">
        <v>1274</v>
      </c>
      <c r="Q200" s="127" t="s">
        <v>1274</v>
      </c>
      <c r="R200" s="63"/>
      <c r="S200" s="87"/>
      <c r="T200" s="59"/>
      <c r="U200" s="85"/>
      <c r="V200" s="75"/>
      <c r="W200" s="167" t="e">
        <f>VLOOKUP(טבלה13[[#This Row],[זיהוי]],#REF!,2,FALSE)</f>
        <v>#REF!</v>
      </c>
    </row>
    <row r="201" spans="1:24" s="145" customFormat="1" ht="45" x14ac:dyDescent="0.25">
      <c r="A201" s="25" t="s">
        <v>1275</v>
      </c>
      <c r="B201" s="44" t="s">
        <v>1276</v>
      </c>
      <c r="C201" s="27" t="s">
        <v>362</v>
      </c>
      <c r="D201" s="84" t="s">
        <v>101</v>
      </c>
      <c r="E201" s="84" t="s">
        <v>62</v>
      </c>
      <c r="F201" s="28">
        <v>46326</v>
      </c>
      <c r="G201" s="28"/>
      <c r="H201" s="84" t="s">
        <v>63</v>
      </c>
      <c r="I201" s="85"/>
      <c r="J201" s="127" t="s">
        <v>1277</v>
      </c>
      <c r="K201" s="127" t="s">
        <v>1278</v>
      </c>
      <c r="L201" s="127" t="s">
        <v>1278</v>
      </c>
      <c r="M201" s="127" t="s">
        <v>1278</v>
      </c>
      <c r="N201" s="127" t="s">
        <v>1278</v>
      </c>
      <c r="O201" s="127" t="s">
        <v>1278</v>
      </c>
      <c r="P201" s="127" t="s">
        <v>1278</v>
      </c>
      <c r="Q201" s="127" t="s">
        <v>1278</v>
      </c>
      <c r="R201" s="63"/>
      <c r="S201" s="87"/>
      <c r="T201" s="59"/>
      <c r="U201" s="85"/>
      <c r="V201" s="75"/>
      <c r="W201" s="168"/>
    </row>
    <row r="202" spans="1:24" s="145" customFormat="1" ht="120" x14ac:dyDescent="0.25">
      <c r="A202" s="46" t="s">
        <v>1279</v>
      </c>
      <c r="B202" s="47" t="s">
        <v>1280</v>
      </c>
      <c r="C202" s="27" t="s">
        <v>219</v>
      </c>
      <c r="D202" s="84" t="s">
        <v>101</v>
      </c>
      <c r="E202" s="84" t="s">
        <v>62</v>
      </c>
      <c r="F202" s="28">
        <v>46142</v>
      </c>
      <c r="G202" s="48">
        <v>46196</v>
      </c>
      <c r="H202" s="84" t="s">
        <v>93</v>
      </c>
      <c r="I202" s="85" t="str">
        <f t="shared" si="3"/>
        <v>WBS: WBD-125
שם פרויקט: אלפי מנשה- החלפת ניידת 20 מגוו"א בניידת 30 מגוו"א
מנה״פ: פוטרמן, שרון 
יעד תכנית פיתוח: 30/04/2026
יעד מסתמן: 23/06/2026</v>
      </c>
      <c r="J202" s="141" t="s">
        <v>1281</v>
      </c>
      <c r="K202" s="141" t="s">
        <v>1282</v>
      </c>
      <c r="L202" s="141" t="s">
        <v>1283</v>
      </c>
      <c r="M202" s="141" t="s">
        <v>1283</v>
      </c>
      <c r="N202" s="141" t="s">
        <v>1284</v>
      </c>
      <c r="O202" s="42" t="s">
        <v>1285</v>
      </c>
      <c r="P202" s="42" t="s">
        <v>1285</v>
      </c>
      <c r="Q202" s="42" t="s">
        <v>1285</v>
      </c>
      <c r="R202" s="42"/>
      <c r="S202" s="87"/>
      <c r="T202" s="59"/>
      <c r="U202" s="85"/>
      <c r="V202" s="75"/>
      <c r="W202" s="167" t="e">
        <f>VLOOKUP(טבלה13[[#This Row],[זיהוי]],#REF!,2,FALSE)</f>
        <v>#REF!</v>
      </c>
    </row>
    <row r="203" spans="1:24" s="145" customFormat="1" ht="330" x14ac:dyDescent="0.25">
      <c r="A203" s="49" t="s">
        <v>1286</v>
      </c>
      <c r="B203" s="50" t="s">
        <v>1287</v>
      </c>
      <c r="C203" s="51" t="s">
        <v>30</v>
      </c>
      <c r="D203" s="128" t="s">
        <v>94</v>
      </c>
      <c r="E203" s="128" t="s">
        <v>69</v>
      </c>
      <c r="F203" s="28">
        <v>48212</v>
      </c>
      <c r="G203" s="52">
        <v>47848</v>
      </c>
      <c r="H203" s="128" t="s">
        <v>51</v>
      </c>
      <c r="I203" s="129" t="str">
        <f>"WBS: " &amp; A203 &amp; CHAR(10) &amp;
"שם פרויקט: " &amp; B203 &amp; CHAR(10) &amp;
"מנה״פ: " &amp; D203 &amp; CHAR(10) &amp;
"יעד תכנית פיתוח: " &amp; TEXT(F203,"dd/mm/yyyy") &amp; CHAR(10) &amp;
"יעד מסתמן: " &amp; TEXT(G203,"dd/mm/yyyy")</f>
        <v>WBS: WBJ-003
שם פרויקט: תחמ"ג ירושלים
מנה״פ: ברקוביץ, משה
יעד תכנית פיתוח: 30/12/2031
יעד מסתמן: 31/12/2030</v>
      </c>
      <c r="J203" s="42" t="s">
        <v>1288</v>
      </c>
      <c r="K203" s="42" t="s">
        <v>1289</v>
      </c>
      <c r="L203" s="42" t="s">
        <v>1290</v>
      </c>
      <c r="M203" s="42" t="s">
        <v>1291</v>
      </c>
      <c r="N203" s="42" t="s">
        <v>1292</v>
      </c>
      <c r="O203" s="42" t="s">
        <v>1293</v>
      </c>
      <c r="P203" s="42" t="s">
        <v>1294</v>
      </c>
      <c r="Q203" s="42" t="s">
        <v>1474</v>
      </c>
      <c r="R203" s="42" t="s">
        <v>1295</v>
      </c>
      <c r="S203" s="87" t="s">
        <v>83</v>
      </c>
      <c r="T203" s="128" t="s">
        <v>71</v>
      </c>
      <c r="U203" s="85"/>
      <c r="V203" s="75" t="s">
        <v>13</v>
      </c>
      <c r="W203" s="167" t="e">
        <f>VLOOKUP(טבלה13[[#This Row],[זיהוי]],#REF!,2,FALSE)</f>
        <v>#REF!</v>
      </c>
    </row>
    <row r="204" spans="1:24" s="145" customFormat="1" ht="270" x14ac:dyDescent="0.25">
      <c r="A204" s="53" t="s">
        <v>1296</v>
      </c>
      <c r="B204" s="50" t="s">
        <v>1297</v>
      </c>
      <c r="C204" s="51" t="s">
        <v>362</v>
      </c>
      <c r="D204" s="128" t="s">
        <v>61</v>
      </c>
      <c r="E204" s="128" t="s">
        <v>62</v>
      </c>
      <c r="F204" s="28">
        <v>46325</v>
      </c>
      <c r="G204" s="52">
        <v>46325</v>
      </c>
      <c r="H204" s="128" t="s">
        <v>85</v>
      </c>
      <c r="I204" s="129" t="str">
        <f>"WBS: " &amp; A204 &amp; CHAR(10) &amp;
"שם פרויקט: " &amp; B204 &amp; CHAR(10) &amp;
"מנה״פ: " &amp; D204 &amp; CHAR(10) &amp;
"יעד תכנית פיתוח: " &amp; TEXT(F204,"dd/mm/yyyy") &amp; CHAR(10) &amp;
"יעד מסתמן: " &amp; TEXT(G204,"dd/mm/yyyy")</f>
        <v>WBS: WBM-40475
שם פרויקט: הכפר הירוק-הח' 2 מ"ז ,2 בושינג(7,9) מהדק
מנה״פ: אוברקוביץ, ענת
יעד תכנית פיתוח: 30/10/2026
יעד מסתמן: 30/10/2026</v>
      </c>
      <c r="J204" s="42" t="s">
        <v>1298</v>
      </c>
      <c r="K204" s="42" t="s">
        <v>1298</v>
      </c>
      <c r="L204" s="42" t="s">
        <v>1298</v>
      </c>
      <c r="M204" s="42" t="s">
        <v>1298</v>
      </c>
      <c r="N204" s="42" t="s">
        <v>1298</v>
      </c>
      <c r="O204" s="42" t="s">
        <v>1299</v>
      </c>
      <c r="P204" s="42" t="s">
        <v>1300</v>
      </c>
      <c r="Q204" s="42" t="s">
        <v>1552</v>
      </c>
      <c r="R204" s="42" t="s">
        <v>1301</v>
      </c>
      <c r="S204" s="128"/>
      <c r="T204" s="84"/>
      <c r="U204" s="85"/>
      <c r="V204" s="75"/>
      <c r="W204" s="168"/>
      <c r="X204" s="148"/>
    </row>
    <row r="205" spans="1:24" s="145" customFormat="1" ht="60" x14ac:dyDescent="0.25">
      <c r="A205" s="60" t="s">
        <v>1302</v>
      </c>
      <c r="B205" s="50" t="s">
        <v>1303</v>
      </c>
      <c r="C205" s="51" t="s">
        <v>15</v>
      </c>
      <c r="D205" s="128" t="s">
        <v>61</v>
      </c>
      <c r="E205" s="128" t="s">
        <v>62</v>
      </c>
      <c r="F205" s="28">
        <v>47786</v>
      </c>
      <c r="G205" s="52">
        <v>47603</v>
      </c>
      <c r="H205" s="128" t="s">
        <v>51</v>
      </c>
      <c r="I205" s="129" t="str">
        <f>"WBS: " &amp; A205 &amp; CHAR(10) &amp;
"שם פרויקט: " &amp; B205 &amp; CHAR(10) &amp;
"מנה״פ: " &amp; D205 &amp; CHAR(10) &amp;
"יעד תכנית פיתוח: " &amp; TEXT(F205,"dd/mm/yyyy") &amp; CHAR(10) &amp;
"יעד מסתמן: " &amp; TEXT(G205,"dd/mm/yyyy")</f>
        <v>WBS: WBC-084
שם פרויקט: סירקין- הקמת תחמ"ש פנימית  161/24 ק"ו
מנה״פ: אוברקוביץ, ענת
יעד תכנית פיתוח: 30/10/2030
יעד מסתמן: 30/04/2030</v>
      </c>
      <c r="J205" s="42" t="s">
        <v>1304</v>
      </c>
      <c r="K205" s="42" t="s">
        <v>1304</v>
      </c>
      <c r="L205" s="42" t="s">
        <v>1304</v>
      </c>
      <c r="M205" s="42" t="s">
        <v>1305</v>
      </c>
      <c r="N205" s="42" t="s">
        <v>1306</v>
      </c>
      <c r="O205" s="42" t="s">
        <v>1307</v>
      </c>
      <c r="P205" s="42" t="s">
        <v>1308</v>
      </c>
      <c r="Q205" s="42" t="s">
        <v>1308</v>
      </c>
      <c r="R205" s="42" t="s">
        <v>1309</v>
      </c>
      <c r="S205" s="128" t="s">
        <v>27</v>
      </c>
      <c r="T205" s="128"/>
      <c r="U205" s="85"/>
      <c r="V205" s="75"/>
      <c r="W205" s="167" t="e">
        <f>VLOOKUP(טבלה13[[#This Row],[זיהוי]],#REF!,2,FALSE)</f>
        <v>#REF!</v>
      </c>
    </row>
    <row r="206" spans="1:24" s="145" customFormat="1" ht="90" x14ac:dyDescent="0.25">
      <c r="A206" s="76" t="s">
        <v>1310</v>
      </c>
      <c r="B206" s="62" t="s">
        <v>1311</v>
      </c>
      <c r="C206" s="49" t="s">
        <v>30</v>
      </c>
      <c r="D206" s="128" t="s">
        <v>101</v>
      </c>
      <c r="E206" s="128" t="s">
        <v>62</v>
      </c>
      <c r="F206" s="28">
        <v>46203</v>
      </c>
      <c r="G206" s="156">
        <v>46218</v>
      </c>
      <c r="H206" s="84" t="s">
        <v>33</v>
      </c>
      <c r="I206" s="42"/>
      <c r="J206" s="42" t="s">
        <v>1312</v>
      </c>
      <c r="K206" s="42" t="s">
        <v>1313</v>
      </c>
      <c r="L206" s="42" t="s">
        <v>1314</v>
      </c>
      <c r="M206" s="42" t="s">
        <v>1314</v>
      </c>
      <c r="N206" s="42" t="s">
        <v>1314</v>
      </c>
      <c r="O206" s="42" t="s">
        <v>1315</v>
      </c>
      <c r="P206" s="42" t="s">
        <v>1315</v>
      </c>
      <c r="Q206" s="42" t="s">
        <v>1533</v>
      </c>
      <c r="R206" s="42" t="s">
        <v>1316</v>
      </c>
      <c r="S206" s="128" t="s">
        <v>83</v>
      </c>
      <c r="T206" s="128"/>
      <c r="U206" s="85"/>
      <c r="V206" s="75"/>
      <c r="W206" s="167" t="e">
        <f>VLOOKUP(טבלה13[[#This Row],[זיהוי]],#REF!,2,FALSE)</f>
        <v>#REF!</v>
      </c>
    </row>
    <row r="207" spans="1:24" s="145" customFormat="1" ht="45" x14ac:dyDescent="0.25">
      <c r="A207" s="27" t="s">
        <v>1317</v>
      </c>
      <c r="B207" s="55" t="s">
        <v>1318</v>
      </c>
      <c r="C207" s="60" t="s">
        <v>219</v>
      </c>
      <c r="D207" s="84" t="s">
        <v>101</v>
      </c>
      <c r="E207" s="84" t="s">
        <v>62</v>
      </c>
      <c r="F207" s="28" t="s">
        <v>1319</v>
      </c>
      <c r="G207" s="61">
        <v>46538</v>
      </c>
      <c r="H207" s="84" t="s">
        <v>51</v>
      </c>
      <c r="I207" s="129" t="str">
        <f>"WBS: " &amp; A207 &amp; CHAR(10) &amp;
"שם פרויקט: " &amp; B207 &amp; CHAR(10) &amp;
"מנה״פ: " &amp; D207 &amp; CHAR(10) &amp;
"יעד תכנית פיתוח: " &amp; TEXT(F207,"dd/mm/yyyy") &amp; CHAR(10) &amp;
"יעד מסתמן: " &amp; TEXT(G207,"dd/mm/yyyy")</f>
        <v>WBS: WBD-126
שם פרויקט: בית יהושוע- הוספת ניידת 20
מנה״פ: פוטרמן, שרון 
יעד תכנית פיתוח: 31/06/2027
יעד מסתמן: 31/05/2027</v>
      </c>
      <c r="J207" s="63" t="s">
        <v>1320</v>
      </c>
      <c r="K207" s="63" t="s">
        <v>1321</v>
      </c>
      <c r="L207" s="63" t="s">
        <v>1321</v>
      </c>
      <c r="M207" s="63" t="s">
        <v>1321</v>
      </c>
      <c r="N207" s="63" t="s">
        <v>1321</v>
      </c>
      <c r="O207" s="63" t="s">
        <v>1321</v>
      </c>
      <c r="P207" s="63" t="s">
        <v>1321</v>
      </c>
      <c r="Q207" s="63" t="s">
        <v>1321</v>
      </c>
      <c r="R207" s="63"/>
      <c r="S207" s="84" t="s">
        <v>75</v>
      </c>
      <c r="T207" s="84"/>
      <c r="U207" s="85"/>
      <c r="V207" s="75"/>
      <c r="W207" s="167" t="e">
        <f>VLOOKUP(טבלה13[[#This Row],[זיהוי]],#REF!,2,FALSE)</f>
        <v>#REF!</v>
      </c>
    </row>
    <row r="208" spans="1:24" s="145" customFormat="1" ht="60" x14ac:dyDescent="0.25">
      <c r="A208" s="25" t="s">
        <v>1322</v>
      </c>
      <c r="B208" s="26" t="s">
        <v>1323</v>
      </c>
      <c r="C208" s="60" t="s">
        <v>30</v>
      </c>
      <c r="D208" s="84" t="s">
        <v>101</v>
      </c>
      <c r="E208" s="84" t="s">
        <v>62</v>
      </c>
      <c r="F208" s="28">
        <v>46477</v>
      </c>
      <c r="G208" s="61">
        <v>46477</v>
      </c>
      <c r="H208" s="84" t="s">
        <v>60</v>
      </c>
      <c r="I208" s="75" t="str">
        <f>"WBS: " &amp; A208 &amp; CHAR(10) &amp;
"שם פרויקט: " &amp; B208 &amp; CHAR(10) &amp;
"מנה״פ: " &amp; D208 &amp; CHAR(10) &amp;
"יעד תכנית פיתוח: " &amp; TEXT(F208,"dd/mm/yyyy") &amp; CHAR(10) &amp;
"יעד מסתמן: " &amp; TEXT(G208,"dd/mm/yyyy")</f>
        <v>WBS: WBE-294
שם פרויקט: בית שמש-התקנת שנאי שלישי161/24 ק"ו 50 מגוו"א
מנה״פ: פוטרמן, שרון 
יעד תכנית פיתוח: 31/03/2027
יעד מסתמן: 31/03/2027</v>
      </c>
      <c r="J208" s="42" t="s">
        <v>1324</v>
      </c>
      <c r="K208" s="42" t="s">
        <v>1325</v>
      </c>
      <c r="L208" s="42" t="s">
        <v>1325</v>
      </c>
      <c r="M208" s="42" t="s">
        <v>1326</v>
      </c>
      <c r="N208" s="42" t="s">
        <v>1327</v>
      </c>
      <c r="O208" s="42" t="s">
        <v>1328</v>
      </c>
      <c r="P208" s="42" t="s">
        <v>1328</v>
      </c>
      <c r="Q208" s="42" t="s">
        <v>1328</v>
      </c>
      <c r="R208" s="63"/>
      <c r="S208" s="84"/>
      <c r="T208" s="84"/>
      <c r="U208" s="85"/>
      <c r="V208" s="75"/>
      <c r="W208" s="167" t="e">
        <f>VLOOKUP(טבלה13[[#This Row],[זיהוי]],#REF!,2,FALSE)</f>
        <v>#REF!</v>
      </c>
    </row>
    <row r="209" spans="1:23" s="145" customFormat="1" ht="45" x14ac:dyDescent="0.25">
      <c r="A209" s="25" t="s">
        <v>1329</v>
      </c>
      <c r="B209" s="26" t="s">
        <v>1330</v>
      </c>
      <c r="C209" s="60" t="s">
        <v>362</v>
      </c>
      <c r="D209" s="84" t="s">
        <v>101</v>
      </c>
      <c r="E209" s="84" t="s">
        <v>62</v>
      </c>
      <c r="F209" s="28">
        <v>46021</v>
      </c>
      <c r="G209" s="61">
        <v>46387</v>
      </c>
      <c r="H209" s="84" t="s">
        <v>51</v>
      </c>
      <c r="I209" s="75" t="str">
        <f>"WBS: " &amp; A209 &amp; CHAR(10) &amp;
"שם פרויקט: " &amp; B209 &amp; CHAR(10) &amp;
"מנה״פ: " &amp; D209 &amp; CHAR(10) &amp;
"יעד תכנית פיתוח: " &amp; TEXT(F209,"dd/mm/yyyy") &amp; CHAR(10) &amp;
"יעד מסתמן: " &amp; TEXT(G209,"dd/mm/yyyy")</f>
        <v>WBS: WBN-40158
שם פרויקט: סתריה - שדרוג שדות קו 15,16 ליכולת 1440א'
מנה״פ: פוטרמן, שרון 
יעד תכנית פיתוח: 30/12/2025
יעד מסתמן: 31/12/2026</v>
      </c>
      <c r="J209" s="42" t="s">
        <v>1331</v>
      </c>
      <c r="K209" s="42" t="s">
        <v>1331</v>
      </c>
      <c r="L209" s="42" t="s">
        <v>1331</v>
      </c>
      <c r="M209" s="42" t="s">
        <v>1331</v>
      </c>
      <c r="N209" s="42" t="s">
        <v>1331</v>
      </c>
      <c r="O209" s="42" t="s">
        <v>1331</v>
      </c>
      <c r="P209" s="42" t="s">
        <v>1332</v>
      </c>
      <c r="Q209" s="42" t="s">
        <v>1332</v>
      </c>
      <c r="R209" s="63"/>
      <c r="S209" s="84"/>
      <c r="T209" s="84"/>
      <c r="U209" s="85"/>
      <c r="V209" s="75"/>
      <c r="W209" s="168"/>
    </row>
    <row r="210" spans="1:23" s="145" customFormat="1" ht="105" x14ac:dyDescent="0.25">
      <c r="A210" s="25" t="s">
        <v>1333</v>
      </c>
      <c r="B210" s="26" t="s">
        <v>1334</v>
      </c>
      <c r="C210" s="26" t="s">
        <v>1334</v>
      </c>
      <c r="D210" s="84" t="s">
        <v>95</v>
      </c>
      <c r="E210" s="84" t="s">
        <v>65</v>
      </c>
      <c r="F210" s="28"/>
      <c r="G210" s="28" t="s">
        <v>536</v>
      </c>
      <c r="H210" s="84" t="s">
        <v>93</v>
      </c>
      <c r="I210" s="85" t="str">
        <f t="shared" si="3"/>
        <v>WBS: ניידת 42 צומת תפוח
שם פרויקט: קדם ניידות 
מנה״פ: גולן, לירון
יעד תכנית פיתוח: 00/01/1900
יעד מסתמן: הסתיים</v>
      </c>
      <c r="J210" s="63" t="s">
        <v>1335</v>
      </c>
      <c r="K210" s="63" t="s">
        <v>1335</v>
      </c>
      <c r="L210" s="63" t="s">
        <v>1335</v>
      </c>
      <c r="M210" s="63" t="s">
        <v>1335</v>
      </c>
      <c r="N210" s="63" t="s">
        <v>1335</v>
      </c>
      <c r="O210" s="63" t="s">
        <v>1335</v>
      </c>
      <c r="P210" s="63" t="s">
        <v>1335</v>
      </c>
      <c r="Q210" s="63" t="s">
        <v>1335</v>
      </c>
      <c r="R210" s="63"/>
      <c r="S210" s="87"/>
      <c r="T210" s="59"/>
      <c r="U210" s="85"/>
      <c r="V210" s="75"/>
      <c r="W210" s="168"/>
    </row>
    <row r="211" spans="1:23" s="145" customFormat="1" ht="90" x14ac:dyDescent="0.25">
      <c r="A211" s="25" t="s">
        <v>1336</v>
      </c>
      <c r="B211" s="26" t="s">
        <v>1334</v>
      </c>
      <c r="C211" s="26" t="s">
        <v>1334</v>
      </c>
      <c r="D211" s="84" t="s">
        <v>95</v>
      </c>
      <c r="E211" s="84" t="s">
        <v>65</v>
      </c>
      <c r="F211" s="28"/>
      <c r="G211" s="28">
        <v>46053</v>
      </c>
      <c r="H211" s="84" t="s">
        <v>93</v>
      </c>
      <c r="I211" s="85" t="str">
        <f t="shared" si="3"/>
        <v>WBS: ניידת 43 שוהם
שם פרויקט: קדם ניידות 
מנה״פ: גולן, לירון
יעד תכנית פיתוח: 00/01/1900
יעד מסתמן: 31/01/2026</v>
      </c>
      <c r="J211" s="63" t="s">
        <v>1335</v>
      </c>
      <c r="K211" s="63" t="s">
        <v>1335</v>
      </c>
      <c r="L211" s="63" t="s">
        <v>1335</v>
      </c>
      <c r="M211" s="63" t="s">
        <v>1335</v>
      </c>
      <c r="N211" s="63" t="s">
        <v>1335</v>
      </c>
      <c r="O211" s="63" t="s">
        <v>1335</v>
      </c>
      <c r="P211" s="63" t="s">
        <v>1335</v>
      </c>
      <c r="Q211" s="63" t="s">
        <v>1335</v>
      </c>
      <c r="R211" s="63"/>
      <c r="S211" s="87"/>
      <c r="T211" s="59"/>
      <c r="U211" s="85"/>
      <c r="V211" s="75"/>
      <c r="W211" s="168"/>
    </row>
    <row r="212" spans="1:23" s="145" customFormat="1" ht="90" x14ac:dyDescent="0.25">
      <c r="A212" s="25" t="s">
        <v>1337</v>
      </c>
      <c r="B212" s="26" t="s">
        <v>1334</v>
      </c>
      <c r="C212" s="26" t="s">
        <v>1334</v>
      </c>
      <c r="D212" s="84" t="s">
        <v>95</v>
      </c>
      <c r="E212" s="84" t="s">
        <v>65</v>
      </c>
      <c r="F212" s="28"/>
      <c r="G212" s="28">
        <v>46081</v>
      </c>
      <c r="H212" s="84" t="s">
        <v>93</v>
      </c>
      <c r="I212" s="85" t="str">
        <f t="shared" si="3"/>
        <v>WBS: ניידת 44
שם פרויקט: קדם ניידות 
מנה״פ: גולן, לירון
יעד תכנית פיתוח: 00/01/1900
יעד מסתמן: 28/02/2026</v>
      </c>
      <c r="J212" s="63" t="s">
        <v>1338</v>
      </c>
      <c r="K212" s="63" t="s">
        <v>1338</v>
      </c>
      <c r="L212" s="63" t="s">
        <v>1338</v>
      </c>
      <c r="M212" s="63" t="s">
        <v>1338</v>
      </c>
      <c r="N212" s="63" t="s">
        <v>1338</v>
      </c>
      <c r="O212" s="63" t="s">
        <v>1338</v>
      </c>
      <c r="P212" s="63" t="s">
        <v>1338</v>
      </c>
      <c r="Q212" s="63" t="s">
        <v>1338</v>
      </c>
      <c r="R212" s="63"/>
      <c r="S212" s="87"/>
      <c r="T212" s="59"/>
      <c r="U212" s="85"/>
      <c r="V212" s="75"/>
      <c r="W212" s="168"/>
    </row>
    <row r="213" spans="1:23" s="145" customFormat="1" ht="90" x14ac:dyDescent="0.25">
      <c r="A213" s="25" t="s">
        <v>1339</v>
      </c>
      <c r="B213" s="26" t="s">
        <v>1334</v>
      </c>
      <c r="C213" s="26" t="s">
        <v>1334</v>
      </c>
      <c r="D213" s="84" t="s">
        <v>95</v>
      </c>
      <c r="E213" s="84" t="s">
        <v>65</v>
      </c>
      <c r="F213" s="28"/>
      <c r="G213" s="28">
        <v>46081</v>
      </c>
      <c r="H213" s="84" t="s">
        <v>93</v>
      </c>
      <c r="I213" s="85" t="str">
        <f t="shared" si="3"/>
        <v>WBS: ניידת 45
שם פרויקט: קדם ניידות 
מנה״פ: גולן, לירון
יעד תכנית פיתוח: 00/01/1900
יעד מסתמן: 28/02/2026</v>
      </c>
      <c r="J213" s="63" t="s">
        <v>1338</v>
      </c>
      <c r="K213" s="63" t="s">
        <v>1338</v>
      </c>
      <c r="L213" s="63" t="s">
        <v>1338</v>
      </c>
      <c r="M213" s="63" t="s">
        <v>1338</v>
      </c>
      <c r="N213" s="63" t="s">
        <v>1338</v>
      </c>
      <c r="O213" s="63" t="s">
        <v>1338</v>
      </c>
      <c r="P213" s="63" t="s">
        <v>1338</v>
      </c>
      <c r="Q213" s="63" t="s">
        <v>1338</v>
      </c>
      <c r="R213" s="63"/>
      <c r="S213" s="87"/>
      <c r="T213" s="59"/>
      <c r="U213" s="85"/>
      <c r="V213" s="75"/>
      <c r="W213" s="168"/>
    </row>
    <row r="214" spans="1:23" s="145" customFormat="1" ht="90" x14ac:dyDescent="0.25">
      <c r="A214" s="25" t="s">
        <v>1340</v>
      </c>
      <c r="B214" s="26" t="s">
        <v>1334</v>
      </c>
      <c r="C214" s="26" t="s">
        <v>1334</v>
      </c>
      <c r="D214" s="84" t="s">
        <v>95</v>
      </c>
      <c r="E214" s="84" t="s">
        <v>65</v>
      </c>
      <c r="F214" s="28"/>
      <c r="G214" s="28"/>
      <c r="H214" s="84"/>
      <c r="I214" s="85" t="str">
        <f>"WBS: " &amp; A214 &amp; CHAR(10) &amp;
"שם פרויקט: " &amp; B214 &amp; CHAR(10) &amp;
"מנה״פ: " &amp; D214 &amp; CHAR(10) &amp;
"יעד תכנית פיתוח: " &amp; TEXT(F214,"dd/mm/yyyy") &amp; CHAR(10) &amp;
"יעד מסתמן: " &amp; TEXT(G214,"dd/mm/yyyy")</f>
        <v>WBS: ניידת 46
שם פרויקט: קדם ניידות 
מנה״פ: גולן, לירון
יעד תכנית פיתוח: 00/01/1900
יעד מסתמן: 00/01/1900</v>
      </c>
      <c r="J214" s="63" t="s">
        <v>1341</v>
      </c>
      <c r="K214" s="63" t="s">
        <v>1341</v>
      </c>
      <c r="L214" s="63" t="s">
        <v>1341</v>
      </c>
      <c r="M214" s="63" t="s">
        <v>1341</v>
      </c>
      <c r="N214" s="63" t="s">
        <v>1341</v>
      </c>
      <c r="O214" s="63" t="s">
        <v>1341</v>
      </c>
      <c r="P214" s="63" t="s">
        <v>1341</v>
      </c>
      <c r="Q214" s="63" t="s">
        <v>1341</v>
      </c>
      <c r="R214" s="63"/>
      <c r="S214" s="91"/>
      <c r="T214" s="92"/>
      <c r="U214" s="85"/>
      <c r="V214" s="75"/>
      <c r="W214" s="168"/>
    </row>
    <row r="215" spans="1:23" s="145" customFormat="1" ht="90" x14ac:dyDescent="0.25">
      <c r="A215" s="25" t="s">
        <v>1342</v>
      </c>
      <c r="B215" s="26" t="s">
        <v>1334</v>
      </c>
      <c r="C215" s="26" t="s">
        <v>1334</v>
      </c>
      <c r="D215" s="84" t="s">
        <v>95</v>
      </c>
      <c r="E215" s="84" t="s">
        <v>65</v>
      </c>
      <c r="F215" s="28"/>
      <c r="G215" s="28"/>
      <c r="H215" s="84"/>
      <c r="I215" s="85" t="str">
        <f>"WBS: " &amp; A215 &amp; CHAR(10) &amp;
"שם פרויקט: " &amp; B215 &amp; CHAR(10) &amp;
"מנה״פ: " &amp; D215 &amp; CHAR(10) &amp;
"יעד תכנית פיתוח: " &amp; TEXT(F215,"dd/mm/yyyy") &amp; CHAR(10) &amp;
"יעד מסתמן: " &amp; TEXT(G215,"dd/mm/yyyy")</f>
        <v>WBS: ניידת 47
שם פרויקט: קדם ניידות 
מנה״פ: גולן, לירון
יעד תכנית פיתוח: 00/01/1900
יעד מסתמן: 00/01/1900</v>
      </c>
      <c r="J215" s="63" t="s">
        <v>1341</v>
      </c>
      <c r="K215" s="63" t="s">
        <v>1341</v>
      </c>
      <c r="L215" s="63" t="s">
        <v>1341</v>
      </c>
      <c r="M215" s="63" t="s">
        <v>1341</v>
      </c>
      <c r="N215" s="63" t="s">
        <v>1341</v>
      </c>
      <c r="O215" s="63" t="s">
        <v>1341</v>
      </c>
      <c r="P215" s="63" t="s">
        <v>1341</v>
      </c>
      <c r="Q215" s="63" t="s">
        <v>1341</v>
      </c>
      <c r="R215" s="63"/>
      <c r="S215" s="91"/>
      <c r="T215" s="92"/>
      <c r="U215" s="85"/>
      <c r="V215" s="75"/>
      <c r="W215" s="168"/>
    </row>
    <row r="216" spans="1:23" s="145" customFormat="1" ht="90" x14ac:dyDescent="0.25">
      <c r="A216" s="25" t="s">
        <v>1343</v>
      </c>
      <c r="B216" s="26" t="s">
        <v>1334</v>
      </c>
      <c r="C216" s="27" t="s">
        <v>219</v>
      </c>
      <c r="D216" s="84" t="s">
        <v>95</v>
      </c>
      <c r="E216" s="84" t="s">
        <v>65</v>
      </c>
      <c r="F216" s="28"/>
      <c r="G216" s="28">
        <v>46081</v>
      </c>
      <c r="H216" s="84"/>
      <c r="I216" s="85" t="str">
        <f>"WBS: " &amp; A216 &amp; CHAR(10) &amp;
"שם פרויקט: " &amp; B216 &amp; CHAR(10) &amp;
"מנה״פ: " &amp; D216 &amp; CHAR(10) &amp;
"יעד תכנית פיתוח: " &amp; TEXT(F216,"dd/mm/yyyy") &amp; CHAR(10) &amp;
"יעד מסתמן: " &amp; TEXT(G216,"dd/mm/yyyy")</f>
        <v>WBS: ניידת 48
שם פרויקט: קדם ניידות 
מנה״פ: גולן, לירון
יעד תכנית פיתוח: 00/01/1900
יעד מסתמן: 28/02/2026</v>
      </c>
      <c r="J216" s="63" t="s">
        <v>1344</v>
      </c>
      <c r="K216" s="63" t="s">
        <v>1344</v>
      </c>
      <c r="L216" s="63" t="s">
        <v>1344</v>
      </c>
      <c r="M216" s="63" t="s">
        <v>1344</v>
      </c>
      <c r="N216" s="63" t="s">
        <v>1344</v>
      </c>
      <c r="O216" s="63" t="s">
        <v>1344</v>
      </c>
      <c r="P216" s="63" t="s">
        <v>1344</v>
      </c>
      <c r="Q216" s="63" t="s">
        <v>1344</v>
      </c>
      <c r="R216" s="63"/>
      <c r="S216" s="87"/>
      <c r="T216" s="59"/>
      <c r="U216" s="85"/>
      <c r="V216" s="75"/>
      <c r="W216" s="167" t="e">
        <f>VLOOKUP(טבלה13[[#This Row],[זיהוי]],#REF!,2,FALSE)</f>
        <v>#REF!</v>
      </c>
    </row>
    <row r="217" spans="1:23" s="145" customFormat="1" ht="90" x14ac:dyDescent="0.25">
      <c r="A217" s="25" t="s">
        <v>1345</v>
      </c>
      <c r="B217" s="26" t="s">
        <v>1334</v>
      </c>
      <c r="C217" s="27" t="s">
        <v>219</v>
      </c>
      <c r="D217" s="84" t="s">
        <v>95</v>
      </c>
      <c r="E217" s="84" t="s">
        <v>65</v>
      </c>
      <c r="F217" s="28"/>
      <c r="G217" s="28"/>
      <c r="H217" s="84"/>
      <c r="I217" s="85" t="str">
        <f t="shared" si="3"/>
        <v>WBS: ניידת 49 חירום
שם פרויקט: קדם ניידות 
מנה״פ: גולן, לירון
יעד תכנית פיתוח: 00/01/1900
יעד מסתמן: 00/01/1900</v>
      </c>
      <c r="J217" s="63" t="s">
        <v>1346</v>
      </c>
      <c r="K217" s="63" t="s">
        <v>1346</v>
      </c>
      <c r="L217" s="63" t="s">
        <v>1346</v>
      </c>
      <c r="M217" s="63" t="s">
        <v>1346</v>
      </c>
      <c r="N217" s="63" t="s">
        <v>1346</v>
      </c>
      <c r="O217" s="63" t="s">
        <v>1346</v>
      </c>
      <c r="P217" s="63" t="s">
        <v>1346</v>
      </c>
      <c r="Q217" s="63" t="s">
        <v>1346</v>
      </c>
      <c r="R217" s="63"/>
      <c r="S217" s="87"/>
      <c r="T217" s="59"/>
      <c r="U217" s="85"/>
      <c r="V217" s="75"/>
      <c r="W217" s="167" t="e">
        <f>VLOOKUP(טבלה13[[#This Row],[זיהוי]],#REF!,2,FALSE)</f>
        <v>#REF!</v>
      </c>
    </row>
    <row r="218" spans="1:23" s="145" customFormat="1" ht="90" x14ac:dyDescent="0.25">
      <c r="A218" s="25" t="s">
        <v>1347</v>
      </c>
      <c r="B218" s="26" t="s">
        <v>1334</v>
      </c>
      <c r="C218" s="27" t="s">
        <v>219</v>
      </c>
      <c r="D218" s="84" t="s">
        <v>95</v>
      </c>
      <c r="E218" s="84" t="s">
        <v>65</v>
      </c>
      <c r="F218" s="28"/>
      <c r="G218" s="28">
        <v>46081</v>
      </c>
      <c r="H218" s="84" t="s">
        <v>93</v>
      </c>
      <c r="I218" s="85" t="str">
        <f t="shared" si="3"/>
        <v>WBS: ניידת 50
שם פרויקט: קדם ניידות 
מנה״פ: גולן, לירון
יעד תכנית פיתוח: 00/01/1900
יעד מסתמן: 28/02/2026</v>
      </c>
      <c r="J218" s="63" t="s">
        <v>1348</v>
      </c>
      <c r="K218" s="63" t="s">
        <v>1348</v>
      </c>
      <c r="L218" s="63" t="s">
        <v>1348</v>
      </c>
      <c r="M218" s="63" t="s">
        <v>1348</v>
      </c>
      <c r="N218" s="63" t="s">
        <v>1348</v>
      </c>
      <c r="O218" s="63" t="s">
        <v>1348</v>
      </c>
      <c r="P218" s="63" t="s">
        <v>1348</v>
      </c>
      <c r="Q218" s="63" t="s">
        <v>1348</v>
      </c>
      <c r="R218" s="63"/>
      <c r="S218" s="87"/>
      <c r="T218" s="59"/>
      <c r="U218" s="85"/>
      <c r="V218" s="75"/>
      <c r="W218" s="167" t="e">
        <f>VLOOKUP(טבלה13[[#This Row],[זיהוי]],#REF!,2,FALSE)</f>
        <v>#REF!</v>
      </c>
    </row>
    <row r="219" spans="1:23" s="145" customFormat="1" ht="90" x14ac:dyDescent="0.25">
      <c r="A219" s="25" t="s">
        <v>1349</v>
      </c>
      <c r="B219" s="26" t="s">
        <v>1334</v>
      </c>
      <c r="C219" s="27" t="s">
        <v>219</v>
      </c>
      <c r="D219" s="84" t="s">
        <v>95</v>
      </c>
      <c r="E219" s="84" t="s">
        <v>65</v>
      </c>
      <c r="F219" s="28"/>
      <c r="G219" s="28" t="s">
        <v>536</v>
      </c>
      <c r="H219" s="84" t="s">
        <v>93</v>
      </c>
      <c r="I219" s="85" t="str">
        <f t="shared" si="3"/>
        <v>WBS: ניידת 51
שם פרויקט: קדם ניידות 
מנה״פ: גולן, לירון
יעד תכנית פיתוח: 00/01/1900
יעד מסתמן: הסתיים</v>
      </c>
      <c r="J219" s="63" t="s">
        <v>1350</v>
      </c>
      <c r="K219" s="63" t="s">
        <v>1350</v>
      </c>
      <c r="L219" s="63" t="s">
        <v>1350</v>
      </c>
      <c r="M219" s="63" t="s">
        <v>1350</v>
      </c>
      <c r="N219" s="63" t="s">
        <v>1350</v>
      </c>
      <c r="O219" s="63" t="s">
        <v>1350</v>
      </c>
      <c r="P219" s="63" t="s">
        <v>1350</v>
      </c>
      <c r="Q219" s="63" t="s">
        <v>1350</v>
      </c>
      <c r="R219" s="63"/>
      <c r="S219" s="87"/>
      <c r="T219" s="59"/>
      <c r="U219" s="85"/>
      <c r="V219" s="75"/>
      <c r="W219" s="167" t="e">
        <f>VLOOKUP(טבלה13[[#This Row],[זיהוי]],#REF!,2,FALSE)</f>
        <v>#REF!</v>
      </c>
    </row>
    <row r="220" spans="1:23" s="145" customFormat="1" ht="90" x14ac:dyDescent="0.25">
      <c r="A220" s="25" t="s">
        <v>1351</v>
      </c>
      <c r="B220" s="26" t="s">
        <v>1334</v>
      </c>
      <c r="C220" s="27" t="s">
        <v>219</v>
      </c>
      <c r="D220" s="84" t="s">
        <v>95</v>
      </c>
      <c r="E220" s="84" t="s">
        <v>65</v>
      </c>
      <c r="F220" s="28"/>
      <c r="G220" s="28"/>
      <c r="H220" s="84" t="s">
        <v>93</v>
      </c>
      <c r="I220" s="85" t="str">
        <f t="shared" si="3"/>
        <v>WBS: ניידת 60
שם פרויקט: קדם ניידות 
מנה״פ: גולן, לירון
יעד תכנית פיתוח: 00/01/1900
יעד מסתמן: 00/01/1900</v>
      </c>
      <c r="J220" s="63" t="s">
        <v>1352</v>
      </c>
      <c r="K220" s="63" t="s">
        <v>1352</v>
      </c>
      <c r="L220" s="63" t="s">
        <v>1352</v>
      </c>
      <c r="M220" s="63" t="s">
        <v>1352</v>
      </c>
      <c r="N220" s="63" t="s">
        <v>1352</v>
      </c>
      <c r="O220" s="63" t="s">
        <v>1352</v>
      </c>
      <c r="P220" s="63" t="s">
        <v>1352</v>
      </c>
      <c r="Q220" s="63" t="s">
        <v>1352</v>
      </c>
      <c r="R220" s="63"/>
      <c r="S220" s="87"/>
      <c r="T220" s="59"/>
      <c r="U220" s="85"/>
      <c r="V220" s="75"/>
      <c r="W220" s="167" t="e">
        <f>VLOOKUP(טבלה13[[#This Row],[זיהוי]],#REF!,2,FALSE)</f>
        <v>#REF!</v>
      </c>
    </row>
    <row r="221" spans="1:23" s="145" customFormat="1" ht="90" x14ac:dyDescent="0.25">
      <c r="A221" s="25" t="s">
        <v>1353</v>
      </c>
      <c r="B221" s="26" t="s">
        <v>1334</v>
      </c>
      <c r="C221" s="27" t="s">
        <v>219</v>
      </c>
      <c r="D221" s="84" t="s">
        <v>95</v>
      </c>
      <c r="E221" s="84" t="s">
        <v>65</v>
      </c>
      <c r="F221" s="28"/>
      <c r="G221" s="28"/>
      <c r="H221" s="84" t="s">
        <v>93</v>
      </c>
      <c r="I221" s="85" t="str">
        <f t="shared" si="3"/>
        <v>WBS: ניידת 61
שם פרויקט: קדם ניידות 
מנה״פ: גולן, לירון
יעד תכנית פיתוח: 00/01/1900
יעד מסתמן: 00/01/1900</v>
      </c>
      <c r="J221" s="63" t="s">
        <v>1352</v>
      </c>
      <c r="K221" s="63" t="s">
        <v>1354</v>
      </c>
      <c r="L221" s="63" t="s">
        <v>1354</v>
      </c>
      <c r="M221" s="63" t="s">
        <v>1354</v>
      </c>
      <c r="N221" s="63" t="s">
        <v>1354</v>
      </c>
      <c r="O221" s="63" t="s">
        <v>1354</v>
      </c>
      <c r="P221" s="63" t="s">
        <v>1354</v>
      </c>
      <c r="Q221" s="63" t="s">
        <v>1354</v>
      </c>
      <c r="R221" s="63"/>
      <c r="S221" s="87"/>
      <c r="T221" s="59"/>
      <c r="U221" s="85"/>
      <c r="V221" s="75"/>
      <c r="W221" s="167" t="e">
        <f>VLOOKUP(טבלה13[[#This Row],[זיהוי]],#REF!,2,FALSE)</f>
        <v>#REF!</v>
      </c>
    </row>
    <row r="222" spans="1:23" s="145" customFormat="1" ht="90" x14ac:dyDescent="0.25">
      <c r="A222" s="25" t="s">
        <v>1355</v>
      </c>
      <c r="B222" s="26" t="s">
        <v>1334</v>
      </c>
      <c r="C222" s="27" t="s">
        <v>219</v>
      </c>
      <c r="D222" s="84" t="s">
        <v>95</v>
      </c>
      <c r="E222" s="84" t="s">
        <v>65</v>
      </c>
      <c r="F222" s="28"/>
      <c r="G222" s="28">
        <v>46053</v>
      </c>
      <c r="H222" s="84" t="s">
        <v>93</v>
      </c>
      <c r="I222" s="85" t="str">
        <f t="shared" si="3"/>
        <v>WBS: ניידת 62
שם פרויקט: קדם ניידות 
מנה״פ: גולן, לירון
יעד תכנית פיתוח: 00/01/1900
יעד מסתמן: 31/01/2026</v>
      </c>
      <c r="J222" s="63" t="s">
        <v>1352</v>
      </c>
      <c r="K222" s="63" t="s">
        <v>1352</v>
      </c>
      <c r="L222" s="63" t="s">
        <v>1352</v>
      </c>
      <c r="M222" s="63" t="s">
        <v>1352</v>
      </c>
      <c r="N222" s="63" t="s">
        <v>1352</v>
      </c>
      <c r="O222" s="63" t="s">
        <v>1352</v>
      </c>
      <c r="P222" s="63" t="s">
        <v>1352</v>
      </c>
      <c r="Q222" s="63" t="s">
        <v>1352</v>
      </c>
      <c r="R222" s="63"/>
      <c r="S222" s="87"/>
      <c r="T222" s="59"/>
      <c r="U222" s="85"/>
      <c r="V222" s="75"/>
      <c r="W222" s="167" t="e">
        <f>VLOOKUP(טבלה13[[#This Row],[זיהוי]],#REF!,2,FALSE)</f>
        <v>#REF!</v>
      </c>
    </row>
    <row r="223" spans="1:23" s="145" customFormat="1" ht="90" x14ac:dyDescent="0.25">
      <c r="A223" s="25" t="s">
        <v>1356</v>
      </c>
      <c r="B223" s="26" t="s">
        <v>1334</v>
      </c>
      <c r="C223" s="27" t="s">
        <v>219</v>
      </c>
      <c r="D223" s="84" t="s">
        <v>95</v>
      </c>
      <c r="E223" s="84" t="s">
        <v>65</v>
      </c>
      <c r="F223" s="28"/>
      <c r="G223" s="28">
        <v>46081</v>
      </c>
      <c r="H223" s="84" t="s">
        <v>93</v>
      </c>
      <c r="I223" s="85" t="str">
        <f t="shared" si="3"/>
        <v>WBS: ניידת 63
שם פרויקט: קדם ניידות 
מנה״פ: גולן, לירון
יעד תכנית פיתוח: 00/01/1900
יעד מסתמן: 28/02/2026</v>
      </c>
      <c r="J223" s="63" t="s">
        <v>1352</v>
      </c>
      <c r="K223" s="63" t="s">
        <v>1352</v>
      </c>
      <c r="L223" s="63" t="s">
        <v>1352</v>
      </c>
      <c r="M223" s="63" t="s">
        <v>1352</v>
      </c>
      <c r="N223" s="63" t="s">
        <v>1352</v>
      </c>
      <c r="O223" s="63" t="s">
        <v>1352</v>
      </c>
      <c r="P223" s="63" t="s">
        <v>1352</v>
      </c>
      <c r="Q223" s="63" t="s">
        <v>1352</v>
      </c>
      <c r="R223" s="63"/>
      <c r="S223" s="87"/>
      <c r="T223" s="59"/>
      <c r="U223" s="85"/>
      <c r="V223" s="75"/>
      <c r="W223" s="167" t="e">
        <f>VLOOKUP(טבלה13[[#This Row],[זיהוי]],#REF!,2,FALSE)</f>
        <v>#REF!</v>
      </c>
    </row>
    <row r="224" spans="1:23" s="145" customFormat="1" ht="90" x14ac:dyDescent="0.25">
      <c r="A224" s="25" t="s">
        <v>1357</v>
      </c>
      <c r="B224" s="26" t="s">
        <v>1334</v>
      </c>
      <c r="C224" s="27" t="s">
        <v>219</v>
      </c>
      <c r="D224" s="84" t="s">
        <v>95</v>
      </c>
      <c r="E224" s="84" t="s">
        <v>65</v>
      </c>
      <c r="F224" s="28"/>
      <c r="G224" s="28">
        <v>46081</v>
      </c>
      <c r="H224" s="84" t="s">
        <v>93</v>
      </c>
      <c r="I224" s="85" t="str">
        <f t="shared" si="3"/>
        <v>WBS: ניידת 64
שם פרויקט: קדם ניידות 
מנה״פ: גולן, לירון
יעד תכנית פיתוח: 00/01/1900
יעד מסתמן: 28/02/2026</v>
      </c>
      <c r="J224" s="63" t="s">
        <v>1352</v>
      </c>
      <c r="K224" s="63" t="s">
        <v>1352</v>
      </c>
      <c r="L224" s="63" t="s">
        <v>1352</v>
      </c>
      <c r="M224" s="63" t="s">
        <v>1352</v>
      </c>
      <c r="N224" s="63" t="s">
        <v>1352</v>
      </c>
      <c r="O224" s="63" t="s">
        <v>1352</v>
      </c>
      <c r="P224" s="63" t="s">
        <v>1352</v>
      </c>
      <c r="Q224" s="63" t="s">
        <v>1352</v>
      </c>
      <c r="R224" s="63"/>
      <c r="S224" s="87"/>
      <c r="T224" s="59"/>
      <c r="U224" s="85"/>
      <c r="V224" s="75"/>
      <c r="W224" s="167" t="e">
        <f>VLOOKUP(טבלה13[[#This Row],[זיהוי]],#REF!,2,FALSE)</f>
        <v>#REF!</v>
      </c>
    </row>
    <row r="225" spans="1:23" s="145" customFormat="1" ht="90" x14ac:dyDescent="0.25">
      <c r="A225" s="25" t="s">
        <v>1358</v>
      </c>
      <c r="B225" s="26" t="s">
        <v>1334</v>
      </c>
      <c r="C225" s="27" t="s">
        <v>219</v>
      </c>
      <c r="D225" s="84" t="s">
        <v>95</v>
      </c>
      <c r="E225" s="84" t="s">
        <v>65</v>
      </c>
      <c r="F225" s="28"/>
      <c r="G225" s="28">
        <v>46081</v>
      </c>
      <c r="H225" s="84" t="s">
        <v>93</v>
      </c>
      <c r="I225" s="85" t="str">
        <f t="shared" si="3"/>
        <v>WBS: ניידת 65
שם פרויקט: קדם ניידות 
מנה״פ: גולן, לירון
יעד תכנית פיתוח: 00/01/1900
יעד מסתמן: 28/02/2026</v>
      </c>
      <c r="J225" s="63" t="s">
        <v>1352</v>
      </c>
      <c r="K225" s="63" t="s">
        <v>1352</v>
      </c>
      <c r="L225" s="63" t="s">
        <v>1352</v>
      </c>
      <c r="M225" s="63" t="s">
        <v>1352</v>
      </c>
      <c r="N225" s="63" t="s">
        <v>1352</v>
      </c>
      <c r="O225" s="63" t="s">
        <v>1352</v>
      </c>
      <c r="P225" s="63" t="s">
        <v>1352</v>
      </c>
      <c r="Q225" s="63" t="s">
        <v>1352</v>
      </c>
      <c r="R225" s="63"/>
      <c r="S225" s="87"/>
      <c r="T225" s="59"/>
      <c r="U225" s="85"/>
      <c r="V225" s="75"/>
      <c r="W225" s="167" t="e">
        <f>VLOOKUP(טבלה13[[#This Row],[זיהוי]],#REF!,2,FALSE)</f>
        <v>#REF!</v>
      </c>
    </row>
    <row r="226" spans="1:23" s="145" customFormat="1" ht="90" x14ac:dyDescent="0.25">
      <c r="A226" s="25" t="s">
        <v>1359</v>
      </c>
      <c r="B226" s="26" t="s">
        <v>1334</v>
      </c>
      <c r="C226" s="27" t="s">
        <v>219</v>
      </c>
      <c r="D226" s="84" t="s">
        <v>95</v>
      </c>
      <c r="E226" s="84" t="s">
        <v>65</v>
      </c>
      <c r="F226" s="28"/>
      <c r="G226" s="28">
        <v>46142</v>
      </c>
      <c r="H226" s="84"/>
      <c r="I226" s="85" t="str">
        <f t="shared" si="3"/>
        <v>WBS: ניידת 66
שם פרויקט: קדם ניידות 
מנה״פ: גולן, לירון
יעד תכנית פיתוח: 00/01/1900
יעד מסתמן: 30/04/2026</v>
      </c>
      <c r="J226" s="63" t="s">
        <v>1360</v>
      </c>
      <c r="K226" s="63" t="s">
        <v>1360</v>
      </c>
      <c r="L226" s="63" t="s">
        <v>1360</v>
      </c>
      <c r="M226" s="63" t="s">
        <v>1360</v>
      </c>
      <c r="N226" s="63" t="s">
        <v>1360</v>
      </c>
      <c r="O226" s="63" t="s">
        <v>1360</v>
      </c>
      <c r="P226" s="63" t="s">
        <v>1360</v>
      </c>
      <c r="Q226" s="63" t="s">
        <v>1360</v>
      </c>
      <c r="R226" s="130"/>
      <c r="S226" s="87"/>
      <c r="T226" s="59"/>
      <c r="U226" s="85"/>
      <c r="V226" s="75"/>
      <c r="W226" s="167" t="e">
        <f>VLOOKUP(טבלה13[[#This Row],[זיהוי]],#REF!,2,FALSE)</f>
        <v>#REF!</v>
      </c>
    </row>
    <row r="227" spans="1:23" s="145" customFormat="1" ht="90" x14ac:dyDescent="0.25">
      <c r="A227" s="25" t="s">
        <v>1361</v>
      </c>
      <c r="B227" s="26" t="s">
        <v>1334</v>
      </c>
      <c r="C227" s="27" t="s">
        <v>219</v>
      </c>
      <c r="D227" s="84" t="s">
        <v>95</v>
      </c>
      <c r="E227" s="84" t="s">
        <v>65</v>
      </c>
      <c r="F227" s="28"/>
      <c r="G227" s="28">
        <v>46142</v>
      </c>
      <c r="H227" s="84"/>
      <c r="I227" s="85" t="str">
        <f t="shared" si="3"/>
        <v>WBS: ניידת 67
שם פרויקט: קדם ניידות 
מנה״פ: גולן, לירון
יעד תכנית פיתוח: 00/01/1900
יעד מסתמן: 30/04/2026</v>
      </c>
      <c r="J227" s="63" t="s">
        <v>1360</v>
      </c>
      <c r="K227" s="63" t="s">
        <v>1360</v>
      </c>
      <c r="L227" s="63" t="s">
        <v>1360</v>
      </c>
      <c r="M227" s="63" t="s">
        <v>1360</v>
      </c>
      <c r="N227" s="63" t="s">
        <v>1360</v>
      </c>
      <c r="O227" s="63" t="s">
        <v>1360</v>
      </c>
      <c r="P227" s="63" t="s">
        <v>1360</v>
      </c>
      <c r="Q227" s="63" t="s">
        <v>1360</v>
      </c>
      <c r="R227" s="130"/>
      <c r="S227" s="131"/>
      <c r="T227" s="132"/>
      <c r="U227" s="85"/>
      <c r="V227" s="75"/>
      <c r="W227" s="167" t="e">
        <f>VLOOKUP(טבלה13[[#This Row],[זיהוי]],#REF!,2,FALSE)</f>
        <v>#REF!</v>
      </c>
    </row>
    <row r="228" spans="1:23" s="145" customFormat="1" ht="90" x14ac:dyDescent="0.25">
      <c r="A228" s="25" t="s">
        <v>1362</v>
      </c>
      <c r="B228" s="26" t="s">
        <v>1334</v>
      </c>
      <c r="C228" s="27" t="s">
        <v>219</v>
      </c>
      <c r="D228" s="84" t="s">
        <v>95</v>
      </c>
      <c r="E228" s="84" t="s">
        <v>65</v>
      </c>
      <c r="F228" s="28"/>
      <c r="G228" s="28">
        <v>46142</v>
      </c>
      <c r="H228" s="84"/>
      <c r="I228" s="85" t="str">
        <f t="shared" ref="I228:I234" si="4">"WBS: " &amp; A228 &amp; CHAR(10) &amp;
"שם פרויקט: " &amp; B228 &amp; CHAR(10) &amp;
"מנה״פ: " &amp; D228 &amp; CHAR(10) &amp;
"יעד תכנית פיתוח: " &amp; TEXT(F228,"dd/mm/yyyy") &amp; CHAR(10) &amp;
"יעד מסתמן: " &amp; TEXT(G228,"dd/mm/yyyy")</f>
        <v>WBS: ניידת 68
שם פרויקט: קדם ניידות 
מנה״פ: גולן, לירון
יעד תכנית פיתוח: 00/01/1900
יעד מסתמן: 30/04/2026</v>
      </c>
      <c r="J228" s="63" t="s">
        <v>1360</v>
      </c>
      <c r="K228" s="63" t="s">
        <v>1360</v>
      </c>
      <c r="L228" s="63" t="s">
        <v>1360</v>
      </c>
      <c r="M228" s="63" t="s">
        <v>1360</v>
      </c>
      <c r="N228" s="63" t="s">
        <v>1360</v>
      </c>
      <c r="O228" s="63" t="s">
        <v>1360</v>
      </c>
      <c r="P228" s="63" t="s">
        <v>1360</v>
      </c>
      <c r="Q228" s="63" t="s">
        <v>1360</v>
      </c>
      <c r="R228" s="133"/>
      <c r="S228" s="91"/>
      <c r="T228" s="92"/>
      <c r="U228" s="85"/>
      <c r="V228" s="75"/>
      <c r="W228" s="167" t="e">
        <f>VLOOKUP(טבלה13[[#This Row],[זיהוי]],#REF!,2,FALSE)</f>
        <v>#REF!</v>
      </c>
    </row>
    <row r="229" spans="1:23" s="145" customFormat="1" ht="90" x14ac:dyDescent="0.25">
      <c r="A229" s="25" t="s">
        <v>1363</v>
      </c>
      <c r="B229" s="26" t="s">
        <v>1334</v>
      </c>
      <c r="C229" s="27" t="s">
        <v>219</v>
      </c>
      <c r="D229" s="84" t="s">
        <v>95</v>
      </c>
      <c r="E229" s="84" t="s">
        <v>65</v>
      </c>
      <c r="F229" s="28"/>
      <c r="G229" s="28">
        <v>46173</v>
      </c>
      <c r="H229" s="84"/>
      <c r="I229" s="85" t="str">
        <f t="shared" si="4"/>
        <v>WBS: ניידת 69
שם פרויקט: קדם ניידות 
מנה״פ: גולן, לירון
יעד תכנית פיתוח: 00/01/1900
יעד מסתמן: 31/05/2026</v>
      </c>
      <c r="J229" s="42" t="s">
        <v>1364</v>
      </c>
      <c r="K229" s="42" t="s">
        <v>1364</v>
      </c>
      <c r="L229" s="42" t="s">
        <v>1364</v>
      </c>
      <c r="M229" s="42" t="s">
        <v>1364</v>
      </c>
      <c r="N229" s="42" t="s">
        <v>1364</v>
      </c>
      <c r="O229" s="42" t="s">
        <v>1364</v>
      </c>
      <c r="P229" s="42" t="s">
        <v>1364</v>
      </c>
      <c r="Q229" s="42" t="s">
        <v>1364</v>
      </c>
      <c r="R229" s="63"/>
      <c r="S229" s="91"/>
      <c r="T229" s="92"/>
      <c r="U229" s="85"/>
      <c r="V229" s="75"/>
      <c r="W229" s="167" t="e">
        <f>VLOOKUP(טבלה13[[#This Row],[זיהוי]],#REF!,2,FALSE)</f>
        <v>#REF!</v>
      </c>
    </row>
    <row r="230" spans="1:23" s="145" customFormat="1" ht="90" x14ac:dyDescent="0.25">
      <c r="A230" s="25" t="s">
        <v>1365</v>
      </c>
      <c r="B230" s="26" t="s">
        <v>1334</v>
      </c>
      <c r="C230" s="27" t="s">
        <v>219</v>
      </c>
      <c r="D230" s="84" t="s">
        <v>95</v>
      </c>
      <c r="E230" s="84" t="s">
        <v>65</v>
      </c>
      <c r="F230" s="28"/>
      <c r="G230" s="28">
        <v>46173</v>
      </c>
      <c r="H230" s="84"/>
      <c r="I230" s="85" t="str">
        <f t="shared" si="4"/>
        <v>WBS: ניידת 70
שם פרויקט: קדם ניידות 
מנה״פ: גולן, לירון
יעד תכנית פיתוח: 00/01/1900
יעד מסתמן: 31/05/2026</v>
      </c>
      <c r="J230" s="42" t="s">
        <v>1364</v>
      </c>
      <c r="K230" s="42" t="s">
        <v>1364</v>
      </c>
      <c r="L230" s="42" t="s">
        <v>1364</v>
      </c>
      <c r="M230" s="42" t="s">
        <v>1364</v>
      </c>
      <c r="N230" s="42" t="s">
        <v>1364</v>
      </c>
      <c r="O230" s="42" t="s">
        <v>1364</v>
      </c>
      <c r="P230" s="42" t="s">
        <v>1364</v>
      </c>
      <c r="Q230" s="42" t="s">
        <v>1364</v>
      </c>
      <c r="R230" s="63"/>
      <c r="S230" s="91"/>
      <c r="T230" s="92"/>
      <c r="U230" s="85"/>
      <c r="V230" s="75"/>
      <c r="W230" s="167" t="e">
        <f>VLOOKUP(טבלה13[[#This Row],[זיהוי]],#REF!,2,FALSE)</f>
        <v>#REF!</v>
      </c>
    </row>
    <row r="231" spans="1:23" s="145" customFormat="1" ht="90" x14ac:dyDescent="0.25">
      <c r="A231" s="25" t="s">
        <v>1366</v>
      </c>
      <c r="B231" s="26" t="s">
        <v>1334</v>
      </c>
      <c r="C231" s="27" t="s">
        <v>219</v>
      </c>
      <c r="D231" s="84" t="s">
        <v>95</v>
      </c>
      <c r="E231" s="84" t="s">
        <v>65</v>
      </c>
      <c r="F231" s="28"/>
      <c r="G231" s="28">
        <v>46173</v>
      </c>
      <c r="H231" s="84"/>
      <c r="I231" s="85" t="str">
        <f t="shared" si="4"/>
        <v>WBS: ניידת 71
שם פרויקט: קדם ניידות 
מנה״פ: גולן, לירון
יעד תכנית פיתוח: 00/01/1900
יעד מסתמן: 31/05/2026</v>
      </c>
      <c r="J231" s="42" t="s">
        <v>1364</v>
      </c>
      <c r="K231" s="42" t="s">
        <v>1364</v>
      </c>
      <c r="L231" s="42" t="s">
        <v>1364</v>
      </c>
      <c r="M231" s="42" t="s">
        <v>1364</v>
      </c>
      <c r="N231" s="42" t="s">
        <v>1364</v>
      </c>
      <c r="O231" s="42" t="s">
        <v>1364</v>
      </c>
      <c r="P231" s="42" t="s">
        <v>1364</v>
      </c>
      <c r="Q231" s="42" t="s">
        <v>1364</v>
      </c>
      <c r="R231" s="63"/>
      <c r="S231" s="91"/>
      <c r="T231" s="92"/>
      <c r="U231" s="85"/>
      <c r="V231" s="75"/>
      <c r="W231" s="167" t="e">
        <f>VLOOKUP(טבלה13[[#This Row],[זיהוי]],#REF!,2,FALSE)</f>
        <v>#REF!</v>
      </c>
    </row>
    <row r="232" spans="1:23" s="145" customFormat="1" ht="90" x14ac:dyDescent="0.25">
      <c r="A232" s="25" t="s">
        <v>1367</v>
      </c>
      <c r="B232" s="26" t="s">
        <v>1334</v>
      </c>
      <c r="C232" s="27" t="s">
        <v>219</v>
      </c>
      <c r="D232" s="84" t="s">
        <v>95</v>
      </c>
      <c r="E232" s="84" t="s">
        <v>65</v>
      </c>
      <c r="F232" s="28"/>
      <c r="G232" s="28">
        <v>46234</v>
      </c>
      <c r="H232" s="84"/>
      <c r="I232" s="85" t="str">
        <f t="shared" si="4"/>
        <v>WBS: ניידת 56
שם פרויקט: קדם ניידות 
מנה״פ: גולן, לירון
יעד תכנית פיתוח: 00/01/1900
יעד מסתמן: 31/07/2026</v>
      </c>
      <c r="J232" s="42" t="s">
        <v>1368</v>
      </c>
      <c r="K232" s="42" t="s">
        <v>1368</v>
      </c>
      <c r="L232" s="42" t="s">
        <v>1369</v>
      </c>
      <c r="M232" s="42" t="s">
        <v>1370</v>
      </c>
      <c r="N232" s="42" t="s">
        <v>1371</v>
      </c>
      <c r="O232" s="42" t="s">
        <v>1371</v>
      </c>
      <c r="P232" s="42" t="s">
        <v>1371</v>
      </c>
      <c r="Q232" s="42" t="s">
        <v>1493</v>
      </c>
      <c r="R232" s="63" t="s">
        <v>1497</v>
      </c>
      <c r="S232" s="91" t="s">
        <v>39</v>
      </c>
      <c r="T232" s="92"/>
      <c r="U232" s="85"/>
      <c r="V232" s="75"/>
      <c r="W232" s="167" t="e">
        <f>VLOOKUP(טבלה13[[#This Row],[זיהוי]],#REF!,2,FALSE)</f>
        <v>#REF!</v>
      </c>
    </row>
    <row r="233" spans="1:23" s="145" customFormat="1" ht="90" x14ac:dyDescent="0.25">
      <c r="A233" s="25" t="s">
        <v>1372</v>
      </c>
      <c r="B233" s="26" t="s">
        <v>1334</v>
      </c>
      <c r="C233" s="27" t="s">
        <v>219</v>
      </c>
      <c r="D233" s="84" t="s">
        <v>95</v>
      </c>
      <c r="E233" s="84" t="s">
        <v>65</v>
      </c>
      <c r="F233" s="28"/>
      <c r="G233" s="28">
        <v>46234</v>
      </c>
      <c r="H233" s="84"/>
      <c r="I233" s="85" t="str">
        <f t="shared" si="4"/>
        <v>WBS: ניידת 57
שם פרויקט: קדם ניידות 
מנה״פ: גולן, לירון
יעד תכנית פיתוח: 00/01/1900
יעד מסתמן: 31/07/2026</v>
      </c>
      <c r="J233" s="42" t="s">
        <v>1368</v>
      </c>
      <c r="K233" s="42" t="s">
        <v>1368</v>
      </c>
      <c r="L233" s="42" t="s">
        <v>1369</v>
      </c>
      <c r="M233" s="42" t="s">
        <v>1370</v>
      </c>
      <c r="N233" s="42" t="s">
        <v>1371</v>
      </c>
      <c r="O233" s="42" t="s">
        <v>1371</v>
      </c>
      <c r="P233" s="42" t="s">
        <v>1371</v>
      </c>
      <c r="Q233" s="42" t="s">
        <v>1493</v>
      </c>
      <c r="R233" s="63" t="s">
        <v>1497</v>
      </c>
      <c r="S233" s="91" t="s">
        <v>39</v>
      </c>
      <c r="T233" s="92"/>
      <c r="U233" s="85"/>
      <c r="V233" s="75"/>
      <c r="W233" s="167" t="e">
        <f>VLOOKUP(טבלה13[[#This Row],[זיהוי]],#REF!,2,FALSE)</f>
        <v>#REF!</v>
      </c>
    </row>
    <row r="234" spans="1:23" s="145" customFormat="1" ht="135" x14ac:dyDescent="0.25">
      <c r="A234" s="25" t="s">
        <v>1373</v>
      </c>
      <c r="B234" s="26" t="s">
        <v>1334</v>
      </c>
      <c r="C234" s="27" t="s">
        <v>219</v>
      </c>
      <c r="D234" s="84" t="s">
        <v>95</v>
      </c>
      <c r="E234" s="84" t="s">
        <v>65</v>
      </c>
      <c r="F234" s="28"/>
      <c r="G234" s="28">
        <v>46265</v>
      </c>
      <c r="H234" s="84"/>
      <c r="I234" s="85" t="str">
        <f t="shared" si="4"/>
        <v>WBS: ניידת 58
שם פרויקט: קדם ניידות 
מנה״פ: גולן, לירון
יעד תכנית פיתוח: 00/01/1900
יעד מסתמן: 31/08/2026</v>
      </c>
      <c r="J234" s="42" t="s">
        <v>1374</v>
      </c>
      <c r="K234" s="42" t="s">
        <v>1375</v>
      </c>
      <c r="L234" s="42" t="s">
        <v>1376</v>
      </c>
      <c r="M234" s="42" t="s">
        <v>1377</v>
      </c>
      <c r="N234" s="42" t="s">
        <v>1378</v>
      </c>
      <c r="O234" s="42" t="s">
        <v>1378</v>
      </c>
      <c r="P234" s="42" t="s">
        <v>1378</v>
      </c>
      <c r="Q234" s="42" t="s">
        <v>1494</v>
      </c>
      <c r="R234" s="63" t="s">
        <v>1498</v>
      </c>
      <c r="S234" s="91" t="s">
        <v>39</v>
      </c>
      <c r="T234" s="92"/>
      <c r="U234" s="85"/>
      <c r="V234" s="75" t="s">
        <v>13</v>
      </c>
      <c r="W234" s="167" t="e">
        <f>VLOOKUP(טבלה13[[#This Row],[זיהוי]],#REF!,2,FALSE)</f>
        <v>#REF!</v>
      </c>
    </row>
    <row r="235" spans="1:23" s="145" customFormat="1" ht="129" customHeight="1" x14ac:dyDescent="0.25">
      <c r="A235" s="25" t="s">
        <v>1379</v>
      </c>
      <c r="B235" s="26" t="s">
        <v>1334</v>
      </c>
      <c r="C235" s="27" t="s">
        <v>219</v>
      </c>
      <c r="D235" s="84" t="s">
        <v>95</v>
      </c>
      <c r="E235" s="84" t="s">
        <v>65</v>
      </c>
      <c r="F235" s="28"/>
      <c r="G235" s="28">
        <v>46265</v>
      </c>
      <c r="H235" s="84"/>
      <c r="I235" s="85" t="str">
        <f t="shared" si="3"/>
        <v>WBS: ניידת 59
שם פרויקט: קדם ניידות 
מנה״פ: גולן, לירון
יעד תכנית פיתוח: 00/01/1900
יעד מסתמן: 31/08/2026</v>
      </c>
      <c r="J235" s="42" t="s">
        <v>1374</v>
      </c>
      <c r="K235" s="42" t="s">
        <v>1374</v>
      </c>
      <c r="L235" s="42" t="s">
        <v>1380</v>
      </c>
      <c r="M235" s="42" t="s">
        <v>1381</v>
      </c>
      <c r="N235" s="42" t="s">
        <v>1382</v>
      </c>
      <c r="O235" s="42" t="s">
        <v>1382</v>
      </c>
      <c r="P235" s="42" t="s">
        <v>1382</v>
      </c>
      <c r="Q235" s="42" t="s">
        <v>1495</v>
      </c>
      <c r="R235" s="63" t="s">
        <v>1498</v>
      </c>
      <c r="S235" s="134" t="s">
        <v>39</v>
      </c>
      <c r="T235" s="132"/>
      <c r="U235" s="85"/>
      <c r="V235" s="75" t="s">
        <v>13</v>
      </c>
      <c r="W235" s="167" t="e">
        <f>VLOOKUP(טבלה13[[#This Row],[זיהוי]],#REF!,2,FALSE)</f>
        <v>#REF!</v>
      </c>
    </row>
    <row r="236" spans="1:23" s="145" customFormat="1" ht="149.25" customHeight="1" x14ac:dyDescent="0.25">
      <c r="A236" s="49" t="s">
        <v>1383</v>
      </c>
      <c r="B236" s="50" t="s">
        <v>1384</v>
      </c>
      <c r="C236" s="51" t="s">
        <v>362</v>
      </c>
      <c r="D236" s="128" t="s">
        <v>61</v>
      </c>
      <c r="E236" s="128" t="s">
        <v>62</v>
      </c>
      <c r="F236" s="28">
        <v>46568</v>
      </c>
      <c r="G236" s="52">
        <v>46387</v>
      </c>
      <c r="H236" s="128" t="s">
        <v>70</v>
      </c>
      <c r="I236" s="129" t="str">
        <f t="shared" ref="I236:I237" si="5">"WBS: " &amp; A236 &amp; CHAR(10) &amp;
"שם פרויקט: " &amp; B236 &amp; CHAR(10) &amp;
"מנה״פ: " &amp; D236 &amp; CHAR(10) &amp;
"יעד תכנית פיתוח: " &amp; TEXT(F236,"dd/mm/yyyy") &amp; CHAR(10) &amp;
"יעד מסתמן: " &amp; TEXT(G236,"dd/mm/yyyy")</f>
        <v>WBS: WBM-40636
שם פרויקט: הרצליה – הוספת 10 שדות מ"ג בעלי יציאות תת קרקעיות בכבלים
מנה״פ: אוברקוביץ, ענת
יעד תכנית פיתוח: 30/06/2027
יעד מסתמן: 31/12/2026</v>
      </c>
      <c r="J236" s="42" t="s">
        <v>1385</v>
      </c>
      <c r="K236" s="42" t="s">
        <v>1385</v>
      </c>
      <c r="L236" s="42" t="s">
        <v>1385</v>
      </c>
      <c r="M236" s="42" t="s">
        <v>1385</v>
      </c>
      <c r="N236" s="42" t="s">
        <v>1385</v>
      </c>
      <c r="O236" s="42" t="s">
        <v>1386</v>
      </c>
      <c r="P236" s="42" t="s">
        <v>1386</v>
      </c>
      <c r="Q236" s="42" t="s">
        <v>1386</v>
      </c>
      <c r="R236" s="42" t="s">
        <v>664</v>
      </c>
      <c r="S236" s="121"/>
      <c r="T236" s="122"/>
      <c r="U236" s="85"/>
      <c r="V236" s="75"/>
      <c r="W236" s="168"/>
    </row>
    <row r="237" spans="1:23" s="145" customFormat="1" ht="168.75" customHeight="1" x14ac:dyDescent="0.25">
      <c r="A237" s="49" t="s">
        <v>1387</v>
      </c>
      <c r="B237" s="50" t="s">
        <v>1388</v>
      </c>
      <c r="C237" s="51" t="s">
        <v>362</v>
      </c>
      <c r="D237" s="128" t="s">
        <v>61</v>
      </c>
      <c r="E237" s="128" t="s">
        <v>62</v>
      </c>
      <c r="F237" s="28">
        <v>46356</v>
      </c>
      <c r="G237" s="52">
        <v>46387</v>
      </c>
      <c r="H237" s="128" t="s">
        <v>51</v>
      </c>
      <c r="I237" s="129" t="str">
        <f t="shared" si="5"/>
        <v>WBS: WBM-40287
שם פרויקט: הרצליה -החלפת מ"ז,מנתק, משנק ב: 5,11,7-8
מנה״פ: אוברקוביץ, ענת
יעד תכנית פיתוח: 30/11/2026
יעד מסתמן: 31/12/2026</v>
      </c>
      <c r="J237" s="42" t="s">
        <v>1389</v>
      </c>
      <c r="K237" s="42" t="s">
        <v>1389</v>
      </c>
      <c r="L237" s="42" t="s">
        <v>1389</v>
      </c>
      <c r="M237" s="42" t="s">
        <v>1390</v>
      </c>
      <c r="N237" s="42" t="s">
        <v>1391</v>
      </c>
      <c r="O237" s="42" t="s">
        <v>1392</v>
      </c>
      <c r="P237" s="42" t="s">
        <v>1392</v>
      </c>
      <c r="Q237" s="42" t="s">
        <v>1392</v>
      </c>
      <c r="R237" s="42" t="s">
        <v>1393</v>
      </c>
      <c r="S237" s="128" t="s">
        <v>27</v>
      </c>
      <c r="T237" s="128"/>
      <c r="U237" s="85"/>
      <c r="V237" s="75"/>
      <c r="W237" s="168"/>
    </row>
    <row r="238" spans="1:23" ht="41.4" x14ac:dyDescent="0.25">
      <c r="A238" s="46" t="s">
        <v>1394</v>
      </c>
      <c r="B238" s="135" t="s">
        <v>1395</v>
      </c>
      <c r="C238" s="51" t="s">
        <v>362</v>
      </c>
      <c r="D238" s="84" t="s">
        <v>87</v>
      </c>
      <c r="E238" s="84" t="s">
        <v>73</v>
      </c>
      <c r="F238" s="28">
        <v>45991</v>
      </c>
      <c r="G238" s="52" t="s">
        <v>1396</v>
      </c>
      <c r="H238" s="128"/>
      <c r="I238" s="129" t="str">
        <f t="shared" ref="I238:I243" si="6">"WBS: " &amp; A238 &amp; CHAR(10) &amp;
"שם פרויקט: " &amp; B238 &amp; CHAR(10) &amp;
"מנה״פ: " &amp; D238 &amp; CHAR(10) &amp;
"יעד תכנית פיתוח: " &amp; TEXT(F238,"dd/mm/yyyy") &amp; CHAR(10) &amp;
"יעד מסתמן: " &amp; TEXT(G238,"dd/mm/yyyy")</f>
        <v>WBS: WBM-10494
שם פרויקט: מנחת-הוספת מכולה מס' 2 לניצול השנאי במלואו
מנה״פ: בן חמו, דביר 
יעד תכנית פיתוח: 30/11/2025
יעד מסתמן: לא ניתן להתייחס כעת</v>
      </c>
      <c r="J238" s="42" t="s">
        <v>1397</v>
      </c>
      <c r="K238" s="42" t="s">
        <v>1398</v>
      </c>
      <c r="L238" s="42" t="s">
        <v>1398</v>
      </c>
      <c r="M238" s="42" t="s">
        <v>1399</v>
      </c>
      <c r="N238" s="42" t="s">
        <v>1400</v>
      </c>
      <c r="O238" s="42" t="s">
        <v>1400</v>
      </c>
      <c r="P238" s="42"/>
      <c r="Q238" s="174" t="s">
        <v>1511</v>
      </c>
      <c r="R238" s="42"/>
      <c r="S238" s="39"/>
      <c r="T238" s="128"/>
      <c r="U238" s="85"/>
      <c r="V238" s="75"/>
      <c r="W238" s="168"/>
    </row>
    <row r="239" spans="1:23" ht="41.4" x14ac:dyDescent="0.25">
      <c r="A239" s="46" t="s">
        <v>1401</v>
      </c>
      <c r="B239" s="135" t="s">
        <v>1402</v>
      </c>
      <c r="C239" s="51" t="s">
        <v>362</v>
      </c>
      <c r="D239" s="84" t="s">
        <v>87</v>
      </c>
      <c r="E239" s="84" t="s">
        <v>73</v>
      </c>
      <c r="F239" s="28">
        <v>46203</v>
      </c>
      <c r="G239" s="52" t="s">
        <v>1396</v>
      </c>
      <c r="H239" s="128"/>
      <c r="I239" s="129" t="str">
        <f t="shared" si="6"/>
        <v>WBS: WBM-70025
שם פרויקט: הרטוב - החלפת משנה זרם בשדה 9 משיק wbo-614
מנה״פ: בן חמו, דביר 
יעד תכנית פיתוח: 30/06/2026
יעד מסתמן: לא ניתן להתייחס כעת</v>
      </c>
      <c r="J239" s="42" t="s">
        <v>1403</v>
      </c>
      <c r="K239" s="42" t="s">
        <v>1403</v>
      </c>
      <c r="L239" s="42" t="s">
        <v>1404</v>
      </c>
      <c r="M239" s="42" t="s">
        <v>1404</v>
      </c>
      <c r="N239" s="42" t="s">
        <v>1405</v>
      </c>
      <c r="O239" s="42" t="s">
        <v>1405</v>
      </c>
      <c r="P239" s="42"/>
      <c r="Q239" s="174" t="s">
        <v>1512</v>
      </c>
      <c r="R239" s="42"/>
      <c r="S239" s="39"/>
      <c r="T239" s="128"/>
      <c r="U239" s="85"/>
      <c r="V239" s="75"/>
      <c r="W239" s="168"/>
    </row>
    <row r="240" spans="1:23" ht="30" x14ac:dyDescent="0.25">
      <c r="A240" s="46" t="s">
        <v>1406</v>
      </c>
      <c r="B240" s="135" t="s">
        <v>1407</v>
      </c>
      <c r="C240" s="51" t="s">
        <v>362</v>
      </c>
      <c r="D240" s="84" t="s">
        <v>87</v>
      </c>
      <c r="E240" s="84" t="s">
        <v>73</v>
      </c>
      <c r="F240" s="28">
        <v>46142</v>
      </c>
      <c r="G240" s="52" t="s">
        <v>1396</v>
      </c>
      <c r="H240" s="128"/>
      <c r="I240" s="129" t="str">
        <f t="shared" si="6"/>
        <v>WBS: WBM-70002
שם פרויקט: החלפת מ"ז, מנתק ומשנק סשדה 5
מנה״פ: בן חמו, דביר 
יעד תכנית פיתוח: 30/04/2026
יעד מסתמן: לא ניתן להתייחס כעת</v>
      </c>
      <c r="J240" s="42" t="s">
        <v>1403</v>
      </c>
      <c r="K240" s="42" t="s">
        <v>1403</v>
      </c>
      <c r="L240" s="42" t="s">
        <v>1404</v>
      </c>
      <c r="M240" s="42" t="s">
        <v>1404</v>
      </c>
      <c r="N240" s="42" t="s">
        <v>1404</v>
      </c>
      <c r="O240" s="42" t="s">
        <v>1404</v>
      </c>
      <c r="P240" s="42"/>
      <c r="Q240" s="174" t="s">
        <v>1404</v>
      </c>
      <c r="R240" s="42"/>
      <c r="S240" s="39"/>
      <c r="T240" s="128"/>
      <c r="U240" s="85"/>
      <c r="V240" s="75"/>
      <c r="W240" s="168"/>
    </row>
    <row r="241" spans="1:23" ht="105" x14ac:dyDescent="0.25">
      <c r="A241" s="46" t="s">
        <v>1408</v>
      </c>
      <c r="B241" s="135" t="s">
        <v>1409</v>
      </c>
      <c r="C241" s="51" t="s">
        <v>362</v>
      </c>
      <c r="D241" s="84" t="s">
        <v>87</v>
      </c>
      <c r="E241" s="84" t="s">
        <v>73</v>
      </c>
      <c r="F241" s="28">
        <v>45960</v>
      </c>
      <c r="G241" s="52" t="s">
        <v>1396</v>
      </c>
      <c r="H241" s="128"/>
      <c r="I241" s="129" t="str">
        <f t="shared" si="6"/>
        <v>WBS: WBM-01447
שם פרויקט: ירושלים ה-פירוק והתקנת סוללות קבלים עבור שנאים 511, 512, 513
מנה״פ: בן חמו, דביר 
יעד תכנית פיתוח: 30/10/2025
יעד מסתמן: לא ניתן להתייחס כעת</v>
      </c>
      <c r="J241" s="42" t="s">
        <v>1410</v>
      </c>
      <c r="K241" s="42" t="s">
        <v>1411</v>
      </c>
      <c r="L241" s="42" t="s">
        <v>1411</v>
      </c>
      <c r="M241" s="42" t="s">
        <v>1412</v>
      </c>
      <c r="N241" s="42" t="s">
        <v>1412</v>
      </c>
      <c r="O241" s="42" t="s">
        <v>1412</v>
      </c>
      <c r="P241" s="42"/>
      <c r="Q241" s="174" t="s">
        <v>1412</v>
      </c>
      <c r="R241" s="42"/>
      <c r="S241" s="39"/>
      <c r="T241" s="128"/>
      <c r="U241" s="85"/>
      <c r="V241" s="75"/>
      <c r="W241" s="168"/>
    </row>
    <row r="242" spans="1:23" ht="60" x14ac:dyDescent="0.25">
      <c r="A242" s="46" t="s">
        <v>1413</v>
      </c>
      <c r="B242" s="136" t="s">
        <v>1414</v>
      </c>
      <c r="C242" s="51" t="s">
        <v>362</v>
      </c>
      <c r="D242" s="128" t="s">
        <v>87</v>
      </c>
      <c r="E242" s="84" t="s">
        <v>73</v>
      </c>
      <c r="F242" s="28">
        <v>46203</v>
      </c>
      <c r="G242" s="52">
        <v>46507</v>
      </c>
      <c r="H242" s="128"/>
      <c r="I242" s="129" t="str">
        <f t="shared" si="6"/>
        <v>WBS: WBM-70040
שם פרויקט: תעשיה אדומים – התקנת  12 מודולים של סק
מנה״פ: בן חמו, דביר 
יעד תכנית פיתוח: 30/06/2026
יעד מסתמן: 30/04/2027</v>
      </c>
      <c r="J242" s="42" t="s">
        <v>1415</v>
      </c>
      <c r="K242" s="42" t="s">
        <v>1415</v>
      </c>
      <c r="L242" s="42" t="s">
        <v>1415</v>
      </c>
      <c r="M242" s="42" t="s">
        <v>851</v>
      </c>
      <c r="N242" s="42" t="s">
        <v>851</v>
      </c>
      <c r="O242" s="42" t="s">
        <v>851</v>
      </c>
      <c r="P242" s="42"/>
      <c r="Q242" s="176" t="s">
        <v>851</v>
      </c>
      <c r="R242" s="42"/>
      <c r="S242" s="128"/>
      <c r="T242" s="128"/>
      <c r="U242" s="85"/>
      <c r="V242" s="75"/>
      <c r="W242" s="168"/>
    </row>
    <row r="243" spans="1:23" ht="225" x14ac:dyDescent="0.25">
      <c r="A243" s="49" t="s">
        <v>1416</v>
      </c>
      <c r="B243" s="50" t="s">
        <v>1417</v>
      </c>
      <c r="C243" s="27" t="s">
        <v>15</v>
      </c>
      <c r="D243" s="84" t="s">
        <v>17</v>
      </c>
      <c r="E243" s="84" t="s">
        <v>77</v>
      </c>
      <c r="F243" s="28">
        <v>47452</v>
      </c>
      <c r="G243" s="28">
        <v>47452</v>
      </c>
      <c r="H243" s="128" t="s">
        <v>67</v>
      </c>
      <c r="I243" s="129" t="str">
        <f t="shared" si="6"/>
        <v>WBS: WBC-131
שם פרויקט: תחמ"ש רעננה מערב
מנה״פ: מזרחי, סולי
יעד תכנית פיתוח: 30/11/2029
יעד מסתמן: 30/11/2029</v>
      </c>
      <c r="J243" s="42" t="s">
        <v>1418</v>
      </c>
      <c r="K243" s="42" t="s">
        <v>1419</v>
      </c>
      <c r="L243" s="42" t="s">
        <v>1420</v>
      </c>
      <c r="M243" s="42" t="s">
        <v>1421</v>
      </c>
      <c r="N243" s="42" t="s">
        <v>1422</v>
      </c>
      <c r="O243" s="42" t="s">
        <v>1422</v>
      </c>
      <c r="P243" s="42" t="s">
        <v>1423</v>
      </c>
      <c r="Q243" s="42" t="s">
        <v>1423</v>
      </c>
      <c r="R243" s="42"/>
      <c r="S243" s="128"/>
      <c r="T243" s="128"/>
      <c r="U243" s="85"/>
      <c r="V243" s="75"/>
      <c r="W243" s="167" t="e">
        <f>VLOOKUP(טבלה13[[#This Row],[זיהוי]],#REF!,2,FALSE)</f>
        <v>#REF!</v>
      </c>
    </row>
    <row r="244" spans="1:23" ht="409.6" x14ac:dyDescent="0.25">
      <c r="A244" s="49" t="s">
        <v>1424</v>
      </c>
      <c r="B244" s="50" t="s">
        <v>1425</v>
      </c>
      <c r="C244" s="51" t="s">
        <v>15</v>
      </c>
      <c r="D244" s="128" t="s">
        <v>84</v>
      </c>
      <c r="E244" s="128" t="s">
        <v>79</v>
      </c>
      <c r="F244" s="52">
        <v>47573</v>
      </c>
      <c r="G244" s="52">
        <v>47573</v>
      </c>
      <c r="H244" s="128" t="s">
        <v>63</v>
      </c>
      <c r="I244" s="129" t="str">
        <f>"WBS: " &amp; A244 &amp; CHAR(10) &amp;
"שם פרויקט: " &amp; B244 &amp; CHAR(10) &amp;
"מנה״פ: " &amp; D244 &amp; CHAR(10) &amp;
"יעד תכנית פיתוח: " &amp; TEXT(F244,"dd/mm/yyyy") &amp; CHAR(10) &amp;
"יעד מסתמן: " &amp; TEXT(G244,"dd/mm/yyyy")</f>
        <v>WBS: WBC-104
שם פרויקט: בית אליעזר-הקמת תחמ"ש פנימית 161/24
מנה״פ: ארליך-בקיש, רחלי
יעד תכנית פיתוח: 31/03/2030
יעד מסתמן: 31/03/2030</v>
      </c>
      <c r="J244" s="42" t="s">
        <v>1426</v>
      </c>
      <c r="K244" s="42" t="s">
        <v>1427</v>
      </c>
      <c r="L244" s="42" t="s">
        <v>1428</v>
      </c>
      <c r="M244" s="42" t="s">
        <v>1428</v>
      </c>
      <c r="N244" s="42" t="s">
        <v>1429</v>
      </c>
      <c r="O244" s="42" t="s">
        <v>1429</v>
      </c>
      <c r="P244" s="42" t="s">
        <v>1429</v>
      </c>
      <c r="Q244" s="42" t="s">
        <v>1526</v>
      </c>
      <c r="R244" s="42"/>
      <c r="S244" s="128"/>
      <c r="T244" s="128"/>
      <c r="U244" s="85"/>
      <c r="V244" s="75"/>
      <c r="W244" s="167" t="e">
        <f>VLOOKUP(טבלה13[[#This Row],[זיהוי]],#REF!,2,FALSE)</f>
        <v>#REF!</v>
      </c>
    </row>
    <row r="245" spans="1:23" ht="45" x14ac:dyDescent="0.25">
      <c r="A245" s="25" t="s">
        <v>1430</v>
      </c>
      <c r="B245" s="37" t="s">
        <v>1431</v>
      </c>
      <c r="C245" s="60" t="s">
        <v>30</v>
      </c>
      <c r="D245" s="84" t="s">
        <v>101</v>
      </c>
      <c r="E245" s="63" t="s">
        <v>62</v>
      </c>
      <c r="F245" s="61">
        <v>46934</v>
      </c>
      <c r="G245" s="61"/>
      <c r="H245" s="128" t="s">
        <v>60</v>
      </c>
      <c r="I245" s="75" t="str">
        <f t="shared" ref="I245:I247" si="7">"WBS: " &amp; A245 &amp; CHAR(10) &amp;
"שם פרויקט: " &amp; B245 &amp; CHAR(10) &amp;
"מנה״פ: " &amp; D245 &amp; CHAR(10) &amp;
"יעד תכנית פיתוח: " &amp; TEXT(F245,"dd/mm/yyyy") &amp; CHAR(10) &amp;
"יעד מסתמן: " &amp; TEXT(G245,"dd/mm/yyyy")</f>
        <v>WBS: WBE-222
שם פרויקט: עין חרוד-התקנת שנאי רביעי 161/24 50 מו"א
מנה״פ: פוטרמן, שרון 
יעד תכנית פיתוח: 30/06/2028
יעד מסתמן: 00/01/1900</v>
      </c>
      <c r="J245" s="42"/>
      <c r="K245" s="42" t="s">
        <v>1239</v>
      </c>
      <c r="L245" s="42" t="s">
        <v>1239</v>
      </c>
      <c r="M245" s="128" t="s">
        <v>60</v>
      </c>
      <c r="N245" s="128" t="s">
        <v>60</v>
      </c>
      <c r="O245" s="128" t="s">
        <v>60</v>
      </c>
      <c r="P245" s="128" t="s">
        <v>60</v>
      </c>
      <c r="Q245" s="128" t="s">
        <v>60</v>
      </c>
      <c r="R245" s="63"/>
      <c r="S245" s="84"/>
      <c r="T245" s="84"/>
      <c r="U245" s="85"/>
      <c r="V245" s="75"/>
      <c r="W245" s="167" t="e">
        <f>VLOOKUP(טבלה13[[#This Row],[זיהוי]],#REF!,2,FALSE)</f>
        <v>#REF!</v>
      </c>
    </row>
    <row r="246" spans="1:23" ht="60" x14ac:dyDescent="0.25">
      <c r="A246" s="25" t="s">
        <v>1432</v>
      </c>
      <c r="B246" s="37" t="s">
        <v>1433</v>
      </c>
      <c r="C246" s="60" t="s">
        <v>30</v>
      </c>
      <c r="D246" s="84" t="s">
        <v>1238</v>
      </c>
      <c r="E246" s="84" t="s">
        <v>1238</v>
      </c>
      <c r="F246" s="61" t="s">
        <v>1434</v>
      </c>
      <c r="G246" s="61"/>
      <c r="H246" s="128" t="s">
        <v>63</v>
      </c>
      <c r="I246" s="75" t="str">
        <f t="shared" si="7"/>
        <v>WBS: WBE-308
שם פרויקט: הרטוב-החלפת שנאי 524 (שדה 14) מ-33 מגוו"א ל-50 מגוו"א
מנה״פ: טרם הוקצאה
יעד תכנית פיתוח: 30/06/2028 
יעד מסתמן: 00/01/1900</v>
      </c>
      <c r="J246" s="42"/>
      <c r="K246" s="42" t="s">
        <v>1239</v>
      </c>
      <c r="L246" s="42" t="s">
        <v>1239</v>
      </c>
      <c r="M246" s="42" t="s">
        <v>1239</v>
      </c>
      <c r="N246" s="42" t="s">
        <v>1239</v>
      </c>
      <c r="O246" s="42" t="s">
        <v>1239</v>
      </c>
      <c r="P246" s="84" t="s">
        <v>63</v>
      </c>
      <c r="Q246" s="84" t="s">
        <v>63</v>
      </c>
      <c r="R246" s="63"/>
      <c r="S246" s="84"/>
      <c r="T246" s="84"/>
      <c r="U246" s="85"/>
      <c r="V246" s="75"/>
      <c r="W246" s="167" t="e">
        <f>VLOOKUP(טבלה13[[#This Row],[זיהוי]],#REF!,2,FALSE)</f>
        <v>#REF!</v>
      </c>
    </row>
    <row r="247" spans="1:23" ht="60" x14ac:dyDescent="0.25">
      <c r="A247" s="46" t="s">
        <v>1435</v>
      </c>
      <c r="B247" s="50" t="s">
        <v>1436</v>
      </c>
      <c r="C247" s="51" t="s">
        <v>30</v>
      </c>
      <c r="D247" s="128" t="s">
        <v>92</v>
      </c>
      <c r="E247" s="128" t="s">
        <v>65</v>
      </c>
      <c r="F247" s="52">
        <v>46934</v>
      </c>
      <c r="G247" s="52">
        <v>46934</v>
      </c>
      <c r="H247" s="128" t="s">
        <v>60</v>
      </c>
      <c r="I247" s="129" t="str">
        <f t="shared" si="7"/>
        <v>WBS: WBE-315
שם פרויקט: חריש-התקנת שנאי שלישי 161/24 ק"ו, 50 מגוו"א. 
מנה״פ: ברח'ד, טובה
יעד תכנית פיתוח: 30/06/2028
יעד מסתמן: 30/06/2028</v>
      </c>
      <c r="J247" s="42"/>
      <c r="K247" s="42" t="s">
        <v>1437</v>
      </c>
      <c r="L247" s="42" t="s">
        <v>1437</v>
      </c>
      <c r="M247" s="42" t="s">
        <v>1437</v>
      </c>
      <c r="N247" s="42" t="s">
        <v>1437</v>
      </c>
      <c r="O247" s="42" t="s">
        <v>1438</v>
      </c>
      <c r="P247" s="42" t="s">
        <v>1439</v>
      </c>
      <c r="Q247" s="42" t="s">
        <v>1439</v>
      </c>
      <c r="R247" s="42"/>
      <c r="S247" s="128"/>
      <c r="T247" s="128"/>
      <c r="U247" s="85"/>
      <c r="V247" s="75"/>
      <c r="W247" s="167" t="e">
        <f>VLOOKUP(טבלה13[[#This Row],[זיהוי]],#REF!,2,FALSE)</f>
        <v>#REF!</v>
      </c>
    </row>
    <row r="248" spans="1:23" ht="90" x14ac:dyDescent="0.25">
      <c r="A248" s="25" t="s">
        <v>1440</v>
      </c>
      <c r="B248" s="26" t="s">
        <v>1334</v>
      </c>
      <c r="C248" s="27" t="s">
        <v>219</v>
      </c>
      <c r="D248" s="84" t="s">
        <v>95</v>
      </c>
      <c r="E248" s="84" t="s">
        <v>65</v>
      </c>
      <c r="F248" s="28"/>
      <c r="G248" s="28">
        <v>46387</v>
      </c>
      <c r="H248" s="84"/>
      <c r="I248" s="85" t="str">
        <f>"WBS: " &amp; A248 &amp; CHAR(10) &amp;
"שם פרויקט: " &amp; B248 &amp; CHAR(10) &amp;
"מנה״פ: " &amp; D248 &amp; CHAR(10) &amp;
"יעד תכנית פיתוח: " &amp; TEXT(F248,"dd/mm/yyyy") &amp; CHAR(10) &amp;
"יעד מסתמן: " &amp; TEXT(G248,"dd/mm/yyyy")</f>
        <v>WBS: ניידת 52
שם פרויקט: קדם ניידות 
מנה״פ: גולן, לירון
יעד תכנית פיתוח: 00/01/1900
יעד מסתמן: 31/12/2026</v>
      </c>
      <c r="J248" s="42" t="s">
        <v>1374</v>
      </c>
      <c r="K248" s="42"/>
      <c r="L248" s="42" t="s">
        <v>1441</v>
      </c>
      <c r="M248" s="42" t="s">
        <v>1442</v>
      </c>
      <c r="N248" s="42" t="s">
        <v>1443</v>
      </c>
      <c r="O248" s="42" t="s">
        <v>1444</v>
      </c>
      <c r="P248" s="42" t="s">
        <v>1445</v>
      </c>
      <c r="Q248" s="42" t="s">
        <v>1496</v>
      </c>
      <c r="R248" s="63"/>
      <c r="S248" s="58"/>
      <c r="T248" s="66"/>
      <c r="U248" s="85"/>
      <c r="V248" s="75"/>
      <c r="W248" s="167" t="e">
        <f>VLOOKUP(טבלה13[[#This Row],[זיהוי]],#REF!,2,FALSE)</f>
        <v>#REF!</v>
      </c>
    </row>
    <row r="249" spans="1:23" ht="90" x14ac:dyDescent="0.25">
      <c r="A249" s="46" t="s">
        <v>1446</v>
      </c>
      <c r="B249" s="47" t="s">
        <v>1334</v>
      </c>
      <c r="C249" s="153" t="s">
        <v>219</v>
      </c>
      <c r="D249" s="128" t="s">
        <v>95</v>
      </c>
      <c r="E249" s="128" t="s">
        <v>65</v>
      </c>
      <c r="F249" s="48"/>
      <c r="G249" s="28">
        <v>46387</v>
      </c>
      <c r="H249" s="128"/>
      <c r="I249" s="149" t="str">
        <f>"WBS: " &amp; A249 &amp; CHAR(10) &amp;
"שם פרויקט: " &amp; B249 &amp; CHAR(10) &amp;
"מנה״פ: " &amp; D249 &amp; CHAR(10) &amp;
"יעד תכנית פיתוח: " &amp; TEXT(F249,"dd/mm/yyyy") &amp; CHAR(10) &amp;
"יעד מסתמן: " &amp; TEXT(G249,"dd/mm/yyyy")</f>
        <v>WBS: ניידת 53
שם פרויקט: קדם ניידות 
מנה״פ: גולן, לירון
יעד תכנית פיתוח: 00/01/1900
יעד מסתמן: 31/12/2026</v>
      </c>
      <c r="J249" s="42" t="s">
        <v>1374</v>
      </c>
      <c r="K249" s="42"/>
      <c r="L249" s="42" t="s">
        <v>1441</v>
      </c>
      <c r="M249" s="42" t="s">
        <v>1441</v>
      </c>
      <c r="N249" s="42" t="s">
        <v>1443</v>
      </c>
      <c r="O249" s="42" t="s">
        <v>1447</v>
      </c>
      <c r="P249" s="42" t="s">
        <v>1445</v>
      </c>
      <c r="Q249" s="42" t="s">
        <v>1496</v>
      </c>
      <c r="R249" s="63"/>
      <c r="S249" s="154"/>
      <c r="T249" s="155"/>
      <c r="U249" s="85"/>
      <c r="V249" s="75"/>
      <c r="W249" s="167" t="e">
        <f>VLOOKUP(טבלה13[[#This Row],[זיהוי]],#REF!,2,FALSE)</f>
        <v>#REF!</v>
      </c>
    </row>
  </sheetData>
  <sheetProtection formatCells="0" formatColumns="0" formatRows="0" insertColumns="0" insertRows="0" sort="0" autoFilter="0" pivotTables="0"/>
  <protectedRanges>
    <protectedRange algorithmName="SHA-512" hashValue="YBe5/fMenDlSyxCi6b21xxcPOZXCzToaRsLts2PJcn6MPKsvAR9jEsW5Hs0VFd+tcQemHeww2b/+dpEbKC2Ulw==" saltValue="lChUCE7cuyU6QO4+jUNywQ==" spinCount="100000" sqref="B201 A114:A184 A187:A191 A1:A44 A194:A244 A248:A1048576 A46:A110" name="זיהוי"/>
    <protectedRange algorithmName="SHA-512" hashValue="YBe5/fMenDlSyxCi6b21xxcPOZXCzToaRsLts2PJcn6MPKsvAR9jEsW5Hs0VFd+tcQemHeww2b/+dpEbKC2Ulw==" saltValue="lChUCE7cuyU6QO4+jUNywQ==" spinCount="100000" sqref="A111" name="זיהוי_1"/>
    <protectedRange algorithmName="SHA-512" hashValue="YBe5/fMenDlSyxCi6b21xxcPOZXCzToaRsLts2PJcn6MPKsvAR9jEsW5Hs0VFd+tcQemHeww2b/+dpEbKC2Ulw==" saltValue="lChUCE7cuyU6QO4+jUNywQ==" spinCount="100000" sqref="A113" name="זיהוי_2"/>
    <protectedRange algorithmName="SHA-512" hashValue="YBe5/fMenDlSyxCi6b21xxcPOZXCzToaRsLts2PJcn6MPKsvAR9jEsW5Hs0VFd+tcQemHeww2b/+dpEbKC2Ulw==" saltValue="lChUCE7cuyU6QO4+jUNywQ==" spinCount="100000" sqref="A112" name="זיהוי_1_1"/>
    <protectedRange algorithmName="SHA-512" hashValue="YBe5/fMenDlSyxCi6b21xxcPOZXCzToaRsLts2PJcn6MPKsvAR9jEsW5Hs0VFd+tcQemHeww2b/+dpEbKC2Ulw==" saltValue="lChUCE7cuyU6QO4+jUNywQ==" spinCount="100000" sqref="A185:A186" name="זיהוי_3"/>
    <protectedRange algorithmName="SHA-512" hashValue="YBe5/fMenDlSyxCi6b21xxcPOZXCzToaRsLts2PJcn6MPKsvAR9jEsW5Hs0VFd+tcQemHeww2b/+dpEbKC2Ulw==" saltValue="lChUCE7cuyU6QO4+jUNywQ==" spinCount="100000" sqref="A245:A247" name="זיהוי_4"/>
  </protectedRanges>
  <mergeCells count="1">
    <mergeCell ref="U1:V1"/>
  </mergeCells>
  <phoneticPr fontId="4" type="noConversion"/>
  <conditionalFormatting sqref="A3:H3 A4:F15 R5 A16:D31 E16:F44 R20 J25:N25 R25 J26:R27 Q28:R32 J28:O36 B32:D32 R33:R34 A33:D40 Q35:R36 R37:R38 A41 C41:D41 R41:R45 A42:D44 C45:E45 J46:R46 A46:F76 R47:R48 A77:E79 B86:D87 J99:Q99 J101:R101 R102:R110 J107:N111 A114:D115 E114:E130 H114:H186 Q115:Q123 A116:C122 D116:D130 T122 B123:C125 A126:C126 A127:A129 C127:C129 A130:C130 R130 J131:R135 A131:E177 J136:Q136 J137:R138 J139:Q139 J140:R140 J141:Q141 J142:R145 J146:Q147 J148:R152 R153:R156 J154:Q156 J160:Q162 J163:R166 J167:Q167 J168:R168 J169:Q173 R169:R175 J176:R179 F176:F191 B178:E178 A179:E184 R180 J181:R181 J182:Q182 J183:O183 R183 J184:R184 C185:E186 J185:Q186 J187:R187 A187:E190 G187:H202 R188 J189:R192 B191:E191 J193 P193:R193 J194:R194 A194:E203 F194:F243 R196:R202 J197:Q197 G203:T203 H204:I204 A205:E205 C206:E209 G210:H221 R210:R225 J210:Q235 A210:E237 G222:G223 G224:H235 R229:R235 R238:R241 T238:T241 C238:E242 G238:P242 R242:T242 A243:E243 G243:T243 A244:T244 R245:T247 A248:H249 J248:R249 J3:R4 J6:R19 G205:T209 G236:R236 G237:T237 J21:R24 J95:Q96 J97:P98 R97:R100 A1:T2">
    <cfRule type="cellIs" dxfId="62" priority="92" operator="equal">
      <formula>"סיכון גבוה"</formula>
    </cfRule>
  </conditionalFormatting>
  <conditionalFormatting sqref="B245:C245 F245:G245 I245:L245 I246:M246 B246:G247 I247:Q247">
    <cfRule type="cellIs" dxfId="61" priority="33" operator="equal">
      <formula>"סיכון גבוה"</formula>
    </cfRule>
  </conditionalFormatting>
  <conditionalFormatting sqref="C192:C193">
    <cfRule type="cellIs" dxfId="60" priority="27" operator="equal">
      <formula>"סיכון גבוה"</formula>
    </cfRule>
  </conditionalFormatting>
  <conditionalFormatting sqref="D204">
    <cfRule type="cellIs" dxfId="59" priority="48" operator="equal">
      <formula>"סיכון גבוה"</formula>
    </cfRule>
  </conditionalFormatting>
  <conditionalFormatting sqref="D245">
    <cfRule type="cellIs" dxfId="58" priority="18" operator="equal">
      <formula>"סיכון גבוה"</formula>
    </cfRule>
  </conditionalFormatting>
  <conditionalFormatting sqref="D112:E112">
    <cfRule type="cellIs" dxfId="57" priority="69" operator="equal">
      <formula>"סיכון גבוה"</formula>
    </cfRule>
  </conditionalFormatting>
  <conditionalFormatting sqref="D192:E193">
    <cfRule type="cellIs" dxfId="56" priority="26" operator="equal">
      <formula>"סיכון גבוה"</formula>
    </cfRule>
  </conditionalFormatting>
  <conditionalFormatting sqref="E204">
    <cfRule type="cellIs" dxfId="55" priority="47" operator="equal">
      <formula>"סיכון גבוה"</formula>
    </cfRule>
  </conditionalFormatting>
  <conditionalFormatting sqref="E245">
    <cfRule type="cellIs" dxfId="54" priority="17" operator="equal">
      <formula>"סיכון גבוה"</formula>
    </cfRule>
  </conditionalFormatting>
  <conditionalFormatting sqref="F94:F174">
    <cfRule type="cellIs" dxfId="53" priority="9" operator="equal">
      <formula>"סיכון גבוה"</formula>
    </cfRule>
  </conditionalFormatting>
  <conditionalFormatting sqref="G111:G181 G183:G186">
    <cfRule type="cellIs" dxfId="52" priority="24" operator="equal">
      <formula>"סיכון גבוה"</formula>
    </cfRule>
  </conditionalFormatting>
  <conditionalFormatting sqref="F77:F92 A80:D85 E80:E87 A88:E88 B89:E89 A90:E93 A94 C94:E94 A95:E111 A113:E113 J49:R94 G4:H110">
    <cfRule type="cellIs" dxfId="51" priority="81" operator="equal">
      <formula>"סיכון גבוה"</formula>
    </cfRule>
  </conditionalFormatting>
  <conditionalFormatting sqref="H112">
    <cfRule type="cellIs" dxfId="50" priority="67" operator="equal">
      <formula>"סיכון גבוה"</formula>
    </cfRule>
  </conditionalFormatting>
  <conditionalFormatting sqref="H222:H223">
    <cfRule type="cellIs" dxfId="49" priority="40" operator="equal">
      <formula>"סיכון גבוה"</formula>
    </cfRule>
  </conditionalFormatting>
  <conditionalFormatting sqref="H245:H247">
    <cfRule type="cellIs" dxfId="48" priority="28" operator="equal">
      <formula>"סיכון גבוה"</formula>
    </cfRule>
  </conditionalFormatting>
  <conditionalFormatting sqref="K193">
    <cfRule type="cellIs" dxfId="47" priority="31" operator="equal">
      <formula>"סיכון גבוה"</formula>
    </cfRule>
  </conditionalFormatting>
  <conditionalFormatting sqref="L193:O193">
    <cfRule type="cellIs" dxfId="46" priority="25" operator="equal">
      <formula>"סיכון גבוה"</formula>
    </cfRule>
  </conditionalFormatting>
  <conditionalFormatting sqref="M245">
    <cfRule type="cellIs" dxfId="45" priority="20" operator="equal">
      <formula>"סיכון גבוה"</formula>
    </cfRule>
  </conditionalFormatting>
  <conditionalFormatting sqref="N56:Q56 A112:C112 A250:T252 A253:L253 N253:T253 A254:T1048576">
    <cfRule type="cellIs" dxfId="44" priority="70" operator="equal">
      <formula>"סיכון גבוה"</formula>
    </cfRule>
  </conditionalFormatting>
  <conditionalFormatting sqref="N245:Q245 N246:O246">
    <cfRule type="cellIs" dxfId="43" priority="19" operator="equal">
      <formula>"סיכון גבוה"</formula>
    </cfRule>
  </conditionalFormatting>
  <conditionalFormatting sqref="O107:Q111">
    <cfRule type="cellIs" dxfId="42" priority="13" operator="equal">
      <formula>"סיכון גבוה"</formula>
    </cfRule>
  </conditionalFormatting>
  <conditionalFormatting sqref="O114:Q114 O115:P127">
    <cfRule type="cellIs" dxfId="41" priority="12" operator="equal">
      <formula>"סיכון גבוה"</formula>
    </cfRule>
  </conditionalFormatting>
  <conditionalFormatting sqref="P28:P36">
    <cfRule type="cellIs" dxfId="40" priority="5" operator="equal">
      <formula>"סיכון גבוה"</formula>
    </cfRule>
  </conditionalFormatting>
  <conditionalFormatting sqref="P246">
    <cfRule type="cellIs" dxfId="39" priority="10" operator="equal">
      <formula>"סיכון גבוה"</formula>
    </cfRule>
  </conditionalFormatting>
  <conditionalFormatting sqref="Q33:Q34">
    <cfRule type="cellIs" dxfId="38" priority="3" operator="equal">
      <formula>"סיכון גבוה"</formula>
    </cfRule>
  </conditionalFormatting>
  <conditionalFormatting sqref="Q125:Q130">
    <cfRule type="cellIs" dxfId="37" priority="7" operator="equal">
      <formula>"סיכון גבוה"</formula>
    </cfRule>
  </conditionalFormatting>
  <conditionalFormatting sqref="Q238:Q242">
    <cfRule type="cellIs" dxfId="36" priority="8" operator="equal">
      <formula>"סיכון גבוה"</formula>
    </cfRule>
  </conditionalFormatting>
  <conditionalFormatting sqref="Q246">
    <cfRule type="cellIs" dxfId="35" priority="11" operator="equal">
      <formula>"סיכון גבוה"</formula>
    </cfRule>
  </conditionalFormatting>
  <conditionalFormatting sqref="R113:R128 J114:N127 J128:P130 A185:B186">
    <cfRule type="cellIs" dxfId="34" priority="63" operator="equal">
      <formula>"סיכון גבוה"</formula>
    </cfRule>
  </conditionalFormatting>
  <conditionalFormatting sqref="R136">
    <cfRule type="cellIs" dxfId="33" priority="88" operator="equal">
      <formula>"סיכון גבוה"</formula>
    </cfRule>
  </conditionalFormatting>
  <conditionalFormatting sqref="R141">
    <cfRule type="cellIs" dxfId="32" priority="86" operator="equal">
      <formula>"סיכון גבוה"</formula>
    </cfRule>
  </conditionalFormatting>
  <conditionalFormatting sqref="R185:R186">
    <cfRule type="cellIs" dxfId="31" priority="60" operator="equal">
      <formula>"סיכון גבוה"</formula>
    </cfRule>
  </conditionalFormatting>
  <conditionalFormatting sqref="R139:S139">
    <cfRule type="cellIs" dxfId="30" priority="87" operator="equal">
      <formula>"סיכון גבוה"</formula>
    </cfRule>
  </conditionalFormatting>
  <conditionalFormatting sqref="R147:S147">
    <cfRule type="cellIs" dxfId="29" priority="85" operator="equal">
      <formula>"סיכון גבוה"</formula>
    </cfRule>
  </conditionalFormatting>
  <conditionalFormatting sqref="S204">
    <cfRule type="cellIs" dxfId="28" priority="46" operator="equal">
      <formula>"סיכון גבוה"</formula>
    </cfRule>
  </conditionalFormatting>
  <conditionalFormatting sqref="T139">
    <cfRule type="cellIs" dxfId="27" priority="84" operator="equal">
      <formula>"סיכון גבוה"</formula>
    </cfRule>
  </conditionalFormatting>
  <conditionalFormatting sqref="Q97">
    <cfRule type="cellIs" dxfId="1" priority="2" operator="equal">
      <formula>"סיכון גבוה"</formula>
    </cfRule>
  </conditionalFormatting>
  <conditionalFormatting sqref="Q98">
    <cfRule type="cellIs" dxfId="0" priority="1" operator="equal">
      <formula>"סיכון גבוה"</formula>
    </cfRule>
  </conditionalFormatting>
  <hyperlinks>
    <hyperlink ref="B206" r:id="rId1" location="/project/5147099/details" display="http://winsrvp0229/pm/ - /project/5147099/details" xr:uid="{00000000-0004-0000-0300-000000000000}"/>
  </hyperlinks>
  <pageMargins left="0.7" right="0.7" top="0.75" bottom="0.75" header="0.3" footer="0.3"/>
  <pageSetup paperSize="9" scale="10" fitToWidth="0" fitToHeight="0" orientation="landscape" r:id="rId2"/>
  <drawing r:id="rId3"/>
  <legacyDrawing r:id="rId4"/>
  <tableParts count="1">
    <tablePart r:id="rId5"/>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300-000000000000}">
          <x14:formula1>
            <xm:f>גיליון1!$K$5:$K$11</xm:f>
          </x14:formula1>
          <xm:sqref>D102 E248:E249 D99 E114:E192 E194:E243 E245 E3:E110</xm:sqref>
        </x14:dataValidation>
        <x14:dataValidation type="list" allowBlank="1" showInputMessage="1" showErrorMessage="1" xr:uid="{00000000-0002-0000-0300-000001000000}">
          <x14:formula1>
            <xm:f>גיליון1!$I$5:$I$27</xm:f>
          </x14:formula1>
          <xm:sqref>D103:D110 D248:D249 D100:D101 D114:D192 D194:D243 D245 D3:D98</xm:sqref>
        </x14:dataValidation>
        <x14:dataValidation type="list" allowBlank="1" showInputMessage="1" showErrorMessage="1" xr:uid="{00000000-0002-0000-0300-000004000000}">
          <x14:formula1>
            <xm:f>גיליון1!$B$5:$B$18</xm:f>
          </x14:formula1>
          <xm:sqref>H114:H1048576 P246:Q246 H1:H110 P193:Q193 M245:Q245</xm:sqref>
        </x14:dataValidation>
        <x14:dataValidation type="list" allowBlank="1" showInputMessage="1" showErrorMessage="1" xr:uid="{00000000-0002-0000-0300-000005000000}">
          <x14:formula1>
            <xm:f>גיליון1!$F$8:$F$17</xm:f>
          </x14:formula1>
          <xm:sqref>S163:S166 S140:T161 T123:T138 T114 S205:T237 S204 S122:S138 S168:S171 T163:T171 S248:T249 S238:S241 S172:T203 S115:T121 S3:T113</xm:sqref>
        </x14:dataValidation>
        <x14:dataValidation type="list" allowBlank="1" showInputMessage="1" showErrorMessage="1" xr:uid="{C82D5F2E-9EA6-4DCE-8305-4255C88CE23D}">
          <x14:formula1>
            <xm:f>גיליון1!$M$5</xm:f>
          </x14:formula1>
          <xm:sqref>U3:U249</xm:sqref>
        </x14:dataValidation>
        <x14:dataValidation type="list" allowBlank="1" showInputMessage="1" showErrorMessage="1" xr:uid="{99F78F07-E8A1-4601-9DBD-6B305B8D847F}">
          <x14:formula1>
            <xm:f>גיליון1!$N$5</xm:f>
          </x14:formula1>
          <xm:sqref>V3:V249</xm:sqref>
        </x14:dataValidation>
      </x14:dataValidations>
    </ext>
    <ext xmlns:x15="http://schemas.microsoft.com/office/spreadsheetml/2010/11/main" uri="{3A4CF648-6AED-40f4-86FF-DC5316D8AED3}">
      <x14:slicerList xmlns:x14="http://schemas.microsoft.com/office/spreadsheetml/2009/9/main">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מסמך" ma:contentTypeID="0x0101008DDB11D9B6DCE54093A9CA3A13E28498" ma:contentTypeVersion="10" ma:contentTypeDescription="צור מסמך חדש." ma:contentTypeScope="" ma:versionID="444014d52dd52b2cbd8d26dcc67b1cf0">
  <xsd:schema xmlns:xsd="http://www.w3.org/2001/XMLSchema" xmlns:xs="http://www.w3.org/2001/XMLSchema" xmlns:p="http://schemas.microsoft.com/office/2006/metadata/properties" xmlns:ns2="43ca4837-a997-4916-9c4c-5866e95365b5" xmlns:ns3="4b7d7614-ac06-437e-8ae0-e5656870fdbc" targetNamespace="http://schemas.microsoft.com/office/2006/metadata/properties" ma:root="true" ma:fieldsID="ed660faa241da66a9490dc7ac9055278" ns2:_="" ns3:_="">
    <xsd:import namespace="43ca4837-a997-4916-9c4c-5866e95365b5"/>
    <xsd:import namespace="4b7d7614-ac06-437e-8ae0-e5656870fd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ca4837-a997-4916-9c4c-5866e95365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b7d7614-ac06-437e-8ae0-e5656870fdbc" elementFormDefault="qualified">
    <xsd:import namespace="http://schemas.microsoft.com/office/2006/documentManagement/types"/>
    <xsd:import namespace="http://schemas.microsoft.com/office/infopath/2007/PartnerControls"/>
    <xsd:element name="SharedWithUsers" ma:index="10"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משותף עם פרטים"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E3690D-E2E0-4470-B55C-C15A6686D08F}">
  <ds:schemaRefs>
    <ds:schemaRef ds:uri="http://schemas.openxmlformats.org/package/2006/metadata/core-properties"/>
    <ds:schemaRef ds:uri="http://schemas.microsoft.com/office/2006/documentManagement/types"/>
    <ds:schemaRef ds:uri="http://schemas.microsoft.com/office/2006/metadata/properties"/>
    <ds:schemaRef ds:uri="http://purl.org/dc/terms/"/>
    <ds:schemaRef ds:uri="http://purl.org/dc/elements/1.1/"/>
    <ds:schemaRef ds:uri="4b7d7614-ac06-437e-8ae0-e5656870fdbc"/>
    <ds:schemaRef ds:uri="http://schemas.microsoft.com/office/infopath/2007/PartnerControls"/>
    <ds:schemaRef ds:uri="43ca4837-a997-4916-9c4c-5866e95365b5"/>
    <ds:schemaRef ds:uri="http://www.w3.org/XML/1998/namespace"/>
    <ds:schemaRef ds:uri="http://purl.org/dc/dcmitype/"/>
  </ds:schemaRefs>
</ds:datastoreItem>
</file>

<file path=customXml/itemProps2.xml><?xml version="1.0" encoding="utf-8"?>
<ds:datastoreItem xmlns:ds="http://schemas.openxmlformats.org/officeDocument/2006/customXml" ds:itemID="{03594B94-E07B-4F97-9795-3B30859FA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ca4837-a997-4916-9c4c-5866e95365b5"/>
    <ds:schemaRef ds:uri="4b7d7614-ac06-437e-8ae0-e5656870fd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F02B38-CD22-4CFB-9632-F1D38DFF31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מאקרו1</vt:lpstr>
      <vt:lpstr>דוח שבועי טיוטה</vt:lpstr>
      <vt:lpstr>גיליון1</vt:lpstr>
      <vt:lpstr>דוח שבועי עדכני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סטאמקר לינוי</dc:creator>
  <cp:keywords/>
  <dc:description/>
  <cp:lastModifiedBy>סטאמקר לינוי</cp:lastModifiedBy>
  <cp:revision/>
  <dcterms:created xsi:type="dcterms:W3CDTF">2025-08-12T04:07:28Z</dcterms:created>
  <dcterms:modified xsi:type="dcterms:W3CDTF">2026-07-08T07:36:16Z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0x0101008DDB11D9B6DCE54093A9CA3A13E28498</vt:lpwstr>
  </property>
</Properties>
</file>