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comments1.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updateLinks="always" codeName="חוברת_עבודה_זו"/>
  <mc:AlternateContent xmlns:mc="http://schemas.openxmlformats.org/markup-compatibility/2006">
    <mc:Choice Requires="x15">
      <x15ac:absPath xmlns:x15ac="http://schemas.microsoft.com/office/spreadsheetml/2010/11/ac" url="W:\iec\a04.substations\H\668\תוב רב פרויקטלי\דוחות\דוח שבועי _סמנכל\2026\09.26\"/>
    </mc:Choice>
  </mc:AlternateContent>
  <xr:revisionPtr revIDLastSave="0" documentId="8_{0BA099E8-F285-4AB2-8F9F-5AD1CA0326E6}" xr6:coauthVersionLast="47" xr6:coauthVersionMax="47" xr10:uidLastSave="{00000000-0000-0000-0000-000000000000}"/>
  <bookViews>
    <workbookView xWindow="28680" yWindow="-120" windowWidth="29040" windowHeight="15720" tabRatio="867" firstSheet="1" activeTab="1" xr2:uid="{00000000-000D-0000-FFFF-FFFF00000000}"/>
  </bookViews>
  <sheets>
    <sheet name="רשימות בחירה" sheetId="2" state="hidden" r:id="rId1"/>
    <sheet name="דוח שבועי עדכני" sheetId="5" r:id="rId2"/>
  </sheets>
  <externalReferences>
    <externalReference r:id="rId3"/>
    <externalReference r:id="rId4"/>
  </externalReferences>
  <definedNames>
    <definedName name="_xlnm._FilterDatabase" localSheetId="1" hidden="1">'דוח שבועי עדכני'!$A$1:$AD$1</definedName>
    <definedName name="Slicer_חוסר_בבודקים">#N/A</definedName>
    <definedName name="Slicer_חוסר_במשגיחים">#N/A</definedName>
    <definedName name="Slicer_חסם1">#N/A</definedName>
    <definedName name="Slicer_לטיפול">#N/A</definedName>
    <definedName name="Slicer_מנה_פ1">#N/A</definedName>
    <definedName name="Slicer_סוג_תחנה1">#N/A</definedName>
    <definedName name="Slicer_סטטוס_הפרויקט_על_ציר_הזמן1">#N/A</definedName>
    <definedName name="Slicer_תו_ב">#N/A</definedName>
  </definedNames>
  <calcPr calcId="191028"/>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5"/>
        <x14:slicerCache r:id="rId6"/>
        <x14:slicerCache r:id="rId7"/>
        <x14:slicerCache r:id="rId8"/>
        <x14:slicerCache r:id="rId9"/>
        <x14:slicerCache r:id="rId10"/>
        <x14:slicerCache r:id="rId11"/>
        <x14:slicerCache r:id="rId12"/>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7" i="5" l="1"/>
  <c r="F27" i="5"/>
  <c r="I27" i="5" s="1"/>
  <c r="I257" i="5" l="1"/>
  <c r="I66" i="5"/>
  <c r="I256" i="5"/>
  <c r="I255" i="5"/>
  <c r="I251" i="5"/>
  <c r="I252" i="5"/>
  <c r="I253" i="5"/>
  <c r="I254" i="5"/>
  <c r="I250" i="5"/>
  <c r="I249" i="5"/>
  <c r="I248" i="5"/>
  <c r="F93" i="5"/>
  <c r="F94" i="5"/>
  <c r="F95" i="5"/>
  <c r="F97" i="5"/>
  <c r="F98" i="5"/>
  <c r="F99" i="5"/>
  <c r="F100" i="5"/>
  <c r="F101" i="5"/>
  <c r="F102" i="5"/>
  <c r="F103" i="5"/>
  <c r="F104" i="5"/>
  <c r="F105" i="5"/>
  <c r="F106" i="5"/>
  <c r="F107" i="5"/>
  <c r="F108" i="5"/>
  <c r="F109" i="5"/>
  <c r="F110" i="5"/>
  <c r="F111" i="5"/>
  <c r="F112" i="5"/>
  <c r="F113" i="5"/>
  <c r="F114" i="5"/>
  <c r="F115" i="5"/>
  <c r="F116" i="5"/>
  <c r="F117" i="5"/>
  <c r="F118" i="5"/>
  <c r="F119" i="5"/>
  <c r="F120" i="5"/>
  <c r="F121" i="5"/>
  <c r="F122" i="5"/>
  <c r="F123" i="5"/>
  <c r="F124" i="5"/>
  <c r="F125" i="5"/>
  <c r="F126" i="5"/>
  <c r="F127" i="5"/>
  <c r="F128" i="5"/>
  <c r="F129" i="5"/>
  <c r="F130" i="5"/>
  <c r="F132" i="5"/>
  <c r="F133" i="5"/>
  <c r="F134" i="5"/>
  <c r="F135" i="5"/>
  <c r="F137" i="5"/>
  <c r="F138" i="5"/>
  <c r="F139" i="5"/>
  <c r="F140" i="5"/>
  <c r="F141" i="5"/>
  <c r="F142" i="5"/>
  <c r="F143" i="5"/>
  <c r="F144" i="5"/>
  <c r="F145" i="5"/>
  <c r="F146" i="5"/>
  <c r="F147" i="5"/>
  <c r="F148" i="5"/>
  <c r="F149" i="5"/>
  <c r="F150" i="5"/>
  <c r="F151" i="5"/>
  <c r="F152" i="5"/>
  <c r="F153" i="5"/>
  <c r="F154" i="5"/>
  <c r="F155" i="5"/>
  <c r="F156" i="5"/>
  <c r="F157" i="5"/>
  <c r="F158" i="5"/>
  <c r="F159" i="5"/>
  <c r="F160" i="5"/>
  <c r="F161" i="5"/>
  <c r="F162" i="5"/>
  <c r="F163" i="5"/>
  <c r="F164" i="5"/>
  <c r="F165" i="5"/>
  <c r="F166" i="5"/>
  <c r="F167" i="5"/>
  <c r="F168" i="5"/>
  <c r="F169" i="5"/>
  <c r="F170" i="5"/>
  <c r="F172" i="5"/>
  <c r="F173" i="5"/>
  <c r="F174" i="5"/>
  <c r="F175" i="5"/>
  <c r="F176" i="5"/>
  <c r="F179" i="5"/>
  <c r="F180" i="5"/>
  <c r="F181" i="5"/>
  <c r="F182" i="5"/>
  <c r="F183" i="5"/>
  <c r="F184" i="5"/>
  <c r="F185" i="5"/>
  <c r="F186" i="5"/>
  <c r="F187" i="5"/>
  <c r="F188" i="5"/>
  <c r="F189" i="5"/>
  <c r="F190" i="5"/>
  <c r="F191" i="5"/>
  <c r="F192" i="5"/>
  <c r="F193" i="5"/>
  <c r="F194" i="5"/>
  <c r="F195" i="5"/>
  <c r="F196" i="5"/>
  <c r="F197" i="5"/>
  <c r="F198" i="5"/>
  <c r="F200" i="5"/>
  <c r="F201" i="5"/>
  <c r="F202" i="5"/>
  <c r="F203" i="5"/>
  <c r="F204" i="5"/>
  <c r="F206" i="5"/>
  <c r="F207" i="5"/>
  <c r="F235" i="5"/>
  <c r="F236" i="5"/>
  <c r="F237" i="5"/>
  <c r="F238" i="5"/>
  <c r="F239" i="5"/>
  <c r="F240" i="5"/>
  <c r="F241" i="5"/>
  <c r="F242" i="5"/>
  <c r="F243" i="5"/>
  <c r="F244" i="5"/>
  <c r="F245" i="5"/>
  <c r="F4" i="5"/>
  <c r="F5" i="5"/>
  <c r="F6" i="5"/>
  <c r="F7" i="5"/>
  <c r="F8" i="5"/>
  <c r="F9" i="5"/>
  <c r="F10" i="5"/>
  <c r="F11" i="5"/>
  <c r="F12" i="5"/>
  <c r="F13" i="5"/>
  <c r="F14" i="5"/>
  <c r="F15" i="5"/>
  <c r="F16" i="5"/>
  <c r="F17" i="5"/>
  <c r="F18" i="5"/>
  <c r="F19" i="5"/>
  <c r="F20" i="5"/>
  <c r="F21" i="5"/>
  <c r="F22" i="5"/>
  <c r="F23" i="5"/>
  <c r="F24" i="5"/>
  <c r="F25" i="5"/>
  <c r="F26" i="5"/>
  <c r="F28" i="5"/>
  <c r="F29" i="5"/>
  <c r="F30" i="5"/>
  <c r="F31" i="5"/>
  <c r="F32" i="5"/>
  <c r="F33" i="5"/>
  <c r="F34" i="5"/>
  <c r="F36" i="5"/>
  <c r="F37" i="5"/>
  <c r="F38" i="5"/>
  <c r="F39" i="5"/>
  <c r="F40" i="5"/>
  <c r="F42" i="5"/>
  <c r="F43" i="5"/>
  <c r="F44" i="5"/>
  <c r="F45" i="5"/>
  <c r="F46" i="5"/>
  <c r="F47" i="5"/>
  <c r="F48" i="5"/>
  <c r="F49" i="5"/>
  <c r="F50" i="5"/>
  <c r="F51" i="5"/>
  <c r="F52" i="5"/>
  <c r="F53" i="5"/>
  <c r="F54" i="5"/>
  <c r="F55" i="5"/>
  <c r="F56" i="5"/>
  <c r="F57" i="5"/>
  <c r="F58" i="5"/>
  <c r="F59" i="5"/>
  <c r="F60" i="5"/>
  <c r="F61" i="5"/>
  <c r="F62" i="5"/>
  <c r="F63" i="5"/>
  <c r="F64" i="5"/>
  <c r="F67" i="5"/>
  <c r="F68" i="5"/>
  <c r="F69" i="5"/>
  <c r="F70" i="5"/>
  <c r="F71" i="5"/>
  <c r="F72" i="5"/>
  <c r="F73" i="5"/>
  <c r="F74" i="5"/>
  <c r="F75" i="5"/>
  <c r="F76" i="5"/>
  <c r="F77" i="5"/>
  <c r="F78" i="5"/>
  <c r="F79" i="5"/>
  <c r="F80" i="5"/>
  <c r="F81" i="5"/>
  <c r="F82" i="5"/>
  <c r="F83" i="5"/>
  <c r="F84" i="5"/>
  <c r="F85" i="5"/>
  <c r="F86" i="5"/>
  <c r="F87" i="5"/>
  <c r="F88" i="5"/>
  <c r="F89" i="5"/>
  <c r="F90" i="5"/>
  <c r="F91" i="5"/>
  <c r="F3" i="5"/>
  <c r="I15" i="5" l="1"/>
  <c r="I73" i="5"/>
  <c r="I87" i="5"/>
  <c r="I74" i="5" l="1"/>
  <c r="I79" i="5" l="1"/>
  <c r="I246" i="5"/>
  <c r="I247" i="5"/>
  <c r="I45" i="5"/>
  <c r="I192" i="5" l="1"/>
  <c r="I193" i="5"/>
  <c r="I245" i="5"/>
  <c r="I244" i="5"/>
  <c r="I72" i="5" l="1"/>
  <c r="I156" i="5"/>
  <c r="I89" i="5"/>
  <c r="I243" i="5"/>
  <c r="I37" i="5" l="1"/>
  <c r="I208" i="5"/>
  <c r="I207" i="5"/>
  <c r="I67" i="5"/>
  <c r="I28" i="5"/>
  <c r="I242" i="5"/>
  <c r="I241" i="5" l="1"/>
  <c r="I240" i="5"/>
  <c r="I239" i="5" l="1"/>
  <c r="I238" i="5"/>
  <c r="I237" i="5"/>
  <c r="I204" i="5" l="1"/>
  <c r="I206" i="5"/>
  <c r="I203" i="5"/>
  <c r="I202" i="5"/>
  <c r="I186" i="5" l="1"/>
  <c r="I92" i="5"/>
  <c r="I149" i="5"/>
  <c r="I150" i="5"/>
  <c r="I191" i="5"/>
  <c r="I185" i="5"/>
  <c r="I112" i="5" l="1"/>
  <c r="I233" i="5"/>
  <c r="I232" i="5"/>
  <c r="I111" i="5"/>
  <c r="I113" i="5"/>
  <c r="I231" i="5"/>
  <c r="I230" i="5"/>
  <c r="I229" i="5"/>
  <c r="I228" i="5"/>
  <c r="I227" i="5"/>
  <c r="I86" i="5"/>
  <c r="I213" i="5"/>
  <c r="I214" i="5"/>
  <c r="I184" i="5"/>
  <c r="I236" i="5"/>
  <c r="I235" i="5"/>
  <c r="I215" i="5"/>
  <c r="I178" i="5"/>
  <c r="I171" i="5"/>
  <c r="I218" i="5"/>
  <c r="I221" i="5"/>
  <c r="I225" i="5"/>
  <c r="I226" i="5"/>
  <c r="I234" i="5"/>
  <c r="I39" i="5"/>
  <c r="I63" i="5"/>
  <c r="I64" i="5"/>
  <c r="I65" i="5"/>
  <c r="I69" i="5"/>
  <c r="I77" i="5"/>
  <c r="I85" i="5"/>
  <c r="I90" i="5"/>
  <c r="I107" i="5"/>
  <c r="I120" i="5"/>
  <c r="I123" i="5"/>
  <c r="I124" i="5"/>
  <c r="I125" i="5"/>
  <c r="I127" i="5"/>
  <c r="I128" i="5"/>
  <c r="I129" i="5"/>
  <c r="I133" i="5"/>
  <c r="I176" i="5"/>
  <c r="I118" i="5"/>
  <c r="I117" i="5"/>
  <c r="I222" i="5"/>
  <c r="I223" i="5"/>
  <c r="I224" i="5"/>
  <c r="I217" i="5"/>
  <c r="I219" i="5"/>
  <c r="I220" i="5"/>
  <c r="I209" i="5"/>
  <c r="I210" i="5"/>
  <c r="I211" i="5"/>
  <c r="I212" i="5"/>
  <c r="I216" i="5"/>
  <c r="I40" i="5"/>
  <c r="I41" i="5"/>
  <c r="I197" i="5"/>
  <c r="I84" i="5"/>
  <c r="I83" i="5"/>
  <c r="I189" i="5" l="1"/>
  <c r="I93" i="5"/>
  <c r="I10" i="5"/>
  <c r="I177" i="5"/>
  <c r="I97" i="5"/>
  <c r="I25" i="5"/>
  <c r="I9" i="5"/>
  <c r="I11" i="5"/>
  <c r="I110" i="5"/>
  <c r="I187" i="5"/>
  <c r="I146" i="5"/>
  <c r="I173" i="5"/>
  <c r="I151" i="5"/>
  <c r="I48" i="5"/>
  <c r="I106" i="5"/>
  <c r="I88" i="5"/>
  <c r="I78" i="5"/>
  <c r="I57" i="5"/>
  <c r="I109" i="5"/>
  <c r="I100" i="5"/>
  <c r="I190" i="5"/>
  <c r="I102" i="5"/>
  <c r="I135" i="5"/>
  <c r="I81" i="5"/>
  <c r="I32" i="5"/>
  <c r="I33" i="5"/>
  <c r="I34" i="5"/>
  <c r="I62" i="5"/>
  <c r="I31" i="5"/>
  <c r="I132" i="5"/>
  <c r="I29" i="5"/>
  <c r="I131" i="5"/>
  <c r="I44" i="5"/>
  <c r="I16" i="5"/>
  <c r="I99" i="5"/>
  <c r="I56" i="5"/>
  <c r="I18" i="5"/>
  <c r="I43" i="5"/>
  <c r="I30" i="5"/>
  <c r="I147" i="5"/>
  <c r="I17" i="5"/>
  <c r="I101" i="5"/>
  <c r="I166" i="5"/>
  <c r="I159" i="5"/>
  <c r="I158" i="5"/>
  <c r="I161" i="5"/>
  <c r="I22" i="5"/>
  <c r="I152" i="5"/>
  <c r="I42" i="5"/>
  <c r="I24" i="5"/>
  <c r="I155" i="5"/>
  <c r="I167" i="5"/>
  <c r="I154" i="5"/>
  <c r="I153" i="5"/>
  <c r="I50" i="5"/>
  <c r="I21" i="5"/>
  <c r="I23" i="5"/>
  <c r="I19" i="5"/>
  <c r="I91" i="5"/>
  <c r="I121" i="5"/>
  <c r="I179" i="5"/>
  <c r="I114" i="5"/>
  <c r="I169" i="5"/>
  <c r="I116" i="5"/>
  <c r="I95" i="5"/>
  <c r="I7" i="5"/>
  <c r="I60" i="5"/>
  <c r="I103" i="5"/>
  <c r="I188" i="5"/>
  <c r="I183" i="5"/>
  <c r="I175" i="5"/>
  <c r="I163" i="5"/>
  <c r="I75" i="5"/>
  <c r="I162" i="5"/>
  <c r="I165" i="5"/>
  <c r="I174" i="5"/>
  <c r="I94" i="5"/>
  <c r="I52" i="5"/>
  <c r="I80" i="5"/>
  <c r="I53" i="5"/>
  <c r="I126" i="5"/>
  <c r="I199" i="5"/>
  <c r="I160" i="5"/>
  <c r="I70" i="5"/>
  <c r="I134" i="5"/>
  <c r="I180" i="5"/>
  <c r="I36" i="5"/>
  <c r="I139" i="5"/>
  <c r="I98" i="5"/>
  <c r="I148" i="5"/>
  <c r="I96" i="5"/>
  <c r="I59" i="5"/>
  <c r="I61" i="5"/>
  <c r="I157" i="5"/>
  <c r="I26" i="5"/>
  <c r="I136" i="5"/>
  <c r="I54" i="5"/>
  <c r="I35" i="5"/>
  <c r="I195" i="5"/>
  <c r="I119" i="5"/>
  <c r="I164" i="5"/>
  <c r="I4" i="5"/>
  <c r="I13" i="5"/>
  <c r="I140" i="5"/>
  <c r="I168" i="5"/>
  <c r="I145" i="5"/>
  <c r="I141" i="5"/>
  <c r="I198" i="5"/>
  <c r="I38" i="5"/>
  <c r="I144" i="5"/>
  <c r="I172" i="5"/>
  <c r="I68" i="5"/>
  <c r="I137" i="5"/>
  <c r="I143" i="5"/>
  <c r="I12" i="5"/>
  <c r="I6" i="5"/>
  <c r="I170" i="5"/>
  <c r="I181" i="5"/>
  <c r="I71" i="5"/>
  <c r="I8" i="5"/>
  <c r="I138" i="5"/>
  <c r="I58" i="5"/>
  <c r="I49" i="5"/>
  <c r="I104" i="5"/>
  <c r="I55" i="5"/>
  <c r="I82" i="5"/>
  <c r="I115" i="5"/>
  <c r="I122" i="5"/>
  <c r="I194" i="5"/>
  <c r="I196" i="5"/>
  <c r="I51" i="5"/>
  <c r="I182" i="5"/>
  <c r="I105" i="5"/>
  <c r="I142" i="5"/>
  <c r="I200" i="5"/>
  <c r="I3" i="5"/>
  <c r="I46" i="5"/>
  <c r="I76" i="5"/>
  <c r="I130" i="5"/>
  <c r="I5" i="5"/>
  <c r="I108" i="5"/>
  <c r="I20" i="5"/>
  <c r="I47" i="5"/>
  <c r="I14"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סטאמקר לינוי</author>
  </authors>
  <commentList>
    <comment ref="A177" authorId="0" shapeId="0" xr:uid="{00000000-0006-0000-0300-00000D000000}">
      <text>
        <r>
          <rPr>
            <b/>
            <sz val="9"/>
            <color indexed="81"/>
            <rFont val="Tahoma"/>
            <family val="2"/>
          </rPr>
          <t>סטאמקר לינוי:</t>
        </r>
        <r>
          <rPr>
            <sz val="9"/>
            <color indexed="81"/>
            <rFont val="Tahoma"/>
            <family val="2"/>
          </rPr>
          <t xml:space="preserve">
</t>
        </r>
        <r>
          <rPr>
            <sz val="11"/>
            <color indexed="81"/>
            <rFont val="Tahoma"/>
            <family val="2"/>
          </rPr>
          <t>יחד עם WBE297</t>
        </r>
      </text>
    </comment>
    <comment ref="A198" authorId="0" shapeId="0" xr:uid="{0E88ECDE-DD66-40BE-B957-A1F45E1FBFA0}">
      <text>
        <r>
          <rPr>
            <b/>
            <sz val="9"/>
            <color indexed="81"/>
            <rFont val="Tahoma"/>
            <family val="2"/>
          </rPr>
          <t>סטאמקר לינוי:</t>
        </r>
        <r>
          <rPr>
            <sz val="9"/>
            <color indexed="81"/>
            <rFont val="Tahoma"/>
            <family val="2"/>
          </rPr>
          <t xml:space="preserve">
יחד עם WBE296</t>
        </r>
      </text>
    </comment>
  </commentList>
</comments>
</file>

<file path=xl/sharedStrings.xml><?xml version="1.0" encoding="utf-8"?>
<sst xmlns="http://schemas.openxmlformats.org/spreadsheetml/2006/main" count="5872" uniqueCount="2306">
  <si>
    <t>פרויקט</t>
  </si>
  <si>
    <t>WBC-007</t>
  </si>
  <si>
    <t>WBD-124</t>
  </si>
  <si>
    <t>WBE-306</t>
  </si>
  <si>
    <t>WBE-162</t>
  </si>
  <si>
    <t>WBE-280</t>
  </si>
  <si>
    <t>WBE-186</t>
  </si>
  <si>
    <t>WBE-191</t>
  </si>
  <si>
    <t>WBE-175</t>
  </si>
  <si>
    <t>WBC-099</t>
  </si>
  <si>
    <t>WBE-087</t>
  </si>
  <si>
    <t>WBE-285</t>
  </si>
  <si>
    <t>WBJ-004</t>
  </si>
  <si>
    <t>WBD-128</t>
  </si>
  <si>
    <t>WBC-078</t>
  </si>
  <si>
    <t>WBE-239</t>
  </si>
  <si>
    <t>WBE-158</t>
  </si>
  <si>
    <t>WBC-121</t>
  </si>
  <si>
    <t>הסתיים</t>
  </si>
  <si>
    <t>תכנון</t>
  </si>
  <si>
    <t>הקפאת תכולה</t>
  </si>
  <si>
    <t>הרכבה חשמלית</t>
  </si>
  <si>
    <t>קבלת היתר</t>
  </si>
  <si>
    <t>טופס 4</t>
  </si>
  <si>
    <t>זיהוי</t>
  </si>
  <si>
    <t>מנה"פ</t>
  </si>
  <si>
    <t>פירוט שבועי 12/08/2026</t>
  </si>
  <si>
    <t>פירוט שבועי 19/8/2026</t>
  </si>
  <si>
    <t>סוג תחנה</t>
  </si>
  <si>
    <t xml:space="preserve">יעד תכנית פיתוח </t>
  </si>
  <si>
    <t>סיכון</t>
  </si>
  <si>
    <t>סטטוס הפרויקט על ציר הזמן</t>
  </si>
  <si>
    <t>כן</t>
  </si>
  <si>
    <t>הקמה</t>
  </si>
  <si>
    <t>מזרחי, סולי</t>
  </si>
  <si>
    <t>סיכון נמוך</t>
  </si>
  <si>
    <t>אין חסם לטיפול ההנהלה</t>
  </si>
  <si>
    <t>WBC-024</t>
  </si>
  <si>
    <t>סיכון בינוני</t>
  </si>
  <si>
    <t>חסם לטיפול מנהל מגזר תכנון</t>
  </si>
  <si>
    <t>הרחבה</t>
  </si>
  <si>
    <t>סיכון גבוה</t>
  </si>
  <si>
    <t xml:space="preserve">בדיקות </t>
  </si>
  <si>
    <t>אוחנה, אלי</t>
  </si>
  <si>
    <t>חסם לטיפול מנהל אגף</t>
  </si>
  <si>
    <t>בר אור, מעיין</t>
  </si>
  <si>
    <t xml:space="preserve">עבודה אזרחית </t>
  </si>
  <si>
    <t>חסם לטיפול מנהל מגזר ביצוע</t>
  </si>
  <si>
    <t>WBE-179</t>
  </si>
  <si>
    <t xml:space="preserve">רשימת בחירה </t>
  </si>
  <si>
    <t>חסמים לטיפול</t>
  </si>
  <si>
    <t xml:space="preserve">מנה"פ </t>
  </si>
  <si>
    <t>תו"ב</t>
  </si>
  <si>
    <t>משגיחים</t>
  </si>
  <si>
    <t xml:space="preserve">בודקים </t>
  </si>
  <si>
    <t>אוברקוביץ, ענת</t>
  </si>
  <si>
    <t xml:space="preserve">בסיל כהן יפעת </t>
  </si>
  <si>
    <t>הקפאת תצורה</t>
  </si>
  <si>
    <t>אוחייון, איתן</t>
  </si>
  <si>
    <t>גולדשטיין אורית</t>
  </si>
  <si>
    <t>הלוי בת אל</t>
  </si>
  <si>
    <t>אוקון שמעון</t>
  </si>
  <si>
    <t>סויסה ענת</t>
  </si>
  <si>
    <t>בחירת קבלן</t>
  </si>
  <si>
    <t>חסם לטיפול רב פרויקטלי</t>
  </si>
  <si>
    <t xml:space="preserve">אוריאל שטרית </t>
  </si>
  <si>
    <t>קיעביץ יוסף</t>
  </si>
  <si>
    <t>לקראת ביצוע</t>
  </si>
  <si>
    <t xml:space="preserve">חסם לטיפול מנהלת מחלקה </t>
  </si>
  <si>
    <t>אין מנה"פ</t>
  </si>
  <si>
    <t>רביפור פריד</t>
  </si>
  <si>
    <t>אלטחן, קובי</t>
  </si>
  <si>
    <t>רחאנה ענבל עינב</t>
  </si>
  <si>
    <t>עבודה אזרחית והרכבות</t>
  </si>
  <si>
    <t>חסם לטיפול סמנכ"ל</t>
  </si>
  <si>
    <t>אלמארו זיאמר</t>
  </si>
  <si>
    <t xml:space="preserve">חסם לטיפול מנהל אגף תפעול השנאה </t>
  </si>
  <si>
    <t>ארליך-בקיש, רחלי</t>
  </si>
  <si>
    <t>הרכבה חשמלית ובדיקות</t>
  </si>
  <si>
    <t>אשקבנד, נסים</t>
  </si>
  <si>
    <t xml:space="preserve">בן חמו, דביר </t>
  </si>
  <si>
    <t>חסם לטיפול מנהל מגזר בפיקוח</t>
  </si>
  <si>
    <t xml:space="preserve">הסכם- אגירת אנרגיה </t>
  </si>
  <si>
    <t>אחר</t>
  </si>
  <si>
    <t>ברח'ד, טובה</t>
  </si>
  <si>
    <t xml:space="preserve">הסתיים </t>
  </si>
  <si>
    <t>ברקוביץ, משה</t>
  </si>
  <si>
    <t>גולן, לירון</t>
  </si>
  <si>
    <t>יהודר בכר, אורית</t>
  </si>
  <si>
    <t>יעקבי, ניר</t>
  </si>
  <si>
    <t>כהן (סקאלי), כוכבה</t>
  </si>
  <si>
    <t>לופטון כהן, אדווה</t>
  </si>
  <si>
    <t>סבג, מאיר</t>
  </si>
  <si>
    <t xml:space="preserve">פוטרמן, שרון </t>
  </si>
  <si>
    <t>ת8ת0(</t>
  </si>
  <si>
    <t>חוסר במשאבי יח' תחמש</t>
  </si>
  <si>
    <t>יעד חשמול מסתמן</t>
  </si>
  <si>
    <t>זיהוי2</t>
  </si>
  <si>
    <t>פירוט שבועי 20/05/2026</t>
  </si>
  <si>
    <t>פירוט שבועי 27/05/2026</t>
  </si>
  <si>
    <t>פירוט שבועי 03/06/2026</t>
  </si>
  <si>
    <t>פירוט שבועי 10/06/2026</t>
  </si>
  <si>
    <t>פירוט שבועי 17/06/2026</t>
  </si>
  <si>
    <t>פירוט שבועי 24/06/2026</t>
  </si>
  <si>
    <t>פירוט שבועי 01/07/2026</t>
  </si>
  <si>
    <t>פירוט שבועי 08/07/2026</t>
  </si>
  <si>
    <t>פירוט שבועי 15/07/2026</t>
  </si>
  <si>
    <t>פירוט שבועי 22/07/2026</t>
  </si>
  <si>
    <t>פירוט שבועי 29/07/2026</t>
  </si>
  <si>
    <t>פירוט שבועי 05/08/2026</t>
  </si>
  <si>
    <t>פירוט שבועי 26/8/26</t>
  </si>
  <si>
    <t>פירוט שבועי 02/09/2026</t>
  </si>
  <si>
    <t xml:space="preserve">פירוט סיכונים וחסמים עיקריים </t>
  </si>
  <si>
    <t>לטיפול</t>
  </si>
  <si>
    <t>לטיפול נוסף (במידה ונדרש)</t>
  </si>
  <si>
    <t xml:space="preserve">חוסר במשגיחים </t>
  </si>
  <si>
    <t xml:space="preserve">חוסר בבודקים </t>
  </si>
  <si>
    <t xml:space="preserve">פרויקטים קריטים </t>
  </si>
  <si>
    <t>WBC-064</t>
  </si>
  <si>
    <t>רעות - הקמת תחמ"ש פנימית 161/24 ק"ו</t>
  </si>
  <si>
    <t xml:space="preserve">תאגיד המים - הצעת המחיר לחיבור המים לאורך תוואי הכביש אושרה ע"י מנהל אגף. הועברה לאישור ועדת מכרזים. במקביל ימשיך מול רשות המים תהליך משפטי בנושא.  צומת מכביש 443-מתנהלים מול נת"י, מחכים לבדיקת התוכניות וקבלת אומדן לעבודה. סוכם מול המושב שנסדיר את הדרך ונשלם 20 אש"ח בשנה עד הסדרת הצומת מכביש 443. הועבר למנר"א להסדרת הסכם משפטי. סיור קבלנים 09.06.26.צפי קבלת היתר 18.08.26
</t>
  </si>
  <si>
    <t xml:space="preserve">תאגיד המים - הצעת המחיר לחיבור המים לאורך תוואי הכביש אושרה ע"י מנהל אגף. הועברה לאישור ועדת מכרזים . במקביל ימשיך מול רשות המים תהליך משפטי בנושא.  צומת מכביש 443-מתנהלים מול נת"י, מחכים לבדיקת התוכניות וקבלת אומדן לעבודה. סוכם מול המושב שנסדיר את הדרך ונשלם 20 אש"ח בשנה עד הסדרת הצומת מכביש 443. הועבר למנר"א להסדרת הסכם משפטי. סיור קבלנים 09.06.26.צפי קבלת היתר 18.08.26
</t>
  </si>
  <si>
    <t>הצעת המחיר לחיבור המים אושר ע"י ועדת מכרזים. נספח סניטרי מעודכן הוגש שוב לתאגיד לבדיקה נוספת. צומת מכביש 443-מתנהלים מול נת"י, מחכים לבדיקת התוכניות וקבלת אומדן לעבודה. סוכם מול המושב שנסדיר את הדרך ונשלם 20 אש"ח בשנה עד הסדרת הצומת מכביש 443. נמצא באישור ועדת מכרזים והועבר למנר"א להסדרת הסכם משפטי. סיור קבלנים 09.06.26.צפי קבלת היתר 18.08.26</t>
  </si>
  <si>
    <t xml:space="preserve">נספח סניטרי - נדרש להסדיר מספר סעיפים נוספים לבקשת התאגיד. בטיפול לסיום השבוע!  צומת מכביש 443-מתנהלים מול נת"י, מחכים לבדיקת התוכניות וקבלת אומדן לעבודה. סוכם מול המושב שנסדיר את הדרך ונשלם 20 אש"ח בשנה עד הסדרת הצומת מכביש 443. נמצא באישור ועדת מכרזים והועבר למנר"א להסדרת הסכם משפטי. סיור קבלנים נדחה ל18.06 בעקבות המצב הבטחוני. </t>
  </si>
  <si>
    <t xml:space="preserve">נספח סניטרי - אושר. המשך טיפול רישוי מול הועדה. צומת מכביש 443-מתנהלים מול נת"י, מחכים לבדיקת התוכניות וקבלת אומדן לעבודה. וועדת מכרזים אישרה קידום הסכם מול המושב לתוואי דרך זמנית. באחריות מנר"א קידום הסכם משפטי. הסדרת תוואי דרך-בוצע תכנון, יוצג למושב ב 18.6. סיור קבלנים 22.6. </t>
  </si>
  <si>
    <t xml:space="preserve">הוגשה הבקשה להיתר בשנית לאחר הזנת כל התנאים.  צומת מכביש 443-מתנהלים מול נת"י, מחכים לבדיקת התוכניות וקבלת אומדן לעבודה. וועדת מכרזים אישרה קידום הסכם מול המושב לתוואי דרך זמנית. באחריות מנר"א קידום הסכם משפטי. הסדרת תוואי דרך-בוצע תכנון,הוצג למושב ב 18.6, מחכים לאישור הועד.  סיור קבלנים 24.6. </t>
  </si>
  <si>
    <t xml:space="preserve">התקיים סיור קבלנים ב 24.06. צפי בחירת קבלן-אמצע אוגוסט. צפי קבלת היתר-אמצע אוגוסט. מחכים לגיבוש הסכם משפטי מול המושב בנושא הכניסה דרך תוואי הדרך הזמנית והסדרתה. </t>
  </si>
  <si>
    <t xml:space="preserve">התקיים סיור קבלנים ב 24.06. צפי בחירת קבלן-אמצע אוגוסט. צפי קבלת היתר-סוף יולי.  התקיימה היום ישיבה עם ארז סרי בנושא בחינת הצורך בהיתרים עבור דרך הגישה הזמנית מכיוון כפר רות. סוכם כי הוראות התכנית והתשריט ייבדקו פעם נוספת על ידי מנרא ותכנון תחבורה לצורך גיבוש עמדה סופית. עד יום ראשון יועבר עדכון להנהלה בנושא. ככל שיידרש קידום מיידי של הסוגיה מול הוועדה המקומית, תיקבע פגישה דחופה בהקדם, תוך תיאום והסתייעות גם בגורמי המחוז לפי הצורך. </t>
  </si>
  <si>
    <t>צפי בחירת קבלן – אמצע אוגוסט. צפי קבלת היתר – סוף יולי. בעקבות סוגיית הגישה לתחנה, התקיימה פגישה נוספת עם נציגי כפר רות במטרה לקדם את קבלת אישורם לשיפור הדרך הקיימת בין החממות ולאפשר מעבר באזור זה. ביום 19.07 צפויה להתקיים ישיבת ועד בנושא. הובהרה לנציגי כפר רות דחיפות הפרויקט ועמדת חברת החשמל. נציגי הכפר הביעו נכונות לסייע, והציגו חלופות נוספות אשר אינן ישימות מבחינת דרישות הפרויקט בשלב זה.</t>
  </si>
  <si>
    <t xml:space="preserve">צפי בחירת קבלן – אמצע אוגוסט. התקבל היתר הבנייה. בנושא הגישה לתחנה, ועד כפר רות עדכן על אישור עקרוני להתקדמות בתוואי הדרך שהוצג. טיוטת הסכם משפטי הועברה לבחינת היישוב ולהמשך קידום מול הגורמים הרלוונטיים. במקביל, באחריות מנר"א לעדכן את הסכום שסוכם מול היישוב ולהביאו לאישור בוועדת המכרזים. החומר הועבר לבחינה נוספת לארז סרי . </t>
  </si>
  <si>
    <t xml:space="preserve">נבחר קבלן. התקבל היתר הבנייה. כביש הגישה לתחנה בשלב העברת טיוטת הסכם משפטי בין עורכי הדין. באחריות מנר"א לעדכן את הסכום שסוכם מול היישוב ולהביאו לאישור בוועדת המכרזים. </t>
  </si>
  <si>
    <t>ראש העין-הוספת שנאי 521 והרחבת פ"צ 161</t>
  </si>
  <si>
    <t>ציוד התקבל במחסן אשדוד ב 17.5. מחכים לתשובות מGE לתאריך הגעת מומחים לארץ. במקביל נעשים נסיונות מרחוק עם סיוע של GE מול יחידת התחמ"ש להתמודד עם בעיות התקשורת והבקרים בתחנה זו. ישיבת  משותפת של כלל הגורמים תתקיים ב 18.05</t>
  </si>
  <si>
    <t xml:space="preserve">ציוד התקבל במחסן אשדוד ב 17.5. מחכים לתשובות מGE לתאריך הגעת מומחים לארץ. במקביל נעשים נסיונות מרחוק עם סיוע של GE מול יחידת התחמ"ש להתמודד עם בעיות התקשורת והבקרים בתחנה זו. יש צורך לפנות ציוד קיים מאולם 161 בהקדם-הועבר לטיפול טארק מול יח' התחמ"ש. הוחלט לקדם את הפרויקט במקביל בשני מישורים – המשך עבודות ההרכבה לצד בדיקה וטיפול במערכת הקיימת – תוך פנייה ליצרן לקבלת הצעות והמשך טיפול הנדסי. </t>
  </si>
  <si>
    <t xml:space="preserve"> מחכים לתשובות מGE לתאריך הגעת מומחים לארץ. במקביל נעשים נסיונות מרחוק עם סיוע של GE מול יחידת התחמ"ש להתמודד עם בעיות התקשורת והבקרים בתחנה זו. יש צורך לפנות ציוד קיים מאולם 161 בהקדם-הועבר לטיפול טארק מול יח' התחמ"ש. הוחלט לקדם את הפרויקט במקביל בשני מישורים – המשך עבודות ההרכבה לצד בדיקה וטיפול במערכת הקיימת – תוך פנייה ליצרן לקבלת הצעות והמשך טיפול הנדסי. ה.חשמלית מתארגנים להעברת הציוד בשבועיים הקרובים. </t>
  </si>
  <si>
    <t xml:space="preserve"> מחכים לתשובות מGE לתאריך הגעת מומחים לארץ. במקביל נעשים נסיונות מרחוק עם סיוע של GE מול יחידת התחמ"ש להתמודד עם בעיות התקשורת והבקרים בתחנה זו. יש צורך לפנות ציוד קיים מאולם 161 בהקדם-הועבר לטיפול טארק מול יח' התחמ"ש. הוחלט לקדם את הפרויקט במקביל בשני מישורים – המשך עבודות ההרכבה לצד בדיקה וטיפול במערכת הקיימת – תוך פנייה ליצרן לקבלת הצעות והמשך טיפול הנדסי. ה.חשמלית העבירו את הציוד לאתר ב 08.06. נדרש לקבל התחייבות מצד יחידת התחמ"ש שזמינים לביצוע הפרויקט!! כרגע אין התחייבות מצידם. הנושא עלה לשמוליק וינדר ושרון עיני </t>
  </si>
  <si>
    <t xml:space="preserve">הוחלט לקדם את הפרויקט במקביל בשני מישורים – המשך עבודות ההרכבה לצד בדיקה וטיפול במערכת הקיימת – תוך פנייה ליצרן לקבלת הצעות והמשך טיפול הנדסי. ייפתח פרויקט שו"ש מקביל לכשיהיו תשובות מסודרות מול GE.  ציוד 161 פונה מהמחסן ונמצא באתר. במהלך העבודה נפל ארגז עם גרמושקה. מחכים לבחינת GE לנזק שנגרם ומשמעותו. לגבי ציוד מפירוק שקיים באתר - בסיור מול יעקב בונן סוכם כי יפנה את רובו לגריטה ומה שלא, יצמיד לקירות ויקרב לפתח הכניסה להרחקה ממיקום עתידי של שדה השנאי. </t>
  </si>
  <si>
    <t xml:space="preserve">הוחלט לקדם את הפרויקט במקביל בשני מישורים – המשך עבודות ההרכבה לצד בדיקה וטיפול במערכת הקיימת – תוך פנייה ליצרן לקבלת הצעות והמשך טיפול הנדסי. ייפתח פרויקט שו"ש מקביל לכשיהיו תשובות מסודרות מול GE.  העבודה מתוכננת להתחיל ב 30.6 עם הגעת המומחה. לגבי הציוד שנפל במהלך הפריקה - יצאה הודעה מ GE שאינו תקין ושיבדקו חלופות. </t>
  </si>
  <si>
    <t>תחילת עבודת הרכבה עם מומחה ב 30.06. GE הציעו לקחת את הציוד מגבעת שאול לטובת ראש העין ובמקביל לייצר חדש. עדיין נדרשת התייחסות למומחה DCS ולבעיות התפעוליות בתחנה מצד GE</t>
  </si>
  <si>
    <t>תחילת עבודת הרכבה עם מומחה ב 30.06. GE הציעו לקחת את הציוד מגבעת שאול לטובת ראש העין ובמקביל לייצר חדש. עדיין ממתינים להתייחסות למומחה DCS ולבעיות התפעוליות בתחנה מצד GE</t>
  </si>
  <si>
    <t>הפרויקט מתקדם בהתאם ללוח הזמנים מבחינת GE. הושלמו עבודות התקנה עיקריות של ציוד ה-GIS וה-LCC. טופלו מספר אי-התאמות בציוד ללא השפעה על הלו"ז. בדיקות מתח גבוה מתוכננות ל-20.08, ונמשך התיאום מול GE לקראת שלב ההפעלה והבדיקות.</t>
  </si>
  <si>
    <t>נמשכות עבודות הרכבה באתר. התקבל דיווח כי ייתכן וישנו חוסר בציוד. הנושא עוד בבדיקה. כמו כן, ישנו רכיב שיועד לעבור מפרויקט גבעת שאול ועדיין לא התקבל. טרם התקבל מענה מ‑GE בנושא שדרוג מערכת ה‑DCS. סוגיה זו עלולה להשפיע על חיבור שדה השנאי החדש ועל לוחות הזמנים, ונדרש לקבל בהקדם התייחסות להיקף ההשפעה והפתרון המוצע.</t>
  </si>
  <si>
    <t xml:space="preserve">נמשכות עבודות הרכבה באתר. ישנו חוסר במוטות של מנתקים . בבירור מול GE משלוח לארץ. הנושא עוד בבדיקה, יום רביעי תתקיים ישיבה בנושא. . כמו כן, ישנו רכיב שיועד לעבור מפרויקט גבעת שאול ועדיין לא התקבל. טרם התקבל מענה מ‑GE בנושא שדרוג מערכת ה‑DCS. סוגיה זו עלולה להשפיע על חיבור שדה השנאי החדש ועל לוחות הזמנים, ונדרש לקבל בהקדם התייחסות להיקף ההשפעה והפתרון המוצע. בדיקות comissining מסדר 24 ק"ו יחלו ב 3/8. צפי סיום 20/8. מעבדת חשמל תבצע בדיקות שנאי כעזרה ליחידת התחמ"ש בשבוע של תחילת אוגוסט. בתוכנית להיכנס לבדיקות comissining החלמה 23/8 כתלות בהגעת מוטות המנתקים. אפרת תיערך לסיום ב 1.9 שיהיה מוכנות לבדיקות מתח יתר. </t>
  </si>
  <si>
    <t xml:space="preserve">נמשכת עבודת הרכבה באתר עם המומחה. ציוד חסר (מוטות למנתקים ושסתומים צריכים להגיע באמצע השבוע לארץ). במידה ויגיע הציוד השבוע, יש עבודת הרכבה לעוד שבוע.  4.8 בודקים של הרכבה חשמלית נכנסים לבדיקות commissining. בהתאם להגעת החלקים יוחלט אם נכנסים לבדיקות מסדר 24/161. צפי סיום בדיקות תחילת ספטמבר. תחילת בדיקות מתח יתר צפוי בתחילת ספטמבר. הגעת הגרמושקה של גבעת שאול בטיסה. צפי מספר ימים. התקבל מענה מGE לגבי סיכון חשמול מסדר 161 כאשר הבקרים אינם תקינים. מתואמת ישיבה להמשך השבוע עם תכנון חשמל, מחלקת הגנות, יחידת התחמ"ש והרכבה חשמלית להמשך דיון בנושא. </t>
  </si>
  <si>
    <t xml:space="preserve">בודקים של הרכבה חשמלית נכנסים לבדיקות commissining. בהתאם להגעת החלקים יוחלט אם נכנסים לבדיקות מסדר 24/161. צפי סיום בדיקות תחילת ספטמבר. תחילת בדיקות מתח יתר צפוי בתחילת ספטמבר. הגעת הגרמושקה של גבעת שאול בטיסה. צפי מספר ימים. התקבל מענה מGE לגבי סיכון חשמול מסדר 161 כאשר הבקרים אינם תקינים. הוסכם שיש להפריד בין טיפול זמני שמטרתו להכניס את השדה החדש במהירות, לבין פרויקט שדרוג קבוע שידרוש תכנון, תקצוב ומכרזים, כאשר כל שלב ינוהל על ידי גורם אחר.טיפול זמני לחשמול יינתן ע"י תפעול השנאה. </t>
  </si>
  <si>
    <t xml:space="preserve">מבוצעות בדיקות commissining. ציוד חסר הגיע. צפי סיום בדיקות תחילת ספטמבר. יש לתאם לו"ז לבדיקות מתח יתר - יבוצע בישיבה משותפת השבוע. התקבל מענה מGE לגבי סיכון חשמול מסדר 161 כאשר הבקרים אינם תקינים. הוסכם שיש להפריד בין טיפול זמני שמטרתו להכניס את השדה החדש במהירות, לבין פרויקט שדרוג קבוע שידרוש תכנון, תקצוב ומכרזים, כאשר כל שלב ינוהל על ידי גורם אחר.טיפול זמני ונושא פתיחת פרויקט חדש להחלפת מערכת הבקרה יינתן ע"י תפעול השנאה, תמיכה ע"י פרויקטי השנאה. </t>
  </si>
  <si>
    <t>מנהלי מגזרים</t>
  </si>
  <si>
    <t>WBE-188</t>
  </si>
  <si>
    <t>אור יהודה -התקנת שנאי רביעי 161/24 ק"ו, 50 מגוו"א וסוללת קבלים</t>
  </si>
  <si>
    <t xml:space="preserve">נמשכות עבודות מבדקת תחמ"ש עבור פרויקט מקדים WBM-10562-ST1 . בדיקות מתח יתר נדחו לעוד שבועיים עקב הבעיה שזוהתה במ"ז שסופק ע"י אפקון. צוות אפקון מגיע היום (18.5) לפרק מ"ז במסדרים במחסן אשדוד על מנת להרכיב באור יהודה.  צפי חשמול מסדר עדיין אמצע יוני 2026. עבור פרויקטים WBM-10562-ST2+WBE-188 יצאה הזמנה לתכנון אזרחי ב 21.04.26. מבחינת ציוד לפרויקט ההרחבה, הזמנה עדיין לא יצאה! ישנו פער גדול בהצעה של GE מול האומדן שהתקבל, הועבר לרכש להמשך מו"מ מול GE. כמו כן, GE הודיעו על הארכת אספקה מ 12 חודשים ל 16. לו"ז הפרויקט אינו אפשרי. </t>
  </si>
  <si>
    <t xml:space="preserve">נמשכות עבודות מבדקת תחמ"ש עבור פרויקט מקדים WBM-10562-ST1 . בדיקות מתח יתר צפויות עוד כשבוע.  צפי חשמול מסדר עדיין אמצע יוני 2026. עבור פרויקטים WBM-10562-ST2+WBE-188 יצאה הזמנה לתכנון אזרחי ב 21.04.26. מבחינת ציוד לפרויקט ההרחבה, הזמנה עדיין לא יצאה! ישנו פער גדול בהצעה של GE מול האומדן שהתקבל, הועבר לרכש להמשך מו"מ מול GE. כמו כן, GE הודיעו על הארכת אספקה מ 12 חודשים ל 16. לו"ז הפרויקט אינו אפשרי. </t>
  </si>
  <si>
    <t>נמשכות עבודות מבדקת תחמ"ש עבור פרויקט מקדים WBM-10562-ST1 . בדיקות מתח יתר צפויות עוד כשבוע.  צפי חשמול מסדר סוף יוני 2026. עבור פרויקטים WBM-10562-ST2+WBE-188 יצאה הזמנה לתכנון אזרחי ב 21.04.26. מבחינת ציוד לפרויקט ההרחבה, הזמנה עדיין לא יצאה! ישנו פער גדול בהצעה של GE מול האומדן שהתקבל, הועבר לרכש להמשך מו"מ מול GE. כמו כן, GE הודיעו על הארכת אספקה מ 12 חודשים ל 16. לו"ז הפרויקט אינו אפשרי. עם העדכון על ההזמנה יבוצע עדכון בתוכנית הפיתוח בהתאם מול מטה החטיבה</t>
  </si>
  <si>
    <t>נמשכות עבודות מבדקת תחמ"ש עבור פרויקט מקדים WBM-10562-ST1 . בדיקת מתח יתר למקשרים 1-2 ו-1-4 הסתיימה ב 07.06.  צפי חשמול מסדר סוף יוני 2026. עבור פרויקטים WBM-10562-ST2+WBE-188 יצאה הזמנה לתכנון אזרחי ב 21.04.26. מבחינת ציוד לפרויקט ההרחבה, הזמנה עדיין לא יצאה! ישנו פער גדול בהצעה של GE מול האומדן שהתקבל, הועבר לרכש להמשך מו"מ מול GE. כמו כן, GE הודיעו על הארכת אספקה מ 12 חודשים ל 16. לו"ז הפרויקט אינו אפשרי. עם העדכון על ההזמנה יבוצע עדכון בתוכנית הפיתוח בהתאם מול מטה החטיבה</t>
  </si>
  <si>
    <t>נמשכות עבודות מבדקת תחמ"ש עבור פרויקט מקדים WBM-10562-ST1 . צפי חשמול מסדר סוף יוני 2026.-תחילת יולי. עבור פרויקטים WBM-10562-ST2+WBE-188 יצאה הזמנה לתכנון אזרחי ב 21.04.26. מבחינת ציוד לפרויקט ההרחבה, הזמנה עדיין לא יצאה! ישנו פער גדול בהצעה של GE מול האומדן שהתקבל, הועבר לרכש להמשך מו"מ מול GE. כמו כן, GE הודיעו על הארכת אספקה מ 12 חודשים ל 17. לו"ז הפרויקט אינו אפשרי. עם העדכון על ההזמנה יבוצע עדכון בתוכנית הפיתוח בהתאם מול מטה החטיבה</t>
  </si>
  <si>
    <t>נמשכות עבודות מבדקת תחמ"ש עבור פרויקט מקדים WBM-10562-ST1 . צפי חשמול מסדר סוף יולי 2026 עקב עדכונים שקיימים בהגנות. עבור פרויקטים WBM-10562-ST2+WBE-188 יצאה הזמנה לתכנון אזרחי ב 21.04.26. מבחינת ציוד לפרויקט ההרחבה, הזמנה עדיין לא יצאה! ישנו פער גדול בהצעה של GE מול האומדן שהתקבל, הועבר לרכש להמשך מו"מ מול GE. כמו כן, GE הודיעו על הארכת אספקה מ 12 חודשים ל 17. לו"ז הפרויקט אינו אפשרי. עם העדכון על ההזמנה יבוצע עדכון בתוכנית הפיתוח בהתאם מול מטה החטיבה</t>
  </si>
  <si>
    <t xml:space="preserve">צפי הגעת מסדר 161-אוקטובר 2027. נדרש יהיה לעדכן את לו"ז הפרויקט בהתאם. הפרויקט נמצא בשלב תכנון אזרחי. מתואמת ישיבה מול יחידת התחמ"ש ותכנון בנושא שלביות ביצוע העבודה עבור החלפת מערכת SCS. </t>
  </si>
  <si>
    <t>היום התקיימה פגישה מול תכנון חשמלי ויחידת התחמ"ש בנושא שלביות ביצוע העבודה עבור החלפת מערכת SCS. יש צורך לקיים את ההחלפה עם החלפת מסדר מ"ג 2. בשבוע הבא מתואמת פגישה מול המחוז לתיאום לוחות זמנים ובהתאם יוחלט לו"ז לפרויקט ההרחבה. במקביל, תכנון אזרחי בשלבי סיום. הזמנה למסדר 161 הוקמה , צפי הגעה 12.2027</t>
  </si>
  <si>
    <t>היום התקיימה פגישה מול תכנון חשמלי ויחידת התחמ"ש בנושא שלביות ביצוע העבודה עבור החלפת מערכת SCS. יש צורך לקיים את ההחלפה עם החלפת מסדר מ"ג 2. השבוע מתואמת פגישה מול המחוז לתיאום לוחות זמנים ובהתאם יוחלט לו"ז לפרויקט ההרחבה. במקביל, תכנון אזרחי בשלבי סיום (הועבר לכתב כמויות). הזמנה למסדר 161 הוקמה , צפי הגעה 12.2027</t>
  </si>
  <si>
    <t xml:space="preserve">בישיבה שהתקיימה מול המחוז הוחלט כי קיים קושי לבצע את פרויקט החלפת מסדר מ"ג פ"צ 2 כעת ויש לדחות את הביצוע לאחר עבודות הכנסה לניצול שנאי 521. כ"כ יופרד עבור שני הפרויקטים ויעודכן לו"ז בהקדם. </t>
  </si>
  <si>
    <t>לא ניתן יהיה לעמוד בלו"ז הפרויקט</t>
  </si>
  <si>
    <t>WBE-196</t>
  </si>
  <si>
    <t>"בארות יצחק – הרחבת פ""צ והוספת שנאי חמישי 161/24 ק""ו, 50 מגוו""א וסוללות קבלים."</t>
  </si>
  <si>
    <t xml:space="preserve"> פרויקט WBE-196 (הרחבת פ"צ והוספת שנאי חמישי+מכולת מ"ג): נמצא בשלב תכנון אזרחי. במקביל מתקיימות ישיבות מול חטיבת רשת להגדרת תכולות וצרכים בתחנה זו. ב 13.5 תתקיים ישיבה אצל הסמנכ"ל. בהתקבלו תוצאות אוקסודיגו לתכנון קידוח כבלי מ"ג. התגלו פערים בתכנון מ"ג מול אזרחי. הנושא בבדיקה. </t>
  </si>
  <si>
    <t xml:space="preserve"> פרויקט WBE-196 (הרחבת פ"צ והוספת שנאי חמישי+מכולת מ"ג): נמצא בשלב תכנון אזרחי. במקביל מתקיימות ישיבות מול חטיבת רשת להגדרת תכולות וצרכים בתחנה זו. ב 31.5 תתקיים ישיבה מול אגף רשת ירושלים ונגב ומרחב איילון לקבלת החלטות. התקבלו תוצאות אוקסודיגו לתכנון קידוח כבלי מ"ג. התגלו פערים בתכנון מ"ג מול אזרחי. הנושא בבדיקה. </t>
  </si>
  <si>
    <t xml:space="preserve">בישיבה מול אגף רשת ירושלים ונגב סוכם כי ככל הנראה נלך על פתרון של ניידת. ישיבה נוספת תתקיים עוד שבועיים לטיוב תכולות ודיוק תיאום העבודה. בכל מקרה, יש לבחון את נושא הגנת פ"צ והזזת עמוד מ"ע שנדרש לטובת הארכת פ"צ . חשוב להדגיש כי יציאות מ"ג יהיו רק לקראת רבעון ראשון של 2027. </t>
  </si>
  <si>
    <t xml:space="preserve">בישיבה מול אגף רשת ירושלים ונגב סוכם כי ככל הנראה נלך על פתרון של ניידת. ישיבה נוספת תתקיים עוד שבועיים לטיוב תכולות ודיוק תיאום העבודה. בכל מקרה, יש לבחון את נושא הגנת פ"צ והזזת עמוד מ"ע שנדרש לטובת הארכת פ"צ . חשוב להדגיש כי יציאות מ"ג יהיו רק לקראת רבעון ראשון של 2027. נקבעה ישיבה ב 16.06 לטובת מתן מענה לחטיבת הרשת. </t>
  </si>
  <si>
    <t xml:space="preserve">תתקיים ישיבה ביום חמישי 25.6 מול אגף רשת לטובת קבלת הסכמת כל הצדדים לחלופה המצועת - החלפת 4 שנאים ל 75 מגוו"א והצבת ארבע מכולות. </t>
  </si>
  <si>
    <t xml:space="preserve">הפרויקט כרגע נמצא בהגדרת תכולה חדשה. מתואמת ישיבה נוספת של הנהלת האגף מול אגף רשת ירושלים והנגב לעוד שבועיים. בזמן זה נבחן לו"ז הפרויקט עם כל הגורמים המעורבים. ב 5.7 מתואם סיור עם יחידת התחמ"ש, פיקוח אזרחי ותכנון אזרחי לטובת דיוק שלבי הביצוע והבנת מורכבותו. </t>
  </si>
  <si>
    <t xml:space="preserve">הפרויקט כרגע נמצא בהגדרת תכולה חדשה. מתואמת ישיבה נוספת של הנהלת האגף מול אגף רשת ירושלים והנגב לעוד שבועיים. בזמן זה נבחן לו"ז הפרויקט עם כל הגורמים המעורבים. התקיים סיור ב 5.7 בשטח עם יחידת התחמ"ש, פיקוח אזרחי ותכנון אזרחי לטובת דיוק שלבי הביצוע והבנת מורכבותו. </t>
  </si>
  <si>
    <t xml:space="preserve">הפרויקט כרגע נמצא בהגדרת תכולה חדשה. תתואם ישיבה נוספת של הנהלת האגף מול אגף רשת ירושלים והנגב . בזמן זה נבחן לו"ז הפרויקט עם כל הגורמים המעורבים. מתבצעים יונים שבועיים מול תפעול המחוז ומהנדס האגף . ישיבה נוספת תואמה לשבוע הבא. </t>
  </si>
  <si>
    <t xml:space="preserve">הפרויקט כרגע נמצא בהגדרת תכולה חדשה. תתואם ישיבה נוספת של הנהלת האגף מול אגף רשת ירושלים והנגב (מתוכננת לתאריך 29.7) . בזמן זה נבחן לו"ז הפרויקט עם כל הגורמים המעורבים. מתבצעים דיונים שבועיים מול תפעול המחוז ומהנדס האגף . </t>
  </si>
  <si>
    <t xml:space="preserve">הפרויקט כרגע נמצא בהגדרת תכולה חדשה. לבקשת ירון, תקבע ישיבת נושאים קריטיים בהקדם. </t>
  </si>
  <si>
    <t>1. לא ניתן לעמוד בתאריך יעד תכנית הפיתוח. הועברה בקשה לשינוי. 2. עמידה בלו"ז הפצת כתב כמויות. 3. אישור נגה ושינוי תכולות הפרויקטים</t>
  </si>
  <si>
    <t>WBE-125</t>
  </si>
  <si>
    <t>תמנע-רב-שלבי,שדרוג מסדר 161 ק"ו מע' עזר</t>
  </si>
  <si>
    <t>חומר עבר לחוזים, מארגנים לפני העברה לרכש
נספח 5 בהכנה</t>
  </si>
  <si>
    <t>נספח 5 בחתימה
יידרש תיעדוף ברכש ליציאה למכרז</t>
  </si>
  <si>
    <t>בהעברה לרכש למכרז, נדרש תיעדוף במחלקת מכרזים</t>
  </si>
  <si>
    <t>עבר לרכש למכרז, נדרש תיעדוף במחלקת מכרזים</t>
  </si>
  <si>
    <t xml:space="preserve">מתוכנן סיור קבלנים 7/9/26.  החלפת גדר היקפית בתחמ"ש- יש תכולה נוספת שלא רשומה על הפרויקט . בבדיקה אם להוסיף. </t>
  </si>
  <si>
    <t>עיכוב ביציאה למכרז מסכן תחילת עבודות בעונת הפסקות קרובה ועלול לדחות את סיום הפרויקט</t>
  </si>
  <si>
    <t>WBE-200</t>
  </si>
  <si>
    <t>תמנע-הוספת שנאי שני 50 מגוו"א</t>
  </si>
  <si>
    <t>הוגשה בקשה לקדם בתכנון להוסיף כתכולה לקבלן שיבחר ל WBE125
נדרש תכנון אזרחי  לביצוע WBE-200 עד 31/12/2026</t>
  </si>
  <si>
    <t>יקודם בתכנון להוסיף כתכולה לקבלן שיבחר ל WBE125
נדרש תכנון אזרחי  לביצוע WBE-200 עד 31/12/2026</t>
  </si>
  <si>
    <t>WBE-235</t>
  </si>
  <si>
    <t>צומת כרמיה – הקמת 2 שדות מ"ע חדשים והתאמת שדה 1 לזרם 2000 א'. משיק ל-WBO-824, WBO-823 .</t>
  </si>
  <si>
    <t>נקבע קבלן זוכה
שיחת פתיחה עם הקבלן נדחתה ל 19/5</t>
  </si>
  <si>
    <t>נקבע קבלן זוכה
צפי עליה לקרקע 8/6/2026</t>
  </si>
  <si>
    <t>נקבע קבלן זוכה, עבר הדרכת בטיחות
צפי עליה לקרקע 8/6/2026</t>
  </si>
  <si>
    <t>קבלן עלה לשטח 7/6/2026</t>
  </si>
  <si>
    <t>קבלן עלה לשטח 7/6/2026
תחילת עבודות על מסדרי אפס</t>
  </si>
  <si>
    <t>קבלן עלה לשטח 7/6/2026
החלו עבודות על מסדרי אפס ושדה 14</t>
  </si>
  <si>
    <t>קבלן עלה לשטח 7/6/2026                                                                                          החלו עבודות על מסדרי אפס ושדה 14                                                                                 בוצע סיור בשטח לבדיקת ביסוס עמודים</t>
  </si>
  <si>
    <t>קבלן עלה לשטח 7/6/2026     החלו עבודות על מסדרי אפס ושדה 14   בוצע סיור בשטח לבדיקת ביסוס עמודים</t>
  </si>
  <si>
    <t>לטיפול גלי- לבדוק עם טופל ביסוס עמודי מע מול הולכה (יאיר אבוטבול)</t>
  </si>
  <si>
    <t>WBE-260</t>
  </si>
  <si>
    <t>מצפה רמון - התקנת שנאי מס' 531- מערכתי</t>
  </si>
  <si>
    <t>נקבע קבלן זוכה
עליה לקרקע צפויה בסוף מאי</t>
  </si>
  <si>
    <t>נקבע קבלן זוכה
עליה לקרקע צפויה באמצע יוני</t>
  </si>
  <si>
    <t>נקבע קבלן זוכה, השבוע שיחת פתיחה
צפי עליה לקרקע צפויה בשבוע הבא</t>
  </si>
  <si>
    <t>שיחת פתיחה עם הקבלן נדחתה ל 21/6/2026
צפי עליה לקרקע צפויה בעוד כשבועיים</t>
  </si>
  <si>
    <t>עליה לקרקע נקבעה ל 5/7/2026</t>
  </si>
  <si>
    <t>קבלן עלה לקרקע, החל בסימונים</t>
  </si>
  <si>
    <t>קבלן עלה לקרקע, החל בחפירות גישוש</t>
  </si>
  <si>
    <t>קבלן עלה לקרקע, החל בחפירת יסודות</t>
  </si>
  <si>
    <t>קבלן עלה לקרקע, החל בחפירת יסודות
נדרשת העתקת תשתיות ביטחון</t>
  </si>
  <si>
    <t xml:space="preserve">הקבלן ביצע יסודות של מכולות, והתחיל עבודות של מאצרה ויסודות שנאי. 
</t>
  </si>
  <si>
    <t>אי עמידה בתכנית פיתוח
נדרש עדכון ת.פ.</t>
  </si>
  <si>
    <t>מנהל אגף</t>
  </si>
  <si>
    <t>WBE-259</t>
  </si>
  <si>
    <t>מצפה רמון - החלפת שנאי מס' 532- מערכתי</t>
  </si>
  <si>
    <t xml:space="preserve">תכולה אזרחית נכללה כאופציה במכרז של WBE260. לאחר שיבחר קבלן ובהתאם לביצועים שלו יוחלט אם נדרש תכנון למכרז או לביצוע
</t>
  </si>
  <si>
    <t xml:space="preserve">תכולה אזרחית נכללה כאופציה במכרז של WBE260. לאחר שקבלן יתחיל בעבודות, ובהתאם לביצועים שלו יוחלט אם נדרש תכנון למכרז או לביצוע
</t>
  </si>
  <si>
    <t xml:space="preserve">תכולה אזרחית נכללה כאופציה במכרז של WBE260. לאחר שקבלן יתחיל בעבודות, ובהתאם לביצועים שלו יוחלט אם נדרש תכנון למכרז או לביצוע - יבחן שוב במחצית אוגוסט
</t>
  </si>
  <si>
    <t xml:space="preserve">תכולה אזרחית נכללה כאופציה במכרז של WBE260. לאחר שקבלן יתחיל בעבודות, ובהתאם לביצועים שלו יוחלט אם נדרש תכנון למכרז או לביצוע - יבחן שוב בישיבה שנקבעה לסוף אוגוסט
</t>
  </si>
  <si>
    <t>WBE-118</t>
  </si>
  <si>
    <t>יוטבתה - החלפת שנאי 531 ועיגון השנאי</t>
  </si>
  <si>
    <t>השנאי הוחלף, לא בוצעו תכולות אזרחיות. יבוצעו בסיום WBE202 הוספת שנאי 533
הוגשה בקשה להכללת התכולות הנותרות בפרויקט ההרחבה WBE-120
התכנון לא החל לתכנן מאחר ולא נכנס לתכנית העבודה
נדרש לבצע תיאום מחודש של סדרי הפעילויות שיתאים עם הריסת מבנה הפיקוד הישן - יש להוציא את התכולות שנותרו יחד עם תכולות שקבלן אזרחי לא יוכל לבצע לתיחור מחדש</t>
  </si>
  <si>
    <t>השנאי הוחלף, לא בוצעו תכולות אזרחיות. יבוצעו בסיום WBE202 הוספת שנאי 533
הוגשה בקשה להכללת התכולות הנותרות בפרויקט ההרחבה WBE-120
 יש להוציא את התכולות שנותרו יחד עם תכולות שקבלן אזרחי לא יוכל לבצע לתיחור מחדש</t>
  </si>
  <si>
    <t>השנאי הוחלף, לא בוצעו תכולות אזרחיות. יבוצעו בסיום WBE202 הוספת שנאי 533
הוגשה בקשה להכללת התכולות הנותרות בפרויקט ההרחבה WBE-120
 יש להוציא את התכולות שנותרו יחד עם תכולות שקבלן אזרחי לא יוכל לבצע לתיחור מחדש 1/2027</t>
  </si>
  <si>
    <t>WBE-120</t>
  </si>
  <si>
    <t>יוטבתה-שדרוג התחמ"ש-רב שלבי</t>
  </si>
  <si>
    <t>30/10/2026
שדות 3+9</t>
  </si>
  <si>
    <t>בשלב הרכבת ציוד מ"ע בשדות
1. הרכבה חשמלית בעבודה - נדרש תיאום קבלן להשחלת כבלים ותיאום בדיקות עם אפרת קריטי
2. הולכה לא ביצעו סיבוב עמוד (הפסקת קו למספר ימים), הוכנס לתכנית העבודה ובקשת הפסקות בהתאם - ידחה לעונת הפסקות הבאה - מעכב את הפרויקט</t>
  </si>
  <si>
    <t>בשלב הרכבת ציוד מ"ע בשדות
1. הרכבה חשמלית בעבודה -  קבלן להשחלת כבלים החל בעבודה שבוע שעבר אך לא ממשיך השבוע, תיאום בדיקות עם אפרת קריטי - מתוכנן סיור בשבוע הבא
2. הולכה לא ביצעו סיבוב עמוד (הפסקת קו למספר ימים), הוכנס לתכנית העבודה ובקשת הפסקות בהתאם - ידחה לעונת הפסקות הבאה - מעכב את הפרויקט</t>
  </si>
  <si>
    <t>בשלב הרכבת ציוד מ"ע בשדות
1. הרכבה חשמלית בעבודה -  קבלן להשחלת כבלים החל בעבודה שבוע שעבר אך לא ממשיך השבוע, תיאום בדיקות עם אפרת קריטי 
2. הולכה לא ביצעו סיבוב עמוד (הפסקת קו למספר ימים), הוכנס לתכנית העבודה ובקשת הפסקות בהתאם - ידחה לעונת הפסקות הבאה - מעכב את הפרויקט</t>
  </si>
  <si>
    <t>בדיקת ציוד מ"ע בשדות נקבעה ל 14/6/2026
1. הרכבה חשמלית בעבודה -  קבלן להשחלת כבלים החל בעבודה. חסרים כבלים, בבדיקת השלמות
2. הולכה לא ביצעו סיבוב עמוד (הפסקת קו למספר ימים), הוכנס לתכנית העבודה ובקשת הפסקות בהתאם - ידחה לעונת הפסקות הבאה - מעכב את הפרויקט</t>
  </si>
  <si>
    <t>בדיקת ציוד מ"ע בשדות  תתחיל ב 15/6/2026
1. הרכבה חשמלית בעבודה -  קבלן להשחלת כבלים החל בעבודה. חסרים כבלים, בבדיקת השלמות
2. הולכה לא ביצעו סיבוב עמוד (הפסקת קו למספר ימים), הוכנס לתכנית העבודה ובקשת הפסקות בהתאם - ידחה לעונת הפסקות הבאה - מעכב את הפרויקט</t>
  </si>
  <si>
    <t>בדיקת ציוד מ"ע בשדות  החל, ממשיכים ב 28/6
1. הרכבה חשמלית בעבודה -  קבלן להשחלת כבלים החל בעבודה. חסרים כבלים, בבדיקת השלמות - ימשיך ב 28/6
2. הולכה לא ביצעו סיבוב עמוד (הפסקת קו למספר ימים), הוכנס לתכנית העבודה ובקשת הפסקות בהתאם - ידחה לעונת הפסקות הבאה - מעכב את הפרויקט</t>
  </si>
  <si>
    <t>בביצוע בדיקת ציוד מ"ע בשדות 
הרכבה חשמלית בעבודה -  קבלן להשחלת כבלים החל בעבודה. 
קבלן אזרחי חוזר להשלמות ב 30/6/2026
בדיקת הארקות מתוכננת ל 30/6/2026
הולכה לא ביצעו סיבוב עמוד (הפסקת קו למספר ימים), הוכנס לתכנית העבודה ובקשת הפסקות בהתאם - ידחה לעונת הפסקות הבאה</t>
  </si>
  <si>
    <t>בוצעה בדיקת ציוד מ"ע בשדות 
הרכבה חשמלית בעבודה -  קבלן להשחלת כבלים החל בעבודה. 
קבלן אזרחי חזר להשלמות ב 5/7/2026
בוצעה בדיקת הארקות ב 30/6/2026
הולכה לא ביצעו סיבוב עמוד (הפסקת קו למספר ימים), הוכנס לתכנית העבודה ובקשת הפסקות בהתאם - ידחה לעונת הפסקות הבאה</t>
  </si>
  <si>
    <t>בוצעה בדיקת ציוד מ"ע בשדות 
הרכבה חשמלית בעבודה -  קבלן להשחלת כבלים החל בעבודה. 
קבלן אזרחי חזר להשלמות ב 5/7/2026
בוצעה בדיקת הארקות ב 30/6/2026
הולכה עדיין לא ביצעו סיבוב עמוד (הפסקת קו למספר ימים), הוכנס לתכנית העבודה לאוקטובר 26, יבוצע במקביל להפסקוה שלנו</t>
  </si>
  <si>
    <t>בוצעה בדיקת ציוד מ"ע בשדות 
הרכבה חשמלית בעבודה מחווטים
בוצעה בדיקת הארקות
הולכה עדיין לא ביצעו סיבוב עמוד (הפסקת קו למספר ימים), הוכנס לתכנית העבודה לאוקטובר 26, יבוצע במקביל להפסקוה שלנו</t>
  </si>
  <si>
    <t>ללא סיבוב עמוד כוכב, לא ניתן להעביר את הטיילים לשדות החדשים ולהכניסם לעבודה. דרישת הפסקות של הולכה
כרגע נדחה לנובמבר 2026, ביקשתי ישקדימו לתחילת עונת הפסקות בספטמבר</t>
  </si>
  <si>
    <t>WBE-202</t>
  </si>
  <si>
    <t>יוטבתה-הוספת שנאי 532 161/36 ק"ו 50 מגוו"א</t>
  </si>
  <si>
    <t>יבוצע בסיום WBE120</t>
  </si>
  <si>
    <t>WBE-312</t>
  </si>
  <si>
    <t>נאות סמדר-הוספת 2 שנאי חח"י 50 מגוו"א</t>
  </si>
  <si>
    <t>בעבודה על נספח 2 - מסמך תכולות לקביעת גבולות היזם ודרישות חח"י מהיזם לביצוע עבודות</t>
  </si>
  <si>
    <t>בעבודה על נספח 2 - מסמך תכולות לקביעת גבולות היזם ודרישות חח"י מהיזם לביצוע עבודות
היזם מכין הצעת מחיר על בסיס נספח 2</t>
  </si>
  <si>
    <t>בעבודה על נספח 2 - מסמך תכולות לקביעת גבולות היזם ודרישות חח"י מהיזם לביצוע עבודות
היזם מכין הצעת מחיר על בסיס נספח 2
נדרש לקבל אומדן מהיזם על החלק המערכתי במסדר מ"ע</t>
  </si>
  <si>
    <t>אשקלון צפון-הקמת תחמ"ש חיצונית 161/24 ק"</t>
  </si>
  <si>
    <t>בוצע תיאום לביסוס יסודות עמודי מ"ע ע"י קבלן אזרחי שלנו - טרם התקבלה תכנית ביסוס ולא הוכנס לכ"כ
ברכש ליציאה למכרז, צפי קבלן זוכה 30/5/2026 - טרם נקבע סיור קבלנים
,צפי להיתר  7/2026
חתימה מול רמ"י צפויה בתחילת יוני</t>
  </si>
  <si>
    <t>בוצע תיאום לביסוס יסודות עמודי מ"ע ע"י קבלן אזרחי שלנו - טרם התקבלה תכנית ביסוס ולא הוכנס לכ"כ
ברכש ליציאה למכרז,  - טרם נקבע סיור קבלנים
,צפי להיתר  7/2026
חתימה מול רמ"י צפויה בתחילת יוני, שטח התארגנות נחתם</t>
  </si>
  <si>
    <t xml:space="preserve">בוצע תיאום לביסוס יסודות עמודי מ"ע ע"י קבלן אזרחי שלנו - טרם התקבלה תכנית ביסוס ולא הוכנס לכ"כ
ברכש ליציאה למכרז,  - טרם נקבע סיור קבלנים
,צפי להיתר  7/2026
רמ"י חתמו על החוזה1.6.26 </t>
  </si>
  <si>
    <t xml:space="preserve">בוצע תיאום לביסוס יסודות עמודי מ"ע ע"י קבלן אזרחי שלנו - טרם התקבלה תכנית ביסוס ולא הוכנס לכ"כ
ברכש ליציאה למכרז,  - נקבע סיור קבלנים ל 10/6/2026
,צפי להיתר  7/2026
רמ"י חתמו על החוזה1.6.26 </t>
  </si>
  <si>
    <t xml:space="preserve">בוצע תיאום לביסוס יסודות עמודי מ"ע ע"י קבלן אזרחי שלנו - טרם התקבלה תכנית ביסוס ולא הוכנס לכ"כ
ברכש ליציאה למכרז,  - התקיים סיור קבלנים ל 10/6/2026, הגשת הצעות עד 6/7/2026
,צפי להיתר  8/2026
רמ"י חתמו על החוזה1.6.26 </t>
  </si>
  <si>
    <t xml:space="preserve">בוצע תיאום לביסוס יסודות עמודי מ"ע ע"י קבלן אזרחי שלנו - טרם התקבלה תכנית ביסוס ולא הוכנס לכ"כ
ברכש ליציאה למכרז,  - התקיים סיור קבלנים ל 10/6/2026, הגשת הצעות עד 6/7/2026
,צפי להיתר  7/2026
</t>
  </si>
  <si>
    <t xml:space="preserve">בוצע תיאום לביסוס יסודות עמודי מ"ע ע"י קבלן אזרחי שלנו - טרם התקבלה תכנית ביסוס ולא הוכנס לכ"כ
מכרז קבלן אזרחי  - התקיים סיור קבלנים ל 10/6/2026, הגשת הצעות עד 6/7/2026
צפי להיתר  7/2026 - ממתין לקבלת אגרות לתשלום
</t>
  </si>
  <si>
    <t xml:space="preserve">בוצע תיאום לביסוס יסודות עמודי מ"ע ע"י קבלן אזרחי שלנו - טרם התקבלה תכנית ביסוס ולא הוכנס לכ"כ
מכרז קבלן אזרחי - הגשת הצעות עד 6/7/2026
צפי להיתר  7/2026 - ממתין לקבלת אגרות לתשלום
</t>
  </si>
  <si>
    <t xml:space="preserve">בוצע תיאום לביסוס יסודות עמודי מ"ע ע"י קבלן אזרחי שלנו - טרם התקבלה תכנית ביסוס ולא הוכנס לכ"כ
מכרז קבלן אזרחי - יש קבלן זוכה
צפי להיתר  7/2026 - ממתין לקבלת אגרות לתשלום
</t>
  </si>
  <si>
    <t xml:space="preserve">בוצע תיאום לביסוס יסודות עמודי מ"ע ע"י קבלן אזרחי שלנו - התקבלה חבילת מסירה לביצוע
מכרז קבלן אזרחי - יש קבלן זוכה
צפי להיתר  7/2026 - ממתין לקבלת אגרות לתשלום
</t>
  </si>
  <si>
    <t xml:space="preserve">בוצע תיאום לביסוס יסודות עמודי מ"ע ע"י קבלן אזרחי שלנו - התקבלה חבילת מסירה לביצוע
מכרז קבלן אזרחי - יש קבלן זוכה
צפי להיתר  8/2026 - ממתין לקבלת אישור מהעיריה, האגרות שולמו
</t>
  </si>
  <si>
    <t xml:space="preserve">בוצע תיאום לביסוס יסודות עמודי מ"ע ע"י קבלן אזרחי שלנו - התקבלה חבילת מסירה לביצוע
מכרז קבלן אזרחי - יש קבלן זוכה
התקבל היתר  - 10/8
</t>
  </si>
  <si>
    <t xml:space="preserve">בוצע תיאום לביסוס יסודות עמודי מ"ע ע"י קבלן אזרחי שלנו - התקבלה חבילת מסירה לביצוע
מכרז קבלן אזרחי - יש קבלן זוכה
התקבל היתר  - 10/8
ממתין לאישורים לקבלת היתר חפירה
</t>
  </si>
  <si>
    <t xml:space="preserve">בוצע תיאום לביסוס יסודות עמודי מ"ע ע"י קבלן אזרחי שלנו - התקבלה חבילת מסירה לביצוע
מכרז קבלן אזרחי - יש קבלן זוכה, צפוי לעלות לשטח בשבוע הבא
התקבל היתר  - 10/8
ממתין לאישורים לקבלת היתר חפירה
</t>
  </si>
  <si>
    <t>נדרש עדכון ת"פ</t>
  </si>
  <si>
    <t>WBD-001</t>
  </si>
  <si>
    <t>שפרעם ניידת-פירוק התחמ"ש הניידת</t>
  </si>
  <si>
    <t>ניידת</t>
  </si>
  <si>
    <t>בטיפול המחוז להסטת תשתיות
בישיבה שנערכה ב- 11.05.2026 צפי להסטת תשתיות סוף 2026 תחילת 2027</t>
  </si>
  <si>
    <t>בטיפול המחוז להסטת תשתיות
בישיבה שנערכה ב- 11.05.2026 צפי להסטת תשתיות סוף 2026 תחילת 2027
מסמתן תהליך לפירוק הניידת, מוקדם ממרץ 2027- הנושא בבדיקה</t>
  </si>
  <si>
    <t>רוקח(רמת אביב חדשה)-הקמת תחמ"ש פנימית</t>
  </si>
  <si>
    <t>אושר כיבוי אש, הגעת האישור במהלך הימים הקרובים
האישור יאפשר סגירת אישור מול תאגיד המים והשלמת תנאי ההיתר.
טרם הוסדר נושא רכישת הקרקע - לא יהווה חסם להיתר.
נבחר קבלן זוכה- שטאנג.
טרם הוסרה תשתית קו הביוב משטח התחנה- באחריות עיריית תל אביב. (הנושא הוסדר עם גורמי העירייה)
שלב העתקת וכריתת העצים הסתיים
הוסדרו ותואמו חיבור המערכות במובל בין יח' התחמ"ש ליח' ההולכה
קיים חסם בנוגע לשילוב מערכות ובדיקת אינטגרציה בין שוחת המובל למבנה התחמ"ש- הנושא ייבדק לעומק.
עלות שינויים תכנון וביצוע של חיבור המובל (מוערכת כ- 700 אש"ח) תוגש לוועדת שינויים
כתוצאה משינויים אלה תוכניות לביצוע יוגשו באיחור של כחודש וחצי.</t>
  </si>
  <si>
    <r>
      <rPr>
        <sz val="12"/>
        <rFont val="Arial"/>
        <family val="2"/>
        <scheme val="minor"/>
      </rPr>
      <t>אושר כיבוי אש, הועלו כל הדרישות לאתר העיריה לקבלת היתר
טרם הוסדר נושא רכישת הקרקע - לא יהווה חסם להיתר.
בסיור שבוצע בשטח יתגלה שעיריית ת"א הפקיעה חלק משטח התחמ"ש לטובת נת"ע ובשטח הנתון בוצע תוואי של עמודי תאורה מה שיוצר מצב שבתוך שטח התחנה קיים שטח השייך לנת"ע. הבעיה הועלתה ליוסי דגן לטיפול מול רישוי ונכסים בעיריה - חסם משמועיתי לתחילת עבודות
נבחר קבלן זוכה- שטאנג.
טרם הוסרה תשתית קו הביוב משטח התחנה- באחריות עיריית תל אביב. (הנושא הוסדר עם גורמי העירייה)
שלב העתקת וכריתת העצים הסתיים
טרם התקבל אישור סופי מההולכה לתיאומים שבוצעו בתכנון- מהווה חסם להשלמת התוכניות לביצוע (בוצעו מספר פניות להולכה ולרוני אטרקצי ולא התקבלו תשובות)
כתוצאה משינויים אלה תוכניות לביצוע יוגשו באיחור של כחודש וחצי.</t>
    </r>
  </si>
  <si>
    <t>הושלמו כל דרישות ההיתר ממתינים לאישור העיריה 
טרם הוסדר נושא רכישת הקרקע - לא יהווה חסם להיתר.
בסיור שבוצע בשטח התגלה שעיריית ת"א הפקיעה חלק משטח התחמ"ש לטובת נת"ע ובשטח הנתון בוצע תוואי של עמודי תאורה , הבעיה הועלתה ליוסי דגן לטיפול מול רישוי ונכסים בעיריה - חסם משמועיתי לתחילת עבודות
נבחר קבלן זוכה- שטאנג, תיאום תחילת עבודות נקבע עם יח' הפיקוח ב-04.06.2026
טרם הוסרה תשתית קו הביוב משטח התחנה- באחריות עיריית תל אביב. (הנושא הוסדר עם גורמי העירייה)
שלב העתקת וכריתת העצים הסתיים
טרם התקבל אישור סופי מההולכה לתיאומים שבוצעו בתכנון- מהווה חסם להשלמת התוכניות לביצוע (בוצעו מספר פניות להולכה ולרוני אטרקצי ולא התקבלו תשובות)
כתוצאה משינויים אלה תוכניות לביצוע יוגשו באיחור של כחודש וחצי.</t>
  </si>
  <si>
    <t>הושלמו כל דרישות ההיתר ממתינים לאישור העיריה 
טרם הוסדר נושא רכישת הקרקע - לא יהווה חסם להיתר.
בסיור שבוצע בשטח התגלה שעיריית ת"א הפקיעה חלק משטח התחמ"ש לטובת נת"ע ובשטח הנתון בוצע תוואי של עמודי תאורה , הנושא טופל ע"י מנהל הפרויקט מול גורמי עיריית ת"א- בשלבי תכנון לביצוע -חסם שמועיתי לתחילת עבודות
נבחר קבלן זוכה- שטאנג, בוצע תיאום תחילת עבודות עם יח' הפיקוח ב-04.06.2026
טרם הוסרה תשתית קו הביוב משטח התחנה- באחריות עיריית תל אביב. (הנושא הוסדר עם גורמי העירייה)
שלב העתקת וכריתת העצים הסתיים
 התקבל אישור סופי מההולכה לתיאומים שבוצעו בתכנון
כתוצאה משינויים אלה תוכניות לביצוע יוגשו באיחור של כחודש וחצי.</t>
  </si>
  <si>
    <t>הושלמו כל דרישות ההיתר ממתינים לאישור העיריה 
טרם הוסדר נושא רכישת הקרקע - לא יהווה חסם להיתר.
בסיור שבוצע בשטח התגלה שעיריית ת"א הפקיעה חלק משטח התחמ"ש לטובת נת"ע ובשטח הנתון בוצע תוואי של עמודי תאורה , הנושא טופל ע"י מנהל הפרויקט מול גורמי עיריית ת"א- בשלבי תכנון לביצוע -חסם שמועיתי לתחילת עבודות
נבחר קבלן זוכה- שטאנג, בוצע תיאום תחילת עבודות עם יח' הפיקוח ב-04.06.2026
שטח ההתארגנות יימסר לקבלן לטובת הכנות מקדימות ב- 28.06.2026- טרם קבלת ההיתר 
טרם הוסרה תשתית קו הביוב משטח התחנה- באחריות עיריית תל אביב. (הנושא הוסדר עם גורמי העירייה)
שלב העתקת וכריתת העצים הסתיים
 התקבל אישור סופי מההולכה לתיאומים שבוצעו בתכנון
כתוצאה משינויים אלה תוכניות לביצוע יוגשו באיחור של כחודש וחצי.</t>
  </si>
  <si>
    <t>הושלמו דרישות ההיתר למעט מי אביבים - צפי 02.07.2026
טרם הוסדר נושא רכישת הקרקע - לא יהווה חסם להיתר.
בסיור שבוצע בשטח התגלה שעיריית ת"א הפקיעה חלק משטח התחמ"ש לטובת נת"ע ובשטח הנתון בוצע תוואי של עמודי תאורה , הנושא טופל ע"י מנהל הפרויקט מול גורמי עיריית ת"א אך טרם הושלם בשל התנגדות נת"ע לביטול ההפקעה- חסם משמעותי לתחילת עבודות
נבחר קבלן זוכה- שטאנג, בוצע תיאום תחילת עבודות עם יח' הפיקוח ב-04.06.2026
שטח ההתארגנות יימסר לקבלן לטובת הכנות מקדימות ב- 01.07.2026- טרם קבלת ההיתר 
טרם הוסרה תשתית קו הביוב משטח התחנה- באחריות עיריית תל אביב. (הנושא הוסדר עם גורמי העירייה)
שלב העתקת וכריתת העצים הסתיים
 התקבל אישור סופי מההולכה לתיאומים שבוצעו בתכנון
כתוצאה משינויים אלה תוכניות לביצוע יוגשו באיחור של כחודש וחצי.</t>
  </si>
  <si>
    <t>על פי סיכום ישיבה מתאריך 05.07.2026 עם מנהל אגף רישוי והיתרים, צפי לקבלת ההיתר עד סוף 07.2026
טרם הוסדר נושא רכישת הקרקע - לא יהווה חסם להיתר.
התנהל דיון לפתרון נושר הסדרת השטחים והבעלויות בין נת"ע לחח"י, בוצעה פנייה למנכ"ל ת"א להסדרת פגישה לתיאום סופי של הנושא.
נבחר קבלן זוכה- שטאנג, בוצע תיאום תחילת עבודות עם יח' הפיקוח ב-04.06.2026
שטח ההתארגנות יימסר לקבלן לטובת הכנות מקדימות ב- 01.07.2026- טרם קבלת ההיתר 
צפי תחילת עבודות קבלן אזרחי 01.08.2026
טרם הוסרה תשתית קו הביוב משטח התחנה- באחריות עיריית תל אביב.- העתקת קו הניקוז בביצוע.
עיריית ת"א התחייבה לפנות את כל שטח התחמ"ש מרכבים ותשתיות עד חודש 07.2026</t>
  </si>
  <si>
    <t>על פי סיכום ישיבה מתאריך 05.07.2026 עם מנהל אגף רישוי והיתרים, צפי לקבלת ההיתר עד סוף 07.2026
טרם הוסדר נושא רכישת הקרקע - לא יהווה חסם להיתר.
התנהל דיון לפתרון נושר הסדרת השטחים והבעלויות בין נת"ע לחח"י, בוצעה פנייה למנכ"ל ת"א להסדרת פגישה לתיאום סופי של הנושא.
עדיין ישנה מחלוקת בנוגע לתשתיות התאורה וקו הניקוז בין נת"ע, עיריית ת"א וחח"י
נבחר קבלן זוכה- שטאנג, בוצע תיאום תחילת עבודות עם יח' הפיקוח ב-04.06.2026
שטח ההתארגנות יימסר לקבלן לטובת הכנות מקדימות ב- 0108.2026- טרם קבלת ההיתר 
צפי תחילת עבודות קבלן אזרחי 01.08.2026
טרם הוסרה תשתית קו הביוב משטח התחנה- באחריות עיריית תל אביב.- העתקת קו הניקוז בביצוע.
עיריית ת"א התחייבה לפנות את כל שטח התחמ"ש מרכבים ותשתיות עד סוף חודש 07.2026</t>
  </si>
  <si>
    <t>ההיתר עבר לחישוב אגרות צפי לקבלת ההיתר עד 10.08.2026
טרם הוסדר נושא רכישת הקרקע - לא יהווה חסם להיתר.
התנהל דיון לפתרון נושר הסדרת השטחים והבעלויות בין נת"ע לחח"י, בוצעה פנייה למנכ"ל ת"א להסדרת פגישה לתיאום סופי של הנושא.
נבחר קבלן זוכה- שטאנג, בוצע תיאום תחילת עבודות עם יח' הפיקוח ב-04.06.2026
שטח ההתארגנות יימסר לקבלן לטובת הכנות מקדימות ב- 01.08.2026- טרם קבלת ההיתר 
צפי תחילת עבודות קבלן אזרחי 01.08.2026
טרם הוסרה תשתית קו הביוב משטח התחנה- באחריות עיריית תל אביב.- העתקת קו הניקוז בביצוע.
עיריית ת"א התחייבה לפנות את כל שטח התחמ"ש מרכבים ותשתיות עד סוף חודש 07.2026</t>
  </si>
  <si>
    <t>ההיתר עבר לחישוב אגרות צפי לקבלת ההיתר עד 10.08.2026
טרם הוסדר נושא רכישת הקרקע - לא יהווה חסם להיתר.
התנהל דיון לפתרון נושא הסדרת השטחים והבעלויות בין נת"ע לחח"י, נקבעה פגישה עם מנכ"ל עיריית ת"א ב- 02.08.2026
נבחר קבלן זוכה- שטאנג, בוצע תיאום תחילת עבודות עם יח' הפיקוח ב-04.06.2026
שטח ההתארגנות יימסר לקבלן לטובת הכנות מקדימות ב- 01.08.2026- טרם קבלת ההיתר 
צפי תחילת עבודות קבלן אזרחי 01.08.2026
טרם הוסרה תשתית קו הביוב משטח התחנה- באחריות עיריית תל אביב.- העתקת קו הניקוז בביצוע.
עיריית ת"א התחייבה לפנות את כל שטח התחמ"ש מרכבים ותשתיות עד סוף חודש 07.2026- מסתמן עיכוב בפינוי</t>
  </si>
  <si>
    <t>ההיתר עבר לחישוב אגרות צפי לקבלת ההיתר עד 10.08.2026
טרם הוסדר נושא רכישת הקרקע - לא יהווה חסם להיתר.
התנהל דיון לפתרון נושא הסדרת השטחים והבעלויות בין נת"ע לחח"י, נקבעה פגישה עם מנכ"ל עיריית ת"א ב- 05.08.2026
נבחר קבלן זוכה- שטאנג, בוצע תיאום תחילת עבודות עם יח' הפיקוח ב-04.06.2026
שטח ההתארגנות יימסר לקבלן לטובת הכנות מקדימות ב- 10.08.2026 
צפי תחילת עבודות קבלן אזרחי 15.08.2026
טרם הוסרה תשתית קו הביוב משטח התחנה- באחריות עיריית תל אביב.- העתקת קו הניקוז לפני ביצוע.
עיריית ת"א התחייבה לפנות את כל שטח התחמ"ש מרכבים ותשתיות - טרם החלו עבודות הפינוי
מסתמן עיכוב בקבלת תוכניות לביצוע , צפי סיום תחילת 09.2026</t>
  </si>
  <si>
    <t>התקבלו אגרות והועברו לתשלום 
הוסדר האישור מנת"ע על העברת השטח לבעלות חח"י- מטופל חוזית במנר"א ועיריית ת"א - לא יהווה חסם להיתר.
שטח ההתארגנות יימסר לקבלן לטובת הכנות מקדימות ב- 20.08.2026 
צפי תחילת עבודות קבלן אזרחי 20.08.2026
טרם הוסרה תשתית קו הביוב משטח התחנה- באחריות עיריית תל אביב.- העתקת קו הניקוז לפני ביצוע.
עיריית ת"א התחייבה לפנות את כל שטח התחמ"ש מרכבים ותשתיות - טרם החלו עבודות הפינוי
מסתמן עיכוב בקבלת תוכניות לביצוע , צפי סיום תחילת 09.2026</t>
  </si>
  <si>
    <t>התקבלו אגרות והועברו לתשלום 
הוסדר האישור מנת"ע על העברת השטח לבעלות חח"י- הוסדר וטופל ע"י מנהל הפרויקט ונמסר למנר"א להטמעה בחוזה מול עיריית ת"א.
שטח ההתארגנות יימסר לקבלן לטובת הכנות מקדימות ב- 20.08.2026 
צפי תחילת עבודות קבלן אזרחי 20.08.2026
טרם הוסרה תשתית קו הביוב משטח התחנה- באחריות עיריית תל אביב.- העתקת קו הניקוז לפני ביצוע.
עיריית ת"א התחייבה לפנות את כל שטח התחמ"ש מרכבים ותשתיות - טרם החלו עבודות הפינוי
מסתמן עיכוב בקבלת תוכניות לביצוע , צפי קבלת התוכניות 09.2026</t>
  </si>
  <si>
    <t>התקבל היתר
השלמת מסמכים להיתר תחילת עבודות
הוסדר האישור מנת"ע על העברת השטח לבעלות חח"י- הוסדר וטופל ע"י מנהל הפרויקט ונמסר למנר"א להטמעה בחוזה מול עיריית ת"א.
שטח ההתארגנות יימסר לקבלן לטובת הכנות מקדימות ב- 31.08.2026 
צפי תחילת עבודות קבלן אזרחי 09.2026
טרם הוסרה תשתית קו הביוב משטח התחנה- באחריות עיריית תל אביב.- העתקת קו הניקוז לפני ביצוע.
עיריית ת"א התחייבה לפנות את כל שטח התחמ"ש מרכבים ותשתיות - טרם החלו עבודות הפינוי
מסתמן עיכוב בקבלת תוכניות לביצוע , צפי קבלת התוכניות 09.2026</t>
  </si>
  <si>
    <t>חפר ארעית- הקמת תחמ"ש ארעית</t>
  </si>
  <si>
    <t xml:space="preserve">המשך בדיקות והכנסה לניצול
החלה עבודת הרת"ק בהכנת ראשים לכבלי מ"ג
</t>
  </si>
  <si>
    <t xml:space="preserve">המשך בדיקות והכנסה לניצול
הסתיימה עבודת הרת"ק בהכנת ראשים לכבלי מ"ג
</t>
  </si>
  <si>
    <t xml:space="preserve">המשך בדיקות והכנסה לניצול, מסתמן עיכוב של כשבועיים בהכנסה לניצול בשל עומס בנגה להשלמת התיאומים מול יח' התחמ"ש.
הסתיימה עבודת הרת"ק בהכנת ראשים לכבלי מ"ג
</t>
  </si>
  <si>
    <t>המשך בדיקות
שלבי חשמול מסתמנים החל מ-19.07.2026 (מחושמל בשלבים)</t>
  </si>
  <si>
    <t>,</t>
  </si>
  <si>
    <t>התחנה חושמלה
החל תהליך העתקת קווים, צפי לסיום 10.09.2026</t>
  </si>
  <si>
    <t>חפר-הקמת תחמ"ג 400/161 ק"ו,650*3 מגוו"א- שנאי קישור שלישי 454 יותקן ולא יחושמל-רב שלבי</t>
  </si>
  <si>
    <t xml:space="preserve">החלו  עבודות הקבלן </t>
  </si>
  <si>
    <t>לקראת סיום ביצוע כלונסאות
עמוד מתח על הוצב בשטח התחמ"ש לצורך קידום הפרויקט</t>
  </si>
  <si>
    <t>חל עיכוב בביצוע קידוח הכלונסאות של כשבועיים- שלושה- הנושא הועבר ליח' הפיקוח להתייחסות
עמוד מתח על הוצב בשטח התחמ"ש לצורך קידום הפרויקט</t>
  </si>
  <si>
    <t>עמוד מתח על הוצב בשטח התחמ"ש לצורך קידום הפרויקט</t>
  </si>
  <si>
    <t>עמוד מתח על הוצב בשטח התחמ"ש לצורך קידום הפרויקט
לקראת סיום קידוחי כלונסאות במפלס המרתף
הושלמו קירות מיגון בפאה המזרחית וחלק מהדרומית
המשך עבודות הפיתוח בשטח 
התקיימה ישיבה עם הקבלן לצורך קידום הפרויקט של שלב 161 ק"ו- כרגע מסתמן שלא אפשרי 
*כרגע קיים עיכוב של כחודש וחצי מהלו"ז המתוכנן</t>
  </si>
  <si>
    <t>המשך עבודות ביסוס של מרתף 161 ק"ו
הושלמו קירות מיגון בפאה המזרחית וחלק מהדרומית
המשך עבודות הפיתוח בשטח 
התקיימה ישיבה עם הקבלן לצורך קידום הפרויקט של שלב 161 ק"ו- כרגע מסתמן שלא אפשרי 
*כרגע קיים עיכוב של כחודש וחצי מהלו"ז המתוכנן</t>
  </si>
  <si>
    <t>המשך עבודות ביסוס של מרתף 161 ק"ו
ביצוע גדר היקפית (קירות בטון)
המשך עבודות הפיתוח בשטח 
התקיימה ישיבה עם הקבלן לצורך קידום הפרויקט של שלב 161 ק"ו- כרגע מסתמן שלא אפשרי 
*כרגע קיים עיכוב של כחודש וחצי מהלו"ז המתוכנן
התקיימו ישיבות עם המחלקות השונות לצורך עמידה בת.פ ומתן הפתרונות ליישום היעד</t>
  </si>
  <si>
    <t xml:space="preserve">קבלת תכניות לביצוע מסדר 400 ק"ו ב- 01.11.2026
אספקת ציודים- מסתמן קבלת אוטושנאים סוף 02.2028- יהווה סיכון לעמידה בת.פ
מסתמן מחסור בבודקים והרכבה חשמלית לאור ריבוי פרויקטים </t>
  </si>
  <si>
    <t>WBD-120</t>
  </si>
  <si>
    <t>תפוח- הצבת תחמ"ש ניידת</t>
  </si>
  <si>
    <t>אין עדכונים - עדיין בבדיקות תכנון ומול נגה</t>
  </si>
  <si>
    <t>בבדיקות תכנון ומול נגה</t>
  </si>
  <si>
    <t>מיקום בבחינה</t>
  </si>
  <si>
    <t>WBD-090</t>
  </si>
  <si>
    <t>ענתות-הצבת תחמ"ש ניידת 30 מגוו"א</t>
  </si>
  <si>
    <t>טרם נקבע</t>
  </si>
  <si>
    <t>בטיפול נכסים מול תפ"ט אפוטרופוס</t>
  </si>
  <si>
    <t>התקבל אישור סטטוטורי ובוחנים תכנון אזרחי למכרז לקבלן</t>
  </si>
  <si>
    <t>WBD-121</t>
  </si>
  <si>
    <t>עמנואל 2 ניידת- הצבת תחמ"ש ניידת</t>
  </si>
  <si>
    <t>הניידת בתיקונים במודיעין, מתוכננת להובלה לתחמ"ש ב18.6.2026, חשמול מוערך עד סוף יוני.</t>
  </si>
  <si>
    <t>הכנסת הניידת לתחמ"ש בלילה יום חמישי 18.6, חשמול נדחה לתחילת 2027 עקב סדרי עדיפויות אזוריות של התחמשים</t>
  </si>
  <si>
    <t>הניידת מוקמה בתחמ"ש - חישמול מתוכנן לתחילת 2027 עפ"י מכתב תיעדוף עבודות שהתקבל מיחידת התחמ"ש</t>
  </si>
  <si>
    <t>דחיה של חצי שנה בחישמול עקב תיעדוף יחידת התחמש</t>
  </si>
  <si>
    <t>WBD-096</t>
  </si>
  <si>
    <t>א.ת. מכבים- הצבת תחמ"ש ניידת 161/33 ק"ו, 20 מגוו"א</t>
  </si>
  <si>
    <t>הסכם סופי נשלח מהקבלן לאישור חח"י וייכנס תוך שבוע לאישור והזמנה בוועדת מכרזים. עבודות יחלו מיד עם צאת ההזמנה ומוערכות כחצי שנה עד הכנסת הניידות. חשמול מסתמן בתחילת 2027 לשתי הניידות.</t>
  </si>
  <si>
    <t>התקבל תאריך לועדת מכרזים מהרכש - 31.5.26</t>
  </si>
  <si>
    <t>אושר הקבלן בוועדת מכרזים 31.5.26 כעת ממתינים לחתימות והזמנה</t>
  </si>
  <si>
    <t>צפי להשלמת חתימות להזמנה עד סוף השבוע הקרוב 18.6</t>
  </si>
  <si>
    <t>הסכם נחתם עם קבלן עבודות אזרחיות ב 21.06.2026, עבודות יחלו בשבוע הבא</t>
  </si>
  <si>
    <t>הסכם נחתם עם קבלן עבודות אזרחיות ב 21.06.2026, עבודות החלו</t>
  </si>
  <si>
    <t>הסכם נחתם עם קבלן עבודות אזרחיות ב 21.06.2026, התחילו עם עבודות עפר לצורך מיקום כלונסאות.</t>
  </si>
  <si>
    <t>WBD-123</t>
  </si>
  <si>
    <t>א.ת. מכבים- הצבת תחמ"ש ניידת 161/24 ק"ו, 20 מגוו"א</t>
  </si>
  <si>
    <t>WBE-288</t>
  </si>
  <si>
    <t>שפרינצק-התקנת שנאי רביעי מס' 524, 50 מגוו"א וסוללות קבלים</t>
  </si>
  <si>
    <t>מגזר תכנון הודיע כי יקדם השנה את התכנון למיכל והמשאבה (שוש WBM-60211) עבור היתר, כך שלא יפגע בחישמול השנאי ב 2028.</t>
  </si>
  <si>
    <t>WBE-290</t>
  </si>
  <si>
    <t>איילון- התקנת שנאי רביעי 75 מגוו"א 161/24 ק"ו</t>
  </si>
  <si>
    <t xml:space="preserve">עבודה תתבצע ללא קבלן אזרחי. תמיכות לקונסטרוקציה פלדה עבור תכנון אזרחי נשלחו לא"מ לטובת שליחה לאגרומטל. תכנון אזרחי יכין חבילת עבודה לה.חשמלית ולניצן שגב. </t>
  </si>
  <si>
    <t xml:space="preserve">עבודה תתבצע ללא קבלן אזרחי. תמיכות לקונסטרוקציה פלדה עבור תכנון אזרחי נשלחו לא"מ לטובת שליחה לאגרומטל. תכנון אזרחי יכין חבילת עבודה לה.חשמלית ולניצן שגב. רת"ק לא התחילו לבצע תכנון!! עלול להוות חסם. </t>
  </si>
  <si>
    <t xml:space="preserve">עבודה תתבצע ללא קבלן אזרחי. תמיכות לקונסטרוקציה פלדה עבור תכנון אזרחי נשלחו לאגרומטל. תכנון אזרחי יכין חבילת עבודה לה.חשמלית ולניצן שגב. רת"ק לא התחילו לבצע תכנון!! עלול להוות חסם. </t>
  </si>
  <si>
    <t>עבודה תתבצע ללא קבלן אזרחי. תמיכות לקונסטרוקציה פלדה עבור תכנון אזרחי נשלחו לאגרומטל. תכנון אזרחי יכין חבילת עבודה לה.חשמלית ולניצן שגב. רת"ק לא התחילו לבצע תכנון!! עלול להוות חסם - נקבעה ישיבה מולם ב 10.06</t>
  </si>
  <si>
    <t xml:space="preserve">עבודה תתבצע ללא קבלן אזרחי. תמיכות לקונסטרוקציה פלדה עבור תכנון אזרחי נשלחו לאגרומטל. תכנון אזרחי יכין חבילת עבודה לה.חשמלית ולניצן שגב. רת"ק התחילו לתכנן ותואם סיור מולם שבוע הבא. ישיבה מול רת"ק נקבעה ל 16.06. </t>
  </si>
  <si>
    <t xml:space="preserve">עבודה תתבצע ללא קבלן אזרחי. תמיכות לקונסטרוקציה פלדה עבור תכנון אזרחי נשלחו לאגרומטל. תכנון אזרחי יכין חבילת עבודה לה.חשמלית ולניצן שגב. רת"ק התחילו לתכנן ותואם סיור מולם שבוע הבא. בוצעה ישיבה מול רת"ק ונקבע סיור לבחינת השטח ל 2.7. </t>
  </si>
  <si>
    <t xml:space="preserve">בוצע סיור בשטח מול רת"ק והרכבה חשמלית לתיאום העבודות. תמיכות הוזמנו. יש לבחון קידום עבודות בתא שנאי של פירוק צנרת כיבוי אש והרכבת תאורה עד להגעת התמיכות. 
</t>
  </si>
  <si>
    <t xml:space="preserve">בוצע סיור בשטח מול רת"ק והרכבה חשמלית לתיאום העבודות. תמיכות הוזמנו.מבוצעת בחינה לקידום עבודות בתא שנאי של פירוק צנרת כיבוי אש והרכבת תאורה עד להגעת התמיכות. 
</t>
  </si>
  <si>
    <t xml:space="preserve">בוצע סיור בשטח מול רת"ק והרכבה חשמלית לתיאום העבודות. תמיכות הוזמנו.מבוצעת בחינה לקידום עבודות בתא שנאי של פירוק צנרת כיבוי אש והרכבת תאורה עד להגעת התמיכות. 
ככל הנראה עבודת פירוק הצנרת תבוצע ע"י הרכבה חשמלית. </t>
  </si>
  <si>
    <t xml:space="preserve">בוצע סיור בשטח מול רת"ק והרכבה חשמלית לתיאום העבודות. תמיכות הוזמנו.תתוזמן בהקדם  עבודה בתא שנאי של פירוק צנרת כיבוי אש והרכבת תאורה עד להגעת התמיכות. 
ככל הנראה עבודת פירוק הצנרת תבוצע ע"י הרכבה חשמלית. </t>
  </si>
  <si>
    <t xml:space="preserve">                                                                                                                              לא ניתן להתחיל בעבודה, יחידת התחמ"ש לא יכולה להקצות משגיח.                                           </t>
  </si>
  <si>
    <t xml:space="preserve">מוכנים להתחיל בפרויקט מתאריך 9/8/26. לא ניתן להתחיל בעבודה, יחידת התחמ"ש לא יכולה להקצות משגיח. </t>
  </si>
  <si>
    <t>חוסר בהשגחה</t>
  </si>
  <si>
    <t>תימורים- תכנון הצבת 2 תחמ"ש ניידות,30 מגוו"א כ"א</t>
  </si>
  <si>
    <t>בשלב תכנון אזרחי, ממתינים לעדכון מנכסים לעניין הצו שר</t>
  </si>
  <si>
    <t>התכנון האזרחי מתעכב בעקבות נתונים חסרים על הניידות - ממתינים לקבל את הנתונים מהיצרן. כמו כן, הניידות שהוקצו לטובת הפרויקט מסוג קונטרולמטיק תקולות ואינן במצב תפעולי כלל - תיקון הניידות הינו תלוי בתגובת היצרן שבשלב זה לא נותן מענה. מצב הניידות מעמיד בסיכון את היכולת בעמידה בלוחות הזמנים- נדרש לבחון אם ניתן להחליף את הניידות לסוג אחר
הבקשה לצו השר הועבר למינהל התכנון</t>
  </si>
  <si>
    <t xml:space="preserve">עדיין מנסים לתת פתרון לניידות התקולות כמו כן מחכים לצו השר </t>
  </si>
  <si>
    <t>מקדמים תכנון של הצבת הניידות ולפתור את הנושא של התקלות התקולות. בתאריך 7.7.26 יתקיים דיון במועצה הארצית בנושא הצבת הניידות מכח צו שר</t>
  </si>
  <si>
    <t xml:space="preserve">תכנון הניידות צפוי להסתיים השבוע ובמקביל מנסים לפתור את עניין הניידות התקולות. התקבל אישור להצבת הניידות מכח צו שר.
מקדמים ניידת שלישית
</t>
  </si>
  <si>
    <t xml:space="preserve">תכנון הניידות צפוי להסתיים השבוע (ממתינים לתכנון תנועה) ובמקביל מנסים לפתור את עניין הניידות התקולות. התקבל אישור להצבת הניידות מכח צו שר.
מקדמים ניידת שלישית
חברת מגה אור מוכנה לקחת על עצמה את העבודות האזרחיות ועל חשבונה לצורך קידום הפרויקט. הנושא נדרש בחינה משפטית ותהליכית
</t>
  </si>
  <si>
    <t>תכנון הניידות הושלם והועבר לבדיקת ואישור אלק"מ.
אותרו תקלות בניידות. היצרן מסר כי תיקון הסרנים הנדרש לצורך הובלתן יבוצע רק בסדנתו וצפוי להימשך כ-3 חודשים - לאור האמור, קיים סיכון מהותי לעמידה ביעד החשמול.
בנוסף, בניידות מותקן משנה מתח המותאם ל-33 ק"ו ללא אפשרות שינוי. הנושא נמצא בבדיקה מול מחלקת ציוד לבחינת חלופות.
נקבעה ישיבת נושאים קריטיים לשבוע הבא לצורך דיון והחלטות בנושא התקלות והשלכותיהן.
במקביל, מקודמת הצבת ניידת שלישית בשטח חברת מגה אור.</t>
  </si>
  <si>
    <t>תכנון הניידות הושלם והועבר להכנת כתב כמויות.
אותרו תקלות מהותיות בניידות, לרבות צורך בתיקון סרנים אצל היצרן בלבד, עם משך טיפול צפוי של כ-3 חודשים. העיכוב מייצר סיכון משמעותי לעמידה ביעדי החשמול.
התגלה כי משנה המתח בניידות מותאם ל-33kV ללא אפשרות הסבה. הנושא נמצא בבחינת חלופות מול מחלקת ציוד.
קיימות תקלות נוספות המחייבות התערבות יצרן ועלולות להשפיע על זמינות הניידות ולוחות הזמנים.
נקבעה ישיבת נושאים קריטיים ליום שלישי הקרוב לצורך קבלת החלטות בנוגע לתקלות ולהשלכותיהן.
במקביל מקודמת הצבת ניידת שלישית בשטח חברת מגה אור לצמצום השפעת הסיכונים על הפרויקט.</t>
  </si>
  <si>
    <t>כתב הכמויות הושלם והועבר לפיקוח.
אותרו תקלות מהותיות בניידות, אשר מעכבות את ההתקדמות ומייצרות סיכון משמעותי לעמידה ביעדי החשמול.
בישיבת נושאים קריטיים שהתקיימה בשבוע שעבר הוחלט להמשיך בהכשרת הניידות הקיימות של חברת קונטרול מטיק, במקביל לקידום פתרונות לכלל התקלות.
במקביל מקודמת הצבת ניידת שלישית בשטח חברת מגה אור.
הסתיים שלב הפרסום לציבור וממתינים לחתימת צו השר.</t>
  </si>
  <si>
    <t>כתב הכמויות הושלם והועבר לפיקוח.
אותרו תקלות מהותיות בניידות, אשר מעכבות את ההתקדמות ומייצרות סיכון משמעותי לעמידה ביעדי החשמול.
בישיבת נושאים קריטיים שהתקיימה בשבוע שעבר הוחלט להמשיך בהכשרת הניידות הקיימות של חברת קונטרול מטיק, במקביל לקידום פתרונות לכלל התקלות.
במקביל מקודמת הצבת ניידת שלישית בשטח חברת מגה אור.
הסתיים שלב הפרסום לציבור וממתינים לחתימת צו השר.    כרגע בשלב ניסוח כתב התחייבות מול מגה אור.</t>
  </si>
  <si>
    <t>WBC-075</t>
  </si>
  <si>
    <t>תימורים-הקמת תחמ"ש חיצונית 161/24 ק"ו</t>
  </si>
  <si>
    <t>נשאר תנאי יחיד של נספח סניטרי, פועלים לאשרו. מתיאום מול המט"ש מתברר שיש תוואי נוסף של קו הסניקה שנמצא בתוך המגרש - נדרש להעתיק גם אותו.הנושא נבדק מול המט"ש</t>
  </si>
  <si>
    <t>נשאר תנאי יחיד של נספח סניטרי, פועלים לאשרו אך חווים קשיים. מתיאום מול המט"ש מתברר שיש תוואי נוסף של קו הסניקה שנמצא בתוך המגרש - ישנם קשיים רבים במציאת תוואי מוסכם על כל הגורמים.</t>
  </si>
  <si>
    <t>עדיין יש צורך באישור משרד הבריאות לצורך אישור תאגיד מים, בטיפול.   מקדמים את הפתרון לקו הסניקה</t>
  </si>
  <si>
    <t>מקדמים הוצאת הזמנת תכנון נוספת לתכנון קו הסניקה, מסתמן פתרון מול תאגיד המים - הנספח הסניטארי הוגש שוב לאישור התאגיד</t>
  </si>
  <si>
    <t>בשל עיכובים בירוקרטיים במועצה האזורית באר טוביה עדיין לא יצאה הזמנה למתכנן קו סניקה. נדרש להוציא לתאגיד כתב התחייבות למימון העתקת נקודת המים כתנאי לאישור הנספח הסניטרי - ממתינים לקבל מהתאגיד את עלות העבודה לצורך הוצאת כתב התחייבות</t>
  </si>
  <si>
    <t>בשל עיכובים בירוקרטיים במועצה האזורית באר טוביה עדיין לא יצאה הזמנה למתכנן קו סניקה - הובטח כי ייצא בהקדם. נדרש להוציא לתאגיד כתב התחייבות למימון העתקת נקודת המים כתנאי לאישור הנספח הסניטרי - ממתינים לקבל מהתאגיד את עלות העבודה לצורך הוצאת כתב התחייבות</t>
  </si>
  <si>
    <t>הוסרו החסמים הבירוקרטיים מול המועצה האזורית באר טוביה, ובימים הקרובים צפויה לצאת הזמנה לביצוע העתקת קו הסניקה.
הושגה הסכמה עם תאגיד המים בנוגע למיקום נקודות חיבור המים. - לאור זאת נספח המים צפוי לקבל אישור בימים הקרובים ומהווה את התנאי האחרון לקבלת ההיתר.</t>
  </si>
  <si>
    <t>הוסרו כלל החסמים הבירוקרטיים מול המועצה האזורית באר טוביה, אולם טרם יצאה הזמנה למתכנן העתקת קו הסניקה, למרות פניות חוזרות בנושא.
קיים צורך דחוף בהוצאת הזמנת התכנון, כאשר עיכוב נוסף עלול להשפיע על מועד העלייה לקרקע.
סיור קבלנים נקבע לתחילת חודש ספטמבר, בכפוף להתקדמות תכנון העתקת קו הסניקה.
הנספח הסניטרי הוגש וצפוי לקבל אישור בימים הקרובים. אישור זה מהווה את התנאי האחרון הנדרש לקבלת היתר הבנייה.</t>
  </si>
  <si>
    <t>הוסרו כלל החסמים הבירוקרטיים מול המועצה האזורית באר טוביה, ויצאה הזמנה למתכנן קו סניקה
סיור קבלנים נקבע לתחילת חודש ספטמבר, בכפוף להתקדמות תכנון העתקת קו הסניקה.
כל תנאי התכן הוגשו לעירייה וממתין לבדיקת התכן, אגרות והיטלים ולקבלת היתר הבנייה.</t>
  </si>
  <si>
    <t>קו הסניקה הקיים בשטח מהווה חסם לעלייה לקרקע.</t>
  </si>
  <si>
    <t>WBC-123</t>
  </si>
  <si>
    <t>שחר(כוכב מיכאל)-הקמת תחמ"ש חיצונית</t>
  </si>
  <si>
    <t xml:space="preserve">נמצאים במילוי תנאי התכן
צפי קבלת היתר באוגוסט </t>
  </si>
  <si>
    <t>נמצאים במילוי תנאי התכן</t>
  </si>
  <si>
    <t>נמצאים במילוי תנאי התכן
פועלים להעתקה של העצים שבמגרש ע"י הקיבוץ</t>
  </si>
  <si>
    <t>עדיין בטיפול בתנאי התכן</t>
  </si>
  <si>
    <t>מקדמים את מילוי תנאי התכן, במקביל מנסים למצוא פתרון למטע עצי הזית במגרש</t>
  </si>
  <si>
    <t>הסתיימו תנאי התכן והוגשו למועצה. הקיבוץ התחייב לרמ"י למסור את השטח נקי מעצים עד 1.11.26.. התקיים סיור קבלנים</t>
  </si>
  <si>
    <t>תנאי התכן הושלמו והוגשו למועצה. ממתינים לקבלת היטלי סלילה
הקיבוץ התחייב מול רמ"י למסור את השטח פנוי מעצים עד לתאריך 01.11.2026.
התקיים סיור קבלנים במסגרת ההיערכות לקראת שלב הביצוע.</t>
  </si>
  <si>
    <t>תנאי התכן הושלמו והוגשו למועצה, וממתינים לקבלת היטלי סלילה לצורך המשך קידום הפרויקט.
הקיבוץ התחייב מול רמ"י למסור את השטח כשהוא פנוי מעצים עד לתאריך 01.11.2026, בהתאם לתנאי קבלת החזקה בשטח.
התקיים סיור קבלנים כחלק מההיערכות לשלב הביצוע.
אספקת השנאים צפויה רק בספטמבר 2027 (09/2027), מועד המאוחר בכ-5 חודשים מהנדרש לצורך עמידה ביעדי הפרויקט.
נדרשת התערבות הנהלה מול גורמי האספקה לצמצום פער לוחות הזמנים ולהבטחת עמידה ביעדי הפרויקט.</t>
  </si>
  <si>
    <t>"תנאי התכן הושלמו והוגשו למועצה, וממתינים לקבלת היטלי סלילה לצורך המשך קידום הפרויקט.
הקיבוץ התחייב מול רמ""י למסור את השטח כשהוא פנוי מעצים עד לתאריך 01.11.2026, בהתאם לתנאי קבלת החזקה בשטח.
התקיים סיור קבלנים כחלק מההיערכות לשלב הביצוע.
אספקת השנאים צפויה רק בספטמבר 2027 (09/2027), מועד המאוחר בכ-5 חודשים מהנדרש לצורך עמידה ביעדי הפרויקט.
נדרשת התערבות הנהלה מול גורמי האספקה לצמצום פער לוחות הזמנים ולהבטחת עמידה ביעדי הפרויקט."</t>
  </si>
  <si>
    <t>סיכון כי הקיבוץ לא יעמוד בהתחייבותו לפינוי העצים עד 1.11.26
עיכוב באספקת השנאים</t>
  </si>
  <si>
    <t>WBC-072</t>
  </si>
  <si>
    <t>ראשון תעשיה- הקמת תחמ"ש פנימית 161/24 ק"</t>
  </si>
  <si>
    <t>העירייה הגיעה להסדר עם מפ"י לגבי תיקון התוכנית הכללית שתאפשר את רישום הזכויות על העירייה וכעת נדרש לבצע רישום בטאבו. במקביל מתקדמים לעבר הסכם. צפי כי הנושא יוסדר בחודשיים הקרובים. מתוכננת ישיבה נוספת עם מנכ"ל העירייה בתאריך 20.5.26</t>
  </si>
  <si>
    <t>העירייה הגיעה להסדר עם מפ"י לגבי תיקון התוכנית הכללית שתאפשר את רישום הזכויות על העירייה וכעת נדרש לבצע רישום בטאבו. במקביל מתקדמים לעבר הסכם. צפי כי הנושא יוסדר בחודשיים הקרובים. הישיבה עם מנכ"ל העירייה בוטלה</t>
  </si>
  <si>
    <t>העירייה הגיעה להסדר עם מפ"י לגבי תיקון התוכנית הכללית שתאפשר את רישום הזכויות על העירייה וכעת נדרש לבצע רישום בטאבו. במקביל מתקדמים לעבר הסכם - ישנם מס' נושאים שבמחלוקות עם העירייה מקווים שיפתר בקרוב. צפי כי הנושא יוסדר בחודש הקרוב</t>
  </si>
  <si>
    <t>עדיין מחכים לחתימה של העירייה, בטיפול</t>
  </si>
  <si>
    <t>לקראת סיום וגיבוש ההסכם. ממתינים לרישום העירייה כבעלת הקרקע.</t>
  </si>
  <si>
    <t>הפגישות שתוכננו עם העירייה נדחו להשבוע. אין התקדמות ממשית. בטיפול מנר"א</t>
  </si>
  <si>
    <t>התקיימו פגישות עבודה עם העירייה לקידום הפרויקט.
קיימים שני נושאים מרכזיים המעכבים את ההתקדמות:
נושא ראשון נמצא בטיפול נציגי העירייה מול הנהלת העירייה, עם צפי לקבלת מענה במהלך השבוע הקרוב.
נושא שני תלוי בהשלמת רישום זכויות הקרקע בטאבו. בשלב זה אין צפי לסיום הטיפול, מאחר שהנושא תלוי בגורמי הטאבו.</t>
  </si>
  <si>
    <t>התקיימו פגישות עבודה עם העירייה לקידום הפרויקט.
קיימים שני נושאים מרכזיים המעכבים את ההתקדמות:
נושא ראשון נמצא בטיפול נציגי העירייה מול הנהלת העירייה - עדיין לא התקבל מענה
נושא שני תלוי בהשלמת רישום זכויות הקרקע בטאבו. בשלב זה אין צפי לסיום הטיפול, מאחר שהנושא תלוי בגורמי הטאבו.</t>
  </si>
  <si>
    <t xml:space="preserve">עיכוב בנושא הסדרת הזכויות על הקרקע
</t>
  </si>
  <si>
    <t>WBC-057</t>
  </si>
  <si>
    <t>ליילנד-הקמת תחמ"ש פנימית 161/24ק"ו 50*2</t>
  </si>
  <si>
    <t>התקיימה פגישה עם מהנדס העיר וסוכם כי ייבחנו 2 נושאים:
1. חח"י תבחן אפשרות לעיצוב אדריכלי שיענה לדרישות ראש העיר מכיוון שהמבנה הינו בכניסה לעיר - יועברו הדמיות שעל בסיסן מהנדס העיר יבקש את אישור ראש העיר לתחמ"ש.
2. חח"י יבחנו שטח חלופי לבניית התחמ"ש - הנושא נבחן ונפסל ע"י אגף הרשת עקב המרחק מהעי והקושי בהבאת 40 מערכות כבלים שיזינו את העיר. יחד עם זאת ייתכן כי החיבור מ"ע יהיה תת"ק</t>
  </si>
  <si>
    <t>התקיימה פגישה עם מהנדס העיר וסוכם כי ייבחנו 2 נושאים:
1. חח"י תבחן אפשרות לעיצוב אדריכלי שיענה לדרישות ראש העיר מכיוון שהמבנה הינו בכניסה לעיר - יועברו הדמיות שעל בסיסן מהנדס העיר יבקש את אישור ראש העיר לתחמ"ש.
2. חח"י יבחנו שטח חלופי לבניית התחמ"ש - הנושא נבחן ונפסל ע"י אגף הרשת עקב המרחק מהעיר והקושי בהבאת 40 מערכות כבלים שיזינו את העיר. יחד עם זאת ייתכן כי החיבור מ"ע יהיה תת"ק</t>
  </si>
  <si>
    <t>עמדת הולכה-ישימות נמוכה מאוד למתווה תת קרעי שהוצג.דחיה של כ5 שנים.יקח חצי שנה בדיקת תשתית לוודא בוודאות התכנות לתת קרקע.הוצע לנוגה להתחיל עילי ובהמשך לעבור לתחתי.הועבר לעיריה המידע הרלוונטי מהתכנון.ממתינים לפגישה עם עיריה עם מהנדס העיר ב25.6</t>
  </si>
  <si>
    <t>הפרויקט בהקפאה - כרגע ישנו חוסר ודאות בנוגע לישימות הפרויקט. נושא הטמנת קו מ"ע נמצא בבחינה של רת"ק</t>
  </si>
  <si>
    <t>הפרויקט בהקפאה - כרגע ישנו חוסר ודאות בנוגע לישימות הפרויקט. נושא הטמנת קו מ"ע נמצא בבחינה של רת"ק, ישיבת נושאים קריטיים תתקיים השבוע</t>
  </si>
  <si>
    <t>במסגרת דיון נושאים קריטיים סוכם כי הפרויקט יתוכנן במתכונת חיבור מ"ע תת קרקעי.
התכנון יקודם במקביל לבחינת אגף ההולכה את היתכנות ויישום החיבור.
נדרש לעדכן את יעד תוכנית הפיתוח לסוף שנת 2029, בתיאום עם נגה.
נקבעה פגישת תיאום עם נגה ליום חמישי הקרוב.
נדרש להעביר את מסמך ההתייחסות למהנדס העיר אשדוד.</t>
  </si>
  <si>
    <t>במסגרת דיון נושאים קריטיים סוכם כי הפרויקט יתוכנן במתכונת חיבור מ"ע תת קרקעי.
התכנון יקודם במקביל לבחינת אגף ההולכה את היתכנות ויישום החיבור.
נדרש לעדכן את יעד תוכנית הפיתוח לסוף שנת 2029, בתיאום עם נגה.
התקיימה פגישת תיאום עם נגה 
הועבר מסמך ההתייחסות למהנדס העיר אשדוד.</t>
  </si>
  <si>
    <t>אי ישימות לחיבור רת"ק</t>
  </si>
  <si>
    <t>WBC-061</t>
  </si>
  <si>
    <t>גן רווה-הקמת תחמ"ש חיצונית קבועה 161/24 ק"ו</t>
  </si>
  <si>
    <t>חושמל ב30/06/2025</t>
  </si>
  <si>
    <t>התגלה זיהום קרקע בדיגום שבוצע - מחכים להנחיות המשרד להגנת הסביבה. ייתכן כי נושא זה יגרום לדחייה</t>
  </si>
  <si>
    <t>התגלה זיהום קרקע בדיגום שבוצע - מחכים להנחיות המשרד להגנת הסביבה. ייתכן כי נושא זה יגרום לדחייה
במקביל הקבלן מתקדם נכון לעכשיו בפיתוח השטח</t>
  </si>
  <si>
    <t xml:space="preserve">בדיגום קרקע שבוצע באתר התגלה זיהום קרקע.
הנושא נמצא בטיפול וממתינים להנחיות המשרד להגנת הסביבה להמשך הפעילות.
הזיהום גורם לעיכוב בלוחות הזמנים ולדחייה בביצוע עבודות הקבלן עד לקבלת הנחיות ואישורים מתאימים.
</t>
  </si>
  <si>
    <t>WBC-066</t>
  </si>
  <si>
    <t>בית הלוחם- הקמת תחמ"ש פנימית</t>
  </si>
  <si>
    <t>חושמל 18/06/2025</t>
  </si>
  <si>
    <t xml:space="preserve">תוכנית שינויים הועברה לעירייה
</t>
  </si>
  <si>
    <t xml:space="preserve">תוכנית שינויים הועברה לעירייה בבדיקה
</t>
  </si>
  <si>
    <t xml:space="preserve">תוכנית שינויים הועברה לעירייה לבדיקה
</t>
  </si>
  <si>
    <t xml:space="preserve">תוכנית שינויים הועברה לעירייה לבדיקה, ממתין לסיור פיקוח של העירייה
</t>
  </si>
  <si>
    <t xml:space="preserve">תוכנית שינויים הועברה לעירייה לבדיקה, בוצע סיור פיקוח של העירייה והבקשה נמצאת אצל הבודקת.
</t>
  </si>
  <si>
    <t>איתן - הקמת שדה מס' 1 במסדר 161 ק"ו. יכולת זרם 2000 א'. משיק ל- WBM-40241.</t>
  </si>
  <si>
    <t>עד כה בוצעו 7 קידוחים ויציקות מתוך 11. ישנה התנגדות גדולה של המושב לביצוע העבודות עקב הרעש. שעות ההפסקה הוקדמו על מנת להפחית את הרעש בשעות המאוחרות. מנסה לקדם הפסקות להצבת רגלי העמוד על ראש הכלונס</t>
  </si>
  <si>
    <t>עד כה בוצעו 10 קידוחים ויציקות מתוך 11. מנסה לקדם הפסקות להצבת רגלי העמוד על ראש הכלונס</t>
  </si>
  <si>
    <t>עבודת קידוחי הכלונסאות של שורת הפורטלים הסתיימה, עמחר מתחילים בעבודות ראשי הכלונס שצפויות להסתיים עד ה 21.6 - בתאריך זה תחל עבודת הקבל על שדה 1</t>
  </si>
  <si>
    <t>עבודת קידוחי הכלונסאות של שורת הפורטלים הסתיימה, התחילו בעבודות ראשי הכלונס שצפויות להסתיים עד ה 21.6 - בתאריך זה תחל עבודת הקבלן על שדה 1</t>
  </si>
  <si>
    <t>עבודת קידוחי הכלונסאות של שורת הפורטלים הסתיימה, התחילו בעבודות ראשי הכלונס שצפויות להסתיים עד ה 01.07 - בתאריך זה תחל עבודת הקבלן על שדה 1</t>
  </si>
  <si>
    <t>עבודת קידוחי הכלונסאות של שורת הפורטלים הסתיימה,  בעבודות ראשי הכלונס שצפויות להסתיים עד ה 01.07 - בתאריך זה תחל עבודת הקבלן על שדה 1</t>
  </si>
  <si>
    <t>הקבלן החל לעבוד באתר בתאריך 6.7.26</t>
  </si>
  <si>
    <t>קבלן עובד באתר. נדרש לפרק משנה מתח לצורך בניית השדות - נגה לא מאשרים הפסקה עבור הפירוק - בטיפול של אליעזר קשטן</t>
  </si>
  <si>
    <t>קבלן עובד באתר. נדרש לפרק משנה מתח לצורך בניית השדות - נגה לא מאשרים הפסקה עבור הפירוק - במידה וולא תתקבל הפסקה , הקבלן ייאלץ להפסיק את עבודתו</t>
  </si>
  <si>
    <t>הקבלן מבצע עבודות באתר בהתאם לתוכנית העבודה.
לצורך הקמת השדות נדרש לפרק משנה מתח קיים.
נגה טרם מאשרת הפסקת חשמל הנדרשת לביצוע הפירוק.
ככל שלא תתקבל הפסקת החשמל הנדרשת, הקבלן לא יוכל להמשיך בעבודותיו והפרויקט צפוי להיכנס לעיכוב.
לבקשת מנהל אגף הועבר למטה החטיבה מייל המאגד את הבקשה לקבלת הפסקה מנגה , נדרש שהמטה יעבירו מטעמם מכתב רישמי לנגה לטובת קידום קבלת ההפסקה- מכתב טרם יצא</t>
  </si>
  <si>
    <t>הקבלן מבצע עבודות באתר בהתאם לתוכנית העבודה.
לצורך הקמת השדות נדרש לפרק משנה מתח קיים.
נגה לא מאשרת הפסקת חשמל הנדרשת לביצוע הפירוק.
ככל שלא תתקבל הפסקת החשמל הנדרשת, הקבלן לא יוכל להמשיך בעבודותיו והפרויקט צפוי להיכנס לעיכוב.
לבקשת מנהל אגף הועבר למטה החטיבה מייל המאגד את הבקשה לקבלת הפסקה מנגה , נדרש שהמטה יעבירו מטעמם מכתב רישמי לנגה לטובת קידום קבלת ההפסקה- מכתב טרם יצא</t>
  </si>
  <si>
    <t xml:space="preserve">הקבלן מבצע עבודות באתר בהתאם לתוכנית העבודה.
לצורך הקמת השדות נדרש לפרק משנה מתח קיים.
נגה לא אישרה הפסקה הנדרשת לביצוע הפירוק לאור זאת הקבלן לא יוכל להמשיך בעבודותיו והפרויקט מתעכב.
</t>
  </si>
  <si>
    <t>אי קבלת הפסקה</t>
  </si>
  <si>
    <t>איתן-החל' שנאים ומסדרים-4 שלבים</t>
  </si>
  <si>
    <t>בבדיקות הכנסה לניצול - צפי חשמול שנאי 524 הינו ב 11.6.26</t>
  </si>
  <si>
    <t>שנאי 524 צפוי להיות מחושמל ב 11.6, מיד לאחר מכן יחל פירוק שנאי 523 ומסירה לקבלן של יסוד השנאי ושדה שנאי (שדה 8).
בוצע תיאום להעתקת קווי מ"ג מפ"צ 524 ל פ"צ 523 החל מ 14.6.26</t>
  </si>
  <si>
    <t>שנאי 524 צפוי להיות מחושמל ב 17.6, מיד לאחר מכן יחל פירוק שנאי 523 ומסירה לקבלן של יסוד השנאי ושדה שנאי (שדה 8).
בוצע תיאום להעתקת קווי מ"ג מפ"צ 524 ל פ"צ 523 החל מ 21.6.26</t>
  </si>
  <si>
    <t>שנאי 524 צפוי להיות מחושמל ב 16.6, מיד לאחר מכן יחל פירוק שנאי 523 ומסירה לקבלן של יסוד השנאי ושדה שנאי (שדה 8).
בוצע תיאום להעתקת קווי מ"ג מפ"צ 524 ל פ"צ 523 החל מ 21.6.26</t>
  </si>
  <si>
    <t xml:space="preserve">  523 החל פירוק, 524 חושמל. העתקת קוי מ"ג בביצוע. הכנה לתחילת עבודות קבלן לחיזוק יסוד</t>
  </si>
  <si>
    <t>שנאי 524 חושמל. שנאי 523 הוצא מן היסוד והקבלן התחיל לעבוד על חיזוק היסוד. הועתקו כל הקווי מ"ג מפ"צ 523 ל פ"צ 524 לצורך פירוק פ"צ 523 הישן והחלפתו בחדש</t>
  </si>
  <si>
    <t>שנאי 524 חושמל והוכנס לפעולה.
שנאי 523 הוצא מהיסוד, והקבלן החל בביצוע עבודות לחיזוק היסוד.
כלל קווי המתח הגבוה הועתקו מפ"צ 523 לפ"צ 524, לצורך פירוק הפ"צ הישן והחלפתו בחדש.
קיים מחסור בכוח אדם מצד יחידת התחמ"ש, אשר צפוי לעכב את התקדמות הפרויקט ומהווה חסם מרכזי המחייב טיפול ברמת ההנהלה.</t>
  </si>
  <si>
    <t>שנאי 524 חושמל והוכנס לפעולה.
שנאי 523 הוצא מהיסוד, והקבלן החל בביצוע עבודות לחיזוק היסוד.  הרכבה חשמלית מסדר מ"ג  יתחילו עבודות בסוף החודש.
כלל קווי המתח הגבוה הועתקו מפ"צ 523 לפ"צ 524, לצורך פירוק הפ"צ הישן והחלפתו בחדש.
קיים מחסור בכוח אדם מצד יחידת התחמ"ש, אשר צפוי לעכב את התקדמות הפרויקט ומהווה חסם מרכזי המחייב טיפול ברמת ההנהלה.</t>
  </si>
  <si>
    <t>חוסר כ"א במבדקה</t>
  </si>
  <si>
    <t>WBE-309</t>
  </si>
  <si>
    <t>גילת-חח"י-הוספת 2 שנאי חח"י 50 מגו"א</t>
  </si>
  <si>
    <t>מתקיימות פגישות לתיאום טכני בהובלה של נגה</t>
  </si>
  <si>
    <t>מתקיימות פגישות לתיאום טכני בהובלה של נגה. בתאריך 3/6/26 בוצע פגישה להצגת הפרויקט ותיאום ציפיות חח"י יזם</t>
  </si>
  <si>
    <t>מתקיימות פגישות לתיאום טכני בהובלה של נגה. בתאריך 3/6/26 בוצע פגישה להצגת הפרויקט ותיאום ציפיות חח"י יזם. בסוף חודש 6/26 עתידים לקבל הצעת מחיר מהיזם להרחבת התחמ"ש עבור חח"י</t>
  </si>
  <si>
    <t>מתקיימות פגישות לתיאום טכני בהובלה של נגה. בתאריך 3/6/26 בוצע פגישה להצגת הפרויקט ותיאום ציפיות חח"י יזם. בתאריך 1/7/26 התקבל הצעת מחיר ראשוני ע"י היזם לאחר בדיקה יועבר להתייחסות מח' טכנוכלכלי</t>
  </si>
  <si>
    <t>מתקיימות פגישות לתיאום טכני בהובלה של נגה. בתאריך 3/6/26 בוצע פגישה להצגת הפרויקט ותיאום ציפיות חח"י יזם. בתאריך 1/7/26 התקבל הצעת מחיר ראשוני ע"י היזם לאחר בדיקה יועבר להתייחסות מח' טכנוכלכלי. . נדרש לשפר את הצעת המחיר</t>
  </si>
  <si>
    <t>מתקיימות פגישות לתיאום טכני בהובלה של נגה. בתאריך 3/6/26 בוצע פגישה להצגת הפרויקט ותיאום ציפיות חח"י יזם. בתאריך 1/7/26 התקבל הצעת מחיר ראשוני ע"י היזם לאחר בדיקה יועבר להתייחסות מח' טכנוכלכלי. ממתינים לקבלת הצעת מחיר עדכנית מהיזם לתכולות עבור חח"י</t>
  </si>
  <si>
    <t>מתקיימות פגישות לתיאום טכני בהובלה של נגה. בתאריך 3/6/26 בוצע פגישה להצגת הפרויקט ותיאום ציפיות חח"י יזם. בתאריך 1/7/26 התקבל הצעת מחיר ראשוני ע"י היזם לאחר בדיקה יועבר להתייחסות מח' טכנוכלכלי.  נקבע פגישה לתאריך 12/8 מול היזם לקידום קבלת הצעת מחיר י</t>
  </si>
  <si>
    <t>בשלבי ניסוח נספח 2 ב -תכולת עבודות לטובת צד חברת חשמל   (בהתאם למסמך זה תגובש בהמשך מטריצת חלוקת האחריות, אשר תשמש בסיס להכנת הצעת המחיר להרחבת התחמ"ש עבור חח"י.)</t>
  </si>
  <si>
    <t xml:space="preserve">מתקיימות פגישות לתיאום טכני בהובלה של נגה. בתאריך 3/6/26 בוצע פגישה להצגת הפרויקט ותיאום ציפיות חח"י יזם. בתאריך 1/7/26 התקבל הצעת מחיר ראשוני ע"י היזם לאחר בדיקה יועבר להתייחסות מח' טכנוכלכלי.  נבחר קבלן ע"י היזם ממתינים לקבלת הצעת מחיר עדכנית.  </t>
  </si>
  <si>
    <t>WBE-232</t>
  </si>
  <si>
    <t>קרית המודיעין-הת' 2 שנאים 161/24ק'50 מגוו"א כ"א וסוללות קבלים</t>
  </si>
  <si>
    <t>בתאריך 3/5/26 בוצע סיור עם נציג הרכבה חשמלית והעבודות להכנת השטח לצורך כניסת הרכבות חשמליות ממשיכות עדיין השטח לא מוכן, הרכבות חשמליות יכנסו לעבודות במ"ג בתאריך 18/5.  קיים עיכוב באספקת ציוד (שנאי הארקה 8/26, ובסליל כיבוי 1/27 )</t>
  </si>
  <si>
    <t xml:space="preserve"> הרכבות חשמליות נכנסו לעבודות במ"ג בתאריך 18/5.  קיים עיכוב באספקת ציוד (שנאי הארקה 8/26, ובסליל כיבוי 1/27 )</t>
  </si>
  <si>
    <t xml:space="preserve"> הרכבות חשמליות נכנסו לעבודות במ"ג בתאריך 18/5.  קיים עיכוב באספקת ציוד (שנאי הארקה 8/26, ובסליל כיבוי 1/27 ). נקבע סיור עם צמ"ן לבחינת מסלול הכנסת השנאים</t>
  </si>
  <si>
    <t xml:space="preserve"> הרכבות חשמליות נכנסו לעבודות במ"ג בתאריך 18/5.  קיים עיכוב באספקת ציוד (שנאי הארקה 8/26, ובסליל כיבוי 1/27 ). נקבע סיור  9/6/26 עם צמ"ן לבחינת מסלול הכנסת השנאים</t>
  </si>
  <si>
    <t xml:space="preserve"> הרכבות חשמליות נכנסו לעבודות במ"ג בתאריך 18/5.  קיים עיכוב באספקת ציוד (שנאי הארקה 8/26, ובסליל כיבוי 1/27 ). בוצע סיור עם מח' צמ"ן ונבדק מסלול להכנסת השנאים </t>
  </si>
  <si>
    <t xml:space="preserve"> הרכבות חשמליות נכנסו לעבודות במ"ג בתאריך 18/5.  קיים עיכוב באספקת ציוד (שנאי הארקה 8/26, ובסליל כיבוי 1/27 ). בוצע סיור עם מח' צמ"ן ונבדק מסלול להכנסת השנאים. נקבע מועד להכנסת השנאים 7.7.26 במקביל עבודות הרכבה חשמלית באתר ממשיכות  </t>
  </si>
  <si>
    <t xml:space="preserve"> הרכבות חשמליות נכנסו לעבודות במ"ג בתאריך 18/5.  קיים עיכוב באספקת ציוד (שנאי הארקה 8/26, ובסליל כיבוי 1/27 ). בוצע סיור עם מח' צמ"ן ונבדק מסלול להכנסת השנאים. במקביל עבודות הרכבה חשמלית באתר ממשיכות. תאריך להובלת השנאי נדחה ל 12/7/26   </t>
  </si>
  <si>
    <t xml:space="preserve"> הרכבות חשמליות נכנסו לעבודות במ"ג בתאריך 18/5.  קיים עיכוב באספקת ציוד (שנאי הארקה 8/26, ובסליל כיבוי 1/27 ). בתאריך 12/7/26 הוכנס שנאי ראשון לתחנה, חל עיכוב באספקת השנאי השני, יתואם תאריך הובלה עם הגעת השנאי לארץ . במקביל עבודות הרכבה חשמלית ממשיכות</t>
  </si>
  <si>
    <t xml:space="preserve"> הרכבות חשמליות נכנסו לעבודות במ"ג בתאריך 18/5.  קיים עיכוב באספקת ציוד (שנאי הארקה 8/26, ובסליל כיבוי 1/27 ). בתאריך 12/7/26 הוכנס שנאי ראשון לתחנה, חל עיכוב באספקת השנאי השני, יתואם תאריך הובלה עם הגעת השנאי לארץ . במקביל עבודות הרכבה חשמלית ממשיכות. שנאי שני נגיע לארץ יתואם בהקדם תאריך הולבה לאתר </t>
  </si>
  <si>
    <t xml:space="preserve"> הרכבות חשמליות נכנסו לעבודות במ"ג בתאריך 18/5.   בתאריך 12/7/26 הוכנס שנאי ראשון לתחנה, חל עיכוב באספקת השנאי השני,  השנאי השני הגיע לארץ כעת בשלב תיאום הובלת השנאי השני לאתר,כל הציוד באתר למעט השנאי השני.  במקביל עבודות הרכבה חשמלית ממשיכות. </t>
  </si>
  <si>
    <t xml:space="preserve"> הרכבות חשמליות נכנסו לעבודות במ"ג בתאריך 18/5.   בתאריך 12/7/26 הוכנס שנאי ראשון לתחנה, ,תואם הובלה לשנאי השני לתאריך 4/8/26. בתי מלאכה נכנסו לעבודות שמן בתאריך 2/8/26. במקביל עבודות הרכבה חשמלית ממשיכות באתר וכן עבודות קבלן ההקמה . בוצע סיור עבורה מסירה חלקית לאבני דרך 4-6 </t>
  </si>
  <si>
    <t xml:space="preserve"> הרכבות חשמליות נכנסו לעבודות במ"ג בתאריך 18/5.   בתאריך 12/7/26 הוכנס שנאי ראשון לתחנה, בתאריך 4/8/26 הוכנס השנאי השני לתחנה. בתי מלאכה נכנסו לעבודות שמן בתאריך 2/8/26. במקביל עבודות הרכבה חשמלית ממשיכות באתר וכן עבודות קבלן ההקמה . בוצע סיור עבור מסירה חלקית לאבני דרך 4-6. ממתינים לבדיקות של אפרת קריטי </t>
  </si>
  <si>
    <t>עבודות הרכבה חשמלית ממשיכות באתר וכן עבודות קבלן ההקמה . בוצע סיור עבור מסירה חלקית לאבני דרך 4-6. ממתינים לבדיקות של אפרת קריטי</t>
  </si>
  <si>
    <t xml:space="preserve"> הרכבות חשמליות נכנסו לעבודות במ"ג בתאריך 18/5.   בתאריך 12/7/26 הוכנס שנאי ראשון לתחנה, בתאריך 4/8/26 הוכנס השנאי השני לתחנה. בתי מלאכה נכנסו לעבודות שמן בתאריך 2/8/26 צפי לסיום עבודות שמן 30/8. . במקביל עבודות הרכבה חשמלית ממשיכות באתר וכן עבודות קבלן ההקמה . בוצע סיור עבור מסירה חלקית לאבני דרך 4-6. ממתינים לבדיקות של אפרת קריטי </t>
  </si>
  <si>
    <t>תכנון, ביצוע ופיקוח ע"י היזם - מעורבות חח"י מוגבלת, קידום הכנסה לבדיקות, התארכות עבודות הרכבה , חשש לאי עמידה ביעד ת.פ(12.26)</t>
  </si>
  <si>
    <t>WBE-236</t>
  </si>
  <si>
    <t>נתיבות-הקמת שדה קו 161 ק"ו חדש מס' 9 יכולת 3000 א'</t>
  </si>
  <si>
    <t xml:space="preserve">בשלב תכנון ובדיקת לו"ז הפרויקט מול קשטן אלעזר. . הייתקיימה  פגישה מול נגה בתאריך 4.5 הוצע ע"י נגה לבחון את שלביות ביצוע אשכול הפרוקיטם בנתיבות . בטיפול אצל קשטן </t>
  </si>
  <si>
    <t>בשלב תכנון ובדיקת לו"ז הפרויקט מול קשטן אלעזר. . הייתקיימה  פגישה מול נגה בתאריך 4.5 הוצע ע"י נגה לבחון את שלביות ביצוע אשכול הפרוקיטם בנתיבות . בטיפול אצל קשטן.עד לתאריך 10.6.26 לקבל את התייחסותו של קשטן</t>
  </si>
  <si>
    <t xml:space="preserve">בשלב תכנון ובדיקת לו"ז הפרויקט מול קשטן אלעזר. . הייתקיימה  פגישה מול נגה בתאריך 4.5 הוצע ע"י נגה לבחון את שלביות ביצוע אשכול הפרוקיטם בנתיבות . בטיפול אצל קשטן.עד לתאריך 10.6.26 לקבל את התייחסותו של קשטן. ממתינים ללו"ז ושלביות מאושרים לאשכול הפרויקטים </t>
  </si>
  <si>
    <t xml:space="preserve">בשלב תכנון ובדיקת לו"ז הפרויקט מול קשטן אלעזר. . הייתקיימה  פגישה מול נגה בתאריך 4.5 הוצע ע"י נגה לבחון את שלביות ביצוע אשכול הפרוקיטם בנתיבות . בטיפול אצל קשטן.עד לתאריך 10.6.26 לקבל את התייחסותו של קשטן. ממתינים ללו"ז ושלביות מאושרים לאשכול הפרויקטים . קשטן ממליץ בשלב זה להתקדם רק עם פרויקט WBE-236 ST1 </t>
  </si>
  <si>
    <t>בשלב תכנון ובדיקת לו"ז הפרויקט מול קשטן אלעזר. . הייתקיימה  פגישה מול נגה בתאריך 4.5 הוצע ע"י נגה לבחון את שלביות ביצוע אשכול הפרוקיטם בנתיבות . בטיפול אצל קשטן.עד לתאריך 10.6.26 לקבל את התייחסותו של קשטן. ממתינים ללו"ז ושלביות מאושרים לאשכול הפרויקטים . קשטן ממליץ בשלב זה להתקדם רק עם פרויקט WBE-236 ST1 . הוכן לו"ז בהתאם להמלצה של קשטן והופצה לתכנון</t>
  </si>
  <si>
    <t>מתקדמים בתכנון WBE-236 ST1בהתאם ללו"ז בהתאם להמלצה של קשטן שהופץ לתכנון</t>
  </si>
  <si>
    <t>מתקדמים בתכנון WBE-236 ST1בהתאם ללו"ז בהתאם להמלצה של קשטן שהופץ לתכנון, התקיימה פגישה נוספת של צוות התכולות גיבשו לו"ז ושלביות חדשים בתהליך אישור סופי</t>
  </si>
  <si>
    <t>WBM-40525</t>
  </si>
  <si>
    <t>נתיבות - שדרוג שדה 3 ליכולת 2000A</t>
  </si>
  <si>
    <t>שוש</t>
  </si>
  <si>
    <t xml:space="preserve">בתאריך 8.3.26 בוצע הקפאת תצורה, מתקדמים בתכנון, הוזמן תכנון אזרחי </t>
  </si>
  <si>
    <t xml:space="preserve">בתאריך 8.3.26 בוצע הקפאת תצורה, מתקדמים בתכנון, הוזמן תכנון אזרחי. נדרש לבחון מחדש עם קבלת התייחסותו של קשטן </t>
  </si>
  <si>
    <t xml:space="preserve">בתאריך 8.3.26 בוצע הקפאת תצורה, מתקדמים בתכנון, הוזמן תכנון אזרחי. נדרש לבחון מחדש עם קבלת התייחסותו של קשטן. הוחלט לשלב פרויקט זה עם אשכול הפרויקטים  </t>
  </si>
  <si>
    <t xml:space="preserve">בתאריך 8.3.26 בוצע הקפאת תצורה, מתקדמים בתכנון, הוזמן תכנון אזרחי. נדרש לבחון מחדש עם קבלת התייחסותו של קשטן. הוחלט לשלב פרויקט זה עם אשכול הפרויקטים. עד לאישור של הלו"ז והשלביות של הפרויקט, הוקפאה התכנון לשדה 3   </t>
  </si>
  <si>
    <t>ממתינים ללו"ז ושלביות מאושרים לאשכול הפרויקטים . קשטן ממליץ בשלב זה להתקדם רק עם פרויקט WBE-236 ST1</t>
  </si>
  <si>
    <t>WBM-70032</t>
  </si>
  <si>
    <t xml:space="preserve">נתיבות - פירוק סוללת קבלים והתקנת 4 סוללות מודולריות  חדשות </t>
  </si>
  <si>
    <t>בתאריך 8.3.26 בוצע הקפאת תצורה, מתקדמים בתכנון, הוזמן תכנון אזרחי . בפגישה שהתקיימה מול נגה סוכם שנגה יבחנו אם ניתן לבטל את פרויקט סוללות הקבלנים, ממתינים להתייחסות נגה בנוגע לסוללות קבלים</t>
  </si>
  <si>
    <t>עפי מזכר מנגה וסיכום הדברים מתאריך25/5/26, לבטל את שדרוג סוללות הקבלנים ולשמור מקום בתכנון העתידי</t>
  </si>
  <si>
    <t>WBD-093</t>
  </si>
  <si>
    <t>ניר יצחק ניידת-הצבת 2 תחמ"ש ניידות</t>
  </si>
  <si>
    <t>התקבל אישור מהנדס הוועדה להציב את הניידות בפטור מהיתר, במקביל מקדמים תכנון והתארגנות לביצוע העבודות. בתאריך 17/5/26 מ"ע יבצעו ביסוס לעמודים</t>
  </si>
  <si>
    <t>התקבל אישור מהנדס הוועדה להציב את הניידות בפטור מהיתר, במקביל מקדמים תכנון והתארגנות לביצוע העבודות. בתאריך 17/5/26 בוצע שלב ראשון של עמודים מ"ע</t>
  </si>
  <si>
    <t xml:space="preserve">התקבל אישור מהנדס הוועדה להציב את הניידות בפטור מהיתר, במקביל מקדמים תכנון והתארגנות לביצוע העבודות. בתאריך 17/5/26 בוצע שלב ראשון של עמודים מ"ע. חל עיכוב בקבלת חבילת תכנון לביצוע ממגזר תכנון </t>
  </si>
  <si>
    <t>התקבל אישור מהנדס הוועדה להציב את הניידות בפטור מהיתר, במקביל מקדמים תכנון והתארגנות לביצוע העבודות. עבודות מ"ע לקראת סיום . בתאריך 11/6 חבילת תכנון לביצוע הועברה למח' הפיקוח</t>
  </si>
  <si>
    <t xml:space="preserve">התקבל אישור מהנדס הוועדה להציב את הניידות בפטור מהיתר, . עבודות מ"ע לקראת סיום . בתאריך 11/6 חבילת תכנון לביצוע הועברה למח' הפיקוח. 21/6/26 הופצה הזמנה לקבלן מסגרת לביצוע עבודות אזרחיות </t>
  </si>
  <si>
    <t xml:space="preserve">התקבל אישור מהנדס הוועדה להציב את הניידות בפטור מהיתר, . עבודות מ"ע לקראת סיום . בתאריך 11/6 חבילת תכנון לביצוע הועברה למח' הפיקוח. 21/6/26 הופצה הזמנה לקבלן מסגרת לביצוע עבודות אזרחיות. נקבע סיור עם הקבלן לתאריך 29/7/26 לאחר הסיור יקבע מועד לתחילת העבודות </t>
  </si>
  <si>
    <t>התקבל אישור מהנדס הוועדה להציב את הניידות בפטור מהיתר, . עבודות מ"ע לקראת סיום . בתאריך 11/6 חבילת תכנון לביצוע הועברה למח' הפיקוח. 21/6/26 הופצה הזמנה לקבלן מסגרת לביצוע עבודות אזרחיות.  הקבלן נידרש להשלים ביטוחים כדי להתחיל ביצוע העבודות</t>
  </si>
  <si>
    <t xml:space="preserve">התקבל אישור מהנדס הוועדה להציב את הניידות בפטור מהיתר, . עבודות מ"ע לקראת סיום . בתאריך 12/7/26 קבלן אזרחי התחיל עבודות בתחנה, מצב הניידות מצריך תיקון, במצעים תיקון לניידות במקביל לעבודות האזרחיות בתחנה . תאריכים להובלת הניידות  ב - 16/7 ו - 22/7 </t>
  </si>
  <si>
    <t xml:space="preserve">התקבל אישור מהנדס הוועדה להציב את הניידות בפטור מהיתר, . עבודות מ"ע לקראת סיום . בתאריך 12/7/26 קבלן אזרחי התחיל עבודות בתחנה, מצב הניידות מצריך תיקון, במצעים תיקון לניידות במקביל לעבודות האזרחיות בתחנה .ניידת ממודיעין תועבר בתאריך 22/7 </t>
  </si>
  <si>
    <t>התקבל אישור מהנדס הוועדה להציב את הניידות בפטור מהיתר, . עבודות מ"ע לקראת סיום . בתאריך 22/7/26 הוכנסה ניידת ראשונה לתחנה, בתאריך 8/6/26 מתוכנן הובלה של הניידת השניה. במקביל עבודות של יח' התחמ"ש ושל הרכבה חשמלית מתבצעות על הניידת בארעית ניר יצחק</t>
  </si>
  <si>
    <t>התקבל אישור מהנדס הוועדה להציב את הניידות בפטור מהיתר, . עבודות מ"ע לקראת סיום . בתאריך 22/7/26 הוכנסה ניידת ראשונה לתחנה, בתאריך 8/6/26 הוכנסה הניידת השניה. במקביל עבודות של יח' התחמ"ש ושל הרכבה חשמלית מתבצעות על הניידת בארעית ניר יצחק</t>
  </si>
  <si>
    <t>המשך עבודות של יח' התחמ"ש ושל הרכבה חשמלית מתבצעות על הניידת בארעית ניר יצחק</t>
  </si>
  <si>
    <t xml:space="preserve">התקבל אישור מהנדס הוועדה להציב את הניידות בפטור מהיתר, . עבודות מ"ע לקראת סיום . בתאריך 22/7/26 הוכנסה ניידת ראשונה לתחנה, בתאריך 8/6/26 הוכנסה הניידת השניה. במקביל עבודות של יח' התחמ"ש ושל הרכבה חשמלית מתבצעות על הניידת בארעית ניר יצחק, התגלה דליפת גז בניידת הראשונה </t>
  </si>
  <si>
    <t xml:space="preserve">מתן עדיפות לפרויקט  על מנת לעמוד בדרישת חישמול 08.26. עבודות המחוז מהוות חסם </t>
  </si>
  <si>
    <t>WBC-122</t>
  </si>
  <si>
    <t>ניר יצחק-הקמת תחמ"ש חיצונית ו- 2 שלבים</t>
  </si>
  <si>
    <t xml:space="preserve"> מקדמים התקשרות מול מקורות לתכנון העתקת תשתיות מדרך הגישה . פועלים מול מקורות לחיבור נק' מים לתחמ"ש.  בתאריך 17/5/26 נבחר קבלן זוכה במכרז - לסיכו בע"מ</t>
  </si>
  <si>
    <t xml:space="preserve"> מקדמים התקשרות מול מקורות לתכנון העתקת תשתיות מדרך הגישה . פועלים מול מקורות לחיבור נק' מים לתחמ"ש.  בתאריך 17/5/26 נבחר קבלן זוכה במכרז - לסיכו בע"מ. קיים עיכוב בבקשה לחיבור חשמל זמני </t>
  </si>
  <si>
    <t xml:space="preserve"> מקדמים התקשרות מול מקורות לתכנון העתקת תשתיות מדרך הגישה . פועלים מול מקורות לחיבור נק' מים לתחמ"ש.  בתאריך 17/5/26 נבחר קבלן זוכה במכרז - לסיכו בע"מ. קיים עיכוב בבקשה לחיבור חשמל זמני. בוצע פגישת התנעה עם הקבלן הזוכה. מועד לתחילת העבודות 12.7.26 </t>
  </si>
  <si>
    <t xml:space="preserve"> מקדמים התקשרות מול מקורות לתכנון העתקת תשתיות מדרך הגישה . פועלים מול מקורות לחיבור נק' מים לתחמ"ש.  בתאריך 17/5/26 נבחר קבלן זוכה במכרז - לסיכו בע"מ. קיים עיכוב בבקשה לחיבור חשמל זמני. בוצע פגישת התנעה עם הקבלן הזוכה. מועד לתחילת העבודות 12.7.26.  </t>
  </si>
  <si>
    <t xml:space="preserve"> מקדמים התקשרות מול מקורות לתכנון העתקת תשתיות מדרך הגישה . פועלים מול מקורות לחיבור נק' מים לתחמ"ש.  בתאריך 17/5/26 נבחר קבלן זוכה במכרז - לסיכו בע"מ. קיים עיכוב בבקשה לחיבור חשמל זמני.קבלן עלה לקרקע </t>
  </si>
  <si>
    <t xml:space="preserve"> מקדמים התקשרות מול מקורות לתכנון העתקת תשתיות מדרך הגישה . פועלים מול מקורות לחיבור נק' מים לתחמ"ש.  בתאריך 17/5/26 נבחר קבלן זוכה במכרז - לסיכו בע"מ. קיים עיכוב בבקשה לחיבור חשמל זמני.קבלן עלה לקרקע . קיימים חסמים מול מקורות בדרך גישה ובמגרש התחמ"ש</t>
  </si>
  <si>
    <t>קבלן עלה לקרקע קיימים עיכובים בחיבור מים לקבלן( בטיפול)   .  הטיפול בתשתית מקורות במגרש בטיפול הקבלן( חחי ביצעה את המוטל עליה בנושא)</t>
  </si>
  <si>
    <t>תשתיות של מקורות בתוואי הדרך - קידום לו"ז</t>
  </si>
  <si>
    <t>WBC-083</t>
  </si>
  <si>
    <t>בית הגדי- הקמת תחמ"ש חיצונית 161/24 ק"ו</t>
  </si>
  <si>
    <t>בשלבים מתקדמים של תכנון למכרז,  חבילת תכנון להערות הפיקוח נשלח בתאריך 30/4/26 .  קיים עיכוב בלו"ז עקב המלחמה. בוצע  פגישת RFT , ממתינים להתייחסות מגזר תכנון להערות הפיקוח והפצת מסמך FRT</t>
  </si>
  <si>
    <t xml:space="preserve">מסך RFT חתום וחבילת תכנון למכרז  התקבל בתאריך 28/5/26. בתאריך 31/5/26 החומר הועבר לרכש עבור מכרז  </t>
  </si>
  <si>
    <t xml:space="preserve">מסך RFT חתום וחבילת תכנון למכרז  התקבל בתאריך 28/5/26. בתאריך 31/5/26 החומר הועבר לרכש עבור מכרז . בתאריך 8/6/26 התקבל היתר בניה </t>
  </si>
  <si>
    <t>מסך RFT חתום וחבילת תכנון למכרז  התקבל בתאריך 28/5/26. בתאריך 31/5/26 החומר הועבר לרכש עבור מכרז . בתאריך 8/6/26 התקבל היתר בניה . נקבע מועד לסיור קבלנים 16/7/26</t>
  </si>
  <si>
    <t xml:space="preserve">מסך RFT חתום וחבילת תכנון למכרז  התקבל בתאריך 28/5/26. בתאריך 31/5/26 החומר הועבר לרכש עבור מכרז . בתאריך 8/6/26 התקבל היתר בניה . נקבע מועד לסיור קבלנים 16/7/26. נפתחה בקשה לתיאום ביצוע במערכת לתיאום תשתיות לאומיות והתקבלה התייחסות ראשונית מרשות העתיקות, הנושא בבדיקה </t>
  </si>
  <si>
    <t>מסך RFT חתום וחבילת תכנון למכרז  התקבל בתאריך 28/5/26. בתאריך 31/5/26 החומר הועבר לרכש עבור מכרז . בתאריך 8/6/26 התקבל היתר בניה . נקבע מועד לסיור קבלנים 16/7/26. נפתחה בקשה לתיאום ביצוע במערכת לתיאום תשתיות לאומיות והתקבלה התייחסות ראשונית מרשות העתיקות, נדרש חיתוכי בדיקה בתחמ"ש</t>
  </si>
  <si>
    <t>מסך RFT חתום וחבילת תכנון למכרז  התקבל בתאריך 28/5/26. בתאריך 31/5/26 החומר הועבר לרכש עבור מכרז . בתאריך 8/6/26 התקבל היתר בניה . נקבע מועד לסיור קבלנים 16/7/26. נפתחה בקשה לתיאום ביצוע במערכת לתיאום תשתיות לאומיות והתקבלה התייחסות ראשונית מרשות העתיקות, נדרש חיתוכי בדיקה בתחמ"ש. מקדמים הזמנה מול רשות העתיקות לביצוע חתכי בדיקה בקרקע</t>
  </si>
  <si>
    <t>מסך RFT חתום וחבילת תכנון למכרז  התקבל בתאריך 28/5/26. בתאריך 31/5/26 החומר הועבר לרכש עבור מכרז . בתאריך 8/6/26 התקבל היתר בניה . בוצע סיור קבלנים בתאריך 16/7/26. נפתחה בקשה לתיאום ביצוע במערכת לתיאום תשתיות לאומיות והתקבלה התייחסות ראשונית מרשות העתיקות, נדרש חיתוכי בדיקה בתחמ"ש. הוקמה הזמנה לחיתוכי בדיקה לרשות העתיקות כעת בשלב תיאום תחילת הבדיקות</t>
  </si>
  <si>
    <t xml:space="preserve">מסך RFT חתום וחבילת תכנון למכרז  התקבל בתאריך 28/5/26. בתאריך 31/5/26 החומר הועבר לרכש עבור מכרז . בתאריך 8/6/26 התקבל היתר בניה . בוצע סיור קבלנים בתאריך 16/7/26 הגשת הצעות מתוכנן לתאריך 3/8/26. נפתחה בקשה לתיאום ביצוע במערכת לתיאום תשתיות לאומיות והתקבלה התייחסות ראשונית מרשות העתיקות, נדרש חיתוכי בדיקה בתחמ"ש. בתאריך 2/8/26  רשות העתיקות החלו בחיתוכי בדיקה . </t>
  </si>
  <si>
    <t>מסך RFT חתום וחבילת תכנון למכרז  התקבל בתאריך 28/5/26. בתאריך 31/5/26 החומר הועבר לרכש עבור מכרז . בתאריך 8/6/26 התקבל היתר בניה . בוצע סיור קבלנים בתאריך 16/7/26 הגשת הצעות מתוכנן לתאריך 3/8/26. נפתחה בקשה לתיאום ביצוע במערכת לתיאום תשתיות לאומיות והתקבלה התייחסות ראשונית מרשות העתיקות, נדרש חיתוכי בדיקה בתחמ"ש. בתאריך 2/8/26  רשות העתיקות החלו בחיתוכי בדיקה .  בתאריך 9/8 נמצאו 2 נק' החשודות להימצאות עתיקות</t>
  </si>
  <si>
    <t>המשך בדיקה של רשות העתיקות במקביל ממשיך תהליך בחירת קבלן( בוצע שימוע וממתינים להכרזת זוכה)</t>
  </si>
  <si>
    <t>בתאריך 8/6/26 התקבל היתר בניה . בוצע סיור קבלנים בתאריך 16/7/26 הוגשו הצעוצ מחיר בתאריך 3/8/26. נפתחה בקשה לתיאום ביצוע במערכת לתיאום תשתיות לאומיות והתקבלה התייחסות ראשונית מרשות העתיקות, נדרש חיתוכי בדיקה בתחמ"ש. בתאריך 2/8/26  רשות העתיקות החלו בחיתוכי בדיקה .  בתאריך 9/8 נמצאו 2 נק' החשודות להימצאות עתיקות</t>
  </si>
  <si>
    <t>WBE-310</t>
  </si>
  <si>
    <t>יפתח-הוספת 2 שנאי חח"י 50 מגו"א</t>
  </si>
  <si>
    <t>הפרויקט הועבר אליי בתאריך 28/5/26 מתאמים פגישת הנעה מול צוות הפרויקט</t>
  </si>
  <si>
    <t xml:space="preserve">הפרויקט הועבר אליי בתאריך 28/5/26 מתאמים פגישת הנעה מול צוות הפרויקט. בתאריך 8/6/26 בוצע פגישה ראשונה מול נגה </t>
  </si>
  <si>
    <t xml:space="preserve">הפרויקט הועבר אליי בתאריך 28/5/26 מתאמים פגישת הנעה מול צוות הפרויקט. בתאריך 8/6/26 בוצע פגישה ראשונה מול נגה. נקבע סדרת פגישות לקידום ההליך המסחרי </t>
  </si>
  <si>
    <t xml:space="preserve"> בתאריך 8/6/26 בוצע פגישה ראשונה מול נגה. נקבע סדרת פגישות לקידום ההליך המסחרי . לקראת גיבוש נספח תכולות עבודה סופי.</t>
  </si>
  <si>
    <t xml:space="preserve"> בתאריך 8/6/26 בוצע פגישה ראשונה מול נגה. נקבע סדרת פגישות לקידום ההליך המסחרי .בתאריך 8/7/26 גובש נספח תכולות עבודה סופי.</t>
  </si>
  <si>
    <t xml:space="preserve"> בתאריך 8/6/26 בוצע פגישה ראשונה מול נגה. נקבע סדרת פגישות לקידום ההליך המסחרי .בתאריך 8/7/26 גובש נספח תכולות עבודה סופי. ממתינים לקבלת הצעת מחיר לתכולות של חח"י מהיזם.</t>
  </si>
  <si>
    <t>ממתינים לקבלת הצעת מחיר לתכולות של חח"י מהיזם</t>
  </si>
  <si>
    <t>WBE-177</t>
  </si>
  <si>
    <t>אורים -חח"י-הוספת 2 שנאים 50 מגוו"א</t>
  </si>
  <si>
    <t>בתאריך 20/4 הוועדה אישרה את ההתקשרות מול היזם להקמת תחמ"ש אורים. כעת בשלב הכנת החוזה לחתימת הצדדים. במקביל העבודות באתר ממשיכות.</t>
  </si>
  <si>
    <t xml:space="preserve">בתאריך 20/4 הוועדה אישרה את ההתקשרות מול היזם להקמת תחמ"ש אורים. כעת בשלב הכנת החוזה לחתימת הצדדים. במקביל העבודות באתר ממשיכות. בתאריך 27/5/26 בוצע סיור בתחמ"ש עם הפיקוח, יח' התחמ"ש להכרות הפרויקט </t>
  </si>
  <si>
    <t xml:space="preserve">בתאריך7/6/26 נחתם הסכם בין הצדדים . בתאריך 27/5/26 בוצע סיור בתחמ"ש עם הפיקוח, יח' התחמ"ש להכרות הפרויקט </t>
  </si>
  <si>
    <t>בתאריך7/6/26 נחתם הסכם בין הצדדים . בתאריך 27/5/26 בוצע סיור בתחמ"ש עם הפיקוח, יח' התחמ"ש להכרות הפרויקט . העבודות מתקדמות בשטח</t>
  </si>
  <si>
    <t xml:space="preserve">בתאריך7/6/26 נחתם הסכם בין הצדדים . בתאריך 27/5/26 בוצע סיור בתחמ"ש עם הפיקוח, יח' התחמ"ש להכרות הפרויקט . העבודות מתקדמות בשטח. נקבע מועד 9/7/26 לסיור עבור מסירת חלק מאבני הדרך </t>
  </si>
  <si>
    <t xml:space="preserve">בתאריך7/6/26 נחתם הסכם בין הצדדים . בתאריך 27/5/26 בוצע סיור בתחמ"ש עם הפיקוח, יח' התחמ"ש להכרות הפרויקט . העבודות מתקדמות בשטח. נקבע מועד 9/7/26 לסיור עבור מסירת חלק מאבני הדרך. בתאריך 9/7/26 בוצע סיור עם התכנון, הפיקוח ויח' התחמ"ש לאישור אבני דרך 3 ו - 4  </t>
  </si>
  <si>
    <t xml:space="preserve">בתאריך7/6/26 נחתם הסכם בין הצדדים . בתאריך 27/5/26 בוצע סיור בתחמ"ש עם הפיקוח, יח' התחמ"ש להכרות הפרויקט . העבודות מתקדמות בשטח. בתאריך 9/7/26 בוצע סיור עם התכנון, הפיקוח ויח' התחמ"ש לאישור אבני דרך 3 ו - 4  </t>
  </si>
  <si>
    <t>העבודות מתקדמות בשטח</t>
  </si>
  <si>
    <t>WBE-237</t>
  </si>
  <si>
    <t>אופקים-הקמת שדה קו 161 ק"ו (מס' 1)</t>
  </si>
  <si>
    <t>נקבע פגישה לתאריך 31/5/26 להתנעת הפרויקט, במקביל נדרש לסגור מול קשטן תכולות פרויקט</t>
  </si>
  <si>
    <t>נדרש לסגור תכולת הפרויקט מול קשטן</t>
  </si>
  <si>
    <t>השבוע מתחיל תכנון אלקטרומכני</t>
  </si>
  <si>
    <t>טרם נסגרה תכולת פרוייקט מול נגה, בטיפול קשטן. במקביל תכנון אלקטרומכני מתחיל לעבוד על הדברים העיקריים</t>
  </si>
  <si>
    <t>טרם נסגרה תכולת פרוייקט מול נגה, בטיפול קשטן.</t>
  </si>
  <si>
    <t>WBE-210</t>
  </si>
  <si>
    <t>אופקים-הוספת שנאי רביעי ( 524) 50 מגוו"א</t>
  </si>
  <si>
    <t xml:space="preserve">נדרש לסגור תכולת הפרויקט מול קשטן </t>
  </si>
  <si>
    <t xml:space="preserve">לפרויקט יש STAGE הנדרש ל2027 יש להתחיל להניע את הפרויקט </t>
  </si>
  <si>
    <t>WBE-018</t>
  </si>
  <si>
    <t>ת"א צפון-החלפת 2 שנאים 50  ל- 75 מגוו"א</t>
  </si>
  <si>
    <t>שנאי 1 - 31/06/27
שנאי 2 - 31/10/27</t>
  </si>
  <si>
    <t xml:space="preserve">השנאים 75 מגוו"א הוסטו לפרויקט בת ים.  כניסה לתחילת הרכבות נדחתה לאביב 2027
התקבל מידע מאלי קשטן שבוחנים אפשרות לקחת שנאי 75 מת"א לבארות יצחק ושוב לדחות את הפרויקט בת"א </t>
  </si>
  <si>
    <t>השנאים 75 מגוו"א הוסטו לפרויקט בת ים.  כניסה לתחילת הרכבות נדחתה לאביב 2027
התקבל מידע מאלי קשטן שבוחנים אפשרות לקחת שנאי 75 מת"א לבארות יצחק ושוב לדחות את הפרויקט בת"א - ממתינים לתשובות</t>
  </si>
  <si>
    <t>השנאים 75 מגוו"א הוסטו לפרויקט בת ים.  כניסה לתחילת הרכבות נדחתה לאביב 2027
בהמשך לסיכום שהתקבל מדיוםן סטטוס פרויקטים דן וחוף, נקבע כי אין אישור לבצע הסטת השנאים וכי הפרויקט ייעשה עפי הלו"ז בתוכנית הפיתוח - אביב 2027.
פרויקט שו"ש WBM40608 -  החלפת מסדרים נדרש לקבל תשובה של אגף התפעול להסתנכרנות מול פרויקט ההרחבה.</t>
  </si>
  <si>
    <t>WBD-119</t>
  </si>
  <si>
    <t>שערי עכו- הצבת 2 תחמ"ש ניידות, 30 מגוו"ט כ"א</t>
  </si>
  <si>
    <t>04/2027 ניידת 1 
11/2027 ניידת 2</t>
  </si>
  <si>
    <t>הועבר לארז סרי מסמך עמדה והתייחסות לטיפול בהיפוך ההחלטה ולקבל אישור צו שר למיקום המקורי</t>
  </si>
  <si>
    <r>
      <rPr>
        <sz val="12"/>
        <rFont val="Arial"/>
        <family val="2"/>
        <scheme val="minor"/>
      </rPr>
      <t>הועבר לארז סרי מסמך עמדה והתייחסות לטיפול בהיפוך ההחלטה ולקבל אישור צו שר למיקום המקורי.
התקבל מידע מהמחוז שמיאסיף מוציאים לשכונה החדשה בעכו 12 קווים במקום 9 . מבקשת לבדוק נחיצות של הניידות בעכו.</t>
    </r>
  </si>
  <si>
    <t>הועבר לארז סרי מסמך עמדה והתייחסות לטיפול בהיפוך ההחלטה ולקבל אישור צו שר למיקום המקורי. 
לבקשת ארז נדרש לעדכן תוכנית סידור כללי ותיאום מול נת"י. 
ב 03/08/26 מתואמת פגישה אצל עופר מסרי לקבלת החלטה באם נדרשת הניידת ולמתי? ולוודא שמשרד השיכון עומד בהתחייבות להשלמת הדרך.
התקבל מידע מהמחוז שמיאסיף מוציאים לשכונה החדשה בעכו 12 קווים במקום 9 . מבקשת לבדוק נחיצות של הניידות בעכו.</t>
  </si>
  <si>
    <t>הועבר לארז סרי מסמך העמדה והתייחסות לטיפול בהיפוך ההחלטה ולקבל אישור צו שר למיקום המקורי. 
לבקשת ארז נדרש לעדכן תוכנית סידור כללי ותיאום מול נת"י. 
באוקטובר 2026 מתואמת פגישה אצל עופר מסרי לקבלת החלטה באם נדרשת הניידת ולמתי? ולוודא שמשרד השיכון עומד בהתחייבות להשלמת הדרך.
התקבל מידע מהמחוז שמיאסיף מוציאים לשכונה החדשה בעכו 12 קווים במקום 9 . מבקשת לבדוק נחיצות של הניידות בעכו.</t>
  </si>
  <si>
    <t>הועבר לארז סרי מסמך העמדה והתייחסות לטיפול בהיפוך ההחלטה ולקבל אישור צו שר למיקום המקורי. 
לבקשת ארז נדרש לעדכן תוכנית סידור כללי ותיאום מול נת"י - הושלמה תוכנית סידור כללי,  עד 20/08/26 תיפתח פניה לנת"י לאישור עקרוני עבור צו שר - בטיפול משה ליבוביץ.
באוקטובר 2026 מתואמת פגישה אצל עופר מסרי לקבלת החלטה באם נדרשת הניידת ולמתי? ולוודא שמשרד השיכון עומד בהתחייבות להשלמת הדרך.
התקבל מידע מהמחוז שמיאסיף מוציאים לשכונה החדשה בעכו 12 קווים במקום 9 . מבקשת לבדוק נחיצות של הניידות בעכו.</t>
  </si>
  <si>
    <t>הועבר לארז סרי מסמך העמדה והתייחסות לטיפול בהיפוך ההחלטה ולקבל אישור צו שר למיקום המקורי. 
עודכנה תוכנית סידור כללי - הועברה להתייחסות מ"ע ו מ"ג טרם העברתה לתיאום מול נת"י .
באוקטובר 2026 מתואמת פגישה אצל עופר מסרי לקבלת החלטה באם נדרשת הניידת ולמתי? ולוודא שמשרד השיכון עומד בהתחייבות להשלמת הדרך.
התקבל מידע מהמחוז שמיאסיף מוציאים לשכונה החדשה בעכו 12 קווים במקום 9 . מבקשת לבדוק נחיצות של הניידות בעכו.</t>
  </si>
  <si>
    <t>קיים סיכון באי קבלת אישור צו שר לאור דחייה קודמת</t>
  </si>
  <si>
    <t>WBE-282</t>
  </si>
  <si>
    <t>שירת הדבורה-חח"י – התקנת שנאי שלישי 161/24 ק"ו, 50 מגוו"א מס' 523</t>
  </si>
  <si>
    <t xml:space="preserve">נעשה תיאום עם יח' התחמ"ש והרכבה חשמלית. עפ"י סדרי עדיפויות. בדיקות הכנסה לניצול יחלו ב 30/06 ויסתיימו ב 31/08/26. </t>
  </si>
  <si>
    <t>נעשה תיאום עם יח' התחמ"ש והרכבה חשמלית. עפ"י סדרי עדיפויות. בדיקות הכנסה לניצול יחלו ב 30/06 ויסתיימו ב 31/08/26. 
ב 11/06/26 היזם השלים קירות בטון לבנין המסדרים.</t>
  </si>
  <si>
    <t xml:space="preserve">נעשה תיאום עם יח' התחמ"ש והרכבה חשמלית. עפ"י סדרי עדיפויות. בדיקות הכנסה לניצול יחלו ב 30/06 ויסתיימו ב 31/08/26. 
ב 11/06/26 היזם השלים קירות בטון לבנין המסדרים. </t>
  </si>
  <si>
    <t xml:space="preserve">ב 06/07/26 התקבל עדכון מאודי אריה שצוות הבודקים יכנס רק לאחר סיום הניידת בכרמיאל - צפי הגעה 16/07/26 ולכן צפי חדש להכנסה לניצול 30/09/26 </t>
  </si>
  <si>
    <t xml:space="preserve">ב 06/07/26 התקבל עדכון מאודי אריה שצוות הבודקים יכנס רק לאחר סיום הניידת בכרמיאל - צפי הגעה 19/07/26 ולכן צפי חדש להכנסה לניצול 30/09/26 </t>
  </si>
  <si>
    <t xml:space="preserve">ב 06/07/26 התקבל עדכון מאודי אריה שצוות הבודקים יכנס רק לאחר סיום הניידת בכרמיאל - לכן צפי חדש להכנסה לניצול 30/09/26 </t>
  </si>
  <si>
    <t xml:space="preserve">צוות הבודקים של יח' התחמ"ש חזרו ב 26/07/26 לבצע בדיקות לטובת הכנסה לניצול  -  צפי להכנסה לניצול 30/09/26 </t>
  </si>
  <si>
    <t>צוות הבודקים של יח' התחמ"ש חזרו ב 26/07/26 לבצע בדיקות לטובת הכנסה לניצול  -  צפי להכנסה לניצול 30/09/26  במקביל יבוצע קומישינג לקראת מתח יתר - הנושא בטיפול תאום מועד.</t>
  </si>
  <si>
    <t>צוות הבודקים של יח' התחמ"ש חזרו ב 26/07/26 לבצע בדיקות לטובת הכנסה לניצול  -  צפי להכנסה לניצול 30/09/26  במקביל יבוצע קומישינג לקראת מתח יתר אשר תואם מול אפרת לביצוע ב 30/08/26.</t>
  </si>
  <si>
    <t>צוות הבודקים של יח' התחמ"ש חזרו ב 26/07/26 לבצע בדיקות לטובת הכנסה לניצול  -  צפי להכנסה לניצול 30/09/26  
ב 20/08/26 התקיים סיור תיאום  עם אפרת לביצוע קומישינג לקראת מתח יתר  ב 30/08/26.</t>
  </si>
  <si>
    <t>חוסר בבודקים</t>
  </si>
  <si>
    <t>WBE-167</t>
  </si>
  <si>
    <t>שירת דבורה - תחמ"ש -הוספת 2 שנאי חח"י 50 מו"א</t>
  </si>
  <si>
    <t xml:space="preserve">חושמל 04/12/2025 </t>
  </si>
  <si>
    <t>התקבלו נתונים מהרכבה חשמלית, מועבר לבדיקת עלויות של אמל ולאחריו נסכם ונזמין את היזם לסגירת חוזה.</t>
  </si>
  <si>
    <t>התקבלו נתונים מהרכבה חשמלית, מועבר לבדיקת עלויות של אמל ולאחריו נסכם ונזמין את היזם לסגירת חוזה - טרם הסתיים</t>
  </si>
  <si>
    <t>התקבלו נתונים מהרכבה חשמלית, מועבר לבדיקת עלויות של אמל ולאחריו נסכם ונזמין את היזם לסגירת חוזה - טרם הסתיים 
נקבעה פגישה וסיור מחר 24.6.26 באתר עם היזם וטכנו כלכליים לסגירת הנושאים הכלכליים</t>
  </si>
  <si>
    <t>התקבלו נתונים מהרכבה חשמלית, מועבר לבדיקת עלויות של אמל ולאחריו נסכם ונזמין את היזם לסגירת חוזה - טרם הסתיים 
נקבעה פגישה וסיור מחר 24.6.26 באתר עם היזם וטכנו כלכליים לסגירת הנושאים הכלכליים- בוצע, בימים הקרובים נתכנס לסיכום עלויות</t>
  </si>
  <si>
    <t xml:space="preserve">התקיימה פגישה באתר, מנה"פ תישלח טבלת תשלומים  סופית לאישור טראלייט עד סוף השבוע. </t>
  </si>
  <si>
    <t xml:space="preserve">התקיימה פגישה באתר, מנה"פ תישלח ב 11/8 טבלת תשלומים  סופית לאישור טראלייט עד סוף השבוע. </t>
  </si>
  <si>
    <t>התקיימה פגישה באתר, עד 20/8 אישור טבלת תשלומים סופית מול אמל והעברה לאישור טראלייט.</t>
  </si>
  <si>
    <t xml:space="preserve"> עד 26/8 תועבר טבלת תשלומים סופית עבור שינויים ותוספות לאישור טראלייט.</t>
  </si>
  <si>
    <t>WBE-229</t>
  </si>
  <si>
    <t>קצרין- רב שלבי-החלפת 3 ניידות 20 מגוו"א ל2 שנאים 50 מגוו"א</t>
  </si>
  <si>
    <t>בוצע  ב 11/3 חושמלו הקווים ונותקו מהניידת</t>
  </si>
  <si>
    <t xml:space="preserve"> הוצאת הניידת נקבעה ב 19/05/26. בוצע טסט והכנת הניידת להובלה ע"י מח' התחבורה
לאחר מכן כניסת קבלן כבלים לפינוי הכבלים ותשתיות נותרות באתר.</t>
  </si>
  <si>
    <t xml:space="preserve"> ב 19/05/26 הושלמה הוצאת הניידת .  
ב 25/05/26 נכנס צוות הרכבה חשמלית + קבלן כבלים לחיווטים ופינוי הכבלים והתשתיות שנותרו באתר.</t>
  </si>
  <si>
    <t xml:space="preserve"> ב 19/05/26 הושלמה הוצאת הניידת .  
ב 25/05/26 נכנס צוות הרכבה חשמלית + קבלן כבלים לחיווטים ופינוי הכבלים והתשתיות שנותרו באתר. השבוע יסיים קבלן הכבלים את העבודה. קבלן אזרחי מטעם המחוז יגיע עד 09/06/26 וצוות המחוז להטמנת כבלים של הניידת + תיקונים ונקיונות.</t>
  </si>
  <si>
    <t xml:space="preserve"> ב 19/05/26 הושלמה הוצאת הניידת .  
ב 25/05/26 נכנס צוות הרכבה חשמלית + קבלן כבלים לחיווטים ופינוי הכבלים והתשתיות שנותרו באתר. השבוע יסיים קבלן הכבלים את העבודה. קבלן אזרחי מטעם המחוז יגיע ב 16/06/26 וצוות המחוז להטמנת כבלים של הניידת + תיקונים ונקיונות.</t>
  </si>
  <si>
    <t xml:space="preserve">הושלם </t>
  </si>
  <si>
    <t xml:space="preserve">הושלם ונדרשת השלמת איטום מעברי אש </t>
  </si>
  <si>
    <t xml:space="preserve">הושלם. ונדרשת השלמת איטום מעברי אש </t>
  </si>
  <si>
    <t>WBE-100</t>
  </si>
  <si>
    <t>נייר חדרה - שידרוג התחמ"ש</t>
  </si>
  <si>
    <t>התקבלה הודעה שהתוכנית צפויה לקבל אישור ואגרה תוך חודשיים. המשמעות היא שניתן לפתוח תיק להיתר רק לאחר קבלת התב"ע המעודכנת ולכן צריך לדחות את סיום הפרויקט בהתאם.</t>
  </si>
  <si>
    <t>ב 31/05/26 התקבלה תב"ע. תתואם ישיבת התנעה.</t>
  </si>
  <si>
    <t>ב 31/05/26 התקבלה תב"ע. תתואם ישיבת התנעה לתחילת אוגוסט</t>
  </si>
  <si>
    <t xml:space="preserve">ב 31/05/26 התקבלה תב"ע. נקבעה שיבת התנעה ב 19/08/26  </t>
  </si>
  <si>
    <t xml:space="preserve">ב 31/05/26 התקבלה תב"ע.  ישיבת התנעה תתקיים ב 19/08/26 , 
</t>
  </si>
  <si>
    <t>ב 31/05/26 התקבלה תב"ע. התקיימה ישיבת התנעה ב 19/08/26 , 
הועברה ע"י התכנון תוכנית להתייחסות הגורמים הרלוונטים לטובת הקפאת מצב בשביל הוצאת הזמנה לתכנון להיתר. 
סיור באתר מתואם לאחרי ראש השנה.</t>
  </si>
  <si>
    <t>WBE-249</t>
  </si>
  <si>
    <t>יאסיף-התקנת שני שנאים בהספק 50 מגו"א כ"א</t>
  </si>
  <si>
    <t>המשך עבודות הרכבה חשמלית.
התקבל עדכון מה. חשמלית כי חסר ציוד וברגי עיגון - יצאה הזמנה, בוחנים השפעה על לו"ז הפרויקט.
השלמת חוזה עם היזם: בעקבות חילוקי דעות על עלות החוזה בין חח"י לאנרג'יקס נקבעה פגישה למנכ"ל אנרג'יקס אצל מנהל האגף ב 26/05/26</t>
  </si>
  <si>
    <t>המשך עבודות הרכבה חשמלית.
התקבל עדכון מה. חשמלית כי חסר ציוד וברגי עיגון - יצאה הזמנה, בוחנים השפעה על לו"ז הפרויקט.
השלמת חוזה עם היזם: בעקבות חילוקי דעות על עלות החוזה בין חח"י לאנרג'יקס התקיימה פגישה עם מנכ"ל אנרג'יקס אצל מנהל האגף ב 26/05/26 סוכם כי מנהל האגף ומנכ"ל אנרג'יקס יתאמו פגישה אישית להגעה להבנות.</t>
  </si>
  <si>
    <t xml:space="preserve">המשך עבודות הרכבה חשמלית.
התקבל עדכון מה. חשמלית כי חסר ציוד וברגי עיגון - יצאה הזמנה, בוחנים השפעה על לו"ז הפרויקט.
השלמת חוזה עם היזם: בעקבות חילוקי דעות על עלות החוזה בין חח"י לאנרג'יקס התקיימה פגישה עם מנכ"ל אנרג'יקס אצל מנהל האגף ב 26/05/26 סוכם כי מנהל האגף ומנכ"ל אנרג'יקס יתאמו פגישה אישית להגעה להבנות. ב 07/06/26 התקבלה הודעה כי חברת אנרג'יקס וחח"י סיכמו תשלום עפ"י החוזה </t>
  </si>
  <si>
    <t xml:space="preserve">המשך עבודות הרכבה חשמלית.
התקבל עדכון מה. חשמלית כי ב 11/06/26 התקבל הציוד וברגי העיגון - המשך עבודות.
תכנון תקשורת וארונות התקשורת לא סונכרנו עם הקדמת הפרויקט - פועלים להקדימם.
השלמת חוזה עם היזם: בעקבות חילוקי דעות על עלות החוזה בין חח"י לאנרג'יקס התקיימה פגישה עם מנכ"ל אנרג'יקס אצל מנהל האגף ב 26/05/26 סוכם כי מנהל האגף ומנכ"ל אנרג'יקס יתאמו פגישה אישית להגעה להבנות. ב 07/06/26 התקבלה הודעה כי חברת אנרג'יקס וחח"י סיכמו תשלום עפ"י החוזה </t>
  </si>
  <si>
    <t xml:space="preserve">המשך עבודות הרכבה חשמלית.
 צפי מסירה לבדיקות 30/7/2026
השלמת חוזה עם היזם: בעקבות חילוקי דעות על עלות החוזה בין חח"י לאנרג'יקס התקיימה פגישה עם מנכ"ל אנרג'יקס אצל מנהל האגף ב 26/05/26 סוכם כי מנהל האגף ומנכ"ל אנרג'יקס יתאמו פגישה אישית להגעה להבנות. ב 07/06/26 התקבלה הודעה כי חברת אנרג'יקס וחח"י סיכמו תשלום עפ"י החוזה </t>
  </si>
  <si>
    <t>המשך עבודות הרכבה חשמלית.
 צפי מסירה לבדיקות 30/7/2026
ב 07/06/26 התקבלה הודעה כי חברת אנרג'יקס וחח"י סיכמו תשלום עפ"י החוזה 
באחריות רחלי להשלים מסמך לאישור הפשרה בועדת מכרזים</t>
  </si>
  <si>
    <t>המשך עבודות הרכבה חשמלית.
נקבע קומישנינג לצוות של אפרת ל 12/7 צפי מסירה לבדיקות 30/7/2026
הושלם המסמך, ממתין לאישור ועדת מכרזים</t>
  </si>
  <si>
    <t>המשך עבודות הרכבה חשמלית.
 הקומישנינג נדחה ל 19/7 בשל סדרי עדיפויות באגף - לא סופי. 
ולאחריו יתואם מועד מסירה חדש לבדיקות . צפי להכנסה לניצול אוק'-נוב' 2026 ומותנה בסדרי עדיפות של האגף.
הושלם המסמך ונשלח לחתימת אנרג'יקס, ממתין לאישור ועדת מכרזים</t>
  </si>
  <si>
    <t>סיום עבודות הרכבה חשמלית.
 בדיקת הקומישנינג צפויה להסתיים ב 10/08/26. 
 השלמת מסירה חלקית של מסדר 161 + שנאי + מסדר 0  עד 02/08/26 
ב 15/08/26 תתבצע מסירה מלאה לבדיקות,  . 
צפי להכנסה לניצול  10/11/2026 מותנה בזמינות בודקים.
השבוע תתקיים ועדת מכרזים לאישור תשלום סופי לאנרג'יקס.</t>
  </si>
  <si>
    <t>סיום עבודות הרכבה חשמלית.
 בדיקת הקומישנינג צפויה להסתיים ב 10/08/26. 
הושלמה מסירה חלקית של מסדר 161 + שנאי + מסדר 0  עד 02/08/26 
ב 15/08/26 תתבצע מסירה מלאה לבדיקות. 
צפי להכנסה לניצול  10/11/2026 מותנה בזמינות בודקים.
השבוע תתקיים ועדת מכרזים לאישור תשלום סופי לאנרג'יקס.</t>
  </si>
  <si>
    <t>סיום עבודות הרכבה חשמלית.
 הסתיימה בדיקת הקומישנינג  
תתבצע מסירה מלאה לבדיקות ב 31/08/26
צפי להכנסה לניצול  10/11/2026 מותנה בזמינות בודקים.
 תתקיים ועדת מכרזים לאישור תשלום סופי לאנרג'יקס.</t>
  </si>
  <si>
    <t>סיום עבודות הרכבה חשמלית.
 הסתיימה בדיקת הקומישנינג  
ב 17-18/08/26 מגיע נציג הספק לתיקון תא במסדר 24 ק"ו, לאחר מכן נקיים בדיקת מתח יתר.
תתבצע מסירה מלאה לבדיקות ב 31/08/26
צפי להכנסה לניצול  10/11/2026 מותנה בזמינות בודקים.
 ב 17/08/26 התקיימה ועדת מכרזים - אושר תשלום סופי כולל הפשרה לחברת אנרג'יקס .</t>
  </si>
  <si>
    <t>נציג אפקון טרם השלים את תיקון התקלה, כמו כן נמצאו תקלות בתאים נוספים. ממתינים לתיאום מחודש של אפרת עם נציג אפקון להשלמת כלל התיקונים, רק לאחר השלמת הטיפול הנ"ל נוכל לתאם מסירה ולהשלים מתח יתר.
 צפי הכנסה לניצול  10/11/2026 - מותנה בהשלמת התיקון ובזמינות בודקים.
 ב 17/08/26 התקיימה ועדת מכרזים - אושר תשלום סופי כולל הפשרה לחברת אנרג'יקס .</t>
  </si>
  <si>
    <t xml:space="preserve"> לא נעמוד ביעד הפנימי שהוגדר ע"י החטיבה. </t>
  </si>
  <si>
    <t>WBC-119</t>
  </si>
  <si>
    <t>בראון (עמק הבכא)-הרחבת תחמ"ש פרטי(לחח"י)</t>
  </si>
  <si>
    <t>שנאי 1 חושמל 13/05/25 
צפי חישמול לשנאי ה- 2 ה- 25/6
 שנאי 3 - בוטל</t>
  </si>
  <si>
    <r>
      <rPr>
        <sz val="12"/>
        <rFont val="Arial"/>
        <family val="2"/>
        <scheme val="minor"/>
      </rPr>
      <t>צוות יח' התחמ"ש הוצאו לעבודה בהדרי שאן וכרמיאל,  סיכון שהתממש. הצוות לא יוכל להשלים הכנסה לניצול של השנאי עד סוף מאי 26</t>
    </r>
  </si>
  <si>
    <t>צוות יח' התחמ"ש הוצאו לעבודה בהדרי שאן וכרמיאל,  סיכון שהתממש. הצוות לא יוכל להשלים הכנסה לניצול של השנאי עד סוף מאי 26 וטרם צפי מעודכן לסיום.</t>
  </si>
  <si>
    <t>צוות יח' התחמ"ש הוצאו לעבודה בהדרי שאן וכרמיאל,  סיכון שהתממש. הצוות לא יוכל להשלים הכנסה לניצול של השנאי עד סוף מאי 26 וטרם התקבל צפי מעודכן לסיום.</t>
  </si>
  <si>
    <t>צוות יח' התחמ"ש הוצאו לעבודה בהדרי שאן וכרמיאל,  סיכון שהתממש. 
הצוות ישלים הכנסה לניצול של השנאי  ה 2 עד 24/06/26
 וטרם התקבל צפי מעודכן לסיום חישמול השנאי ה 3.</t>
  </si>
  <si>
    <t>השנאי  ה 2 -התקיימה ב23/6 וועדת חשמול צפי חשמול 25/6/26
 וטרם התקבל צפי מעודכן לסיום חישמול השנאי ה 3.</t>
  </si>
  <si>
    <t>השנאי  ה 2 חושמל ב 25/06/26
הועברה בקשה לגיל חזום לבדיקת נחיצות מועד החישמול של השנאי השלישי, ובחינת הפרדתו מהפרויקט הנוכחי.</t>
  </si>
  <si>
    <t>בהמשך לאישור נגה נעשה עדכון בתבונה וניתן לסגור את הפרויקט.</t>
  </si>
  <si>
    <t>סיכון התממש - אי עמידה ביעד חישמול של השנאי</t>
  </si>
  <si>
    <t>WBE-192</t>
  </si>
  <si>
    <t>בראון- התקנת שנאי רביעי 161/36 ק"ו, 50 מגוו"א</t>
  </si>
  <si>
    <t xml:space="preserve">פרויקט מוקפא </t>
  </si>
  <si>
    <t>פרויקט מוקפא - לשיקולכם האם להסיר מהדוח?</t>
  </si>
  <si>
    <t>בר לב - התקנת שנאי שלישי 161/24 ק"ו , 50 מגוו"א</t>
  </si>
  <si>
    <t>המכרז אושר  בוועדת מכרזים  ב 06/05/26 ופורסם.   
סיור קבלנים נקבע ל 19/05/26.
צפי לקבלת הודעת קבלן זוכה - 17/06/26
מערכת SCS חדשה של סימנס: ב 13/05/26 הושלם סיווג המערכת והוקמה הזמנה לסימנס. המנכ"ל חתם על ההזמנה ביום א' 17/05/26, נעשה תיאום מול נציגי סימנס לקיצור הזמנים עבור המערכת לברלב וקבלת הציוד לאתר ב 10/26 כולל בדיקות ראשוניות שייעשו יחד עם צוותי חח"י וסימנס.</t>
  </si>
  <si>
    <t>המכרז אושר  בוועדת מכרזים  ב 06/05/26 ופורסם.   
התבצע סיור קבלנים ב 19/05/26. 
לבקשת הקבלנים, בעקבות החג התנה תוספת של שבוע להגשה עד 09/06/26
צפי לקבלת הודעת קבלן זוכה - 17/06/26
מערכת SCS חדשה של סימנס: ב 13/05/26 הושלם סיווג המערכת והוקמה הזמנה לסימנס. המנכ"ל חתם על ההזמנה ביום א' 17/05/26, נעשה תיאום מול נציגי סימנס לקיצור הזמנים עבור המערכת לברלב וקבלת הציוד לאתר ב 10/26 כולל בדיקות ראשוניות שייעשו יחד עם צוותי חח"י וסימנס.</t>
  </si>
  <si>
    <t>המכרז אושר  בוועדת מכרזים  ב 06/05/26 ופורסם.   
התבצע סיור קבלנים ב 19/05/26. 
לבקשת הקבלנים, בעקבות החג ניתנה תוספת של שבוע להגשה עד 09/06/26
צפי לקבלת הודעת קבלן זוכה - 17/06/26
מערכת SCS חדשה של סימנס: ב 13/05/26 הושלם סיווג המערכת והוקמה הזמנה לסימנס. המנכ"ל חתם על ההזמנה ביום א' 17/05/26, נעשה תיאום מול נציגי סימנס לקיצור הזמנים עבור המערכת לברלב וקבלת הציוד לאתר ב 10/26 כולל בדיקות ראשוניות שייעשו יחד עם צוותי חח"י וסימנס. במעקב.</t>
  </si>
  <si>
    <t>המכרז אושר  בוועדת מכרזים  ב 06/05/26 ופורסם.   
התבצע סיור קבלנים ב 19/05/26. 
לבקשת הקבלנים, בעקבות החג ניתנה תוספת של שבוע להגשה 
התקבלו הצעות הקבלנים ב 09/06/26
צפי לקבלת הודעת קבלן זוכה - 24/06/26
מערכת SCS חדשה של סימנס: ב 13/05/26 הושלם סיווג המערכת והוקמה הזמנה לסימנס. המנכ"ל חתם על ההזמנה ביום א' 17/05/26, נעשה תיאום מול נציגי סימנס לקיצור הזמנים עבור המערכת לברלב וקבלת הציוד לאתר ב 10/26 כולל בדיקות ראשוניות שייעשו יחד עם צוותי חח"י וסימנס. במעקב.</t>
  </si>
  <si>
    <t>נבחר קבלן זוכה ממתינים לעדכון דוח קרקע חווד שנייה וצפי תחילת עבודות 15/7/2026. 
מערכת SCS חדשה של סימנס: ב 13/05/26 הושלם סיווג המערכת והוקמה הזמנה לסימנס. המנכ"ל חתם על ההזמנה ביום א' 17/05/26, נעשה תיאום מול נציגי סימנס לקיצור הזמנים עבור המערכת לברלב וקבלת הציוד לאתר ב 10/26 כולל בדיקות ראשוניות שייעשו יחד עם צוותי חח"י וסימנס. במעקב.</t>
  </si>
  <si>
    <t>נבחר קבלן זוכה ממתינים לעדכון דוח קרקע חווד שנייה וצפי תחילת עבודות 15/7/2026- התקבל דוח קרקע והוחלט לשנות את היסודות מכלונסאות ליסודות רדודים והחלפת קרקע, התכנון יעדכן את התוכניות לפי סדר עדיפויות, קודם שנאי ולאחר מכן מסדרי אפס על מנת לא לעכב את הקבלן.
נקבעה פגישת התנעה עם הקבלן הזוכה ב- 06.07.2026 
מערכת SCS חדשה של סימנס: ב 13/05/26 הושלם סיווג המערכת והוקמה הזמנה לסימנס. המנכ"ל חתם על ההזמנה ביום א' 17/05/26, נעשה תיאום מול נציגי סימנס לקיצור הזמנים עבור המערכת לברלב וקבלת הציוד לאתר ב 10/26 כולל בדיקות ראשוניות שייעשו יחד עם צוותי חח"י וסימנס. במעקב.</t>
  </si>
  <si>
    <r>
      <rPr>
        <sz val="12"/>
        <rFont val="Arial"/>
        <family val="2"/>
        <scheme val="minor"/>
      </rPr>
      <t xml:space="preserve">1. ישיבת התנעה עם הקבלן הזוכה התקיימה ב 6/7/26 ממתינים לחתימת החוזה והשלמת התארגנות. צפי תחילת עבודות 19/07/26.
2. עדכון התכנון לייסודות רדודים בהתאם להחלטת הנהלה ימסר לקבלן בחבילות:
- חבילה ראשונה - מאצרה ושנאי עד 9/7/26.
- חבילה שניה - תכולות נותרות עד 
16/07/26
3. ציוד: נתוני הציוד לא תומכים בלו"ז המעודכן שנקבע לאחר הישיבה אצל מנהל האגף. (חלק מהציודים מגיעים ב 01/27) נדרשת התערבות הנהלה. נדרש למצוא חלופות ציוד כך שיתמכו בלו"ז המעודכן ולא יפגעו בהשלמת הפרויקט.
</t>
    </r>
  </si>
  <si>
    <t xml:space="preserve">1. נחתם החוזה והתקבלו ערבויות וביטוחים. הקבלן סיים סיור לסקר בטיחות וממתין לאישור עובדים מול הביטחון. צפי תחילת עבודות 19/07/26.
2. עדכון התכנון לייסודות רדודים בהתאם להחלטת הנהלה ימסר לקבלן בחבילות:
- חבילה ראשונה - מאצרה - נמסרה
  טרם התקבל התכנון המעודכן לשנאי 
- חבילה שניה - השלמת יתרת היסודות - טרם התקבל
3. ציוד: נתוני הציוד לא תומכים בלו"ז המקורי (המוצג בפלטפורמות השונות). כרגע הנתיב הקריטי למצוא מסדר 24 חלופי. שעפ"י מח' ציוד יגיע ב 10/26 - נדרש ב 07/26.
</t>
  </si>
  <si>
    <t xml:space="preserve">1. נחתם החוזה והתקבלו ערבויות וביטוחים. הקבלן סיים סיור לסקר בטיחות וממתין לאישור עובדים מול הביטחון. 
2. עדכון התכנון לייסודות רדודים בהתאם להחלטת הנהלה ימסר לקבלן בחבילות:
- חבילה ראשונה - מאצרה - נמסרה
  טרם התקבל התכנון המעודכן לשנאי 
- חבילה שניה - השלמת יתרת היסודות - טרם התקבל
3. ציוד: נתוני הציוד לא תומכים בלו"ז המקורי (המוצג בפלטפורמות השונות). כרגע הנתיב הקריטי למצוא מסדר 24 חלופי. שעפ"י מח' ציוד יגיע ב 10/26 - נדרש ב 07/26.
</t>
  </si>
  <si>
    <t xml:space="preserve">1. ב 28/07/26 הקבלן מתחיל לעבוד באתר.
3.  התכנון המעודכן ליסודות רדודים  - רוב החבילות התקבלו, חבילה אחרונה של מסדרי 0 וסוללות קבלים יושלים עד סוף שבוע הבא.
4. ציוד: נמצאה אפשרות להקדמת המסדר לספטמבר 2026 - מותנה באישור גלי לסדרי עדיפויות חדשים.
</t>
  </si>
  <si>
    <t xml:space="preserve">1. הושלמה התארגנות הקבלן באתר, כולל חיבור חשמל זמני ומים.
2. הזזת קירון מיגון - לטובת תחילת חפירות ליסוד שנאי, ב 3,4/08/26 תתבצע הזזת קירות מיגון ע"י צמ"ן .
3.  התכנון המעודכן ליסודות רדודים  - הושלם במלואו
4. ציוד: נמצאה אפשרות להקדמת המסדר לספטמבר 2026 - מותנה באישור גלי לסדרי עדיפויות חדשים.
</t>
  </si>
  <si>
    <t xml:space="preserve">הקבלן החל לעבוד באתר, עובד ב 2 מקומות עם 2 משגיחים. צפי השלמת יסוד שנאי 15/09/26 
ציוד: נמצאה אפשרות להקדמת המסדר לספטמבר 2026 - מותנה באישור הנהלה לתעדוף לטובת ברלב.
</t>
  </si>
  <si>
    <t xml:space="preserve">הקבלן החל לעבוד באתר, עובד ב 2 מקומות עם 2 משגיחים. צפי השלמת יסוד שנאי 15/09/26 
ציוד: נמצאה אפשרות להקדמת המסדר לספטמבר 2026 - ממתינים בדחיפות לאישור הנהלה לתעדוף לטובת ברלב.
</t>
  </si>
  <si>
    <t xml:space="preserve">
1. התארכות עבודות אזרחיות - למעקב.
2. עיכוב בקבלת מערכת SCS חדשה של חברת סימנס במועד המבוקש 10/26 - סיכון למעקב
3. עיכוב באספקת ציודים.
</t>
  </si>
  <si>
    <t>WBE-223</t>
  </si>
  <si>
    <t>בית שאן-התקנת שנאי חמישי 161/24 ק"ו 50 מ</t>
  </si>
  <si>
    <t>1. מסירה שניה של 2 שדות 161 ק"ו שנקבעה ל 23/05/26 נדחית ל 30/05/26 בעקבות טעות בתכנון להרכבת הקונסטרוקציות הדורש פירוק והרכבה מחדש.
2. המסירה של המבנה שנקבעה ל 04/06/26 זזה ל 10/06/26 בגלל חוסר בפועלים בימי החג המוסלמי. 
3. חשמל זמני: החשמל הזמני לקבלן חובר משנאי בית שנמצא בתוך השטח התפעולי. עם כניסת עובדי הרכבה חשמלית נמצא כי החיבור אינו בטיחותי.  ב 18/05/26 תתקיים פגישה של הרכבה חשמלית עם התכנון של המחוז ותכנון תחמ"ש לשינוי החיבור לחשמל הזמני, גם עבור הקבלן וגם עבור עובדי הרכבה משנאי בית הנמצא מחוץ לשטח התחנה.</t>
  </si>
  <si>
    <t>1. מסירה שניה של 2 שדות 161 ק"ו שנקבעה ל 23/05/26 נדחית ל 07/06/26 בעקבות טעות בתכנון להרכבת הקונסטרוקציות הדורש פירוק והרכבה מחדש.
2. המסירה של המבנה שנקבעה ל 04/06/26 זזה ל 10/06/26 בגלל חוסר בפועלים בימי החג המוסלמי. 
3. חשמל זמני: החשמל הזמני לקבלן חובר משנאי בית שנמצא בתוך השטח התפעולי. עם כניסת עובדי הרכבה חשמלית נמצא כי החיבור אינו בטיחותי.  ב 18/05/26 התקיימה פגישה של הרכבה חשמלית עם התכנון של המחוז ותכנון תחמ"ש לשינוי החיבור לחשמל הזמני, גם עבור הקבלן וגם עבור עובדי הרכבה משנאי בית הנמצא מחוץ לשטח התחנה. בעקבות הפגישה יצאה הזמנה לתכנון המחוז להעתקת החיבור לשנאי החיצוני.</t>
  </si>
  <si>
    <r>
      <rPr>
        <sz val="12"/>
        <rFont val="Arial"/>
        <family val="2"/>
        <scheme val="minor"/>
      </rPr>
      <t>1. מסירה שניה של 2 שדות 161 ק"ו שנקבעה ל 23/05/26 נדחית ל 07/06/26 בעקבות טעות בתכנון להרכבת הקונסטרוקציות הדורש פירוק והרכבה מחדש.
2. המסירה של המבנה שנקבעה ל 04/06/26 זזה ל 10/06/26 בגלל חוסר בפועלים בימי החג המוסלמי. 
3. חשמל זמני: החשמל הזמני לקבלן חובר משנאי בית שנמצא בתוך השטח התפעולי. עם כניסת עובדי הרכבה חשמלית נמצא כי החיבור אינו בטיחותי.  ב 18/05/26 התקיימה פגישה של הרכבה חשמלית עם התכנון של המחוז ותכנון תחמ"ש לשינוי החיבור לחשמל הזמני, גם עבור הקבלן וגם עבור עובדי הרכבה משנאי בית הנמצא מחוץ לשטח התחנה. בעקבות הפגישה י</t>
    </r>
    <r>
      <rPr>
        <u/>
        <sz val="12"/>
        <rFont val="Arial"/>
        <family val="2"/>
        <scheme val="minor"/>
      </rPr>
      <t>צאה הזמנה לתכנון המחוז להעתקת החיבור לשנאי החיצונ</t>
    </r>
    <r>
      <rPr>
        <sz val="12"/>
        <rFont val="Arial"/>
        <family val="2"/>
        <scheme val="minor"/>
      </rPr>
      <t>י. ממתינים לצוות המחוז שיגיע לביצוע.</t>
    </r>
  </si>
  <si>
    <t>1. מסירה שניה של 3 שדות 161 ק"ו שנקבעה ל 23/05/26 נדחתה ל 10/06/26 בעקבות טעות בתכנון להרכבת הקונסטרוקציות הדורש פירוק והרכבה מחדש.
2. המסירה של המבנה שנקבעה ל 04/06/26 זזה ל 23/06/26 בגלל חוסר בפועלים בימי החג המוסלמי. 
3. חשמל זמני: החשמל הזמני לקבלן חובר משנאי בית שנמצא בתוך השטח התפעולי. עם כניסת עובדי הרכבה חשמלית נמצא כי החיבור אינו בטיחותי.  ב 18/05/26 התקיימה פגישה של הרכבה חשמלית עם התכנון של המחוז ותכנון תחמ"ש לשינוי החיבור לחשמל הזמני, גם עבור הקבלן וגם עבור עובדי הרכבה משנאי בית הנמצא מחוץ לשטח התחנה. בעקבות הפגישה יצאה הזמנה לתכנון המחוז להעתקת החיבור לשנאי החיצוני. ממתינים לצוות המחוז שיגיע לביצוע.</t>
  </si>
  <si>
    <t>1. בוצע סיור מסירה שניה של 3 שדות 161 ק"ו ב 11/06/26. קיימים ריג'קטים שבטיפול.
2. המסירה של המבנה שנקבעה ל 04/06/26 זזה ל 23/06/26 בגלל חוסר בפועלים בימי החג המוסלמי. 
3. חשמל זמני: החשמל הזמני לקבלן חובר משנאי בית שנמצא בתוך השטח התפעולי. עם כניסת עובדי הרכבה חשמלית נמצא כי החיבור אינו בטיחותי.  ב 18/05/26 התקיימה פגישה של הרכבה חשמלית עם התכנון של המחוז ותכנון תחמ"ש לשינוי החיבור לחשמל הזמני, גם עבור הקבלן וגם עבור עובדי הרכבה משנאי בית הנמצא מחוץ לשטח התחנה. בעקבות הפגישה יצאה הזמנה לתכנון המחוז להעתקת החיבור לשנאי החיצוני. ממתינים לצוות המחוז שיגיע לביצוע.</t>
  </si>
  <si>
    <t>1. בוצע סיור מסירה שניה של 3 שדות 161 ק"ו ב 11/06/26. קיימים ריג'קטים שבטיפול.
2. המסירה של המבנה שנקבעה ל 04/06/26 זזה ל 23/06/26 בגלל חוסר בפועלים בימי החג המוסלמי. נדחה לתאריך 30/6/2027
3. חשמל זמני: החשמל הזמני לקבלן חובר משנאי בית שנמצא בתוך השטח התפעולי. עם כניסת עובדי הרכבה חשמלית נמצא כי החיבור אינו בטיחותי.  ב 18/05/26 התקיימה פגישה של הרכבה חשמלית עם התכנון של המחוז ותכנון תחמ"ש לשינוי החיבור לחשמל הזמני, גם עבור הקבלן וגם עבור עובדי הרכבה משנאי בית הנמצא מחוץ לשטח התחנה. בעקבות הפגישה יצאה הזמנה לתכנון המחוז להעתקת החיבור לשנאי החיצוני. ממתינים לצוות המחוז שיגיע לביצוע .
עבודות הקבלן ליציקת 2 יסודות שנאי מערביים נעצרו לטובת הנפת עמודי מתח עליון בתחנה שיבוצע ב25/6/2026 ובמוצש וביום ראשון יחזרו לעבוד כרגיל.</t>
  </si>
  <si>
    <t>1. בוצע סיור מסירה שניה של 3 שדות 161 ק"ו ב 11/06/26. קיימים ריג'קטים שבטיפול- תוקנו
2. המסירה של המבנה שנקבעה ל 04/06/26 זזה ל 23/06/26 בגלל חוסר בפועלים בימי החג המוסלמי. נדחה לתאריך 30/6/2026,נדחה ל- 12.07.2026 ,נעשתה בדיקה עם הקבלן לקבל את אולם המסדרים שבוע לפני. ב- 30.06.2026 לבקשת הנהלת החטיבה יתקיים מיני קייזן לניתוח השלבים לטובת הכנסה לניצול של שנאי אחד עד סוף שנה.
3. חשמל זמני: החשמל הזמני לקבלן חובר משנאי בית שנמצא בתוך השטח התפעולי. עם כניסת עובדי הרכבה חשמלית נמצא כי החיבור אינו בטיחותי.  ב 18/05/26 התקיימה פגישה של הרכבה חשמלית עם התכנון של המחוז ותכנון תחמ"ש לשינוי החיבור לחשמל הזמני, גם עבור הקבלן וגם עבור עובדי הרכבה משנאי בית הנמצא מחוץ לשטח התחנה. בעקבות הפגישה יצאה הזמנה לתכנון המחוז להעתקת החיבור לשנאי החיצוני. ממתינים לצוות המחוז שיגיע לביצוע .
עבודות הקבלן ליציקת 2 יסודות שנאי מערביים נעצרו לטובת הנפת עמודי מתח עליון בתחנה שיבוצע ב25/6/2026 ובמוצש וביום ראשון יחזרו לעבוד כרגיל.
29.06.2026 אמור לצאת תיק לביצוע ותתואם העבודה בתחנה</t>
  </si>
  <si>
    <t>שולב בפרויקט הגדול WBE-162, בעקבות התחייבות חח"י לחיבורי לקוח ולבקשת הנהלת החטיבה התקיים ב 2/7/26 דיון ראשון לקייזן ניתוח חלופות לטובת חישמול שנאי 1 עד סוף 2026. התברר כי ישנן סוגיות רבות לניתוח ופיתרון ויקבע קייזן של יום שלם פרונטלי בשבוע שבין 12-18/07/26.</t>
  </si>
  <si>
    <t>שולב בפרויקט הגדול WBE-162, בעקבות התחייבות חח"י לחיבורי לקוח ולבקשת הנהלת החטיבה התקיים ב 2/7/26 דיון ראשון לקייזן ניתוח חלופות לטובת חישמול שנאי 1 עד סוף 2026. התברר כי ישנן סוגיות רבות לניתוח ופיתרון. ב 13/07/26 התקיים סיום מקדים להמשך הקייזן המתוכנן ב 15/07/26. הצגת מסקנות לסמנכ"ל החטיבה נקבע ל 05/08/26.</t>
  </si>
  <si>
    <t>שולב בפרויקט הגדול WBE-162, בעקבות התחייבות חח"י לחיבורי לקוחות ולבקשת הנהלת החטיבה בוצע והושלם  לקייזן ניתוח חלופות לטובת חישמול שנאי 1 עד סוף 2026. הצגת מסקנות לסמנכ"ל החטיבה נקבע ל 05/08/26.</t>
  </si>
  <si>
    <t>לאחר הצגת ממצאי הקייזן לסמנכ"ל התבקשנו לבחון שוב, השלמת כל תכולות הפרוייקט לסוף פברואר 2027. וחלופות להצבת ניידת.</t>
  </si>
  <si>
    <t>ב 16/08/26 הוצג אצל סמנכ"ל החטיבה ואושרה חלופה של השלמת כלל תכולת הפרויקט עד מרץ 2027 והצבת ניידת מהדרי שאן כפיתרון ביניים ב 11/2026</t>
  </si>
  <si>
    <t>ב 16/08/26 הוצג אצל סמנכ"ל החטיבה ואושרה חלופה של השלמת כלל תכולת הפרויקט עד מרץ 2027 והצבת ניידת מהדרי שאן כפיתרון ביניים ב 11/2026  - נקבע סיור באתר ב 26/08/26  לבחירת החלופה להצבת הניידת.</t>
  </si>
  <si>
    <t>בית שאן- הקמת מסדר 161, בניין מסדרים מ"ג והחלפת שנאים 521,522,531</t>
  </si>
  <si>
    <r>
      <rPr>
        <sz val="12"/>
        <rFont val="Arial"/>
        <family val="2"/>
      </rPr>
      <t>1. מסירה שניה של 3 שדות 161 ק"ו שנקבעה ל 23/05/26 נדחתה ל 10/06/26 בעקבות טעות בתכנון להרכבת הקונסטרוקציות הדורש פירוק והרכבה מחדש.
2. המסירה של המבנה שנקבעה ל 04/06/26 זזה ל 23/06/26 בגלל חוסר בפועלים בימי החג המוסלמי. 
3. חשמל זמני: החשמל הזמני לקבלן חובר משנאי בית שנמצא בתוך השטח התפעולי. עם כניסת עובדי הרכבה חשמלית נמצא כי החיבור אינו בטיחותי.  ב 18/05/26 התקיימה פגישה של הרכבה חשמלית עם התכנון של המחוז ותכנון תחמ"ש לשינוי החיבור לחשמל הזמני, גם עבור הקבלן וגם עבור עובדי הרכבה משנאי בית הנמצא מחוץ לשטח התחנה. בעקבות הפגישה יצאה הזמנה לתכנון המחוז להעתקת החיבור לשנאי החיצוני. ממתינים לצוות המחוז שיגיע לביצוע.</t>
    </r>
  </si>
  <si>
    <t>1. בוצע סיור מסירה שניה של 3 שדות 161 ק"ו ב 11/06/26. קיימים ריג'קטים שבטיפול.
2. המסירה של המבנה שנקבעה ל 04/06/26 זזה ל 23/06/26 בגלל חוסר בפועלים בימי החג המוסלמי. נדחה לתאריך 30/6/2027
3. חשמל זמני: החשמל הזמני לקבלן חובר משנאי בית שנמצא בתוך השטח התפעולי. עם כניסת עובדי הרכבה חשמלית נמצא כי החיבור אינו בטיחותי.  ב 18/05/26 התקיימה פגישה של הרכבה חשמלית עם התכנון של המחוז ותכנון תחמ"ש לשינוי החיבור לחשמל הזמני, גם עבור הקבלן וגם עבור עובדי הרכבה משנאי בית הנמצא מחוץ לשטח התחנה. בעקבות הפגישה יצאה הזמנה לתכנון המחוז להעתקת החיבור לשנאי החיצוני. ממתינים לצוות המחוז שיגיע לביצוע .
עבודות הקבלן ליציקת 2 יסודות שנאי מערביים נעצרו לטובת הנפת עמודי מתח עליון בתחנה שיבוצע ב25/6/2026 ובמוצש וביום ראשון יחזרו לעבוד כרגיל.</t>
  </si>
  <si>
    <t xml:space="preserve">הושלמה מסירה של מסדר 161 ק"ו כולל תיקונים.
מבנה הפיקוד ואולם המסדרים - צפי מסירה 12/07/26
ב 27/6/26 הושלמה התקנת 5 עמודי מ"ע בתוך שטח התחנה.
ב 28/6/26 הקבלן חזר להשלים את 2 ייסודות השנאי המערביים.
העתקת חשמל זמני משנאי בית מחוץ לתחנה - הושלם התכנון טרם התקבל תיק ביצוע.
העתקת עמוד בזק הנמצא בכניסה החדשה לתחנה - טרם התבצע - הועבר לטיפול צוות הסרת חסמים מול בזק.
</t>
  </si>
  <si>
    <t xml:space="preserve">הושלמה מסירה של מסדר 161 ק"ו כולל תיקונים.
מבנה הפיקוד ואולם המסדרים - ב 09/07/26 התקיימה שיחה עם הקבלן אצל מנהל מגזר פיקוח. ב 12/07/26 הקבלן העביר לו"ז מעודכן מפורט לבנין. עפ"י לו"ז זה צפי מסירת אולם המסדרים ב 20/07/26 ומסירת חדר הפיקוד ב 27/07/26.
העתקת חשמל זמני משנאי בית מחוץ לתחנה - הושלם התכנון, התקבל תיק ביצוע. ב 14/07/26 סיור עם המחוז לתאום העבודה.
העתקת עמוד בזק הנמצא בכניסה החדשה לתחנה - הושלם.
</t>
  </si>
  <si>
    <t>הושלמה מסירה של מסדר 161 ק"ו כולל תיקונים.
מסירה סופית של אולם המסדרים  הושלמה ב 27/07/26 
נקבעה מסירת של חדר הפיקוד ב 02/08/26.
הושלמה העתקת החשמל זמני משנאי בית מחוץ לתחנה. ב 27/07/26 התקיימה בדיקת המחוז לחיבור.
ב 27/07/26  הרכבות החלו בהכנסת מסדרי 24 ק"ו</t>
  </si>
  <si>
    <t xml:space="preserve">הושלמה העתקת החשמל זמני משנאי בית מחוץ לתחנה. ב 27/07/26 התקיימה בדיקת המחוז לחיבור.
הושלמה מסירה של מסדר 161 ק"ו כולל תיקונים.
מסירה סופית של אולם המסדרים  הושלמה ב 27/07/26 
החלה מסירת  חדר הפיקוד ב 02/08/26. הקבלן קיבל רשימת ריג'קטים לטיפול עד 04/08. 
ב 05/08 תואם העברת ציוד ארונות לחדר פיקוד ותחילת התקנות.
מסירת יסודות שנאים ב 10/08/26, ב 03/08/26 התקיים באתר סיור צמ"ן לקראת הבאת השנאים. צפי הבאת שנאים לאתר 14/08/26
</t>
  </si>
  <si>
    <t xml:space="preserve">הושלמה העתקת החשמל זמני משנאי בית מחוץ לתחנה. ב 27/07/26 התקיימה בדיקת המחוז לחיבור.
הושלמה מסירה של מסדר 161 ק"ו כולל תיקונים.
מסירה סופית של אולם המסדרים  הושלמה ב 27/07/26 
מסירת  סופית  חדר הפיקוד בוצעה 09/08/26. השבוע נסיים הכנסת הציוד.
מסירת יסודות שנאים ב 11/08/26, הובלת 5 השנאים תואמה ל 16,17,18/08/26 (הובלת לילה).
</t>
  </si>
  <si>
    <t xml:space="preserve">
מסירת יסודות שנאים בוצעה ב 11/08/26, הובלת 4 השנאים תואמה ל 16,17,18/08/26 (הובלת לילה).
הובלת שנאי 5 - בגלל אילוצי הובלה יובא לאתר ב 26/08/26
הרכבות:
1. צוות אחד משלים כיוונונים במסדר 161 ק"ו, לאחריו יעבור להתקנת שנאים ומסדרי 0.
2. צוות שני השלים הצמדת ציוד באולם מסדרים והכנה לקומישנינג.
צוות של יח' התחמ"ש יגיע ב 24/08/26 למילוי גז והכנה לקומישנינג
נדרש לתאם צוות של אפרת ל 30/08/26 - נדרשת התערבות הנהלה להקדמת סדרי עדיפויות.
3. צוות שלישי מקדם התקנת וחיווט ארונות בחדר הפיקוד.
4. קבלן כבלים יחל את עבודתו בתאריך 24/08/26.</t>
  </si>
  <si>
    <t xml:space="preserve">עבור השלמת שוחה 10V ממתינים להגעת נציגי מעבדה + מחוז לזיהוי וניתוק כבלים. 
נדרש לקבל אישור נגה להשלמת התקנת סוללות קבלים לאחר החישמול בגלל קושי בהשלמת התשתית העוברת בתוואי כבלים חי של התחנה התפעולית - באחריות רחלי מול גיל חזום
בוצעה הובלה לאתר ל 4 השנאים.  
השנאי 5 - בגלל אילוצי הובלה יובא לאתר ב 26/08/26
הרכבות:
ב 25/08/26 בוצעה מסירה של מסדרי 0 להרכבה חשמלית.
הסתיימה הצמדת ציוד באולם מסדרים  - צוות של יח' התחמ"ש נכנס ב 24/08 למילי גז והכנה לקומישנינג .
נדרש כניסת צוות של אפרת לקומישינג עבור 7 המסדרים ב 05/09/26 נדרשת התערבות הנהלה להקדמת סדרי עדיפויות.
ממשיכים לקדם התקנת וחיווט ארונות בחדר הפיקוד.
קבלן כבלים החל את עבודתו בתאריך 24/08/26.
</t>
  </si>
  <si>
    <t>WBE-286</t>
  </si>
  <si>
    <t>אלעד-התקנת שנאי שלישי 50 מגוו"א 161/24 ק"ו מס' 523</t>
  </si>
  <si>
    <t xml:space="preserve">23.2 התקיימה ישיבה לבקשת המחוז, לטובת הוספת קווים. נתבקשנו לבחון אפשרות של הקדמת הוספת המסדר 24 ק"ו  עוד לפני השנאי. </t>
  </si>
  <si>
    <t>ב 26/05/26 תתקיים מנהלת יציאות מ"ג תחמ"ש אלעד, לאח מכן נבחן נחיצות השנאי והמסדרים בהתאם לת.פ</t>
  </si>
  <si>
    <t>ב 26/05/26 התקיימה מנהלת יציאות מ"ג לתחמ"ש אלעד, אנשי המחוז הציגו סוגייה כי לא ניתן להשלים קווים ולהשאירם לא מחוברים בצד המסדר, ולכן ביקשו לבחון אפשרות של התקנת המסדר מוקדם יותר מתוך הפרויקט של הוספת שנאי 3 (לפצל את העבודה ולהקדים את התקנת המסדר) - בבדיקת מנה"פ מול מח' ציודים.</t>
  </si>
  <si>
    <t>ב 26/05/26 התקיימה מנהלת יציאות מ"ג לתחמ"ש אלעד, אנשי המחוז הציגו סוגייה כי לא ניתן להשלים קווים ולהשאירם לא מחוברים בצד המסדר, ולכן ביקשו לבחון אפשרות של התקנת המסדר מוקדם יותר מתוך הפרויקט של הוספת שנאי 3 (לפצל את העבודה ולהקדים את התקנת המסדר) - ממתינים לתשובה ממח' ציודים.</t>
  </si>
  <si>
    <t>ב 26/05/26 התקיימה מנהלת יציאות מ"ג לתחמ"ש אלעד, אנשי המחוז הציגו סוגייה כי לא ניתן להשלים קווים ולהשאירם לא מחוברים בצד המסדר, ולכן ביקשו לבחון אפשרות של התקנת המסדר מוקדם יותר מתוך הפרויקט של הוספת שנאי 3 (לפצל את העבודה ולהקדים את התקנת המסדר) - התקבלה תשובה כי ניתן למשוך מסדר ממלאי קיים. ממתינים לתשובה של אלי קשטן ויורם עדכני לתיאום ביצוע בהקדם האפשרי.</t>
  </si>
  <si>
    <t xml:space="preserve">תואמה פגישת התנעה עם כלל הגורמים הרלוונטים ל 17/08/26
</t>
  </si>
  <si>
    <t xml:space="preserve">תואמה פגישת התנעה עם כלל הגורמים הרלוונטים ל 18/08/26
</t>
  </si>
  <si>
    <t xml:space="preserve">התקיימה פגישת התנעה עם כלל הגורמים הרלוונטים ל 18/08/26
עפ"י יח' התחמ"ש לא נין להקדים את התקנת המסדר בסוף 2026 , תיעשה בדיקה מול הרכבות ויח' התחמ"ש להקדמה לאביב 2027 - המחוז מעודכן.
</t>
  </si>
  <si>
    <t>WBC-068</t>
  </si>
  <si>
    <t>אלעד- הקמת תחמ"ש חיצונית, 161/24 ק"ו</t>
  </si>
  <si>
    <t>חושמל 30/09/2025</t>
  </si>
  <si>
    <t>נותר השלמת פיתוח נופי, מותנה בהקמת קו מים קבוע ע"י העירייה.</t>
  </si>
  <si>
    <t>נותר השלמת פיתוח נופי, מותנה בהקמת קו מים קבוע ע"י העירייה. העירייה דיווחה על צפי 08/2026 לקו המים הקבוע</t>
  </si>
  <si>
    <t>נותר השלמת פיתוח נופי, מותנה בהקמת קו מים קבוע ע"י העירייה. העירייה דיווחה על צפי 08/2026 לקו המים הקבוע - בבדיקת סטטוס מול שרונה</t>
  </si>
  <si>
    <t>נותר השלמת פיתוח נופי, מותנה בהקמת קו מים קבוע ע"י העירייה. 
בהמשך לבדיקת סטטוס - קו המים הקבוע נדחה לקיץ 2027 . נדרש תיאום עם התאגיד לחיבור קו ושעון זמני  אל המאגר הצמוד לאתר.</t>
  </si>
  <si>
    <t>WBM-40194</t>
  </si>
  <si>
    <t>תל אביב דרום - החלפת שנאי 512 ל-56 מגו"א</t>
  </si>
  <si>
    <t xml:space="preserve">נדחה לתאריך 31/03/2028. עדיין אין תכנון </t>
  </si>
  <si>
    <t>מכיוון שאני לא קיבלתי הקפאת תכולה , או מסמך כלשהוא בנדון  ומכיוון שפרויקט זה לא נמצא בסדר עדיפות של תכנון לשנת 2026/7 אינני יכול לקדם זאת</t>
  </si>
  <si>
    <t>פרויקט זה לא הוכנס לתכנית עבודה של תכנון בשנת 2026.</t>
  </si>
  <si>
    <t>לדברי ברטין איגו מפיתוח תחמ"ש נדרש לקדם הפרויקט ולסיימו ביעד , פרויקט זה לא הוכנס לתכנית עבודה של מגזר תכנון למרות התראות רבות שאני שולח , בשלב זה הפרויקט לא מקודם כלל</t>
  </si>
  <si>
    <t xml:space="preserve"> 16.08.26 בטיפול שרון עיני  הפרויקט מושהה </t>
  </si>
  <si>
    <t>16.08.26 בטיפול שרון עיני הפרויקט מושהה</t>
  </si>
  <si>
    <t xml:space="preserve">לא  הגיע לידי התכנון  והם לא מטפלים </t>
  </si>
  <si>
    <t>WBM-40276</t>
  </si>
  <si>
    <t>באר שבע - שדרוג שדות 5, 13, שדרוג מקשר 7-8 והחלפת פ"צ</t>
  </si>
  <si>
    <t>ממתין לקבלת הפסקות:  להחלפת פס צבירה 1 ,זה יקרה רק בתום חשמול 2 השנאים ברמת חובב כולל מסדרי מ"ג - צפי 06.2026 , לכן החלפת פ"צ 2 תהיב בסתין 2026 , החלפת פ"צ מס' 2 עדיין אין לכך תכנון וצפי ככל הנראה אביב 2027 , החלפת מנתק פ"צ 2 נקבעה להפסקות אביב 2026  נדחה בעקבות המצב הבטחוני לתאריך לא ידוע. הנושא הועבר לעזרתו של קשטן אליעזר</t>
  </si>
  <si>
    <t>ממתין לקבלת הפסקות:  להחלפת פס צבירה 1 ,זה יקרה רק בתום חשמול 2 השנאים ברמת חובב כולל מסדרי מ"ג - צפי 09.2026 , לכן החלפת פ"צ 2 תהיה לאחר 09.2026   , החלפת פ"צ מס' 2 עדיין אין לכך תכנון וצפי ככל הנראה אביב 2027 , החלפת מנתק פ"צ 2 נקבעה להפסקות אביב 2026  נדחה בעקבות המצב הבטחוני לתאריך לא ידוע. הנושא הועבר לעזרתו של קשטן אליעזר</t>
  </si>
  <si>
    <t>ממתין לקבלת יעד הפסקות: 
1- להחלפת מנתק פ"צ 2. 
2- ממתין לקבלת יעד הפסקה להחלפת פ"צ 2.
3- כרגע לא ידוע יעד קבלת הפסקה להחלפת פ"צ 1</t>
  </si>
  <si>
    <t xml:space="preserve">דיון שנערך עם קינבסקי דימטרי בנושא הפסקות בתאריך 22.07.26 נאמר שממתינים להפסקת OPC שמתוכננת בתאריך 5.10 מהערב עד 7.10 בצהריים אך הזמן לא מספיקרי נדרש 72שעות מינימום  הנושא בבחינה של ינ"מ אם יש אפשרות להאריך את זמן ההפסקה בסתיו.ביקשתי להודיע לי חודש מראש </t>
  </si>
  <si>
    <t xml:space="preserve">דיון שנערך עם קינבסקי דימטרי בנושא הפסקות בתאריך 22.07.26 נאמר שממתינים להפסקת OPC שמתוכננת בתאריך 5.10 מהערב עד 7.10 אך הזמן לא מספיקרי נדרש 72שעות מינימום  הנושא בבחינה של ינ"מ אם יש אפשרות להאריך את זמן ההפסקה בסתיו.ביקשתי להודיע לי חודש מראש </t>
  </si>
  <si>
    <t xml:space="preserve">אין סיכונים כרגע , פשוט נדרש לסיים זאת </t>
  </si>
  <si>
    <t>WBM-40221</t>
  </si>
  <si>
    <t xml:space="preserve">כורנוב- שדרוד שדה 7 ושדה מקשר </t>
  </si>
  <si>
    <t xml:space="preserve">בתאריך30.04.26 הסתיים ת, אלק"מ והועבר לתכנון אזרחי בקשה להכנת ת, אזרחי למכרז , נקבע סיור באתר לתאריך 25.05.26 , צפי קבלת ת, אזרחי למכרז 07.2026 ועליית קבלן לקרקע 11.2026
</t>
  </si>
  <si>
    <t>בתאריך30.04.26 הסתיים ת, אלק"מ והועבר לתכנון אזרחי בקשה להכנת ת, אזרחי למכרז ,בוצע סיור באתר בתאריך 25.05.26 לצורך הקפאת תצורה , צפי קבלת ת, אזרחי למכרז 07.2026 ועליית קבלן לקרקע 11.2026</t>
  </si>
  <si>
    <t>עדכון הזמנת תכנון אזרחי בוצע בתאריך 03.06.26 , סיום הזמנת תכנון אזרחי נדרש עד 07.2026, לדברי המתכנן קאטל אורי לא נמצא בסדר עדיפות כרגע , שלחתי מייל לתובית מגזר תכנון ופניארז לימור</t>
  </si>
  <si>
    <t>קבלת תכנון אזרחי נקבע עד 31/08/2026</t>
  </si>
  <si>
    <t>תכנון אזרחי התקבל ב-19/07/2026, כ"כ אמור להתקבל בסוף 08/2026</t>
  </si>
  <si>
    <t xml:space="preserve">ממתינים להעברת החומר לאילנית וחמחלקת בנין לקבלת הערות </t>
  </si>
  <si>
    <t>כתב כמויות יופץ עד סוף חודש 08.26 לבדיקת הפיקוח</t>
  </si>
  <si>
    <t>wbe-320</t>
  </si>
  <si>
    <t>כורנוב הקמת שדה 1</t>
  </si>
  <si>
    <t xml:space="preserve">הרחבה </t>
  </si>
  <si>
    <t>31.12.2027</t>
  </si>
  <si>
    <t>WBM-40611</t>
  </si>
  <si>
    <t>שער הגיא- פירוק מסדר מ"ג מסוג BEU3  והתקנת מסדר מ"ג חדש</t>
  </si>
  <si>
    <t>יבוצע רק לאחר חשמול שנאי 524 שצפוי להסתיים עד תאריך 30/06/2027</t>
  </si>
  <si>
    <t>WBE-189</t>
  </si>
  <si>
    <t>שער הגיא- הוספת שנאי שלישי 161/24 ק"ו, 50 מגוו"א מס' 524</t>
  </si>
  <si>
    <t>בתאריך 25.03.2026 החומר הועבר לטיפול מח' מכרזים , הודעה מתאריך 27.04.26  כי צפי בחירת קבלן זוכה 15.08.26, שצפי תחילת עבודות אזרחיות 01.09.2026</t>
  </si>
  <si>
    <t>בתאריך 25.03.2026 החומר הועבר לטיפול מח' מכרזים , הודעה מתאריך 27.04.26  כי צפי בחירת קבלן זוכה 15.08.26, צפי תחילת עבודות אזרחיות 01.09.2026</t>
  </si>
  <si>
    <t>בתאריך 25.03.2026 החומר הועבר לטיפול מח' מכרזים , הודעה מתאריך 27.04.26  כי צפי בחירת קבלן זוכה 15.08.26, לדברי לוי אילנית צפי קבלן זוכה תחילת אוקטובר וצפי עלייה לקרקע 15.11.26</t>
  </si>
  <si>
    <t>בתאריך 25.03.2026 החומר הועבר לטיפול מח' מכרזים , הודעה מתאריך 27.04.26  כי צפי בחירת קבלן זוכה 15.08.26, לדברי לוי אילנית צפי קבלן זוכה תחילת אוקטובר וצפי עלייה לקרקע 15.11.26
מכיוון שיסוד שנאי ושדה שנאי קיימים, הרכבת  השנאי ושדה שנאי יחלו עם הגעת השנאי שאמור להגיע בתאריך 02/08/2026</t>
  </si>
  <si>
    <t>בתאריך 25.03.2026 החומר הועבר לטיפול מח' מכרזים , הודעה מתאריך 27.04.26  כי צפי בחירת קבלן זוכה 15.08.26, לדברי לוי אילנית צפי קבלן זוכה תחילת אוקטובר וצפי עלייה לקרקע 15.11.26 , מכיוון שיסוד שנאי ושדה שנאי קיימים, הרכבת  השנאי ושדה שנאי יחלו עם הגעת השנאי שאמור להגיע בתאריך 02/08/2026</t>
  </si>
  <si>
    <t xml:space="preserve">סיור קבלנים נקבע לתאריך 19.08.26 צפי תחילת עב' אזרחיות 05.10.26 צפי חשמול 06.2027. 02.08.26 התקבלה הודעה ששנאי נמצא במחסנים וביקשתי מצוות הרכבה חשמלית לתכנן כניסתם לתחילת עבודות הצבת השנאי והצבת שדה שנאי </t>
  </si>
  <si>
    <t xml:space="preserve">סיור קבלנים נקבע לתאריך 25.08.26 צפי תחילת עב' אזרחיות 05.10.26 צפי חשמול 06.2027.בתאריך 11.08.26 הוצב השנאי על היסוד , אין משגיח להרכבת השנאי </t>
  </si>
  <si>
    <t xml:space="preserve">סיור קבלנים נקבע לתאריך 26.08.26 צפי תחילת עב' אזרחיות 05.10.26 צפי חשמול 06.2027.בתאריך 11.08.26 הוצב השנאי על היסוד , אין משגיח להרכבת השנאי </t>
  </si>
  <si>
    <t xml:space="preserve">עמידה ביעדי הפרויקט </t>
  </si>
  <si>
    <t>WBM-40275</t>
  </si>
  <si>
    <t>רמת חובב - שדרוג שדות 20 , 21
החלפת כל ציוד השדות</t>
  </si>
  <si>
    <t xml:space="preserve">שדה 20 חושמל ב-04/05/2026. החל מתאריך 05/05/2026 התחלנו בשדרוג שדה 21, שצפי סיומו 12/06/2026. </t>
  </si>
  <si>
    <t xml:space="preserve">שדה 20 חושמל ב-04/05/2026. החל מתאריך 05/05/2026 התחלנו בשדרוג שדה 21, שצפי סיומו בין התאריכים 12/06/2026- 04.06.25 </t>
  </si>
  <si>
    <t>שדה 20 חושמל ב-04/05/2026. החל מתאריך 05/05/2026 התחלנו בשדרוג שדה 21, צפי חשמול 10.6.26</t>
  </si>
  <si>
    <t>שדה 20 חושמל ב-04/05/2026. החל מתאריך 05/05/2026 התחלנו בשדרוג שדה 21, צפי חשמול 09-10.06.26</t>
  </si>
  <si>
    <t>WBE-184</t>
  </si>
  <si>
    <t>רמת חובב-החלפת שנאי 33 מגוו"א 522 מגוו"א ל-50 מגוו"א</t>
  </si>
  <si>
    <t xml:space="preserve">נותר לשדרג את שדות  20,23. נקבע כי שדרוג שדה מ"ג 20 ישודרג החל מתאריך 01.03.26 , נדחה ע"י תפעול מרחב נגב  לתאריך 08.03 ונדחה שוב למועד לא ידוע בגלל המלחמה  בסיומו נשדרג את שדה 23  מ"ג בו יידרש הפסקת שנאי 522 למשך חודש ימים  עדיין לא התקבל יעד ההפסקה </t>
  </si>
  <si>
    <t xml:space="preserve">נותר לשדרג את שדות  20,23. נקבע כי שדרוג שדה מ"ג 20 ישודרג החל מתאריך 01.03.26 , נדחה ע"י תפעול מרחב נגב  לתאריך 08.03 ונדחה שוב לסתיו בסיומו נשדרג את שדה 23  מ"ג בו יידרש הפסקת שנאי 522 למשך חודש ימים </t>
  </si>
  <si>
    <t xml:space="preserve">נותר לשדרג את שדות  20,23. נקבע כי שדרוג שדה מ"ג 20 ישודרג החל מתאריך 01.03.26 , נדחה ע"י תפעול מרחב נגב  לתאריך 08.03 ונדחה שוב לסתיו בסיומו נשדרג את שדה 23  מ"ג בו יידרש הפסקת שנאי 522 למשך שלושה שבועות  </t>
  </si>
  <si>
    <t xml:space="preserve">נותר לשדרג את שדות  20,23 , דיון בנושא הפסקטת שנערך בתאריך 22.07.2026 נאמר שניתן לבצע ב 11.2026 בתנאי להמשיך הזנת PRMS  בנוסף מכיוון שמתוכנן להקים מכולת מ"ג ברמת חובב ייתכן ששדרוג שדות אלו יבוטל </t>
  </si>
  <si>
    <t xml:space="preserve">קבלן אזרחי ממתין לבצע זאת ונדחה שוב ושוב , לא ניתן לשדרג פסי צבירה בב"ש עד ששרוג שדות אלו יסתיימו </t>
  </si>
  <si>
    <t>WBE-178</t>
  </si>
  <si>
    <t>רמת חובב-החלפת שנאי 33 מגוו"א 521 מגוו"א ל-50 מגוו"א</t>
  </si>
  <si>
    <t>שנאי חושמל11/2/26 , נשאר מ"ג</t>
  </si>
  <si>
    <t>WBE-305</t>
  </si>
  <si>
    <t>רמת חובב - הוספת שנאי שלישי 50 מגוו"א, שדה שנאי, מכולת מ"ג</t>
  </si>
  <si>
    <t>טרם התקבל מזכר רשמי לפרויקט זה ולכן תכנון אלק"מ לא החל בתכנון למרות שבוצע סיור בשטח לבדיקת מיקום השנאי.</t>
  </si>
  <si>
    <t xml:space="preserve">אני מצטט את דברי ופניארז לימור nתאריך 20.05.26 "מבקשת שיתקיים דיון מרוכז לכל המתפרצים האחרונים כגון רמת חובב, דימונה, יוטבתה וכו' כפי שציינתי מטה נווה אמר שיועלה לדיון אצל גלי.
שלא תהיינה אי הבנות – אין לי אישור כרגע מנווה להכניס את העבודות לתוכנית עבודה 2026, כיוצא בכך הן לא מקודמות בתכנון.
</t>
  </si>
  <si>
    <t>אני מצטט את דברי ופניארז לימור מתאריך 20.05.26 "מבקשת שיתקיים דיון מרוכז לכל המתפרצים האחרונים כגון רמת חובב, דימונה, יוטבתה וכו' כפי שציינתי מטה נווה אמר שיועלה לדיון אצל גלי. שלא תהיינה אי הבנות – אין לי אישור כרגע מנווה להכניס את העבודות לתוכנית עבודה 2026, כיוצא בכך הן לא מקודמות בתכנון.</t>
  </si>
  <si>
    <t xml:space="preserve">בתאריך 29.06.26 נערך דיון  עם ברטין איגור לדבריו " הפרויקט יועבר במנהלת תכולות בהקדם לצורך קידומו"  05.07.26 עדיין לא ניתן  להתקדם </t>
  </si>
  <si>
    <t xml:space="preserve">בתאריך 29.06.26 נערך דיון  עם ברטין איגור לדבריו " הפרויקט יועבר במנהלת תכולות בהקדם לצורך קידומו"  21.07.26 עדיין לא ניתן  להתקדם </t>
  </si>
  <si>
    <t>בתאריך 21.07.2026 התקבלה הקפאת תכולה , הפרויקט הועבר לתכנון לצורך גיבוש התכנון יעד הזמנת תכנון אזרחי 11.2026</t>
  </si>
  <si>
    <t>בתאריך 21.07.2026 התקבלה הקפאת תכולה ,  יעד הזמנת תכנון אזרחי 11.2026 נקבע דיון פתיחה לתאריך 03.09.2026</t>
  </si>
  <si>
    <t xml:space="preserve">הזמנת תכנון אזרחי </t>
  </si>
  <si>
    <t>WBM-40506</t>
  </si>
  <si>
    <t xml:space="preserve">רמת חובב שדה 2 - החלפת מפסק, החלפת 4 מנתקים, החלפת משנה זרם ( שנאי 522) </t>
  </si>
  <si>
    <t xml:space="preserve">הפרויקט עדיין לא נכלל  בתכנית עבודת התכנון לשנת 2026 ולכן אין כל סיכוי שיסתיים בתאריך 03.2027.
יחד עם זאת בכדי לשדרג השדה נדרש חודשיים הפסקת שנאי שלא יינתן , בהתייעצות עם נפת ב"ש הוצע תחילה להוסיף שנאי ( פרויקט 305) ולאחר מכן לשדרג את השדה , הודעתי זאת לנווה כהן ולקשטן אליעזר ( 17.06.26)  ואני עדיין ממתין לתשובות </t>
  </si>
  <si>
    <t xml:space="preserve">דיון  שנערך עם ברטין איגור ונציגי תכנון בתאריך 29.06.26 אמרתי שפרויקט זה צריך להיעשות אחרי פרויקט 305 תוספת שנאי , עדיין לא התקבל אישור לכך </t>
  </si>
  <si>
    <t>דיון  שנערך עם ברטין איגור ונציגי תכנון בתאריך 29.06.26 אמרתי שפרויקט זה צריך להיעשות אחרי פרויקט 305 תוספת שנאי זאת משום שלא ניתן לקבל הפסקת שנאי למשך 3 חדשים  , עדיין לא התקבל אישור לכך ואף אחד לא מגיב  , ביקשתי לדחות פרויקט זה לשנת 2028</t>
  </si>
  <si>
    <t xml:space="preserve">אי עמידה ביעד חשמול </t>
  </si>
  <si>
    <t>WBM-00594</t>
  </si>
  <si>
    <t>רמת חובב - הפרדת סוללות מצברים 220 וולט ב-2 חדרי מצברים נפרדים. התקנת 2 ממירים 220/60 וולט וביטול מצברים 60 וולט</t>
  </si>
  <si>
    <t>פרויקט חדש שנוסף</t>
  </si>
  <si>
    <t>הפרויקט טרם הועבר למנה"פ</t>
  </si>
  <si>
    <t xml:space="preserve">לא התקבל תכנון </t>
  </si>
  <si>
    <t xml:space="preserve">לא התקבל תכנון , לא התקבל מסמך הקפאת תכולה  ביקשתי זאת מ PMO ומתכנון - אין תגובה </t>
  </si>
  <si>
    <t>דיון שערכתי בתאריך  12.08.26 להנעת הפרויקט , נדרש תכנון חשמלי עד 15.09.26 והזמנת ארון ממירים , יעד סיום הפרויקט 12.2026</t>
  </si>
  <si>
    <t>WBE-138</t>
  </si>
  <si>
    <t>רותם-הקמת שני שדות והתקנת שני שנאים 161 כולל תוספת מפסק ומ"ז בשדה מקשר</t>
  </si>
  <si>
    <t>חושמל</t>
  </si>
  <si>
    <t>בפרויקט זה השנאים חושמלו אך נדרש להשלים החלפת סליל כיבוי ותוספת מפסק ומ"ז בשדה מקשר.
הרכבה חשמלית הודיעה כי פרויקט זה לא נמצא בסדר עדיפות בעקבות ריבוי משימות , אני ממתין להחלטתם לתחילת עבודות  , ביקשתי טיפול של מנהל מגזר כבר חודשיים ויותר  ימים ללא מענה . בנוסף בתאריך 10/05/2026 הודעתי לתפעול ב"ש כי נדרש לקדם ולהתחיל עבודות אלו. לדבריהם עקב ריבוי משימות פרויקט זה לא בסדר עדיפויות ואין משגיחים</t>
  </si>
  <si>
    <t>בפרויקט זה השנאים חושמלו אך נדרש להשלים החלפת סליל כיבוי ותוספת מפסק ומ"ז בשדה מקשר.
 בתאריך 10/05/2026 הודעתי לתפעול ב"ש כי נדרש לקדם ולהתחיל עבודות אלו. לדבריהם עקב ריבוי משימות פרויקט זה לא בסדר עדיפויות ויתבצע בסוף 2026</t>
  </si>
  <si>
    <t>בפרויקט זה השנאים חושמלו אך נדרש להשלים החלפת סליל כיבוי ותוספת מפסק ומ"ז בשדה מקשר, בתאריך 10/05/2026 הודעתי לתפעול ב"ש כי נדרש לקדם ולהתחיל עבודות אלו. לדבריהם עקב ריבוי משימות פרויקט זה לא בסדר עדיפויות ויתבצע בסוף 2026</t>
  </si>
  <si>
    <t xml:space="preserve">אמנם החלפתי את שני הניידות בשתי שנאים  אך הפרויקט לא הסתיים  ממס סיבות שבעיקרן הפסקות שלא ניתנו  ולו"ז  תפעול  , עדיין לא סגרתי את הפרויקט מבחינה תקציבית </t>
  </si>
  <si>
    <t>WBE-181</t>
  </si>
  <si>
    <t>רותם- התקנת 2 שדות קווים 1 , 7  לקליטת קו מערד</t>
  </si>
  <si>
    <t xml:space="preserve">בתאריך 15/03/2026 התקבלה הודעת מערכת תבונה כי הפרויקט נדחה לתאריך 31/12/2029 לכן עדיין מוקדם לקדם הפרויקט אך אני מבקש לקבל מסמך רשמי בנושא </t>
  </si>
  <si>
    <t xml:space="preserve">בתאריך 15/03/2026 התקבלה הודעת מערכת תבונה כי הפרויקט נדחה לתאריך 31/12/2029 לכן עדיין מוקדם לקדם הפרויקט אך  פרויקט זה לא באחריותי יותר , נדרש להעבירו למנהל פרויקט אחר </t>
  </si>
  <si>
    <t>WBM-40195</t>
  </si>
  <si>
    <t>רמת אביב – החלפת שנאים 511 ו-512</t>
  </si>
  <si>
    <t xml:space="preserve">נדרש לקבל תשובות מPMO עבור נחיצות הפרויקט,זמן רב אני מבקש תשובות לפרויקט זה  ללא מענה  ולכן מעביר לטיפול מנהל האגף . מה שחשוב שחצי שנה מנה"פ מעיר הערה זו ואף אחד לא מגיב </t>
  </si>
  <si>
    <t>בלשב זה הפרויקט מוקפא, לדברי קשטן אליעזר</t>
  </si>
  <si>
    <t>בשלב זה הפרויקט מוקפא, לדברי קשטן אליעזר</t>
  </si>
  <si>
    <t>WBE-193</t>
  </si>
  <si>
    <t>עטרות– התקנת שנאי חמישי 161/36 ק"ו</t>
  </si>
  <si>
    <t>מסירה אזרחית שבוצע בתאריך 12/05/2026 נמצאו ליקויים שמטופלים ע"י צוות מחלקת בנין.
הרכבה חשמלית ממשיכה בעבודות חיווט, צפי סיום 28/05/2026.
צפי חשמול 30/06/2026</t>
  </si>
  <si>
    <t>מסירה אזרחית שבוצע בתאריך 12/05/2026 נמצאו ליקויים שמטופלים ע"י צוות מחלקת בנין.
הרכבה חשמלית ממשיכה בעבודות חיווט, צפי סיום 04.06.2026, חסר מתמרים מעל חודש מחלקת ציוד לא מטפלת היטב בנושא 
אין מספיק בודקים ולכן חשמול לא יתאפשר בתאריך 30.06.26</t>
  </si>
  <si>
    <t>מסירה אזרחית שבוצע בתאריך 12/05/2026 נמצאו ליקויים שמטופלים ע"י צוות מחלקת בנין.
הרכבה חשמלית ממשיכה בעבודות חיווט, צפי סיום 04.06.2026, חסר מתמרים מעל חודש מחלקת ציוד לא מטפלת היטב בנושא 
אין מספיק בודקים ולכן חשמול לא יתאפשר בתאריך 30.06.27</t>
  </si>
  <si>
    <t xml:space="preserve">מסירה אזרחית בוצעה.
הרכבה חשמלית ממשיכה בעבודות חיווט, צפי סיום 21.06.2026, מ"ז בשנאי נמצאו לא תקינים אנו יחד עם היצרן פועלים לתיקון 
אין מספיק בודקים ולכן חשמול לא יתאפשר בתאריך 30.06.27 ויידחה בחודש </t>
  </si>
  <si>
    <t xml:space="preserve">למרות דחיית הפרוייקט לתאריך 31.07.26 , לדברי תפעול ים חשמול עד סוף חודש 08.2026,נושא החלפת מ"ז לא תקינים על השנאי בטיפול </t>
  </si>
  <si>
    <t>התקלה במשנה זרם תוקנה. התקבל דוח תיקון בה נאמר שמפלס השמן כנראה נמוך. מנה"פ הזמין את בתי מלאכה לבדוק זאת.
צפי חשמול השנאי 14/08/2026</t>
  </si>
  <si>
    <t>בדיקת מפלס השמן נקבע לתאריך 29.07.26,  02-03.2026 איטום מעברי אש , 06.08.26  בדיקות על חי , 09.08.26 וועדת חישמול  , צפי חשמול 13.08.26</t>
  </si>
  <si>
    <t xml:space="preserve">נדרש לבצע וועדת ישמול באחריות דוד אטס - ככל הנראה השנאי יחושמל החודש </t>
  </si>
  <si>
    <t>צפי חשמול 20.08.26</t>
  </si>
  <si>
    <t>צפי חשמול 30.08.26</t>
  </si>
  <si>
    <t>WBM-00358</t>
  </si>
  <si>
    <t>עטרות - 1. פירוק 4 סוללות קבלים חיצוניות קיימות. .2 העתקת עמוד שנאי בית. .3התקנת 5 סוללות קבלים חדשות, בהספק של 2*5 מגווא"ר כ"א לשנאים 531, 532, 533, 534, 535.</t>
  </si>
  <si>
    <t>08.06.26 : לדברי שירן " בשל אילוצי תיעדוף מגזר תכנון אינו הכניס את הפרויקט לתכנון השנה, הועבר לבחינה של אגף תפעול תחמ"ש באגף החדש"</t>
  </si>
  <si>
    <t>08.06.26 : לדברי שירן " בשל אילוצי תיעדוף מגזר תכנון אינו הכניס את הפרויקט לתכנון השנה, הועבר לבחינה של אגף תפעול תחמ"ש באגף החדש"בנוסף לא מונה מנהל פרויקט אך לקחתי זאת לאחריותי . לא ניתן לקדם את הפרויקט  כי טרם תוכנן ע"י מגזר תכנון</t>
  </si>
  <si>
    <t xml:space="preserve">לדברי שירן " בשל אילוצי תיעדוף, מגזר תכנון אינו הכניס את הפרויקט לתכנון השנה, הועבר לבחינה של אגף תפעול תחמ"ש באגף החדש" לא ניתן לקדם את הפרויקט  כי טרם תוכנן ע"י מגזר תכנון מנה"פ שלח התראות רבות כר מס חדשים ללא תגובת  ההנהלה </t>
  </si>
  <si>
    <t>אי עמידה בלו"ז</t>
  </si>
  <si>
    <t>WBE-206</t>
  </si>
  <si>
    <t>להבים-התקנת שנאי שלישי 50 מגוו"א</t>
  </si>
  <si>
    <t>31.05.26</t>
  </si>
  <si>
    <t>בתאריך 14/05/2026 בוצע ועדת חשמול, צפי חשמול עד 31/05/2026</t>
  </si>
  <si>
    <t>חושמל בתאריך 27.05.26</t>
  </si>
  <si>
    <t xml:space="preserve">חושמל בתאריך 27.05.27 </t>
  </si>
  <si>
    <t xml:space="preserve">חושמל </t>
  </si>
  <si>
    <t>WBC-050</t>
  </si>
  <si>
    <t>טרומן - הקמת תחמ"ש פנימית 161/24 ק"ו</t>
  </si>
  <si>
    <t>קבלן אזרחי ממשיך בעבודתו צפי מסירות :חדר 24 ק"ו - 08.10.26,  אולם 161 ק"ו - 08.11.26 , חדר פיקוד - 13.12.26 , יסודות שנאים - 20.12.26 , סיום עבודות הקבלן 14.03.27 , בשלב זה עדיין מוקדם להעריך כניסת הביצוע , דיון שהתקיים עם  פיקוח אזרחי נאמר שככל הנראה יצוצמו תאריכי מסירות אזרחיות</t>
  </si>
  <si>
    <t xml:space="preserve">קבלן אזרחי ממשיך בעבודתו צפי מסירות :חדר 24 ק"ו - 08.10.26,  אולם 161 ק"ו - 08.11.26 , חדר פיקוד - 13.12.26 , יסודות שנאים - 20.12.26 , סיום עבודות הקבלן 14.03.27 , בשלב זה עדיין מוקדם להעריך כניסת הביצוע , </t>
  </si>
  <si>
    <t>קבלן אזרחי ממשיך בעבודתו צפי מסירות :חדר 24 ק"ו - 08.10.26,  אולם 161 ק"ו - 18.11.26 , חדר פיקוד - 13.12.26 , יסודות שנאים - 20.12.26 , סיום עבודות הקבלן 14.03.27 , בשלב זה עדיין מוקדם להעריך כניסת הביצוע , צפי התארגנות הרכבה חשמלית 09.2026</t>
  </si>
  <si>
    <t>דימונה סולארי- הקמת שדות 19 ו-21 במסדר 161 ק"ו</t>
  </si>
  <si>
    <t>מנה"פ ביקש מהרכבה חשמלית להיערך לתחילת עבודתם, מנהל המחלקה עדני יורם אמר שיוכלו להיכנס בסוף 05.2026.
בנוסף עד 31/05/2026 לא יהיה משגיח</t>
  </si>
  <si>
    <t>תחילת עבודות ביצוע ככל הנראה החל מתאריך 14.06.26 וזאת בעקבות מצוקת משגיחים</t>
  </si>
  <si>
    <t xml:space="preserve">תחילת עבודות ביצוע ככל הנראה החל מתאריך 21.06.26 וזאת בעקבות מצוקת משגיחים אין מים לחתנה ולכן לא ניתן להתחיל את העבודה </t>
  </si>
  <si>
    <t>החל מתאריך 07/05/2026 מנה"פ ביקש מהרכבה חשמלית ותפעול ב"ש להתחיל בעבודות. נאמר שרק בתחילת חודש 06/2026 יחלו העבודות. נכון ל-21/06/2026 לא החלו בעבודות וזאת משום שאין מים בתחנה, נושא זה הועבר לעוזרת מנהל האגף לטיפול.
בתאריך 22/06/2026 התקבלה הודעה מנירים שלומי כי עבודות לחיבור המים ע"י מעיינות דרום יקחו עוד חודש ימים.</t>
  </si>
  <si>
    <t>החל מתאריך 07/05/2026 מנה"פ ביקש מהרכבה חשמלית ותפעול ב"ש להתחיל בעבודות. נאמר שרק בתחילת חודש 06/2026 יחלו העבודות. נכון ל-21/06/2026 לא החלו בעבודות וזאת משום שאין מים בתחנה, נושא זה הועבר לעוזרת מנהל האגף לטיפול.בתאריך 22/06/2026 התקבלה הודעה מנירים שלומי כי עבודות לחיבור המים ע"י מעיינות דרום יקחו עוד חודש ימים.</t>
  </si>
  <si>
    <t>בתאריך 20/07/2026 התקבלה הודעה כי ככל הנראה נושא המים ייסתיים עד 26/07/2026. מנה"פ הודיע להרכבה חשמלית להיכנס ולהתחיל בעבודות החל מ-26/07/2026</t>
  </si>
  <si>
    <t xml:space="preserve">היום 26.07.26 לא הסתיים נושא המים והרכבה חשמלית לא נכנסה לעבודה , הושעה בנושא נשלחה ישירות למנהל האגף ולמנהל המגזר  </t>
  </si>
  <si>
    <t xml:space="preserve">היום 02.08.26 עדיין אין חיבור מים לאתר , כרגע אין משגיח  - נשלחה בקשה למנהל התפעול דמריץ גיא , לדברי מנהל מחלקת הרכבה חשמלית ייכנסו כבר השבוע בתנאי שיהיה משגיח </t>
  </si>
  <si>
    <t xml:space="preserve">בתאריך 16.08.26 החלו עבודות הרכבה חשמלית באתר , בעקבות החום עובדים בלילה , סיום הרכבת הציוד כולל commisining  וחיווטים נדרש עד תחילת אוקטובר </t>
  </si>
  <si>
    <t xml:space="preserve">בתאריך 16.08.26 החלו עבודות הרכבה חשמלית באתר , בעקבות החום עובדים בלילה , סיום הרכבת הציוד כולל commisining  וחיווטים נדרש עד תחילת אוקטובר , אין מהדקים התרעתי כל כך מעל חצי שנה גם בפני כהן נווה ומיטרני נאמר שיגיעו ב12.2026 שאני התרעתי בפני הסמנכל על נושא המהדקים כולם התלהמו מדוע אני אומר זאת מול הסמנכ"ל  , בנוסף אין כבלי מ"נ  השבוע 24.08.26 - 27.08.26 הרכבה חשמלית לא עובדים באתר </t>
  </si>
  <si>
    <t>WBM-40507</t>
  </si>
  <si>
    <t xml:space="preserve">דימונה - שדה 6 </t>
  </si>
  <si>
    <t>31.12.2026</t>
  </si>
  <si>
    <t>בתאריך 17/05/2026 קבלן אזרחי החל עבודתו</t>
  </si>
  <si>
    <t>בתאריך 17/05/2026 קבלן אזרחי החל עבודתו , צפי סיום וחשמול 10.2026</t>
  </si>
  <si>
    <t xml:space="preserve">קבלן האזרחי סיים את עבודתו ומנה"פ ביקש מהרכבה חשמלית להתחיל בהרכבת הציוד בשדה. </t>
  </si>
  <si>
    <t>היום 26.07.2026 החלו עבודות הרכבה , התגלה כי בורג עיגון אחד יצא ממקומו משום שהוטמן רק 5 ס"מ , העבודה נעצרה מיידית לבדיקת הארוע , הפסקת פ"צ להרכבת מנתק פ"צ מאושרת לסוף אוקטובר  נובמבר 26 , גם ללא הפסקות OPC</t>
  </si>
  <si>
    <r>
      <t xml:space="preserve"> התגלה כי בורג עיגון אחד יצא ממקומו משום שהוטמן רק 5 ס"מ , העבודה נעצרה מיידית לבדיקת הארוע -</t>
    </r>
    <r>
      <rPr>
        <sz val="11"/>
        <rFont val="Arial"/>
        <family val="2"/>
        <scheme val="minor"/>
      </rPr>
      <t xml:space="preserve"> </t>
    </r>
    <r>
      <rPr>
        <sz val="11"/>
        <rFont val="Arial"/>
        <family val="2"/>
      </rPr>
      <t>התקבלה החלטה להחליף את כל הברגים</t>
    </r>
    <r>
      <rPr>
        <sz val="12"/>
        <rFont val="Arial"/>
        <family val="2"/>
      </rPr>
      <t xml:space="preserve"> , הפסקת פ"צ להרכבת מנתק פ"צ מאושרת לסוף אוקטובר  נובמבר 26 , גם ללא הפסקות OPC</t>
    </r>
  </si>
  <si>
    <t xml:space="preserve">החלפת ברגי העיגון עדיין לא הסתיימה , הפסקת פ"צ להרכבת מנתק פ"צ מאושרת לסוף אוקטובר  נובמבר 26 , גם ללא הפסקות OPC, נדרש לקדוח מס קדחים בקיר החיצוני של בניין הפיקוד לכניסת כבלי מ"נ  , קבלן לא מוכן לבצע  , אבקש מניצן שגב לבצע זאת </t>
  </si>
  <si>
    <t>WBM-40523</t>
  </si>
  <si>
    <t>דימונה - שדרוג שדה 13</t>
  </si>
  <si>
    <t>30.11.28</t>
  </si>
  <si>
    <t xml:space="preserve">שדרוג השדה הסתיים ללא בדיקות ,ממתינים להפסקת פ"צ לצורך הרכבת מנתק פ"צ </t>
  </si>
  <si>
    <t xml:space="preserve">צוות הרכבה חשמלית חזר לאתר בתאריך 26.05.26 והחל לסיים את החיווטים וההגנות ,ממתינים להפסקת פ"צ לצורך הרכבת מנתק פ"צ , </t>
  </si>
  <si>
    <t xml:space="preserve">צוות הרכבה חשמלית חזר לאתר בתאריך 26.05.26 והחל לסיים את החיווטים וההגנות - סיים זאת בתאריך 11.06.26 ,ממתינים להפסקת פ"צ לצורך הרכבת מנתק פ"צ ולאחר שבועיים  חשמול </t>
  </si>
  <si>
    <t xml:space="preserve">ממתינים להפסקת פ"צ לצורך הרכבת מנתק פ"צ ולאחר שבועיים  חשמול </t>
  </si>
  <si>
    <t xml:space="preserve">דיון שנערך בתאריך 22.07.2026 בנושא הפסקות עם דימיטרי וצוות הפסקות נאמר שבפסקת פ"צ לצורך החזרת מנתק פ"צ תהיה ב 11.2026, </t>
  </si>
  <si>
    <t>דיון שנערך בתאריך 22.07.2026 בנושא הפסקות עם דימיטרי וצוות הפסקות נאמר שהפסקת פ"צ לצורך החזרת מנתק פ"צ תהיה ב 11.2026.</t>
  </si>
  <si>
    <t>WBM-40062</t>
  </si>
  <si>
    <t>דימונה - שדרוג שדה 14 - התאמת יכולת ל-1600 א'</t>
  </si>
  <si>
    <t>יבוצע רק לאחר סיום שדה 6 כנראה יתחיל בשנת 2027</t>
  </si>
  <si>
    <t>יבוצע רק לאחר סיום שדה 6 כנראה יתחיל מתאריך 03.2027</t>
  </si>
  <si>
    <t>חומר למכרז הועבר לבדיקת  פיקוח , העבודה תבוצע רק לאחר סיום שדה 6 כנראה יתחיל מתאריך 03.2027</t>
  </si>
  <si>
    <r>
      <t>WBE</t>
    </r>
    <r>
      <rPr>
        <sz val="12"/>
        <rFont val="Arial"/>
        <family val="2"/>
        <charset val="1"/>
      </rPr>
      <t>-289</t>
    </r>
  </si>
  <si>
    <t>דימונה-התאמת שדה 7 לדימונה סולארי ל-2500 א'</t>
  </si>
  <si>
    <t>כל עוד לא יסתיים שדרוג שדות 19,21 בדימונה סולארי לא ניתן לשדרג את שדה 7 בתחמ"ש דימונה . מנה"פ דרש את סיום התכנון וסיום כתב כמויות עד 31/12/2026 כאשר צפי תחילת עבודות אזרחיות 03/2027</t>
  </si>
  <si>
    <t>הפרויקט נדחה לתחילת 2028 בעקבות סיום פרויקט SCSS בסוף 2027</t>
  </si>
  <si>
    <t xml:space="preserve">הפרויקט נדחה לתחילת 2028 בעקבות סיום פרויקט SCSS בסוף 2027  , נדרש להעביר פרויקט זה למחלקת ניהול פרויקטים 686 מבקש לקבווע מנהל פרויקט שאעביר לו אתהפרויקט במסודר </t>
  </si>
  <si>
    <t xml:space="preserve">הפרויקט נדחה לתחילת 2028 בעקבות סיום פרויקט SCSS בסוף 2027  , נדרש להעביר פרויקט זה למחלקת ניהול פרויקטים 686 מבקש לקבווע מנהל פרויקט שאעביר לו את הפרויקט במסודר </t>
  </si>
  <si>
    <t>WBM-10432</t>
  </si>
  <si>
    <t>דימונה - בחינת הפורטל לכוחות החדשים של תיילים בחתך 1*774 הנובעים מפרויקט הולכה WBO-483. התאמת הירידות, התיילים והמהדקים מקו ההולכה לפורטל בשדות: 20, 6 לחתך 1*774</t>
  </si>
  <si>
    <t xml:space="preserve">בתאריך 13/04/2026 נערך סיור באתר ונמצא פתרון להקמת העמוד, סיכום הסיור נשלח לנציגי תכנון לבדיקה ואישור </t>
  </si>
  <si>
    <t>בתאריך 20/07/2026 התקיים דיון לצורך קבלת החלטות בנושא הקמת עמוד מ"ע. 
לצורך הקמת העמוד קיימים תשתיות תת קרקעיות רבות  נדרש : הריסת 2 יסודות, חפירות גישוש לגילוי כבלי מ"ג והעקתם בהתאם, שינוי תוואי כבלי מ"נ, חפירה וביסוס יסוד העמוד. לא ניתן לחשמל את שדה 6 ללא הקמת עמוד מ"ע.</t>
  </si>
  <si>
    <t xml:space="preserve">נדרש להקים עמוד מ"ע מול שדה 6 , לצורך הקמת העמוד קיימים תשתיות תת קרקעיות רבות  נדרש : הריסת 2 יסודות, חפירות גישוש לגילוי כבלי מ"ג והעקתם בהתאם, שינוי תוואי כבלי מ"נ, חפירה וביסוס יסוד העמוד. לא ניתן לחשמל את שדה 6 ללא הקמת עמוד מ"ע. בתאריך 21.07.26 הועברה בקשה לתכנון אזרחי </t>
  </si>
  <si>
    <t xml:space="preserve">נדרש להקים עמוד מ"ע מול שדה 6 , לצורך הקמת העמוד קיימים תשתיות תת קרקעיות רבות  נדרש : הריסת 2 יסודות, חפירות גישוש לגילוי כבלי מ"ג והעקתם בהתאם, שינוי תוואי כבלי מ"נ, חפירה וביסוס יסוד העמוד. לא ניתן לחשמל את שדה 6 ללא הקמת עמוד מ"ע. בתאריך 21.07.26 הועברה בקשה לתכנון אזרחי, ממתינים להעברת החומר  ללוי אילנית ובחירת קבלן </t>
  </si>
  <si>
    <t>WBE-088</t>
  </si>
  <si>
    <t>דימונה- התקנת שנאי שלישי 33 ק"ו 50 מגו"א</t>
  </si>
  <si>
    <t>פגישה שנערכה בתאריך 06.04.26  עם הסמנכל ורמי שטרן  התרעתי  שנדרש חשמול דחוף , רמי שטרן הבטיח טיפול וחשמול בהקדם . בשלב זה מנהל הפרויקט לא רואה שום התקדמות</t>
  </si>
  <si>
    <t>פגישה שנערכה בתאריך 06.04.26  עם הסמנכל ורמי שטרן  התרעתי  שנדרש חשמול דחוף , רמי שטרן הבטיח טיפול וחשמול בהקדם . בשלב זה מנהל הפרויקט לא רואה שום התקדמות , לדברי טל אריאל " נדרש בדיקות על חי – טרם נקבע תאריך לביצוע סימולציה ואפליקציה</t>
  </si>
  <si>
    <t xml:space="preserve">טרם נקבע תאריך לביצוע סימולציה ואפליקציה, השבוע  05.07.26 התקבלה הערה מתפעול כי נדרש העתקת כבלי מ"ג של אגירת אנרגיה המחוברים כעת לפ"צ 1 ונדרש להעבירם לפ"צ 3 לטובת שחרור תא עבור מקשר פ"צ 1-3 , נדרש חפירה גדולה באתר לביצוע מופות עבודה זו לא הועברה לשום גורם </t>
  </si>
  <si>
    <t>טרם נקבע תאריך לביצוע סימולציה ואפליקציה, השבוע  05.07.26 התקבלה הערה מתפעול כי נדרש העתקת כבלי מ"ג של אגירת אנרגיה המחוברים כעת לפ"צ 1 ונדרש להעבירם לפ"צ 3 לטובת שחרור תא עבור מקשר פ"צ 1-3 , נדרש חפירה גדולה באתר לביצוע מופות</t>
  </si>
  <si>
    <t>קבלת תכנון תקשורת עדיין לא הגיע מליבסי דסה , נתגלו לירויים של יווט שמתורנים בימים אלו , צפי חמול 09.2026</t>
  </si>
  <si>
    <t>תכנון תקשורת הגיע ב9.8 אך לאחר בדיקה התכנון הגיע לקוי צפי חשמול 30/8/2026</t>
  </si>
  <si>
    <t>שרטוטי תכנון תקשורת תקינים הגיעו בתאריך 16.08.26 , לדברי טל אריאל ממבדקת ב"ש חשמול השנאי עד 31.08.26, דיון שנערך עם מנהל האגף בתאריך 10.08.26  הובטח כי חשמול השנאי יהיה עד סוף חודש 08.2026</t>
  </si>
  <si>
    <t xml:space="preserve">וועדת חשמול נקבע לתאריך 27.08.26 , חשמול השנאי ככל הנראה לא יהיה בסוף חודש 08.26 כפי שהובטח </t>
  </si>
  <si>
    <t xml:space="preserve">אי חשמול ביעד הנדרש </t>
  </si>
  <si>
    <t>WBM-01445</t>
  </si>
  <si>
    <t>קרית גת-החלפת ציוד בשדות 5, 13 ומקשר</t>
  </si>
  <si>
    <t>לא ידוע</t>
  </si>
  <si>
    <t>נישאר לשדרג את שדה 13 אשר אינו בניצול ומ"ז ומנתק פ"צ 2 בשדה מקשר.
הועברה בקשה ליובל נויהוז ולדבריו "ננסה לקבל שוב את ההפסקות מאינטל".</t>
  </si>
  <si>
    <t>נותר לשדרג את שדה 13 אשר אינו בניצול ומ"ז ומנתק פ"צ 2 בשדה מקשר.
הועברה בקשה ליובל נויהוז ולדבריו "ננסה לקבל שוב את ההפסקות מאינטל".</t>
  </si>
  <si>
    <t>נותר לשדרג את שדה 13 אשר אינו בניצול ומ"ז ומנתק פ"צ 2 בשדה מקשר.הועברה בקשה ליובל נויהוז ולדבריו "ננסה לקבל שוב את ההפסקות מאינטל".</t>
  </si>
  <si>
    <t xml:space="preserve">נותר לשדרג את שדה 13 אשר אינו בניצול ומ"ז ומנתק פ"צ 2 בשדה מקשר.הועברה בקשה ליובל נויהוז ולדבריו "ננסה לקבל שוב את ההפסקות מאינטל". דברי יובל נויהוז נשמעים כבר יותר משנתיים ואין התקדמות בנושא </t>
  </si>
  <si>
    <t>WBM-01448</t>
  </si>
  <si>
    <t xml:space="preserve">אריאל - פירוק סוללות קבלים מ"ג קיימות והתקנת 5 סוללות קבלים מודולריות </t>
  </si>
  <si>
    <t>סוללת קבלים אחת פורקה. בתאריך 19/04/2026 ניתן אישור לפרק שתי סוללות קבלים נוספות. הודעה נשלחה להרכבה חשמלית , יבוצע כאשר קבלן האזרחי יכנס לאתר</t>
  </si>
  <si>
    <t xml:space="preserve">שלושה סוללות כבלים פורקו , נותר עוד אחת פעילה  ככל הנראה לקראת אוגוסט </t>
  </si>
  <si>
    <t>שלושה סוללות כבלים פורקו , נותר עוד אחת פעילה  שתפורק לקראת אוגוסט , מנ"פ בקשת מתפעול ירושלים להקדים את פירוק הסוללה.</t>
  </si>
  <si>
    <t>שלושה סוללות כבלים פורקו , נותר עוד אחת פעילה  שתפורק לקראת 09/2026 , מנ"פ בקשת מתפעול ירושלים להקדים את פירוק הסוללה.</t>
  </si>
  <si>
    <t>דיון שנערך בתאריך 22.07.2026 בנושא הפסקות עם דימיטרי וצוות הפסקות נאמר כי הפסקות אלו יתקבלו בחודש 10.2026</t>
  </si>
  <si>
    <t>דיון שנערך בתאריך 22.07.2026 בנושא הפסקות עם דימיטרי וצוות הפסקות נאמר כי הפסקות אלו יתקבלו בחודש 10.2026 , לא מונע חשמול השנאי</t>
  </si>
  <si>
    <t>עיכוב בעבודות הקבלן</t>
  </si>
  <si>
    <t>WBE-190</t>
  </si>
  <si>
    <t>אריאל – התקנת שנאי חמישי 161/36 ק"ו</t>
  </si>
  <si>
    <t>עדיין לא נפתרה בעיית משגיח/מפקח על עבודות הקבלן האזרחי. התראה נשלחה לכל הגורמים ונאמר שנמצא בטיפול סמנכ"לים. קבלן האזרחי שלח מכתב התראה בנושא.</t>
  </si>
  <si>
    <t xml:space="preserve">בעית משגיח נפתרה הוחלט שמנהל עבושה של קבלן אזרחי יפקח, החל מתאריך 31.05.26 החל הקבלן בעבודה </t>
  </si>
  <si>
    <t xml:space="preserve"> החל מתאריך 31.05.26 החל הקבלן האזרחי בעבודה ,חפירות גישוש הקמת גדר הפרדה ותחילת חפירות לצורך הקמת שדה שנאי ויסוד שנאי </t>
  </si>
  <si>
    <t>עבודות אזרחיות בעיצומן</t>
  </si>
  <si>
    <t>עבודות אזרחיות בעיצומן- צפי חשמול 02.2027</t>
  </si>
  <si>
    <t>עבודות אזרחיות בעיצומן- צפי חשמול 02.2027  אנסה לעמוד ביעד חשמול 31.12.2026</t>
  </si>
  <si>
    <t xml:space="preserve">הקדמת עב אזרחיות </t>
  </si>
  <si>
    <t>WBC-041</t>
  </si>
  <si>
    <t>עזריאלי -הקמת תחמ"ש פנימית 161/24 ק"ו</t>
  </si>
  <si>
    <t xml:space="preserve">הסכם חכירה בדיונים בין המחלקות המשפטיות לקראת חתימה בחודש 6/2026 </t>
  </si>
  <si>
    <t>הסכם חכירה בדיונים בין המחלקות המשפטיות לקראת חתימה בחודש 6/2027</t>
  </si>
  <si>
    <t>הסכם חכירה בדיונים בין המחלקות המשפטיות לקראת חתימה בחודש 6/2028</t>
  </si>
  <si>
    <t>הסכם חכירה בדיונים בין המחלקות המשפטיות לקראת חתימה בחודש 6/2029</t>
  </si>
  <si>
    <t>הסכם חכירה בדיונים בין המחלקות המשפטיות לקראת חתימה בחודש 6/2030</t>
  </si>
  <si>
    <t>הסכם חכירה בדיונים בין המחלקות המשפטיות לקראת חתימה בחודש 6/2026</t>
  </si>
  <si>
    <t>הסכם חכירה בדיונים בין המחלקות המשפטיות לקראת חתימה בחודש 7/26</t>
  </si>
  <si>
    <t>הסכם חכירה בדיונים בין המחלקות המשפטיות לקראת חתימה בחודש 8/26</t>
  </si>
  <si>
    <t>הסכם חכירה והקמת מנהרת התשתיות בדיונים בין המחלקות המשפטיות</t>
  </si>
  <si>
    <t>הסכם חכירה והקמת מנהרת התשתיות בדיונים בין המחלקות המקצועיות והמשפטיות</t>
  </si>
  <si>
    <t>פתח תקווה-הוספת שנאי 525 161/24 ק"ו 50 מ</t>
  </si>
  <si>
    <t>עבודות רת"ק וה.חשמלית נמשכות</t>
  </si>
  <si>
    <t xml:space="preserve">עבודות רת"ק- הסתיימו עבודות בשדה 22. כעת הערכה של עוד כשבועיים עבודה בשנאי. עבודות ה.חשמלית - לקראת סיום עבודות במכולה 24. תוך שבועיים רוב החיווטים יסתיימו גם עבור השנאי ומסדר אפס וימסרו לבדיקות. </t>
  </si>
  <si>
    <t xml:space="preserve">עבודות רת"ק- הסתיימו עבודות בשדה 22. כעת הערכה של עוד כשבוע וחצי עבודה בשנאי. עבודות ה.חשמלית - לקראת סיום עבודות במכולה 24. תוך שבוע רוב החיווטים יסתיימו גם עבור השנאי ומסדר אפס וימסרו לבדיקות. </t>
  </si>
  <si>
    <t xml:space="preserve">רת"ק - צפי לסיום עבודות השבוע 18.06. ה.חשמלית-בוצעה מסירה למכולה 24 ק"ו, מתבצעת עבודה בארונות בחדר פיקוד. בדיקות-בוצעו לס.כיבוי, ש.הארקה, שנאי (מלבד מ"ז). נדרשת חפירה שתבוצע ע"י רת"ק לבקשתנו לטובת הנחת כבלים בין מכולת מ"ג מספר 5 למכולת מ"ג מספר 4.השוחות בתוואי הקיים מלאות ולא ניתן להעביר כבלים. הערכה לביצוע שבוע הבא. בשל עיכובים בלו"ז יצאה בקשה להארכת תאריך הפרויקט לסוף אוגוסט 26. </t>
  </si>
  <si>
    <t xml:space="preserve">רת"ק - צפי לסיום עבודה ב 23.6. ב 28.6 ייכנס קבלן אזרחי של הרת"ק להסדרת השטח ולחפירה נדרשת לתוואי בין מכולה 4 ל-5 עבור הרכבה חשמלית. ה. חשמלית- עובדים בארונות חדר פיקוד.הפרויקט נדחה ל08/26. </t>
  </si>
  <si>
    <t>רת"ק סיימו את העבודה בשטח. היום נמצא קבלן אזרחי מטעמם בתחנה ומשלים גם חפירה נדרשת עבור הרכבה חשמלית. במקביל נמשכות בדיקות תחמ"ש.</t>
  </si>
  <si>
    <t xml:space="preserve">הרכבה חשמלית לקראת סיום עבודות חיווט במקביל לצוות מבדקה. </t>
  </si>
  <si>
    <t>הרכבה חשמלית לקראת סיום עבודות חיווט במקביל לצוות מבדקה שהחל בדיקות</t>
  </si>
  <si>
    <t xml:space="preserve"> עבודות צוות הרכבה חשמלית צפון הסתיימו. ​
 בדיקות מסדר 24 ק"ו- בוצעו בדיקות למשני הזרם (CT) ולמערכות הפיקוד. במהלך הבדיקות התגלתה תקלה רוחבית בכל התאים, המחייבת החלפת בלוק מגעי​ העזר בפיקוד המנתקים מהדגם הישן לדגם החדש. טרם נקבע מועד להגעת נציג אפקון לבדיקת מסדר 24 ק"ו (ZX2)​
טרם נפתחה אפליקציה בפיקוח עבור עבודות הוספת שנאי 525 ותיקון שדה 22. ​
כ"א: בדיקות מתח יתר ושאר העבודות נדחו בשל תקלות דחופות  והצורך בסיוע באוניברסיטה. צפי 09/26​
מבוצעת בדיקת מתח יתר לכבל מ"ע השבוע. ​אושרה הארכת הפרויקט ל 10/2026
​
​</t>
  </si>
  <si>
    <t>הסתיימו בדיקות מתח יתר לכבל מתח עליון שדה 22 בהצלחה. הרכבה חשמלית סיימו חיווט. בשבוע הזה תכנית מבדקת תחמ"ש לסיים מעגלי זרם 24 ק"ו, פיקודים למפ"ז שדה 22. יבוצעו בדיקות לשנאי 525. טרם נקבע מועד להגעת נציג אפקון לבדיקת מסדר 24 ק"ו (ZX2)​. אושרה הארכת הפרויקט ל 10/2026</t>
  </si>
  <si>
    <t>עמידה בלו"ז</t>
  </si>
  <si>
    <t>WBE-205</t>
  </si>
  <si>
    <t>ערד-החלפת 2 שנאים 33 ל-2 שנאים 50, הוספת שנאי רביעי 50 מגוו"א רב שלבי</t>
  </si>
  <si>
    <t>בעקבות הליך תחרותי נוסף עפ"י דרישה של ועדת המכרזים, צפי בחירת קבלן זוכה ב 28.5.26</t>
  </si>
  <si>
    <t>קבלן זוכה לעבודות אזרחיות יוכרז ב-28.5</t>
  </si>
  <si>
    <t>הוכרז קבלן זוכה לעבודת אזרחיות- צפי עלייה לקרקע 14.6</t>
  </si>
  <si>
    <t>הוכרז קבלן זוכה לעבודת אזרחיות- צפי עלייה לקרקע 30.6</t>
  </si>
  <si>
    <t>הוכרז קבלן זוכה לעבודת אזרחיות- צפי עלייה לקרקע 28.6</t>
  </si>
  <si>
    <t xml:space="preserve">עליית קבלן לקרקע נדחתה לתאריך 05/07-קבלן לא עבר תדריך בטיחות בעקבות מחסור במשגיחים </t>
  </si>
  <si>
    <t>קבלן עלה לקרקע ב5.7</t>
  </si>
  <si>
    <t>קבלן עלה לקרקע ב5.7- עבודות אזרחיות בביצוע לקראת הוספת גידים לשנאי 531</t>
  </si>
  <si>
    <t>תפעול נפת ב"ש הזיז את מועד העתקת הקווים - עיכוב של 3 שבועות לפרוייקט.
החלפת כבלי מ"ג לשנאי 531 והעתקת יציאות מפ"צ 1 לפ"צ 4  תואמה ל-04-09/08</t>
  </si>
  <si>
    <t>תפעול נפת ב"ש הזיז את מועד העתקת הקווים - עיכוב של 3 שבועות לפרוייקט.
החלפת כבלי מ"ג לשנאי 531 והעתקת יציאות מפ"צ 1 לפ"צ 4  תואמה ל-04-09/08
העבודה כרגע מתבצעת לפי הלו"ז בוצעה החלפת גידים לשנאי 531 , שנאי יחושמל לאחר החלפת גידים 09/08</t>
  </si>
  <si>
    <t>הוחלפו גידים לשנאי 531 , שנאי 532 הופסק לטובת ריקון שמן והחלפתו בשנאי חדש.</t>
  </si>
  <si>
    <t>שנאי 532 יוחלף בתאריך 25.8 , יותקן במקומו שנאי חדש
פירוק פ"צ 1+2 צפוי להתחיל ב25.8 ע"י יח' תחמ"ש +הרכבה חשמלית</t>
  </si>
  <si>
    <t>WBE-153</t>
  </si>
  <si>
    <t>ערד-הוספת שנאי שלישי 161/36 ק"ו 50 מגו"א</t>
  </si>
  <si>
    <t xml:space="preserve">קיימת בעיית פריצה בכבלים מ"ג של שנאי 533- בדיקת מעבדה חוזרת תתבצע בתאריך 20/5 </t>
  </si>
  <si>
    <t>ועדת חשמול לשנאי 533 נקבעה לתאריך 8.6</t>
  </si>
  <si>
    <t>ועדת חשמול לשנאי 533 נקבעה לתאריך 8.6, יעד לחשמול שנאי533- 16.6</t>
  </si>
  <si>
    <t>יעד לחשמול שנאי 533- 25.6</t>
  </si>
  <si>
    <t>חשמול שנאי 533 בתאריך 28.6.26</t>
  </si>
  <si>
    <t>השנאי חושמל ב-28.6</t>
  </si>
  <si>
    <t>WBE-152</t>
  </si>
  <si>
    <t>ערד-הוספת 2 מסדרי מ"ג 36 ק"ו (פ''צ 3, 4).</t>
  </si>
  <si>
    <t>תחילת פירוק הפ"צ והתקנת פ"צ חדשים רק לאחר חשמול שנאי 533</t>
  </si>
  <si>
    <t>WBE-273</t>
  </si>
  <si>
    <t>ערד- השלמת שדה מקשר פ"צ, הוספת מ"מ לפ"צ מס' 2, התקנת הגנת פ"צ</t>
  </si>
  <si>
    <t>WBE-272</t>
  </si>
  <si>
    <t>ערד- הקמת שדה 9 במסדר 161 ק"ו</t>
  </si>
  <si>
    <t xml:space="preserve">טרם התקבלו תוכניות ביסוס קרקע - הדבר מעכב את הקבלן האזרחי לעבוד בשדה </t>
  </si>
  <si>
    <t>תכניות ביסוס קרקע התקבלו באיחור,  ממתינים לביצוע מ"ע לעבודות ביסוס</t>
  </si>
  <si>
    <t>תכניות ביסוס קרקע התקבלו באיחור,  ממתינים לביצוע מ"ע לעבודות ביסוס
צפי 30.8</t>
  </si>
  <si>
    <t>WBC-116</t>
  </si>
  <si>
    <t>נחל צופים-הקמת תחמ"ש פנימית 161/13.8 ק"ו</t>
  </si>
  <si>
    <t>חושמל 27/11/2025</t>
  </si>
  <si>
    <t xml:space="preserve">06/2026- צפי סיום פיתוח שטח   
מובל דרומי- הסתיימו עבודות אזרחיות, בתהליך סיום של שאר המערכות החשמליות ופירוק הניידת. צפי סיום 6/2026.    .
טופס 4 - בתהליך השלמת כלל המסמכים, תלוי גם בחיבור התחנה למים וביוב (בטיפול מול הגיחון).
</t>
  </si>
  <si>
    <t xml:space="preserve">07/2026- צפי סיום פיתוח שטח   
מובל דרומי- הסתיימו עבודות אזרחיות, בתהליך סיום של שאר המערכות החשמליות ופירוק הניידת. צפי סיום 6/2026.    .
טופס 4 - בתהליך השלמת כלל המסמכים, תלוי גם בחיבור התחנה למים וביוב (בטיפול מול הגיחון) .חיבור ביוב מצריך תשלום נוסף שהועבר לועדת מכרזים לאישור
</t>
  </si>
  <si>
    <t xml:space="preserve">07/2026-  צפי סיום פיתוח שטח ומובל דרומי  .
טופס 4 - בתהליך השלמת כלל המסמכים, התקבל אישור כבאות להרצת מערכות, חיבור ביוב מצריך תשלום נוסף שהועבר לועדת מכרזים לאישור.                     חיבור מים - הושלם. פיתוח נופי- בבדיקה מה נכלל בהיתר 
</t>
  </si>
  <si>
    <t xml:space="preserve">07/2026-  צפי סיום פיתוח שטח ומובל דרומי  .
טופס 4 - בתהליך השלמת כלל המסמכים, התקבל אישור כבאות להרצת מערכות, חיבור ביוב מצריך תשלום נוסף שהועבר לועדת מכרזים לאישור.                     חיבור מים - הושלם. פיתוח נופי- בבדיקה וטיפול 
</t>
  </si>
  <si>
    <t xml:space="preserve">08/2026-  צפי סיום פיתוח שטח ומובל דרומי  .
טופס 4 - בתהליך השלמת כלל המסמכים, התקבל אישור כבאות להרצת מערכות,              חיבור ביוב- בוצע סיור עם הגיחון, ממתינים לחשבונית מעודכנת מהם                            חיבור מים - הושלם.      פיתוח נופי- ממתינים להצעת מחיר מעודכנת מגליל הנדסה  כולל פיתוח שח לניידת, וטיפול בביצוע 
</t>
  </si>
  <si>
    <t xml:space="preserve">08/2026-  צפי סיום פיתוח שטח ומובל דרומי  .
טופס 4 - בתהליך השלמת כלל המסמכים, התקבל אישור כבאות להרצת מערכות,              חיבור ביוב- בוצע סיור עם הגיחון, ממתינים לחשבונית מעודכנת מהם. חיבור מים - הושלם.      פיתוח נופי- ממתינים להצעת מחיר מעודכנת מגליל הנדסה  כולל פיתוח שח לניידת, וטיפול בביצוע
</t>
  </si>
  <si>
    <t xml:space="preserve">08/2026-  צפי סיום פיתוח שטח ומובל דרומי  .
טופס 4 - בתהליך השלמת כלל המסמכים, התקבל אישור כבאות להרצת מערכות,              חיבור ביוב- בוצע סיור עם הגיחון, ממתינים לחשבונית מעודכנת מהם. חיבור מים - הושלם.      פיתוח נופי- ממתינים להצעת מחיר מעודכנת מגליל הנדסה  כולל פיתוח שטח לניידת, וטיפול בביצוע
</t>
  </si>
  <si>
    <t xml:space="preserve">08/2026-  צפי סיום פיתוח שטח ומובל דרומי  .
טופס 4 - בתהליך השלמת כלל המסמכים, התקבל אישור כבאות להרצת מערכות,                            חיבור ביוב- בוצע סיור עם הגיחון, הוחלט כי אין צורך בתשלום נוסף , העבודות יחלות בחודש הבא.        חיבור מים - הושלם.      פיתוח נופי- התקבלה הצעת מחיר מעודכנת מגליל הנדסה  כולל פיתוח שטח לניידת, בטיפול נווה
</t>
  </si>
  <si>
    <t>חיבור ביוב של חברת הגיחון, פיתוח שטח</t>
  </si>
  <si>
    <t>WBC-015</t>
  </si>
  <si>
    <t>גנים(אתר מכבית)-הקמת תחמ"ש פנימית 161/24</t>
  </si>
  <si>
    <t>בביצוע חפירות ופריסת  כבלים  של המחוז צפי  סיום עבודה אמצע יוני, העברת עומסים - 6-7.26  חישמול ניידת 8.26</t>
  </si>
  <si>
    <t>בביצוע חפירות ופריסת  כבלים  של המחוז צפי  סיום עבודה אמצע יוני, העברת עומסים - 7-8.26  חישמול ניידת 8.26</t>
  </si>
  <si>
    <t>בביצוע חפירות ופריסת  כבלים  של המחוז צפי  סיום עבודה אמצע יוני,  קבלת אישור חפירה מנ"ע, העברת עומסים - 7-8.26  חישמול ניידת 8.26</t>
  </si>
  <si>
    <t xml:space="preserve">קבלת היתר צפויה ב 19.8, נדרש קבלת אישור כיבוי אש, אישור וועדת שלב תכן. נדרש העברת קווים של המחוז פוי בחודש 7.26-8.26, קיים עיכוב בקידווח ברחוב  זבוטינסקי , אישור נת"ע - שיה בתוקף באחריות המחוז. לאחר מכן הוצאה מניצול של הארעית .   הועבר דיווח  בע"פ מנווה שהציוד יילרח לפרוייקט פרטי של יחוות שרתים, יש לקבל מסמך מסודר  ועדכון כתב כמויות </t>
  </si>
  <si>
    <t xml:space="preserve">קבלת היתר צפויה ב 10.9, ,התקבל אישור כיבוי אש, אישור וועדת שלב תכן. נדרש העברת קווים של המחוז פוי בחודש 7.26-8.26, קיים עיכוב בקידווח ברחוב  זבוטינסקי , אישור נת"ע - שיה בתוקף באחריות המחוז. לאחר מכן הוצאה מניצול של הארעית .   הועבר דיווח  בע"פ מנווה שהציוד יילרח לפרוייקט פרטי של יחוות שרתים, יש לקבל מסמך מסודר  ועדכון כתב כמויות </t>
  </si>
  <si>
    <t xml:space="preserve">קבלת היתר צפויה ב 10.9, ,התקבל אישור כיבוי אש, אישור וועדת שלב תכן. נדרש העברת קווים של המחוז פוי בחודש 8.26-9.26, קיים עיכוב בקידווח ברחוב  זבוטינסקי , אישור נת"ע - שיה בתוקף באחריות המחוז. לאחר מכן הוצאה מניצול של הארעית .   הועבר דיווח  בע"פ מנווה שהציוד יילרח לפרוייקט פרטי של יחוות שרתים, יש לקבל מסמך מסודר  ועדכון כתב כמויות </t>
  </si>
  <si>
    <t>קבלת היתר צפויה ב 10.9, ,התקבל אישור כיבוי אש, אישור וועדת שלב תכן. נדרש העברת קווים של המחוז פוי בחודש 8.26-9.26, קיים עיכוב בקידווח ברחוב  זבוטינסקי , אישור נת"ע - שיה בתוקף באחריות המחוז. לאחר מכן הוצאה מניצול של הארעית .   הועבר דיווח  בע"פ מנווה שהציוד יילרח לפרוייקט פרטי של יחוות שרתים, יש לקבל מסמך מסודר  ועדכון כתב כמויות  מועד  תחילת  אוקטובר</t>
  </si>
  <si>
    <t>קבלת היתר 10.9,  נדרש אישור הסכם משפטי מול עיריית קרית אונו, הועבר מסמך טיוטא , מצויין  דרישות מעבר למה שהוסכם, בהמשך לישיבה עם ירון, אביב צריך לבדוק מול נציגי עירייה</t>
  </si>
  <si>
    <t>קבלת היתר 10.9,  נדרש אישור הסכם משפטי מול עיריית קרית אונו, הועבר מסמך טיוטא , מצויין  דרישות מעבר למה שהוסכם, בהמשך לישיבה עם ירון, התקיימה פגישה עם נציג העירייה,  מטפלים במקביל לתשלום אגרות</t>
  </si>
  <si>
    <t>קבלת היתר -  צפי קבלה 10/9/26 - נדרש אישור הסכם משפטי מול עיריית קרית אונו, הועבר מסמך טיוטא, מצויין  דרישות מעבר למה שהוסכם, בהמשך לישיבה עם ירון, התקיימה פגישה עם נציג העירייה -  בטיפול מול  נציגיי תכנון ליועצת משפטית לעדכון סעיפים, מטפלים במקביל לתשלום אגרות.</t>
  </si>
  <si>
    <t>קבלת היתר - צפי לקבלה 10/9/26 -  נדרש אישור הסכם משפטי מול עיריית קרית אונו, הועבר מסמך טיוטא , מצויין  דרישות מעבר למה שהוסכם, בהמשך לישיבה עם ירון, התקיימה פגישה עם נציג העירייה, בוצע עדכון להסכם צורך העברה לוועדת מכרזים, מטפלים במקביל לתשלום אגרות.</t>
  </si>
  <si>
    <t>קבלת אישור לביצוע עבודות מחוז להעברת כבלים לקרית אריה  צפי 9/26 - עבודה בשלבים, הועבר מייל בטיפול ירון ליב ,נשלח מייל לשלום בוחבוט, התקבלה התייחסות לבדיקת קידום עבודות</t>
  </si>
  <si>
    <t>WBD-049</t>
  </si>
  <si>
    <t>גנים (מכבית) ניידת-  הצבת תחמ"ש ניידת</t>
  </si>
  <si>
    <t>חישמול ניידת צפוי 8.26</t>
  </si>
  <si>
    <t>הרכבת ניידת הסתיימה,  בשלב חישמול מול יח' תחמ"ש  והמחוז. 8.26</t>
  </si>
  <si>
    <t>הרכבת ניידת הסתיימה,  בשלב חישמול מול יח' תחמ"ש  והמחוז. 9.26</t>
  </si>
  <si>
    <t>חישמול צפוי  חודש 8.26</t>
  </si>
  <si>
    <t xml:space="preserve">צפי חישמול סוף 8/2026,  הוצאה מניצול   אמצע חודש 9.26- לתחילת אוקטובר , בהתאם להעברת עומסים מקרית אריה </t>
  </si>
  <si>
    <t>צפי חישמול סוף 8/2026,  הוצאה מניצול   אמצע חודש 9.26- לתחילת אוקטובר , בהתאם להעברת עומסים מקרית אריה . משך עבודות פירוק ציוד כחודש.</t>
  </si>
  <si>
    <t>צפי חישמול סוף 8/2026.
הוצאה מניצול אמצע חודש 9/26 - תחילת 10/26, בהתאם להעברת עומסים מקרית אריה . משך עבודות פירוק ציוד כחודש.</t>
  </si>
  <si>
    <t>צפי חישמול סוף 8/2026.
הוצאה מניצול   אמצע חודש 09/2026 -  תחילת 10/26, בהתאם להעברת עומסים מקרית אריה . משך עבודות פירוק ציוד כחודש.</t>
  </si>
  <si>
    <t xml:space="preserve">עיכוב בעבודות יהווה סיכון לתחילת עבודות קבלן אזרחי, נדרש תיאום הפסקה - הולכה </t>
  </si>
  <si>
    <t>WBC-027</t>
  </si>
  <si>
    <t>גבעתיים - הקמת תחמ"ש פנימית 161/24 ק"ו</t>
  </si>
  <si>
    <t>טופס 4 - התקדמות מול כלל הנושאים. לקראת סיום טיפול בטפסים מול מחלקות העירייה. התקבל אישור מח' תשתיות,בוצע סיור עם אדריכל נוף של העירייה לאישור. הוגשו אישורים ליועץ בנייה ירוקה- ממתינים לאישורו. צפי לקבלת תעודת גמר -סוף 06/2026</t>
  </si>
  <si>
    <t xml:space="preserve">טופס 4 -  הושלמו המסמכים מול העיריה. פרט ל: יועץ בנייה ירוקה- הטפסים הוגשו,ממתינים לאישורו. וזיקת הנאה- ממתינים לחתימת רמ"י.                     הוגשה בקשה לעיריה למתן תעודת גמר , עם התחייבות להשלמת המסמכים הנ"ל תוך 3 חודשים. ממתינים לתשובת העיריה. </t>
  </si>
  <si>
    <t xml:space="preserve">טופס 4 -  הושלמו המסמכים מול העיריה. פרט ל: יועץ בנייה ירוקה- הטפסים הוגשו,ממתינים לאישורו. וזיקת הנאה- ממתינים לחתימת רמ"י.                     הוגשה בקשה לעיריה למתן תעודת גמר , ללא בניה ירוקה עם התחייבות להשלמת המסמכים הנ"ל תוך 3 חודשים. ממתינים לתשובת העיריה. </t>
  </si>
  <si>
    <t>טופס 4 -  הושלמו המסמכים מול העיריה. פרט ל: יועץ בנייה ירוקה- הטפסים הוגשו,ממתינים לאישורו. וזיקת הנאה- ממתינים לחתימת רמ"י. - בטיפול ירון חנין</t>
  </si>
  <si>
    <t>טופס 4 -  הושלמו המסמכים מול העיריה. פרט ל: יועץ בנייה ירוקה- הטפסים הוגשו,ממתינים לאישורו. וזיקת הנאה- ממתינים לחתימת רמ"י. - בטיפול ארז  סרי</t>
  </si>
  <si>
    <t>WBE-204</t>
  </si>
  <si>
    <t>אשלים-התקנת  2 שנאים 50 מגוו"א</t>
  </si>
  <si>
    <t>המשך ביצוע עבודות אזרחיות</t>
  </si>
  <si>
    <t>נמצא בשלב עבודות אזרחיות- צפי מסירת יסוד שנאי 534 16.6</t>
  </si>
  <si>
    <t>נמצא בשלב עבודות אזרחיות- צפי מסירת יסוד שנאי 534 30.6  (התעכב בעקבות שאגת הארי)</t>
  </si>
  <si>
    <t>נמצא בשלב עבודות אזרחיות- צפי מסירת יסוד שנאי 534  בתאריך 20.7</t>
  </si>
  <si>
    <t>נמצא בשלב עבודות אזרחיות.
 צפי סיום עבודות אזרחיות -30.7
 צפי הצבת שנאי 534- 26.7</t>
  </si>
  <si>
    <t>נמצא בשלב עבודות אזרחיות.
 צפי סיום עבודות אזרחיות -30.7
 צפי הצבת שנאי 534- 27.7</t>
  </si>
  <si>
    <t>שנאי הוצב ב27.7
פיקוח אזרחי לא סיימו את העבודות ב30.7 כפי שהתחייבו!</t>
  </si>
  <si>
    <t>שנאי הוצב ב27.7
פיקוח אזרחי לא סיימו את העבודות ב30.7 כפי שהתחייבו!
צפי מסירה אזרחית 10.8</t>
  </si>
  <si>
    <t>שנאי הוצב ב27.7
פיקוח אזרחי לא סיימו את העבודות ב30.7 כפי שהתחייבו!
בוצעה השלמה חלקית של התוואי.</t>
  </si>
  <si>
    <t>תוואי שוחות שנאי 534+ 2 מכולות מ"ג גבוה הושלם רק בתאריך 18.8 .
צפי לסיום חיווט ע"י הרכבה חשמלית 27.8
יח' התחמ"ש לא עבדו באתר במשך שבוע לפחות, השנאי זמין לבדיקות החל מתאריך 18.8 אך לא נבדק ע"י יח' התחמ"ש.
מבקש לתגבר בבודקים בהתאם (לפחות 6 בודקים).
בנוסף תכנון תקשורת + סל מידע טרם הסתיימו !</t>
  </si>
  <si>
    <t>WBE-180</t>
  </si>
  <si>
    <t>אשלים-PV3- התקנת שני שדות קווים 161/24 ק"ו</t>
  </si>
  <si>
    <t>נמצא בשלב עבודות אזרחיות</t>
  </si>
  <si>
    <t>נמצא בשלב עבודות אזרחיות, הרכבה חשמלית מקמו חלק מהציוד בשדה</t>
  </si>
  <si>
    <t>הרכב חשמלית בשלבי מיקום ציוד בשדה</t>
  </si>
  <si>
    <t>WBK-021</t>
  </si>
  <si>
    <t>אבן ספיר-התקנת שנאי קישור 400/161 ק"ו שלישי, 575 מגוו"א</t>
  </si>
  <si>
    <t xml:space="preserve">נקבע פגישה נוספת לתאריך 3.6 על סטטוס תכנון </t>
  </si>
  <si>
    <t xml:space="preserve">נמצא בתכנון אזרחי </t>
  </si>
  <si>
    <t>נמצא בבדיקה חוזרת לגבי מסלול רישוי בניה ישיבה בנושא 20.07</t>
  </si>
  <si>
    <t>לאחר הישיבה נותרנו עם קיר תמך בגובה 1.2 מטר המצריך היתר, כרגע נמצא בבחינה האפשרות להוריד בגובה הקיר ל-1 מטר ולפנות למסלול פטור מהיתר</t>
  </si>
  <si>
    <t>DR ב- 10.09</t>
  </si>
  <si>
    <t>WBK-014</t>
  </si>
  <si>
    <t>אבן ספיר-הרחבת תחמ"ג וחיבור שנאי קישור שלישי 453</t>
  </si>
  <si>
    <t>קיבלנו עדכון ת.פ עקב איחור בהגעת השנאי ת.פ חדש 06/2028</t>
  </si>
  <si>
    <t>WBJ-015</t>
  </si>
  <si>
    <t xml:space="preserve">דן- הקמת תחמ"ג </t>
  </si>
  <si>
    <t>הסכמי ביצוע עם חברות הדלק נמצאים בשלב מו"מ.
ב 10.05.2026 קצא"א הודיעה לחח"י על הקפאת קידום המו"מ על הסכם הביצוע עד לניתוח דוח השפעות סביבתיות שהועבר אליהם מנגה .
תוכניות למכרז עבור בניין 24 הופצו להערות יועצים ב 04/05/2026
היתר - טרם התקיים דיון בועדה.</t>
  </si>
  <si>
    <t xml:space="preserve">הסכמי ביצוע עם חברות הדלק נמצאים בשלב מו"מ.
ב 10.05.2026 קצא"א הודיעה לחח"י על הקפאת קידום המו"מ על הסכם הביצוע עד לניתוח דוח השפעות סביבתיות שהועבר אליהם מנגה .
צפויה ישיבה בנוגע ליעדי פינוי התשתיות עם הנהלת החטיבה ב 28.05.2026
תוכניות למכרז עבור בניין 24 הופצו להערות יועצים ב 04/05/2026
היתר - טרם התקיים דיון בועדה.
</t>
  </si>
  <si>
    <t>הסכמי ביצוע עם חברות הדלק נמצאים בשלב מו"מ.
ב 10.05.2026 קצא"א הודיעה לחח"י על הקפאת קידום המו"מ על הסכם הביצוע עד לניתוח דוח השפעות סביבתיות שהועבר אליהם מנגה .
התקיימה ישיבה בנוגע ליעדי פינוי התשתיות עם הנהלת החטיבה ב 28.05.2026 בה סוכם שתתקיים ישיבה אצל המנכל להצגת סטאטוס דרישות חברות הדלק במסגרת הסכמי הביצוע להעתקת הקוים. 
היתר - טרם התקיים דיון בועדה.נתקבל אישור פיקוד העורף(בכפוף לאישור הועדה -טרום דיון).</t>
  </si>
  <si>
    <t>הסכמי ביצוע עם חברות הדלק נמצאים בשלב מו"מ.
ב 10.05.2026 קצא"א הודיעה לחח"י על הקפאת קידום המו"מ על הסכם הביצוע עד לניתוח דוח השפעות סביבתיות שהועבר אליהם מנגה .התקיימה ישיבה עם מנכ"ל חח"י ב 3.6.2026 בה הוצפו הפערים מבדרישת קצא"א במסגרת הסכם הביצוע.(תש"א + קצא"א)מנהלת הפרויקט מתריטה כי בשלב זה אין ביכולה לקדם את הסכמי הביצוע והנושא הועבר לטיפול הנהלת חח"י. יש להדגיש כי לתהליך זה יש השפעה ישירה על לוחות הזמנים של הפרויקט.
היתר - דיון בועדה צפוי להתקיים ב 11.06.2026.נתקבל אישור פיקוד העורף(בכפוף לאישור הועדה -טרום דיון).</t>
  </si>
  <si>
    <t>הסכמי ביצוע עם חברות הדלק נמצאים בשלב מו"מ.
ב 10.05.2026 קצא"א הודיעה לחח"י על הקפאת קידום המו"מ על הסכם הביצוע עד לניתוח דוח השפעות סביבתיות שהועבר אליהם מנגה .התקיימה ישיבה עם מנכ"ל חח"י ב 3.6.2026 בה הוצפו הפערים מבדרישת קצא"א במסגרת הסכם הביצוע.(תש"א + קצא"א)מנהלת הפרויקט מתריעה כי בשלב זה אין ביכולה לקדם את הסכמי הביצוע והנושא הועבר לטיפול הנהלת חח"י. יש להדגיש כי לתהליך זה יש השפעה ישירה על לוחות הזמנים של הפרויקט.
היתר - דיון בועדה התקיים ב 11.06.2026.נתקבל אישור פיקוד העורף ואישור כיבוי אש(בכפוף לאישור הועדה -טרום דיון). ממתינים לקבלת פרוטוקול.</t>
  </si>
  <si>
    <r>
      <t>הסכמי ביצוע עם חברות הדלק נמצאים בשלב מו"מ.
ב 10.05.2026 קצא"א הודיעה לחח"י על הקפאת קידום המו"מ על הסכם הביצוע עד לניתוח דוח השפעות סביבתיות שהועבר אליהם מנגה .ב 25.06.2026 תערך ישיבה של מנכ"ל חח"י עם מנכ"ל קצא"א בנושא קידום ההסכם
מנהלת הפרויקט</t>
    </r>
    <r>
      <rPr>
        <sz val="12"/>
        <rFont val="Arial"/>
        <family val="2"/>
        <scheme val="minor"/>
      </rPr>
      <t xml:space="preserve"> מתריעה</t>
    </r>
    <r>
      <rPr>
        <sz val="12"/>
        <rFont val="Arial"/>
        <family val="2"/>
        <charset val="177"/>
        <scheme val="minor"/>
      </rPr>
      <t xml:space="preserve"> כי בשלב זה אין ביכולה לקדם את הסכמי הביצוע והנושא הועבר לטיפול הנהלת חח"י. יש להדגיש כי לתהליך זה יש השפעה ישירה על לוחות הזמנים של הפרויקט.
התקיימו 2 ישיבות עם נת"י בנושא הסדרת הדרך החלופית לאור דרישת יכין חק"ל - הנושא </t>
    </r>
    <r>
      <rPr>
        <sz val="12"/>
        <rFont val="Arial"/>
        <family val="2"/>
        <scheme val="minor"/>
      </rPr>
      <t>טרם נפתר</t>
    </r>
    <r>
      <rPr>
        <sz val="12"/>
        <rFont val="Arial"/>
        <family val="2"/>
        <charset val="177"/>
        <scheme val="minor"/>
      </rPr>
      <t>. נושא זה הועלה בפני המשנה למנכ"ל משרד האנרגיה.
היתר - דיון בועדה התקיים ב 11.06.2026.ממשיכים לשלב מילוי תנאים.</t>
    </r>
  </si>
  <si>
    <t>הסכמי ביצוע עם חברות הדלק נמצאים בשלב מו"מ.
ב 10.05.2026 קצא"א הודיעה לחח"י על הקפאת קידום המו"מ על הסכם הביצוע עד לניתוח דוח השפעות סביבתיות שהועבר אליהם מנגה .ממתינים לישיבה בין  מנכ"ל חח"י למנכ"ל קצא"א בנושא קידום ההסכם
מנהלת הפרויקט מתריעה כי בשלב זה אין ביכולה לקדם את הסכמי הביצוע והנושא הועבר לטיפול הנהלת חח"י. יש להדגיש כי לתהליך זה יש השפעה ישירה על לוחות הזמנים של הפרויקט.
התקיימו 2 ישיבות עם נת"י בנושא הסדרת הדרך החלופית לאור דרישת יכין חק"ל - הנושא טרם נפתר. ישבה נוספת תערך ב 05.07.2026 - נושא זה הועלה בפני המשנה למנכ"ל משרד האנרגיה.
היתר - שלב מילוי תנאים.
מכרז - שלב תכנון</t>
  </si>
  <si>
    <t>הסכמי ביצוע עם חברות הדלק נמצאים בשלב מו"מ.
מסתמן כי נמצא פתרון להסכמת נת"י בנוגע להסדרת דרך הגישה
היתר - שלב מילוי תנאים.
מכרז - שלב תכנון</t>
  </si>
  <si>
    <t>הסכמי ביצוע עם חברות הדלק נמצאים בשלב מו"מ.
היתר - שלב מילוי תנאים.
מכרז - שלב תכנון</t>
  </si>
  <si>
    <t xml:space="preserve">הסכמי ביצוע עם חברות הדלק נמצאים בשלב מו"מ.
היתר - שלב מילוי תנאים.
מכרז - שלב תכנון.
יש לפנות להנהלה הבכירה לחברות הדלק (קצא ותשא )ולקדם במקביל תהליך בחירת קבלן. </t>
  </si>
  <si>
    <t xml:space="preserve">הסכמי ביצוע: תש"א - טיוטא סופית אושרה ע"י שני הצדדים מחכים לאישור ועדת מכרזים.
קצא"א - נמצאים בשלב סופי לקראת אישור טיוטאת הסכם הביצוע.
היתר - שלב מילוי תנאים.
מכרז - שלב תכנון וכתב כמויות.
</t>
  </si>
  <si>
    <t xml:space="preserve">
1. יעד עמידה בלוחות זמני פינוי תשתיות: (קצ"א תש"א...)
</t>
  </si>
  <si>
    <t>WBE-283</t>
  </si>
  <si>
    <t>צחר-הקמת שדה קו חיבור כבל תת"ק משדה עמיאל</t>
  </si>
  <si>
    <t>חודשה עבודת הקבלן האזרחי באתר
חשמול  שדה זה נדרש להתבצע במקביל לחשמול התחנה לאור המתכונת הנדרשת לביצוע הבדיקות כתלות בהקמת תחנה דיגיטאלית.</t>
  </si>
  <si>
    <t xml:space="preserve"> בהרכבות מסדר 161</t>
  </si>
  <si>
    <t>מתקדם במקביל להקמה</t>
  </si>
  <si>
    <t>צחר- הקמת תחמש חיצונית 161/24 ק"ו</t>
  </si>
  <si>
    <t>החלו עבודות גמר בבניין- ממשיכים בעבודות טיח. ב 18.05.2026 צפויה מסירה של המרתף.
ממשיכים בהרכבות מסדר 161
קבלן מ"ע החל בעבודתו בעיכוב רב. פעילות שעלולה להוות סיכון ללוז הפרויקט.
התקיים סיור מקדים עם מחלקת איכות הסביבה לקבלת הנחיות לדרישות טופס 4.</t>
  </si>
  <si>
    <t>המרתף הושלם ונערכים למסירת המבנה לקראת סוף יוני 2026
ממשיכים בהרכבות מסדר 161
תואם מילוי שמן לאמצע יוני 2026.
הוצבו בשטח ביסוסים לעמודי שנאי הבית בתיאום עם המחוז</t>
  </si>
  <si>
    <t>מסירה אזרחית של מסדר 24 צפויה באמצע יוני 2026. וחדר הפיקוד יושלם לקראת סוף יוני 2026
ממשיכים בהרכבות מסדר 161
תואם מילוי שמן לאמצע יוני 2026.</t>
  </si>
  <si>
    <t>מסירה אזרחית של מסדר 24 צפויה ב 15.06.2026. וחדר הפיקוד יושלם לקראת סוף יוני 2026
ממשיכים בהרכבות מסדר 161
החל מילוי שמן ב 14.06.2026.
עקב פיצוץ צינור מים שארע ב 13.06.2026 ע"י קבלן רת"ק - העבודות בקיר הצפוני נעצרו ובשלב זה מבוצעת הערכת עלות ולו"ז לתיקון הנזקים.</t>
  </si>
  <si>
    <t xml:space="preserve">מסירה אזרחית של מסדר 24 התקיים ב 18.06.2026. ב 21.06.2026 סופקו המסדרים לאתר והחלו בהרכבתם
 חדר הפיקוד יושלם לקראת סוף יוני 2026
ממשיכים בהרכבות מסדר 161 
מילוי שמן יסתיים עד סוף יוני 2026.
</t>
  </si>
  <si>
    <t xml:space="preserve">קייזן לתיאום לוז הרכבות ובדיקות נערך ב 29.06.2026
חדר פיקוד הנמסר להרכבות ב 25.06.2026
מילוי שמן הסתיים בשנאים
החלו באספקת ארונות פיקוד לאתר.
</t>
  </si>
  <si>
    <t xml:space="preserve">קייזן לתיאום לוז הרכבות ובדיקות נערך ב 29.06.2026
נעשים מאמצים לקדם יעדי קבלן אזרחי (אספלט, כיבוי אש, השלמת מערכות ובדיקת אינטגרציה). פעילויות המשפיעות באופן ישיר על קבלת טופס 4. 
קבלן הנחת כבלים מתוכן להתחיל ב 12.07.2026 בתלות בסיום אספלט באיזור 161.
ב 6.7.2027 יבוצע מילוי גז לפילטרים במסדר 24
</t>
  </si>
  <si>
    <t>קייזן לתיאום לוז הרכבות ובדיקות נערך ב 29.06.2026
נעשים מאמצים לקדם יעדי קבלן אזרחי (אספלט, כיבוי אש, השלמת מערכות ובדיקת אינטגרציה). פעילויות המשפיעות באופן ישיר על קבלת טופס 4. 
קבלן הנחת כבלים התחיל ב 12.07.2026 בתלות בסיום אספלט באיזור 161.
ב 6.7.2027 בוצע מילוי גז לפילטרים במסדר 24</t>
  </si>
  <si>
    <t>ב 12.07.2026 החלו בהנחת כבלים .
ב 12.07.2026 החלו בדיקות מסדר 24 ע"י הרכבה חשמלית דרום.
ב 22.07.2026 יבוצע חישמול שנאי בית  לחשמל קבוע  לטובת הבדיקות ויזין את המערכות באתר.
בתחילת אוגוסט צפויה להתבצע בדיקת מעבדה של השנאים.
ממשיכים בחפירות רת"ק לקראת הנחת הצנרת.
צפי כניסת בדיקות תחמ"ש - במהלך ספטמבר 2026.</t>
  </si>
  <si>
    <t>ב 12.07.2026 החלו בהנחת כבלים .
הסתיימו בדיקות מסדר 24 ע"י הרכבה חשמלית דרום.
 עד 15/8/26 יבוצע חישמול שנאי בית  לחשמל קבוע  לטובת הבדיקות ויזין את המערכות באתר. 
בתחילת אוגוסט צפויה להתבצע בדיקת מעבדה של השנאים.
ממשיכים בחפירות רת"ק לקראת הנחת הצנרת.
צפי כניסת בדיקות תחמ"ש - במהלך ספטמבר 2026.</t>
  </si>
  <si>
    <t xml:space="preserve">
הסתיימו הרכבת מסדר 24  ק"ו  הרכבות חשמליות בשלבים מתקדמים.
 עד 15/8/26 יבוצע חישמול שנאי בית  לחשמל קבוע  לטובת הבדיקות ויזין את המערכות באתר. 
בתחילת אוגוסט צפויה להתבצע בדיקת מעבדה של השנאים.
ממשיכים בחפירות רת"ק לקראת הנחת הצנרת. שצפויה להתחיל במחצית אוגוסט 26.
צפי כניסת בדיקות תחמ"ש - במהלך ספטמבר 2026.</t>
  </si>
  <si>
    <t xml:space="preserve">
הסתיימו הרכבת מסדר 24  ק"ו  הרכבות חשמליות בשלבים מתקדמים. ב16/8 צפויה בדיקת מתח יתר למסדר 24 ק"ו .
 בתאריך 10/8/26 בוצע חישמול שנאי בית  לחשמל קבוע  לטובת הבדיקות ויזין את המערכות באתר. 
בתאריך 16/8 יתחילו הנחת כבלים 161 ע"י הרתק.
צפי כניסת בדיקות תחמ"ש - במהלך ספטמבר 2026.
11/8 יבוצע חשמול ללוח החלוקה 380.</t>
  </si>
  <si>
    <t xml:space="preserve">ב 16/08/2026 החלה בדיקת מתח יתר למסדר 24 ק"ו - צפי לסיום בסוף השבוע.
קבלן הנחת הכבלים נכנס לבצע השלמות.
בוצע חשמול ללוח חלוקה 380
צפי כניסת בדיקות תחמ"ש - במהלך ספטמבר 2026.
</t>
  </si>
  <si>
    <t xml:space="preserve">בדיקת מתח יתר למסדר 24 ק"ו - הסתיימה בהצלחה.
צפי כניסת בדיקות תחמ"ש - במהלך ספטמבר 2026.
ממשיכים בעבודות רת"ק
</t>
  </si>
  <si>
    <t xml:space="preserve">מצב בטחוני
</t>
  </si>
  <si>
    <t>WBC-004</t>
  </si>
  <si>
    <t>ביכורים (אסיף)-הקמת תחמ"ש פנימית 161/24</t>
  </si>
  <si>
    <t>ב 16/02/2026 התקיימה ישיבה במעמד ראש העיר וסמנכ"ל נגה. סוכם שהעיריה תפנה למשרד אדריכלות חיצוני לשינוי נראות המבנה.נתקבל פרוטוקול ב 16/04/2026 
החומר האדריכלי ההופץ ע"י חח"י. מחכים להנחיות להמשך.</t>
  </si>
  <si>
    <t>ב 16/02/2026 התקיימה ישיבה במעמד ראש העיר וסמנכ"ל נגה. סוכם שהעיריה תפנה למשרד אדריכלות חיצוני לשינוי נראות המבנה.נתקבל פרוטוקול ב 16/04/2026 
החומר האדריכלי ההופץ ע"י חח"י. אדריכלית חח"י נמצאת בקשר עם המתכננים מטעם העיריה.</t>
  </si>
  <si>
    <t>ב 16/02/2026 התקיימה ישיבה במעמד ראש העיר וסמנכ"ל נגה. סוכם שהעיריה תפנה למשרד אדריכלות חיצוני לשינוי נראות המבנה.נתקבל פרוטוקול ב 16/04/2026 
ב 11.06.2026 הועברו חלופות אדריכליות מהמתכנן של העיריה.
ב 18.06.2026 צפויה להתקיים ישיבה להצגתם בחח"י.
ב 15.06.2026 מתוכננת להתקיים ישיבה של מנכ"ל חח"י עם מנכ"ל עירית חיפה בנושא קידום ההיתר להקמת התחמ"ש.</t>
  </si>
  <si>
    <t xml:space="preserve">ב 11.06.2026 הועברו חלופות אדריכליות מהמתכנן של העיריה.
ב 18.06.2026 התקיימה ישיבה להצגתם בחח"י בה אושרו החלופות להצגה בעיריה. ממתינים לאישור העיריה של החלופות על מנת לעדכן את התוכניות והגשתם להיתר מחדש.
ב 15.06.2026 התקיימה ישיבה של מנכ"ל חח"י עם מנכ"ל עירית חיפה בנושא קידום ההיתר להקמת התחמ"ש שבה מנכ"ל העיריה חזר על דרישת העיריה להקמת תחנה תת קרקעית.
</t>
  </si>
  <si>
    <t>ב 11.06.2026 הועברו חלופות אדריכליות מהמתכנן של העיריה.
ב 18.06.2026 התקיימה ישיבה להצגתם בחח"י בה אושרו החלופות להצגה בעיריה. ממתינים לאישור העיריה של החלופות על מנת לעדכן את התוכניות והגשתם להיתר מחדש.
ב 15.06.2026 התקיימה ישיבה של מנכ"ל חח"י עם מנכ"ל עירית חיפה בנושא קידום ההיתר להקמת התחמ"ש שבה מנכ"ל העיריה חזר על דרישת העיריה להקמת תחנה תת קרקעית.
ב 29.06.2026 נתקבלה בקשת עיריה לשיקוע התחנה.</t>
  </si>
  <si>
    <t>ב 11.06.2026 הועברו חלופות אדריכליות מהמתכנן של העיריה.
ב 18.06.2026 התקיימה ישיבה להצגתם בחח"י בה אושרו החלופות להצגה בעיריה. ממתינים לאישור העיריה של החלופות על מנת לעדכן את התוכניות והגשתם להיתר מחדש. 
ב 15.06.2026 התקיימה ישיבה של מנכ"ל חח"י עם מנכ"ל עירית חיפה בנושא קידום ההיתר להקמת התחמ"ש שבה מנכ"ל העיריה חזר על דרישת העיריה להקמת תחנה תת קרקעית.
ב 29.06.2026 נתקבלה בקשת עיריה לשיקוע התחנה.</t>
  </si>
  <si>
    <t xml:space="preserve">ב 11.06.2026 הועברו חלופות אדריכליות מהמתכנן של העיריה.
ב 18.06.2026 התקיימה ישיבה להצגתם בחח"י בה אושרו החלופות להצגה בעיריה. ממתינים לאישור העיריה של החלופות על מנת לעדכן את התוכניות והגשתם להיתר מחדש. 
ב 15.06.2026 התקיימה ישיבה של מנכ"ל חח"י עם מנכ"ל עירית חיפה בנושא קידום ההיתר להקמת התחמ"ש שבה מנכ"ל העיריה חזר על דרישת העיריה להקמת תחנה תת קרקעית.
ב 29.06.2026 נתקבלה בקשת עיריה לשיקוע התחנה.
 החלופות והפרויקט מקודמים ע"י נגה מול העירייה וחח"י בשלב זה ממתינה להחלטות. 
</t>
  </si>
  <si>
    <t xml:space="preserve">ב 11.06.2026 הועברו חלופות אדריכליות מהמתכנן של העיריה.
ב 18.06.2026 התקיימה ישיבה להצגתם בחח"י בה אושרו החלופות להצגה בעיריה. ממתינים לאישור העיריה של החלופות על מנת לעדכן את התוכניות והגשתם להיתר מחדש. 
ב 15.06.2026 התקיימה ישיבה של מנכ"ל חח"י עם מנכ"ל עירית חיפה בנושא קידום ההיתר להקמת התחמ"ש שבה מנכ"ל העיריה חזר על דרישת העיריה להקמת תחנה תת קרקעית.
ב 29.06.2026 נתקבלה בקשת עיריה לשיקוע התחנה.
 החלופות והפרויקט מקודמים ע"י נגה מול העירייה וחח"י בשלב זה ממתינה להחלטות. </t>
  </si>
  <si>
    <t>זמן /כסף - חח"י לא תחל בעדכון תכנון להיתר עד לקבלת אישור העיריה
קבלת היתר - ממתינים לעמדת העיריה יש לשקול הגשת הבקשה במסגרת הות"ל</t>
  </si>
  <si>
    <t>WBE-154</t>
  </si>
  <si>
    <t>ירושלים ה -הוספת שנאי 514 , 56 מגוו"א</t>
  </si>
  <si>
    <t>שנאי 511 נבדק ונמצא תקול ונדרש להחליפו. אספקת שנאי חדש לקראת ספטמבר 2026</t>
  </si>
  <si>
    <t>שנאי 511 נבדק ונמצא תקול ונדרש להחליפו. אספקת שנאי חדש לקראת יולי 2027</t>
  </si>
  <si>
    <t>בבדיקת אגף רשת ירושלים פתרונות חליפיים: הסטת שנאי, תגבור צרכנות דרך נחל צופים</t>
  </si>
  <si>
    <t>אספקת שנאי צפויה ליולי 2027. אין כרגע עידכון אחר. בדיקת 2 מסדרי מ"ג אינו מתועדף ע"י יח' תחמ"ש</t>
  </si>
  <si>
    <t>שנאי תקול 511 פורק - לצורך תיקונו נדרש לשלוח אותו לחו"ל. בבדיקה טכנוכלכלית. אספקת שנאי חדש צפויה ביוני 2027 ולכן חישמול ביולי 2027. עדיין לא נבדקו 2 מסדרי מ"ג של פ"צ 4 עקב חוסר תיעדוף של מבדקת תחמ"ש ים'.</t>
  </si>
  <si>
    <t>שנאי תקול 511 פורק - לצורך תיקונו נדרש לשלוח אותו לחו"ל.לבינתיים הוא יועבר בסופ"ש לים ג' לאחסון.  בבדיקה טכנוכלכלית כדאיות התיקון בחו"ל.. אספקת שנאי חדש צפויה ביוני 2027 ולכן חישמול ביולי 2027. עדיין לא נבדקו 2 מסדרי מ"ג של פ"צ 4 עקב חוסר תיעדוף של מבדקת תחמ"ש ים'.</t>
  </si>
  <si>
    <t>שנאי תקול 511 פורק - לצורך תיקונו נדרש לשלוח אותו לחו"ל.לבינתיים הוא יועבר בסופ"ש לים ג' לאחסון.  בבדיקה טכנוכלכלית כדאיות התיקון בחו"ל.. אספקת שנאי חדש צפויה ביוני 2027 ולכן חישמול ביולי 2027. עדיין לא נבדקו 2 מסדרי מ"ג של פ"צ 4 עקב חוסר תיעדוף של מבדקת תחמ"ש ים.</t>
  </si>
  <si>
    <t>שנאי תקול 511 . אספקת שנאי חדש צפויה ביוני 2027 ולכן חישמול ביולי 2027. עדיין לא נבדקו 2 מסדרי מ"ג של פ"צ 4 עקב חוסר תיעדוף של מבדקת תחמ"ש ים.</t>
  </si>
  <si>
    <t>שנאי תקול 511 . אספקת שנאי חדש צפויה ביוני 2027 ולכן חישמול ביולי 2027. עדיין לא נבדקו 2 מסדרי מ"ג של פ"צ 4 עקב חוסר תיעדוף של מבדקת תחמ"ש ים. עם פתיחת פרוייקט חדש של העברת שנאי מאזור המרכז, יתוזמנו העבודות.</t>
  </si>
  <si>
    <t>התקבל היום מייל מסמנכ"ל שיורתי רשת שדורש לפעול להעברת שנאי מתחמ"ש ת"א מרכז לירושלים ה. הפרוייקט עובר לניהול דביר בן חמו. נקיים ישיבת התנעה ולאחריה נגבש לוז מעשי. נדרש לבדוק נושא תקציבי - האם להעמיס על הפרוייקט המקורי.</t>
  </si>
  <si>
    <t>נמצא בבירור אצל גיל חזום לקבלת השנאי מתחמ"ש ומרחב דן וחוף</t>
  </si>
  <si>
    <t>נדרש תיעדוף מבדקת תחמ"ש בבדיקות הכנסה לניצול של מסדר מ"ג חדש</t>
  </si>
  <si>
    <t>WBM-00885-055</t>
  </si>
  <si>
    <t>ירושלים ה'- התאמת מע' מים לכיבוי אש</t>
  </si>
  <si>
    <t>התקיימה ישיבת DR. עם הכנת מסמכי המכרז יישלחו לבדיקה. תכנון כיבוי האש הוא עקרוני בלבד. על הקבלן הזוכה יהיה לבצע תכנון מפורט ולהציג אותו לאישור מתכנני חח"י ומעבדה מוסמכת לכיבוי אש. ב 27.5 יתקיים סיור לבחינת לוח פיקוד קיים משאבה ישנה מחוץ למקום מוקף. RFT נקבע ל 8.6 בעזרת שרונה סגל הופחתו דרישות העירייה לגבי היתר הבנייה. אישור קונסטרוקטורית הועברה לעירייה לבקשתם.</t>
  </si>
  <si>
    <t>התקיימה ישיבת DR. עם הכנת מסמכי המכרז יישלחו לבדיקה. תכנון כיבוי האש הוא עקרוני בלבד. על הקבלן הזוכה יהיה לבצע תכנון מפורט ולהציג אותו לאישור מתכנני חח"י ומעבדה מוסמכת לכיבוי אש. ב 27.5 יתקיים סיור לבחינת לוח פיקוד קיים משאבה ישנה מחוץ למקום מוקף. RFT נקבע ל 8.6 בעזרת שרונה סגל הופחתו דרישות העירייה לגבי היתר הבנייה. אישור קונסטרוקטורית הועברה לעירייה לבקשתם. נדרשת התייחסות תכנון א"מ (נאור מק) לנושא פתרון חליפי - ריסוס מים במקום הוספת המיכל ומשאבות.</t>
  </si>
  <si>
    <t>בשלבי עדכון ובדיקת מסמכי המכרז. תכנון כיבוי האש הוא עקרוני בלבד. על הקבלן הזוכה יהיה לבצע תכנון מפורט ולהציג אותו לאישור מתכנני חח"י ומעבדה מוסמכת לכיבוי אש.  הופחתו דרישות העירייה לגבי היתר הבנייה. אישור קונסטרוקטורית הועברה לעירייה לבקשתם. ביום10.6 סיור פאראגון לבחינת יישום ריסוס מים במקום הוספת מיכל ומשאבות. ביום 14.6 הצגת חלופת ריסוס מים למנהל האגף.</t>
  </si>
  <si>
    <t>בשלבי עדכון ובדיקת מסמכי המכרז. תכנון כיבוי האש הוא עקרוני בלבד. על הקבלן הזוכה יהיה לבצע תכנון מפורט ולהציג אותו לאישור מתכנני חח"י ומעבדה מוסמכת לכיבוי אש.  הופחתו דרישות העירייה לגבי היתר הבנייה. אישור קונסטרוקטורית הועברה לעירייה לבקשתם. נדרשת התייחסות תכנון א"מ (נאור מק) לנושא פתרון חליפי - ריסוס מים במקום הוספת המיכל ומשאבות.</t>
  </si>
  <si>
    <t xml:space="preserve">הוצג למנהל האגף חלופת ערפל לשנאים. נדרש גיבוש חלופות יחד עם יח' תחמ"ש והצגה למנהלי אגפים - השנאה ותפעול תחמש בעוד כשבועיים. השבוע יישלחו מסמכי המכרז. תכנון כיבוי האש הוא עקרוני בלבד. על הקבלן הזוכה יהיה לבצע תכנון מפורט ולהציג אותו לאישור מתכנני חח"י ומעבדה מוסמכת לכיבוי אש.  הופחתו דרישות העירייה לגבי היתר הבנייה. אישור קונסטרוקטורית הועברה לעירייה לבקשתם. </t>
  </si>
  <si>
    <t>הוצג למנהל האגף חלופת ערפל לשנאים. נדרש גיבוש חלופות יחד עם יח' תחמ"ש והצגה למנהלי אגפים - השנאה ותפעול תחמש . נשלחו להפצה מסמכי המכרז. תכנון כיבוי האש הוא עקרוני בלבד. על הקבלן הזוכה יהיה לבצע תכנון מפורט ולהציג אותו לאישור מתכנני חח"י ומעבדה מוסמכת לכיבוי אש.  הופחתו דרישות העירייה לגבי היתר הבנייה. צפי לקבלת היתר בנייה - אוגוסט 2026.</t>
  </si>
  <si>
    <t>התקיימה פגישת תאום גיבוש חלופות יחד עם יח' תחמ"ש והצגה למנהלי אגפים - השנאה ותפעול תחמש .ממתינים לבדיקת מערכת המים ולהתייחסות לגבי שינוי הגדרת התחמ"ש ממשולבת לסגורה. נשלחו להפצה מסמכי המכרז. תכנון כיבוי האש הוא עקרוני בלבד. על הקבלן הזוכה יהיה לבצע תכנון מפורט ולהציג אותו לאישור מתכנני חח"י ומעבדה מוסמכת לכיבוי אש.  הופחתו דרישות העירייה לגבי היתר הבנייה. צפי לקבלת היתר בנייה - אוגוסט 2026.</t>
  </si>
  <si>
    <t>.ממתינים לחוו"ד לגבי תוצאות בדיקת מערכת המים. פועלים לשינוי הגדרת התחמ"ש ממשולבת לסגורה/פנימית. התקבלו מסמכי המכרז  -עד קבלת החלטה ע"י מנהל האגף (חלופת ערפל) לא יקודם יציאה לבחירת קבלן. צפי לקבלת היתר בנייה - אוגוסט 2026.</t>
  </si>
  <si>
    <t>בדיקת מערכת מים בכניסה לתחמ"ש הראתה נתונים גרועים שאינם מתאימים לחלופת מערכת ערפל בשנאים. ביום 28.7 יוצגו הממצאים למנהל האגף. מסמכי המכרז מוכנים ליציאה למכרז מלבד נספח 5 א שבהכנה. לגבי היתר בנייה - החלטת וועדה דורשת מס' מסמכים להשלמה. ב - 20.8 וועדה הבאה. צפי לקבלת היתר נובמבר 2026.</t>
  </si>
  <si>
    <t>בדיקת מערכת מים בכניסה לתחמ"ש הראתה נתונים גרועים שאינם מתאימים לחלופת מערכת ערפל בשנאים. ביום 28.7 יוצגו הממצאים למנהל האגף. בהתאם להחלטתו נפעל. מסמכי המכרז מוכנים ליציאה למכרז מלבד נספח 5 א שבהכנה. לגבי היתר בנייה - החלטת וועדה דורשת מס' מסמכים להשלמה. ב - 20.8 וועדה הבאה. צפי לקבלת היתר נובמבר 2026. התחלת פעילות של עמאד בכריה להגדלת חיבור המים.</t>
  </si>
  <si>
    <t>לאחר ישיבת הנהלת אגף, פועלים להתאמת התקן עם מיכל ומשאבות. הכנת נספח 5א לקראת סיום. אח"כ העברת החומר למכרזים. היתר בנייה לקראת אוקטובר 2026 - נדרש להשלים מסמכים.</t>
  </si>
  <si>
    <t>נספח 5א הועבר לבדיקת בוריס ודור. הועבר מסמך אסבסט לדרישת עיריית ירושלים - עבור היתר בנייה. הפרויקט הועבר לדביר בן חמו.</t>
  </si>
  <si>
    <t xml:space="preserve">הועברה פניה לעמוס מעירית ירושלים לנסות לקדם ההיתר </t>
  </si>
  <si>
    <t>קבלת היתר בנייה, בחירת קבלן / מכרז.</t>
  </si>
  <si>
    <t>WBC-044</t>
  </si>
  <si>
    <t>ירושלים דרום (גבעת המטוס)-הקמת תחמ"ש פנימית 161/13.8</t>
  </si>
  <si>
    <t>מיקום שוחות עבור כבלים מ"ג מתנגש עם מערכת ניקוז. קיים קושי מול מתן בראשי לעדכן את התכנון שלהם - כנראה לקראת אי הסכמה. נשלח מייל בתפוצה רחבה ובכירה. נקבעה ב-28.5 פגישה קריטית בין נציגי העירייה לבין הנהלת אגף רשת ירושלים ופר' השנאה בנושא. מצפים לקראת פגישה נוספת מול הגיחון בנושאים: העתקת צנרות מים וגמל של תחנת כבאות - נדרש הצעת מחיר לשתיהן. בהתאם נקדם הסכם משפטי מול הכבאות. עדיין לא הוסדר נושא בעלות על הכביש וצומת - בטיפול מנר"א. בשבוע הבא פגישה מסכמת בנושא שטח התאגנות בתוך ישיבת איתרי.</t>
  </si>
  <si>
    <t xml:space="preserve">השבוע התקיים תיאום בנוא מיקום השוחות בים רועי חג'ג' למתכנני בראשי. לקראת הסכמה סופית. נקבעה ב-28.5 פגישה קריטית בין נציגי העירייה לבין הנהלת אגף רשת ירושלים ופר' השנאה בנושא. מצפים לקראת פגישה נוספת מול הגיחון בנושאים: העתקת צנרות מים וגמל של תחנת כבאות - נדרש הצעת מחיר לשתיהן. בהתאם נקדם הסכם משפטי מול הכבאות. עדיין לא הוסדר נושא בעלות על הכביש וצומת - בטיפול מנר"א. ביום 28.5 פגישה מסכמת בנושא שטח התאגנות בתוך ישיבת איתרי. </t>
  </si>
  <si>
    <t>תאום נושא השוחות עדיין נמשך, נדרש עדכון חלקי של תשתיות. יש לכך השפעה על מועד הגשת היתר חפירה שמתעכב בגלל זה. פגישה עם העירייה נדחתה ליום 11.6 - מטרתה: החלטה על עיתוי הצבת שוחות חחי בכביש החדש. התקיימה פגישה בין מנר"א לייעוץ משפטי של העירייה בנושא הקדמת היטל סלילה ורישום קרקע והפקעות - יש משימות לשני הצדדים. ממתינים לקבל הצעת מחיר מהגיחון לתכנון העתקת צנרת מים. ממתינים לתכנון העתקת הגמל מים של הכבאות כדי לקדם הסכם עם כבאות ארצית. התקיימה ישיבה עם הנהלת איתרי בנושא שטח התארגנות - לקראת סיכום וחתימה על מסמכים.</t>
  </si>
  <si>
    <t>התקיימה פגישה עם עיריית ירושלים בנושא תאום ושילוב עבודות תשתית כביש, שוחות וקידוחים אופקיים - יש הסכמה לשלב הכל יחד. תכנון להיתר חפירה לקראת הגשה עד סוף יוני 26. הקדמת היטל סלילה צפויה החודש. עדיין נמשך מו"מ של מנר"א עם בעלי ישיבת אתרי לגבי שטח התארגנות.</t>
  </si>
  <si>
    <t>התקיימה פגישה עם עיריית ירושלים בנושא תאום ושילוב עבודות תשתית כביש, שוחות וקידוחים אופקיים - יש הסכמה לשלב הכל יחד. בפגישת תכנון עם צוות מתכנני הכיבש פועלים להציג שלבים של עבודה משותפת לחח"י - תשתיות כביש ותשתיות שלנו. תכנון להיתר חפירה לקראת הגשה עד סוף יוני 26. הקדמת היטל סלילה צפויה החודש. עדיין נמשך מו"מ של מנר"א עם בעלי ישיבת אתרי לגבי שטח התארגנות. עדיין לא בוצעו הפקעות שטח הכביש ע"י מנר"א</t>
  </si>
  <si>
    <t xml:space="preserve"> בפגישת תכנון עם צוות מתכנני הכיבש פועלים להציג שלבים של עבודה משותפת לחח"י - תשתיות כביש ותשתיות שלנו. תכנון להיתר חפירה לקראת הגשה. הקדמת היטל סלילה נדחתה עקב "פקק" בוועדת מכרזים. עדיין נמשך מו"מ של מנר"א עם בעלי ישיבת אתרי לגבי שטח התארגנות.  הפקעות שטח הכביש מקודם ע"י מנר"א ועיריית ירושלים.</t>
  </si>
  <si>
    <t>דווח ע"י עיריית ירושלים שנושא הפקעות שטחי כביש וצומת לא נרשם בתוכנית שהופקדה. עו"ד ארז סרי ונתי דביר פועלים יחד עם עיריית ירושלים והוועדה המחוזית לתיקון המצב. המשך תאום תכנון כביש וצומת עם כבלים מתח גבוה ושוחות מחוץ לתחמ"ש. בעוד שבועיים פגישת תאום קבלן יחיד שיבצע את כלל העבודה עבור העירייה וחחי (אגף רשת ים'). ביום 21.7 פגישה פיזית בישיבת איתרי עם מנהל נכסים בנושא השכרת שטחי ההתארגנות והפקעת שטחים מישיבת איתרי. לקראת העברת חומר טכני ולו"ז לעו"ד ארז סרי לצורך קידום הסכם משפטי עם כבאות ארצית בנושא גמל המים. עדיין לא הועברו 11000 ש"ח ע"י מנר"א לחברת הגיחון לצורך תכנון העתקות צנרת מים לחץ נמוך וגובה. עדיין לא שולמו הקדמת דמי סלילה ע"י מנר"א לעיריית ירושלים כמתחייב.</t>
  </si>
  <si>
    <t>חסם משמעותי לפרוייקט - אי הפקעות שטחים עד כה !!! בטיפול עו"ד ארז סרי ונתי דביר - עדכון רישום ההפקעות בתוכנית - יירשם כ"טעות סופר". פועלים יחד עם עיריית ירושלים והוועדה המחוזית לתיקון המצב. בשבוע שעבר התקיימה פגישה פיזית עם ישיבת איתרי לסיכום שטח ההתארגנות - באחריות נתי דביר לשלוח להם הסכם משפטי הכולל את כלל ההסכמות. כמו-כן בדקנו עם הנהלת הישיבה אפשרות של הפקעת השטחים שגודרו בשטח שלהם עוד טרם השלמת המצב המשפטי. התקיימה פגישה עם האדריכל ומפקח א"מ בנושא גמל מים - לקראת העברת חומר טכני לעו"ד ארז סרי לקידום הסכם משפטי עם כבאות ארצית.  עדיין לא הועברו 11000 ש"ח ע"י מנר"א לחברת הגיחון לצורך תכנון העתקות צנרת מים לחץ נמוך וגובה. עדיין לא שולמו הקדמת דמי סלילה ע"י מנר"א לעיריית ירושלים כמתחייב. לקראת פגישת תאום שלביות ביצוע כביש ע"י העירייה ומחוז ים' - גם זה חסם משמעותי לפרוייקט עקב סחבת מטעם אגף רשת ירושלים בכל הקשור לתשתית כבלים ושוחות עבורם מחוץ לתחמש.</t>
  </si>
  <si>
    <t>אי הפקעת שטחים - לא ניתן לבצע תיקון טעות סופר. ארז סרי פועל מול הוועדות לתיקון הרישום. עדיין לא התקבל ממנר"א הסכם על שטח התארגנות חתום. שולמו 11 אלף שח לגיחון לתכנון העתקת קווי מים. בשבוע הבא ישיבה פיזית לתאום שלביות ביצוע הכביש בין נציגי העירייה לנציגי מחוז ים'. עדיין לא שולמו הקדמת היטלי סלילה. לקראת הכנת לוז עקרוני להעתקת גמל מים כבאות ארצית והעברתו לארז סרי לגיבוש הסכם משפטי.</t>
  </si>
  <si>
    <t xml:space="preserve">הוכן תסריט הפקעה. יועבר לערן מעיריית ירושלים - מחלקת הפקעות. לא ניתן להסדיר כ"טעות סופר". תוכנס בקשה לוועדה המחוזית. נדרשת מליאת הוועדה. ארז סרי יכין בקשה משותפת עם עיריית ירושלים - עו"ד מוטי חזיזה. פתיחת בקשה להיתר במערכת העירונית צריכה להיפתח השבוע. כנ"ל הגשת גרמושקה. חומר עבור העתקת גמל מים, יועבר לארז סרי. </t>
  </si>
  <si>
    <t>הכנת תסריט והעברתו לעיריית ירושלים בהקדם לצורך הגשה לוועדה המחוזית. ארז סרי כבר דיבר עם הוועדה והכין אותם. מטפלת בהפקעות מטעם העירייה שירה אדרי מול נתי דביר. ארז סרי יכין הסכם משפטי לצורך תשלום הקדמת היטלי סלילה והעברתו למחלקת תנועה. התקיימה פגישת תאום עם מתכנני הכביש. סוכמה שלביות. התקיימה פגישה עם ליאור ברקוביץ וצוות ים' לגבי קידום קידוחים אופקיים ושוחות - הנושא בבדיקתם. הוגש היתר לחפירה ודיפון לפני שבועיים. נדרש להעביר לארז סרי חומר לקראת הסכם עבור גמל מים כבאות ארצית.</t>
  </si>
  <si>
    <t>הכנת תסריט והעברתו לעיריית ירושלים בהקדם לצורך הגשה לוועדה המחוזית. ארז סרי כבר דיבר עם הוועדה והכין אותם. מטפלת בהפקעות מטעם העירייה שירה אדרי מול נתי דביר. ארז סרי יכין הסכם משפטי לצורך תשלום הקדמת היטלי סלילה והעברתו למחלקת תנועה. התקיימה פגישת תאום עם מתכנני הכביש. סוכמה שלביות. באחריות אגף רשת ים' לקדם נושא קידוחים אופקיים ושוחות עוד טרם התחלת עבודות כביש וצומת. נדרש להעביר לארז סרי חומר לקראת הסכם עבור גמל מים כבאות ארצית.</t>
  </si>
  <si>
    <t>אי הפקעת שטחים - מעכב את ביצוע הכביש. התחלת קידוחים אופקיים ושוחות של מחוז ים' - חסם משמעותי.</t>
  </si>
  <si>
    <t>WBE-093</t>
  </si>
  <si>
    <t>ירושלים ד'- הקמת בנין</t>
  </si>
  <si>
    <t>עקב תמחור גבוה מאוד של מס סעיפים, הקבלן לא מקבל עדיין את העבודה - בטיפול בוריס אוירינג. בשבוע שעבר התקיים סיור נרחב לתאום עבודות הטמנת צנרת מחוץ למבנה 36 ק"ו עם מיה שולמן+בטיחות+פיקוח+מחוז ים' - יצא סיכום סיור. נשלח מייל לזירוז תכנון החלפת הגנות לשנאים 532+534 - עבודות מקדימות שיאפשרו בסתיו הפסקות קצרות יותר. התגלתה בריחת גז ממפ"צ 2 - נדרש תיקון חוזר של סימנס - מתואם.</t>
  </si>
  <si>
    <t>עקב תמחור גבוה מאוד של מס סעיפים וחוסר שלחית מסמכים מתאימים על ידו, הקבלן קיבל הודעת אי ביצוע העבודה והעברה לקבלן אחר. בשבוע שעבר התקיים סיור נרחב לתאום עבודות הטמנת צנרת מחוץ למבנה 36 ק"ו עם מיה שולמן+בטיחות+פיקוח+מחוז ים' - יצא סיכום סיור. נשלח מייל לזירוז תכנון החלפת הגנות לשנאים 532+534 - עבודות מקדימות שיאפשרו בסתיו הפסקות קצרות יותר. התגלתה בריחת גז ממפ"צ 2 - נדרש תיקון חוזר של סימנס - עדיין לא התקבל מועד תיקון הכולל הורדת גז וביצוע ואקום.</t>
  </si>
  <si>
    <t>הפרוייקט הסתיים. עבודות התשתית מושתות על פרוייקט התחמ"ג.</t>
  </si>
  <si>
    <t>הפרוייקט הסתיים.ב1.4.26 עבודות התשתית מושתות על פרוייקט התחמ"ג.</t>
  </si>
  <si>
    <t>WBE-278</t>
  </si>
  <si>
    <t>תעשיה אדומים-משיק ל-wbn-103-הוספת שני שדות מעגלים 161 ק"ו</t>
  </si>
  <si>
    <t>קיבלנו מזכר - ממתתין לתשובה משירן לגבי הפרויקטים הנלווים - מבקש לדעת מתי נכנס לתוכנית העבודה</t>
  </si>
  <si>
    <t>מבקש להכניס לתוכנית עבודה בתחילת 2028</t>
  </si>
  <si>
    <t>WBE-148</t>
  </si>
  <si>
    <t>צפית-החלפת מנתקים, מ"ז ומ"מ 400 ק"ו</t>
  </si>
  <si>
    <t>מדובר בפרויקט בשלבים בכל עונת מעבר להפסקות עד לתאריך 30/03/2028</t>
  </si>
  <si>
    <t xml:space="preserve"> עבודות בשטח</t>
  </si>
  <si>
    <t>הסתיים חלק נוסף בפרויקט ממתינים לתוכניץ הפסקות הבאה</t>
  </si>
  <si>
    <t>נקבעה פגישה לקביעת תכולה חדשה לקראת תוכנית הפסקות סתיו 2026</t>
  </si>
  <si>
    <t>תערך ישיבת הקפאת תכולה ב18.6</t>
  </si>
  <si>
    <t>נערכה ישיבת תכולה ב18.6 נערכים לתחילת עבודות במקביל להפסקות ב9.26</t>
  </si>
  <si>
    <t>סיור בתאריך 21.07 להתכונן לעבודות ב9/26</t>
  </si>
  <si>
    <t>עקב עבודות בתקלה של תחמ"ש דן וחוף ב400ק"ו  עונה זו תהיה עבודה על יסודות בלבד בשדה 4B</t>
  </si>
  <si>
    <t>WBM-40487</t>
  </si>
  <si>
    <t>צפית -החלפת ציוד 161 ק"ו-שדות 6,9</t>
  </si>
  <si>
    <t>מדובר בשלוש עונות מעבר של הפסקות עד ל- 03/2027</t>
  </si>
  <si>
    <t>המתנה לתקופת הפסקות הבאה</t>
  </si>
  <si>
    <t>WBM-40489-ST2</t>
  </si>
  <si>
    <t>צפית  - החלפת ציוד 161 ק"ו בשדה 14</t>
  </si>
  <si>
    <t>מדובר בשלוש עונות מעבר של הפסקותעד ל- 03/2027</t>
  </si>
  <si>
    <t>לאחר דחיית האפשרות לקבל הפסקה בתקופת ההפסקות הנוכחית ממתין לקבלת אישור להפסקה בתקופת ההפסקות של סתיו 26</t>
  </si>
  <si>
    <t>המתנה לישיבת הפסקות בתאריך 22.07</t>
  </si>
  <si>
    <t>בישיבת הפסקות אחרונה ביקשו לקבל תיעדוף עבור העבודה מול פרויקט באיתן</t>
  </si>
  <si>
    <t>מטופל עם מחלקת אשכולות תחמ"ש עובדים על עבודות במקביל באיתן ובצפית - יעדכנו לקראת תקופת הפסקות מרץ 2027</t>
  </si>
  <si>
    <t>תשובה ב19.8 מתוכנית הפסקות</t>
  </si>
  <si>
    <t>לא אושר בתוכנית הפסקות</t>
  </si>
  <si>
    <t>בקשה לקבלת תיעדוף</t>
  </si>
  <si>
    <t>WBE-240</t>
  </si>
  <si>
    <t>סדום צפון-הקמת שדה לצורך קליטת קו מפארן</t>
  </si>
  <si>
    <t xml:space="preserve">טרם עבר הקפאת תכולה </t>
  </si>
  <si>
    <t>הפרויקט הוקפא</t>
  </si>
  <si>
    <t>WBM-40305</t>
  </si>
  <si>
    <t>סדום צפון-התא.שדות (3)לכורנוב ו (8) לסדו</t>
  </si>
  <si>
    <t>01/07/2026 לא אפשרי, יתקבל יעד חדש לאחר קבלת המסמכים</t>
  </si>
  <si>
    <t>נערך סיור לבדיקת היתכנות עבור גישורים שיאפשרו את העבודה - קיבלנו אישור לביצוע הגישורים - אך טרם קיבלנו מזכר שיאפשר את המשך העבודה</t>
  </si>
  <si>
    <t xml:space="preserve">נמצא בסקירת יסודות </t>
  </si>
  <si>
    <t>תשובה לסקירת יסודות ב-16.06.26</t>
  </si>
  <si>
    <t>בשלב כתבי כמויות</t>
  </si>
  <si>
    <t xml:space="preserve">הגישורים שהוצעו מהווים בעיה שעלתה על ידי מחלקת הגנות - נבחנת דרך נוספת באמצעות הפסקה מלאה של מעגל לכיוון מצדה ממתינים לאישור מפיקוח הולכה </t>
  </si>
  <si>
    <t>פיקוח הולכה עושה בדיקות מול לקוחות פרטיים לאפשרות ההפסקות</t>
  </si>
  <si>
    <t xml:space="preserve">אין מענה מפיקוח הולכה </t>
  </si>
  <si>
    <t>ממתינים למענה מפיקוח הולכה</t>
  </si>
  <si>
    <t xml:space="preserve">התקבל מענה מפיקוח הולכה, יש בעיה לקיים את הגישורים המוצעים ולא נראה פתרון ישים, נבחחנת אפשרות של התקנת תקשורת חלופית </t>
  </si>
  <si>
    <t>עלול לעצור את הפרויקט לתקופת ההפסקות הנוכחית</t>
  </si>
  <si>
    <t>WBE-114</t>
  </si>
  <si>
    <t>סדום צפון-החלפת שנאי  ל-50 מגוו"א והתאמת יציאות מ"ג</t>
  </si>
  <si>
    <t>הסתיים בתאריך 18/2/26</t>
  </si>
  <si>
    <t>WBE-279</t>
  </si>
  <si>
    <t>מעלה אפריים- משיק ל-wbo-103-הוספת ארבעה שדות מעגלים 161 ק"ו</t>
  </si>
  <si>
    <t>WBM-60088-024</t>
  </si>
  <si>
    <t>ירושלים ג' – השלמת מאצרות שמן</t>
  </si>
  <si>
    <t>בביצוע</t>
  </si>
  <si>
    <t>בביצוע צפי סיום אוקטובר 2026</t>
  </si>
  <si>
    <t>בביצוע צפי סיום אוקטובר 2026 - השבוע יציקת תיקרה</t>
  </si>
  <si>
    <t>WBM-40532</t>
  </si>
  <si>
    <t>ירושלים ג'- התאמת שדה מקשר (5,6) ליכולת 1400 א'</t>
  </si>
  <si>
    <t>התכנון הושלם יש קבלן בשטח לפרויקט החלפת השנאי 521 ומאצרה - במידה וישאר קבלן בשטח ויאשרו בתוכנית ההפסקות של סתיו 26 נוכל להתקדם עם התכנון המקורי</t>
  </si>
  <si>
    <t>ממתינים לאישור בתוכנית הפסקות בכדי לקיים ישיבת תיאום עבודות</t>
  </si>
  <si>
    <t>לא מאושר בתוכנית ההפסקות הקרובה</t>
  </si>
  <si>
    <t>WBM-40531</t>
  </si>
  <si>
    <t>ירושלים ג'- התאמת שדה 3 ליכולת 1400 א'</t>
  </si>
  <si>
    <t>בשיחה שהיתה עם מנהלת המחלקה תועדפה ניידת רמת רחל והוחלט לנסות לקדם לתוכנית הפסקות הבאה.</t>
  </si>
  <si>
    <t xml:space="preserve">המקשר ושדה 3 בירושלים ג' לא יכולים להיות יחד עקב תיעדוף כח אדם של תחמ"ש תוידף המקשר לתוכנית ההפסקות הקרובה </t>
  </si>
  <si>
    <t xml:space="preserve">המקשר ושדה 3 בירושלים ג' לא יכולים להיות יחד עקב תיעדוף כח אדם של תחמ"ש תועדף המקשר לתוכנית ההפסקות הקרובה </t>
  </si>
  <si>
    <t>נבחנת אפשרות לבצע את העבודה בתקופת ההפסקות הקרובה במקביל לשדה 5 בהרטוב</t>
  </si>
  <si>
    <t>ישנה אפשרות לקיים במקביל לשדה 5 בהר טוב - מבדקת תחמ"ש אינה מסוגלת לבצע</t>
  </si>
  <si>
    <t>יצאה הנחיה ממנהל אגף תפעול תחמ"ש לבצע, יש סוגיה של קבלת מזכר תיכנוני שלא נמצא לה פתרון כרגע נמצא בתהליך</t>
  </si>
  <si>
    <t>מזכר תיכנוני נמצא בהכנה יש חשש שלא יהיה בזמן לקראת עליית הקבלן לקרקע</t>
  </si>
  <si>
    <t>מזכר תיכנוני בהכנה, יש לוודא שייצא בזמן</t>
  </si>
  <si>
    <t>WBE-258</t>
  </si>
  <si>
    <t>ירושלים ג- החלפת שנאי 521 וציוד בשדה 161 ק"ו מס' 2</t>
  </si>
  <si>
    <t xml:space="preserve">העבודה האזרחית מתעכבת ובהתאם גם עבודות הרכבה, בנוסף נמצאו אי התאמות בין התכנון לשטח בנושא חפירת כבל לנקודת האפס ונערכים לחפירה מלאה במקום חפירה מקומית, יש בנוסף גם בעיה שהתגלתה ביסוד מפסק הזרם - ומחפשים פתרון שלא מחייב להרוס את עמודי היסוד.- נמצא פתרון לקידוח הברגים ויציקה חדשה ישנו עיכוב בהגעת מחפרון לחפירת נקודת אפס </t>
  </si>
  <si>
    <t>מתכנננים לחשמל ב18.06.2026</t>
  </si>
  <si>
    <t>עיכוב בחשמול לתאריך 25.06.2026</t>
  </si>
  <si>
    <t>יעד חשמול 25.06.2026</t>
  </si>
  <si>
    <t>יעד חשמול 2.7.2026</t>
  </si>
  <si>
    <t>בבדיקות השנאי מצאו כי סיכוכים פורצים להארקה בכבלי מ"ג. בנוסף קיים עיכוב בתכנון תקשורת תפעולית לאחר ישיבה על לו"ז טיפול בתקלות - חשמול מסתמן 15.07</t>
  </si>
  <si>
    <t>אי התאמת תכנון תקשורת למצב בשטח - עלול לעכב חשמול נקבעה וועדת חשמול לתאריך 13.07</t>
  </si>
  <si>
    <t>שנאי חושמל ב- 16.07</t>
  </si>
  <si>
    <t>WBM-00895</t>
  </si>
  <si>
    <t>סדום דרום</t>
  </si>
  <si>
    <t>30/06/2026 לא אפשרי,עיכוב בקבלת קבלן נכון להודעה אחרונה החישמול יהיה ב-09.2026</t>
  </si>
  <si>
    <t>נערך סיור להתרשמות מהשטח לקראת כניסה לעבודות אזרחיות</t>
  </si>
  <si>
    <t xml:space="preserve">עבודות אזרחיות צפויות להחל בעוד כשבועיים </t>
  </si>
  <si>
    <t>כניסת קבלן לשטח ב7.06.26</t>
  </si>
  <si>
    <t>קבלן עבר הדרכות בטיחות במי"ה מתוכנן ב9.6 המשך הדרכות וכניסה לעבודות</t>
  </si>
  <si>
    <t>קבלן התחיל עבודות בשטח ביום 15.06.2026</t>
  </si>
  <si>
    <t>תיעדוף תכנון של הייצור סיום כתב כמויות צפוי רק ב- 01.09.2026</t>
  </si>
  <si>
    <t>קבלן נמצא בשטח סיים חפירות יתחיל תפסנות בהמשך השבוע</t>
  </si>
  <si>
    <t xml:space="preserve">עבודות תפסנות לקראת יציקה. ב2.8 הרכבה חשמלית צריכה להתחיל הארקות יסודות </t>
  </si>
  <si>
    <t xml:space="preserve">הרכבה חשמלית מתחילה לבחון את נושא השחלות הכבלים בשטח, יציקת הרצפה מתוכננת למחר 28.07 </t>
  </si>
  <si>
    <t>התקיים סיור עם קבלן השחלות כבלים יתחילו השחלות בשבוע של 16.8</t>
  </si>
  <si>
    <t>סיימו יציקות של היסודות במהלך השבוע ימלאו מצעים, סיום משוער עבודה אזרחית בעוד כשבועיים לכל היותר הרכבה חשמלית עובדת על השחלות כבלים באתר</t>
  </si>
  <si>
    <t>סיום עבודה אזרחית נדרש 03.09</t>
  </si>
  <si>
    <t>הפרויקט תחת מעקב ובקרה על מנת לא לחרוג מזמן החשמול המסתמן</t>
  </si>
  <si>
    <t>WBE-194</t>
  </si>
  <si>
    <t>קרית הלאום
משיק wbo-122-הרחבת מסדר פנימי 161 ק"ו ב-3 שדות מ"ע , 2שדות קווים למעגלים מתחמ"ג ירושלים</t>
  </si>
  <si>
    <t xml:space="preserve">התקיימה פגישה של סטטוס ציוד ישנו עיכוב של 4 חודשים באספקת הציוד </t>
  </si>
  <si>
    <t>התקיימה פגישה של סטטוס ציוד ישנו עיכוב של 4 חודשים באספקת הציוד</t>
  </si>
  <si>
    <t>20.07.26- סיור הקפאת תצורה</t>
  </si>
  <si>
    <t xml:space="preserve">20.07.26- סיור הקפאת תצורה - בוטל נקבעה ישיבה לתאריך  12.07 לקבלת סטטוס הציוד </t>
  </si>
  <si>
    <t>ישנו עיכוב בהתקשורת עם היצרן - נקבע הקפאת תצורה לתאריך 31.12.2026</t>
  </si>
  <si>
    <t>WBK-022</t>
  </si>
  <si>
    <t>גן שורק מסדר 400 ק"ו-הקמת דיאמטר 5 עם 2 יציאות 400 ק"ו לתחמ"ג תקומה</t>
  </si>
  <si>
    <t xml:space="preserve">הועברה פניה למנהלת המחלקה להחזרת הפרויקט לתכולות עקב שינוי בתאריך ת.פ ושינוי בהזמנת הציוד </t>
  </si>
  <si>
    <t>יש לחזור ולבחון מתי הזמן הנכון להתחלת הפרויקט מאחר ומחלקת הציוד צריך לדעת האם להזמין את הציוד עם אחסנה או לא כמו כן יש צורך להבין את הזמן הדרוש לבניית המובל</t>
  </si>
  <si>
    <t>WBE-287</t>
  </si>
  <si>
    <t>גן שורק-חיבור 4 מעגלי כבלים מתח"כ שורק 900 לשדות 6,7,8,9</t>
  </si>
  <si>
    <t>נקבע הקפאת תצורה לאמצע חודש 6</t>
  </si>
  <si>
    <t>עקב בקשת תכנון אזרחי לאחד תכנונים הקפאת התצורה נדחתה לתאריך 09.07</t>
  </si>
  <si>
    <t>עקב בקשת תכנון אזרחי לאחד תכנונים הקפאת התצורה נדחתה לתאריך 09.07 נקבעה ישיבה ליום 08.07 לביצוע סנכרון תכנונים בין אלק"מ, אזרחי, ותכנון מ"ע.</t>
  </si>
  <si>
    <t>עלתה בקשה לישיבת נושאים קריטיים אצל מנהל האגף</t>
  </si>
  <si>
    <t>עלתה בקשה לישיבת נושאים קריטיים אצל מנהל האגף ב-22.7</t>
  </si>
  <si>
    <t>ישיבת נושאים קריטיים אצל מנהל האגף ב04.08 בהקשר לתוואי כבלים שחוצה פרויקט עתידי</t>
  </si>
  <si>
    <t>סיום תכנון אזרחי אמצע אוקטובר</t>
  </si>
  <si>
    <t>תל השומר- הקמת תחמ"ש פנימית 161/24 ק"ו</t>
  </si>
  <si>
    <t xml:space="preserve">המשך עבודות אזרחיות </t>
  </si>
  <si>
    <t>המשך עבודות אזרחיות , יש לבדוק הגדלת כ"א של הקבלן  לצורך עמידה ביעדים. התקיימה פגישה עם נציגי נגב, לבחינת תוספת 2 כבלים לפאזה. בבדיקה של תכנון אזרחי וגיל חזום מול נגה</t>
  </si>
  <si>
    <t>המשך עבודות אזרחיות , יציקת רצפה - 21.6.26, יש לבדוק הגדלת כ"א של הקבלן  לצורך עמידה ביעדים. קיימת בקשה מנגה לבחינת תוספת 2 כבלים לפאזה. תכנון תחמ''ש בדק מול מתכנני רת"ק - יבוצע שינוי , נדרש רק תוספת שרוולים- עבודה אזרחית</t>
  </si>
  <si>
    <t xml:space="preserve">המשך עבודות אזרחיות , יציקת רצפה -, יש לבדוק הגדלת כ"א של הקבלן  לצורך עמידה ביעדים. קיימת בקשה מנגה לבחינת תוספת 2 כבלים לפאזה. תכנון תחמ''ש בדק מול מתכנני רת"ק - יבוצע שינוי , נדרש רק תוספת שרוולים- עבודה אזרחית, צפוי עיכוב של כחודש  במסירת יעד ראשון </t>
  </si>
  <si>
    <t>המשך עבודות אזרחיות , יציקת רצפה - 30.6.26 , . קיימת בקשה מנגה לבחינת תוספת 2 כבלים לפאזה. תכנון תחמ''ש בדק מול מתכנני רת"ק - יבוצע שינוי , נדרש רק תוספת שרוולים- עבודה אזרחית, צפוי עיכוב של כחודש  במסירת יעד ראשון . הועברה  בקשה ךעדכון ת.פ 11.26</t>
  </si>
  <si>
    <t xml:space="preserve">עבודה אזרחית- קיים עיכוב של חודש, מסירה אזרחית  של מסדר 24 ק"ו, 161 ק"ו צפוי  בחודש 10.26. </t>
  </si>
  <si>
    <t>עבודה אזרחית- קיים עיכוב של חודש, מסירה אזרחית  של מסדר 24 ק"ו, 161 ק"ו צפוי  בחודש 10.26.  בוצע יציקת רצפה 00</t>
  </si>
  <si>
    <t>עבודה אזרחית- קיים עיכוב של חודשיים בכל היעדים .  מסירה אזרחית  של מסדר 24 ק"ו, 161 ק"ו צפוי  בחודש 11.26.  בוצע יציקת רצפה 00</t>
  </si>
  <si>
    <t>עבודה אזרחית- קיים עיכוב של חודשיים בכל היעדים .  מסירה אזרחית  של מסדר 24 ק"ו, 161 ק"ו צפוי  בחודש 11.26.  בוצע יציקת רצפה 00,  בשלב יציקת קירות</t>
  </si>
  <si>
    <t>עבודה אזרחית- קיים עיכוב של חודשיים בכל היעדים .  מסירה אזרחית  של מסדר 24 ק"ו, 161 ק"ו צפוי  בחודש 11.26.  בוצע יציקת רצפה 00,  בשלב יציקת קירות. נדרש הוצאת תכנון תקשורת  , לצורך  ייצור ארונות - באחריות דסה ליבסי</t>
  </si>
  <si>
    <t xml:space="preserve">עבודה אזרחית- קיים עיכוב של חודשיים בכל היעדים . 
מסירה אזרחית  של מסדר 24 ק"ו, ו-161 ק"ו צפוי 11.26.
בשלב יציקת קירות. התקנת  לוח"דים מסדר 24 ק"ו , דרש הוצאת תכנון תקשורת  , לצורך  ייצור ארונות - באחריות דסה ליבסי.
בתאריך 17/8/26- עצירת עבודה של הקבלן -  עקב  בדיקה של משרד העבודה , בטיחות </t>
  </si>
  <si>
    <t>עבודה אזרחית- קיים עיכוב של חודשיים בכל היעדים .
מסירה אזרחית  של מסדר 24 ק"ו צפוי בחודש 11/26, 161 ק"ו צפוי  בחודש 12/26. 
בשלב יציקת קירות. התקנת  לוח"דים מסדר 24 ק"ו , דרש הוצאת תכנון תקשורת  , לצורך  ייצור ארונות - באחריות דסה ליבסי.</t>
  </si>
  <si>
    <t>אישור תש''א - יידרש לחישמול התחמ''ש - בטיפול של נציג איכות הסביבה</t>
  </si>
  <si>
    <t>WBC-073</t>
  </si>
  <si>
    <t>רחובות צפון- הקמת תחמ"ש פנימית 161/24 ק"</t>
  </si>
  <si>
    <t>30/10/2026*</t>
  </si>
  <si>
    <t xml:space="preserve">השלמת יעדים אזרחיים - ס"ק, 5.26, שנאי בית  - 24.5, סיום כלל העבודות 7.25, </t>
  </si>
  <si>
    <t xml:space="preserve">השלמת יעדים אזרחיים - ס"ק, 5.26, שנאי בית  - 25.5, סיום כלל העבודות 7.25, </t>
  </si>
  <si>
    <t>השלמת יעדים אזרחיים - ס"ק, 21.6 5.26, שנאי בית נמסר , סיום כלל העבודות 7.25,  הרכבה חשמלית  עבודה מסדר 24 ק"ו- קיימת תקלה  במפסק- לטיפול אבי רומי, קיים מחסןר במבודדי תמיכה בתא שנאי צי 20.6</t>
  </si>
  <si>
    <t>השלמת יעדים אזרחיים - ס"ק, 21.6 5.26,  סיום כלל העבודות 7.25,  הרכבה חשמלית  עבודה מסדר 24 ק"ו- קיימת תקלה  במפסק- לטיפול אבי רומי, קיים מחסןר במבודדי תמיכה בתא שנאי צפי 20.6 קיימת ליקוי במבודד תמיכה 0 בשנאי 521 צפי אספקה חודש.</t>
  </si>
  <si>
    <t>השלמת יעדים אזרחיים - ס"ק, 21.6 5.26, -  סיום כלל העבודות 7.25,  הרכבה חשמלית  עבודה מסדר 24 ק"ו- קיימת תקלה  במפסק- לטיפול אבי רומי, קיים מחסןר במבודדי תמיכה בתא שנאי צפי 20.6 קיימת ליקוי במבודד תמיכה 0 בשנאי 521 צפי אספקה חודש. בדיקת מתי יתר מסדר 24 ק"ו - מתוכנן ל 21.6,  לא כוול מפסק שלא תקין בתיאום מעבדה.</t>
  </si>
  <si>
    <t>השלמת עבודות אזרחיות - חיפוי קירות,  סוללות קבלים -  הרכבת   רצפה, השלמת מעקה. צפי מסירה  סוף יוני. הרכבה חשמלית - 22.6- בדיקות מתח יתר מסדר 24 ק"ו,  קיימת תקלה במפסק בפ"צ 1, יידרש להחליף.   מסדר 161 ק"ו - תיקון  דליפת גז שדה 6,  השלמת הרכבת מוליכים. בדיקות מתח יתר יידחו ל 5.7 במקום 28.6, נשלח מייל לזיו סמברג. חסר מבודד אפס בשנאי 521- נשלח מייל לרכש. עבודות בתאיי שנאים - צפי הגעת מוליכים סוף יוני</t>
  </si>
  <si>
    <t xml:space="preserve">השלמת עבודות אזרחיות - חיפוי קירות,  סוללות קבלים -  הרכבת   רצפה, השלמת מעקה. צפי מסירה  15.7 הרכבה חשמלית -מסדר 24 ק"ו - בוצע בדיקת מתח יתר ,  קיימת תקלה במפסק בפ"צ 1, יידרש להחליף.   מסדר 161 ק"ו החלו בדיקות מתח יתר .   חסר מבודד אפס בשנאי 521- נשלח מייל לרכש. </t>
  </si>
  <si>
    <t>השלמת עבודות אזרחיות -הסתיים , נדרש תיקונים,  סוללות קבלים -  הרכבת   רצפה, השלמת מעקה. צפי מסירה  15.7 הרכבה חשמלית -מסדר 24 ק"ו - בוצע בדיקת מתח יתר ,  קיימת תקלה במפסק בפ"צ 1, מבוצע חיווט כבלים ,  יידרש להחליף - טרם התקבל מועד מהיצרן. מסדר 161 ק"ו - בשלב מתח יתר - פאזה 1 בוצע, פזה 2 - יש בעיה בסכמה אחת מתוך 5, פאזה 3 - בביצוע . חסר מבודד אפס בשנאי 521- נשלח מייל לרכש.  חסר מבודדי תמיכה  מ"ג  יגיעו בסוף  יולי משך עבודות  השלמה כחודש.   בהתאם לבדיקות מתח יתר - קיים סיכון לגלישה לחודש 11.26</t>
  </si>
  <si>
    <t>השלמת עבודות אזרחיות- פיתו,  גמר הרכבה חשמלית -מסדר 24 ק"ו - החלפת מפסק ב 26.8, השלמת מ"י,  מסדר 161 ק"ו - בשלב מתח יתר - צפי סיום שבוע, חסר מבודד אפס בשנאי 521- מיועד להגיע השבוע ,  חסר מבודדי תמיכה  מ"ג  סוף  יולי   , קיים סיכון לגלישה לחודש 11.26</t>
  </si>
  <si>
    <t>המשך עבודות אזרחיות- , פיתוח שטח, גדר  צפי סיום 8.26-9.26.2026.הגיע  מבודדי תמיכה צפי  הרכבה חשמלית - המשך עבודות מסדר 161 ק"ו התגלו תקלות בציוד -עבודות קומשניג לבדיקות מתח יתר - הסתיים, התחילו עבודות  יח תחמ"ש למסדר 161 .מסדר -24 ק"ו -המסדר מוכן לקומשניג - לא ניתן להמשיך לבדיקות משנה מתח, משנה זרם להערכות בדיקות מתח יתר. מתנים  הקבלת סוללות מצברים.  עבודות רתק בתאי שנאים- הסתיים , תחילת כיבוי אש בתא שנאים.. יח'תחמ"ש - הפסקת עבודות - כניסה לעבודה  צוות מצומצם מתאריך 26.7, - חשש לעיכוב בחישמול  - 01/2027 בעקבות איחור בעבודות רת"ק</t>
  </si>
  <si>
    <t>מסדר 161 ק"ו -  הסתיים מתח יתר, המשך חיווט , צפי סיום 6.8, נדרש להמשך בדיקות יח' תחמ"ש, שנאים המשך עבודות  הרכבת כבלים עם מבודדי תמיכה, כולל מסדרי אפס, שנאיי בית .   עבודות  עיבוד כבלים צפוי סיום ספטמבר, נדרש תיגבור כ"א הרכבה חשמלית  עבור עבודות בתאיי שנאים לצורך השלמת מערכת כיבוי אש</t>
  </si>
  <si>
    <t>מסדר 161 ק"ו -  הסתיים מתח יתר, המשך חיווט , צפי סיום 6.8, - השלמת גישורים  שבועיים  הרכבה חשמלית.נדרש להמשך בדיקות יח' תחמ"ש, שנאים המשך עבודות  הרכבת כבלים עם מבודדי תמיכה, כולל מסדרי אפס,  עבודות  עיבוד כבלים צפוי סיום ספטמבר, המשך עבודות הרכבה עיבוד כבלים עד חודש 9.26</t>
  </si>
  <si>
    <t>מסדר 161 ק"ו -  הסתיים מתח יתר, המשך חיווט , צפי סיום  6/8/26.
השלמת גישורים - שבועיים 19/8/26 - מסירה ליח תחמ"ש, נדרש להמשך בדיקות יח' תחמ"ש, שנאים המשך עבודות  הרכבת כבלים עם מבודדי תמיכה, כולל מסדרי אפס,  עבודות  עיבוד כבלים צפוי סיום ספטמבר. 
החלו עבודות רת"ק 16/8/26 הכנסת כבלים - חודש, נדרש תיגבור כ"א לבדיקות.
 עמידה בלו"ז 10/26- בסיכון.</t>
  </si>
  <si>
    <t>מסדר 161 ק"ו -  נשלחה מסירה ליחידת תחמ"ש לבדיקות.  
שנאים - המשך עבודות  הרכבת כבלים עם מבודדי תמיכה, כולל מסדרי אפס,  עבודות  עיבוד כבלים צפוי סיום ספטמבר. 
רת"ק - החלו עבודות רת"ק 16.8 הכנסת כבלים - סוף השבוע כלל העבודות כחודש. 
עמידה בלו"ז - נדרש תיגבור כ"א לבדיקות התקיימה ישיבה אצל סמנכ"ל 20/8/26 תוכנית עבודה לתגבור כוח אדם לבדיקות , סיום 10/2026 בסיכון.</t>
  </si>
  <si>
    <t>WBC-042</t>
  </si>
  <si>
    <t>קרית משה
הקמת תחמ"ש פנימית</t>
  </si>
  <si>
    <t>חושמל 18/12/24</t>
  </si>
  <si>
    <t>נדרש המשך חיבור מים קבוע לתחמ"ש טיפול של מנר"א מול מקורות, תאגיד</t>
  </si>
  <si>
    <t>אין אספקת מים לתחמ''ש (מלבד מיכל מים למערכת כיבוי אש)</t>
  </si>
  <si>
    <t>אין אספקת מים לתחמ''ש (מלבד מיכל מים למערכת כיבוי אש)  בטיפול מנר"א מול רשות המים והתאגיד , נשלח  ב 1.726 מייל לבדיקת כתב כמויות לביצוע</t>
  </si>
  <si>
    <t>אין אספקת מים לתחמ''ש (מלבד מיכל מים למערכת כיבוי אש) בטיפול מנר"א מול רשות המים והתאגיד , נשלח ב 1.726 מייל לבדיקת כתב כמויות לביצוע</t>
  </si>
  <si>
    <t>נדרש   הסדרת  חיבור מים לתחמ''ש -  בטיפול מנר"א</t>
  </si>
  <si>
    <t>חיבור מים - בטיפול מנר"א מול רשות המים</t>
  </si>
  <si>
    <t>WBE-170</t>
  </si>
  <si>
    <t>לוד-הוספת שנאי 526 161/24 ק"ו 50 מגוו"א</t>
  </si>
  <si>
    <t xml:space="preserve">בהתאם לעדכון של יובל ,בשלב חישמול הייתה בעיה עם הבקר  פונקציות מיוחדות </t>
  </si>
  <si>
    <t>יח' תחמ"ש צריכה פתרון לטיפול  של הבקר</t>
  </si>
  <si>
    <t>WBC-028</t>
  </si>
  <si>
    <t>בת ים - הקמת תחמ"ש פנימית 161/24 ק"ו</t>
  </si>
  <si>
    <t>30/11/2026*</t>
  </si>
  <si>
    <t>עבודות אזרחיות - הקמת גדר תחמ"ש, הרכבת חיפוי , המשך עבודו אזרחיות,  הרכבת שנאים- בשלב הרכבה, מילוי שמן מתאריך 17.5 , הרכבה חשמלית - המשך עבודות מסדר 161 ק"ו - מסירת שדות לקומשניג -1-4 16.4.26- 13.5.26- קומשניג, כביש גישה - בטיפול ההנהלה התקיימה ישיבה -נדרש אישור משרד התחבורה חדר פיקוד - התחלת בדיקותיח תחמ''ש צפי בדיקות מתח יתר 30.7.26</t>
  </si>
  <si>
    <t xml:space="preserve">עבודות אזרחיות - הקמת גדר תחמ"ש, הרכבת חיפוי , המשך עבודו אזרחיות,  הרכבת שנאים- בשלב הרכבה, מילוי שמן , חסר מבודדי תמיכה , מתאריך סיום ,28.5.26  הרכבה חשמלית - המשך עבודות מסדר 161 ק"ו - קומשניג -התחלה 10.5 161,-24 ק"ו -27.5   כביש גישה - בטיפול ההנהלה התקיימה ישיבה -נדרש אישור משרד התחבורה </t>
  </si>
  <si>
    <t>עבודות אזרחיות - הקמת גדר תחמ"ש, הרכבת חיפוי , המשך עבודו אזרחיות,  הרכבת שנאים- חסר מבודדי תמיכה , הרכבה חשמלית - המשך עבודות מסדר 161 ק"ו - קומשניג -התחלה 10.5  במשך כשבועיים הוצאו עובדי מבדקה לפרויקטים אחרים ומהווה סיכון לעמידה במועד ביצוע מתח יתר. בהתאם להנחיה של ירון ליב יש צורך בביצוע בדיקות מתח יתר ב15.7 במקום 30.7 .תיקון מנתקים, הרכבת משנה מתח,,-24 ק"ו -27.5 , הנחת כבלים , הערכות לכניסת מחוז,  כביש גישה - בטיפול ההנהלה התקיימה ישיבה -נדרש אישור משרד התחבורה - בשלבי אישור סופי. דחיית עבודות רתק בתאי שנאים מ7.6 לתאריך 28.7 יעכב הרכבת מערכת כיבוי מים .</t>
  </si>
  <si>
    <t xml:space="preserve"> המשך עבודות אזרחיות,  הרכבת שנאים- חסר מבודדי תמיכה , הרכבה חשמלית - המשך עבודות מסדר 161 ק"ו - קומשניג -התחלה 10.5  במשך כשבועיים הוצאו עובדי מבדקה לפרויקטים אחרים ומהווה סיכון לעמידה במועד ביצוע מתח יתר.  חזרת עובדים מ 15.6 , בהתאם להנחיה של ירון ליב יש צורך בביצוע בדיקות מתח יתר ב15.7 במקום 30.7 .תיקון מנתקים, הרכבת משנה מתח,,-24 ק"ו -27.5 , הנחת כבלים , הערכות לכניסת מחוז, - 22.6  כביש גישה - בטיפול ההנהלה התקיימה ישיבה -נדרש אישור משרד התחבורה - בשלבי אישור סופי. דחיית עבודות רתק בתאי שנאים מ7.6 לתאריך 28.6 . יח'תחמ"ש - הפסקת עבודות בחדר פיקוד - עקב תיעדוף  פרוייקט אחר,  יש צורך להשלים חלוקת מ"נ עבור מערכות אלק"מ,  הקידום בדיקות מצח יתר בחודש 7.26 יש לקבל כח אדם של יח תחמש. יח התחמש יצאו מהתחנה.</t>
  </si>
  <si>
    <t xml:space="preserve"> המשך עבודות אזרחיות- חיפוי , פיתוח שטח, גדר .הרכבת שנאים- חסר מבודדי תמיכה צפי סוף יוני. , הרכבה חשמלית - המשך עבודות מסדר 161 ק"ו - קומשניג -התחלה 10.5  במשך כשבועיים הוצאו עובדי מבדקה לפרויקטים אחרים ומהווה סיכון לעמידה במועד ביצוע מתח יתר.  חזרת עובדים מ 15.6 , בהתאם להנחיה של ירון ליב יש צורך בביצוע בדיקות מתח יתר ב15.7 במקום 30.7 .בהתאם להודעה של אפרת  מועד צפוי לבדיקות מתח יתר 2.8 -,מסדר -24 ק"ו -המסדר מוכן לקומשניג  נדרש בודקים  לבדיקות משנה מתח, משנה זרם להערכות בדיקות מתח יתר.- אנשי מבדקה  הוצאו מהתחמ"ש   , באים רק לעבודות נקודיות. חדר פיקוד -  השלמת חלוקות מתח נמוך עבור מערכות אלק"מ  - דחיית עבודות רתק בתאי שנאים מ7.6 לתאריך 28.6 . יח'תחמ"ש - הפסקת עבודות  - עקב תיעדוף  פרוייקט אחר,  נדרש קידום בדיקות מתח יתר בחודש 7.26 יש לקבל כח אדם של יח תחמש. יח התחמש יצאו מהתחנה. יכול להוות סיכון בקבלת עובדים לבדיקות מתח יתר בהתאם לסדריי עדיפויות.</t>
  </si>
  <si>
    <t xml:space="preserve"> המשך עבודות אזרחיות- , פיתוח שטח, גדר .הרכבת שנאים- חסר מבודדי תמיכה צפי סוף יוני. , הרכבה חשמלית - המשך עבודות מסדר 161 ק"ו התגלו תקלות בציוד מנתק שדה 8 מיד ומפסק מהווה עיכוב להמשך בדיקות מתח יתר .- קומשניג -התחלה 10.5  במשך כשבועיים הוצאו עובדי מבדקה לפרויקטים אחרים ומהווה סיכון לעמידה במועד ביצוע מתח יתר.  חזרת עובדים מ 15.6 , בהתאם להנחיה של ירון ליב יש צורך בביצוע בדיקות מתח יתר ב15.7 במקום 30.7 .המשך עבודות קומשניג לבדיקות מתח יתר  עד 15.7- , מועד צפוי כניסה יח תחמ"ש 1.8 .מסדר -24 ק"ו -המסדר מוכן לקומשניג  - לא ניתן להמשיך   לבדיקות משנה מתח, משנה זרם להערכות בדיקות מתח יתר.- אנשי מבדקה  הוצאו מהתחמ"ש   , באים רק לעבודות נקודיות. חדר פיקוד -  השלמת חלוקות מתח נמוך עבור מערכות אלק"מ  - עבודות רתק בתאי שנאים- התחלת עבודות 30.6.26- לחודש יח'תחמ"ש - הפסקת עבודות  - צפי חזרה 2.8.26</t>
  </si>
  <si>
    <t xml:space="preserve"> המשך עבודות אזרחיות- , פיתוח שטח, גדר .הרכבת שנאים- חסר מבודדי תמיכה צפי סוף יולי - עיכוב. , הרכבה חשמלית - המשך עבודות מסדר 161 ק"ו התגלו תקלות בציוד -  החלפת מנתק,  מפס , מיד.- קומשניג -התחלה 10.5  במשך כשבועיים הוצאו עובדי מבדקה לפרויקטים אחרים ומהווה סיכון לעמידה במועד ביצוע מתח יתר.  חזרת עובדים מ 15.6 , .המשך עבודות קומשניג לבדיקות מתח יתר  עד 15.7- , לא התקבל מועד כניסה  .מסדר -24 ק"ו -המסדר מוכן לקומשניג  - לא ניתן להמשיך   לבדיקות משנה מתח, משנה זרם להערכות בדיקות מתח יתר.- אנשי מבדקה  הוצאו מהתחמ"ש   , באים רק לעבודות נקודיות. חדר פיקוד -  חושמל מתח נמוך - עבודות רתק בתאי שנאים- התחלת עבודות 30.6.26- עד סוף יולי. יח'תחמ"ש - הפסקת עבודות  - טרם התקבל מענה , ייתכן תחילת אוגוסט.</t>
  </si>
  <si>
    <t>המשך עבודות אזרחיות- , פיתוח שטח, גדר  צפי סיום 8/26-9.26 .הרכבת שנאים- חסר מבודדי תמיכה צפי סוף יולי - עיכוב. , הרכבה חשמלית - המשך עבודות מסדר 161 ק"ו התגלו תקלות בציוד - החלפת מנתק, מפסק , מיד.- קומשניג -התחלה 10.5 .המשך עבודות קומשניג לבדיקות מתח יתר עד 15.7- , לא התקבל מועד כניסה יח תחמ"ש למסדר 161 .מסדר -24 ק"ו -המסדר מוכן לקומשניג - לא ניתן להמשיך לבדיקות משנה מתח, משנה זרם להערכות בדיקות מתח יתר.-חדר פיקוד - חושמל מתח נמוך - עבודות רתק בתאי שנאים- התחלת עבודות 30.6.26- עד תחילת אוגוסט. יח'תחמ"ש - הפסקת עבודות - טרם התקבל מענה , ייתכן תחילת אוגוסט רק עבור מסדר 24 ק"ו.</t>
  </si>
  <si>
    <t>המשך עבודות אזרחיות- , פיתוח שטח, גדר  צפי סיום 8/26-9.26 .הגיע  מבודדי תמיכה צפי  הרכבה חשמלית - המשך עבודות מסדר 161 ק"ו התגלו תקלות בציוד -עבודות קומשניג לבדיקות מתח יתר - הסתיים, התחילו עבודות  יח תחמ"ש למסדר 161 .מסדר -24 ק"ו -המסדר מוכן לקומשניג - לא ניתן להמשיך לבדיקות משנה מתח, משנה זרם להערכות בדיקות מתח יתר. מתנים  הקבלת סוללות מצברים.  עבודות רתק בתאי שנאים- הסתיים , תחילת כיבוי אש בתא שנאים.. יח'תחמ"ש - הפסקת עבודות - כניסה לעבודה  צוות מצומצם מתאריך 26.7, - חשש לעיכוב בחישמול  - 01/2027 בעקבות איחור בעבודות רת"ק</t>
  </si>
  <si>
    <t>המשך עבודות אזרחיות- , פיתוח שטח, גדר  צפי סיום 8/26-9.26 .הגיע  מבודדי תמיכה צפי  הרכבה חשמלית - המשך עבודות מסדר 161 ק"ו התגלו תקלות בציוד -עבודות קומשניג לבדיקות מתח יתר - הסתיים, התחילו עבודות  יח תחמ"ש למסדר 161 .הערכות לבדיקות מתח יתר ב 16.8.26 , מסדר -24 ק"ו -המסדר מוכן לקומשניג - לא ניתן להמשיך לבדיקות משנה מתח, משנה זרם להערכות בדיקות מתח יתר. מתנים  הקבלת סוללות מצברים.  עבודות רתק בתאי שנאים- הסתיים , תחילת כיבוי אש בתא שנאים.. יח'תחמ"ש - הפסקת עבודות - כניסה לעבודה  צוות מצומצם מתאריך 26.7, - חשש לעיכוב בחישמול  - 01/2027 בעקבות איחור בעבודות רת"ק. נדרש לתגבר כ"א לצורך ביצוע בדיקות  במקביל, וביצוע בדיקות מתח יתר למסדר 24 ק"ו</t>
  </si>
  <si>
    <t>המשך עבודות אזרחיות- , פיתוח שטח, גדר  צפי סיום 8/26-9.26 . עבודות מסדר 161 ק"ו - מוכנות למ"י,עבודות קומשניג לבדיקות מתח יתר - הסתיים, התחילו עבודות  יח תחמ"ש למסדר 161 .הערכות לבדיקות מתח יתר ב 16.8.26 - יידחה לשבוע 23.8 בהתאם לסיום עבודות בפ"ת וגליל. , מסדר -24 ק"ו -המסדר מוכן לקומשניג - אין משאביי כ"א יח תחמ"ש לבדיקות מתח יתר.  תאיי שנאים -תחילת כיבוי אש בתא שנאים- 12.8.26  יח'תחמ"ש - הפסקת עבודות - כניסה לעבודה  צוות מצומצם מתאריך 26.7 - חשש לעיכוב בחישמול  -12.2026- 01/2027, בהתאם לדיווח של ירון ליב מול שלגי דרון  רת"ק יעמדו במועד חישמול 11.26.  בעקבות איחור בעבודות רת"ק. נדרש לתגבר כ"א לצורך ביצוע בדיקות  במקביל,  כביש גישה - בשלב השלמת תכנון אזרחי  ונוף לאחר  העברת תוכנית תנועה ע"י משה לבוביץ</t>
  </si>
  <si>
    <t>המשך עבודות אזרחיות -  פיתוח שטח  גדר  צפי סיום 8-9/26 .
הרכבה חשמלית בשלביי ביצוע מתקדמים:
עבודות מסדר 161 ק"ו - מוכנות למ"י- יידחה לשבוע 23/8/26 בהתאם לסיום עבודות בפ"ת וגליל.
מסדר -24 ק"ו -המסדר מוכן לקומשניג - אין משאביי כ"א יח תחמ"ש לבדיקות מתח יתר. 
תאיי שנאים -תחילת כיבוי אש בתא שנאים - 12/8/26 .
יח'תחמ"ש - הפסקת עבודות - כניסה לעבודה  צוות מצומצם מתאריך 26/726 . נדרש לתגבר כ"א לצורך ביצוע בדיקות  במקביל,
 עמידה בלו"ז 11/26- בסיכון , נדרש תיגבור כ"א  בודקים.  
מחוז -   עבודות בשלבים להכנסת כבלים.  כביש גישה - תכנון הועבר לערן נציג  חברת קדישא ב 14/8/26</t>
  </si>
  <si>
    <t>המשך עבודות אזרחיות- , פיתוח שטח, גדר  צפי סיום 8-9/26.
הרכבה חשמלית בשלביי ביצוע מתקדמים:
 עבודות מסדר 161 ק"ו - מוכנות למ"י  ביצוע 24/8/26. 
כוח אדם - נדרש תיגבור כ"א לבדיקות,  התקיימה ישיבה אצל סמנכ"ל 20/8/26 תוכנית עבודה לתגבור כוח אדם לבדיקות.
מסדר - 24 ק"ו - המסדר מוכן לקומשניג - נדרש לקבוע מועד לבדיקות מ"י. 
תאיי שנאים - כיבוי אש בתא שנאים- צפי סיום 30/8/26.
עמידה בלו"ז 11/26 - בסיכון , נדרש תיגבור כ"א  בודקים. 
מחוז - עבודות בשלבים להכנסת כבלים.  כביש גישה - תכנון הועבר לערן נציג  חברת קדישא ב 14/8/26 עבודות רת"ק נדרש עמידה בלו"ז 11/26.</t>
  </si>
  <si>
    <t>WBK-015</t>
  </si>
  <si>
    <t>קיסריה- התקנת ש"ק שלישי 650 מגוו"א</t>
  </si>
  <si>
    <t>טרם התקבלה תכולה
נקבע סיור לבקשת נגה לבחינת תכולות01.06.2026</t>
  </si>
  <si>
    <t>טרם התקבלה תכולה
נקבע סיור לבקשת נגה לבחינת תכולות01.06.2026- התקיים סיור, המלצות כולל אומדן יועברו תוך חודש ימים</t>
  </si>
  <si>
    <t>טרם התקבלה תכולה
נקבע סיור לבקשת נגה לבחינת תכולות01.06.2026- התקיים סיור, המלצות כולל אומדן יועברו תוך חודש ימים
08.07.2026- מתוכננת ישיבה מול נגה להצגת חלופות</t>
  </si>
  <si>
    <t>טרם התקבלה תכולה
נקבע סיור לבקשת נגה לבחינת תכולות01.06.2026- התקיים סיור
08.07.2026- מתוכננת ישיבה להצגת החלופות לסמנכל החטיבה
12.07.2026- מתוכננת ישיבת הצגת חלופה לנגה</t>
  </si>
  <si>
    <t>טרם התקבלה תכולה
נקבע סיור לבקשת נגה לבחינת תכולות01.06.2026- התקיים סיור
08.07.2026- בוצעה ישיבה להצגת החלופות לסמנכל החטיבה
22.07.2026- מתוכננת ישיבת הצגת חלופה לנגה</t>
  </si>
  <si>
    <t>טרם התקבלה תכולה
נקבע סיור לבקשת נגה לבחינת תכולות01.06.2026- התקיים סיור
08.07.2026- בוצעה ישיבה להצגת החלופות לסמנכל החטיבה
ממתינים להחלטת הנהלה
22.07.2026- מתוכננת ישיבת הצגת חלופה לנגה</t>
  </si>
  <si>
    <t>ממתינים להקפאת תכולה</t>
  </si>
  <si>
    <t>ממתינים להקפאת תכולה
לטענת אלי קשטן נושא זה אינו בטיפולו</t>
  </si>
  <si>
    <t>עיכוב חשמול נדרש- לטיפול קשטן אליעזר וכהן נווה</t>
  </si>
  <si>
    <t>WBE-221</t>
  </si>
  <si>
    <t>ציפורית-התקנת שנאי רביעי והחלפת 2 שנאים</t>
  </si>
  <si>
    <t>מגזר התכנון הודיע על עיכובים בהסכם רכש מסדרי מ"ג, המשמעות עיכובים בתכנון ודחייה בחשמול.
נדרש עמידה בלו"ז 30.09.2026 גמר כתב כמויות</t>
  </si>
  <si>
    <t>מגזר התכנון הודיע על עיכובים בהסכם רכש מסדרי מ"ג, המשמעות עיכובים בתכנון ודחייה בחשמול.
נדרש עמידה בלו"ז 30.09.2026 גמר כתב כמויות
יבוצע שינוי בציוד לטובת עמידה בלוחות זמנים- ציוד מסוג אפקון</t>
  </si>
  <si>
    <t>מגזר התכנון הודיע על עיכובים בהסכם רכש מסדרי מ"ג, המשמעות עיכובים בתכנון ודחייה בחשמול.
נדרש עמידה בלו"ז 30.09.2026 גמר כתב כמויות
יבוצע שינוי בציוד לטובת עמידה בלוחות זמנים- ציוד מסוג אפקון-  בבדיקה</t>
  </si>
  <si>
    <t>הוקצה מסדר של אפקון
30.09.2026 גמר כתב כמויות</t>
  </si>
  <si>
    <t>30.09.2026 גמר כתב כמויות</t>
  </si>
  <si>
    <t>WBE-168</t>
  </si>
  <si>
    <t>צור שלום - התקנת שנאי 524 161/24 ק"ו, 50 מגוו"א בשדה 10 בתחמ"ש צור שלום. התקנת סוללות קבלים 2x5 מגווא"ר.</t>
  </si>
  <si>
    <t>אושר ע"י הנהלת האגף לבחירת קבלן תוך החרגת סעיפים חריגים
נבחר קבלן- בהתארגנות 
17.05.2026- בוצע סיור עם הקבלן</t>
  </si>
  <si>
    <t>אושר ע"י הנהלת האגף לבחירת קבלן תוך החרגת סעיפים חריגים
נבחר קבלן- בהתארגנות 
17.05.2026- בוצע סיור עם הקבלן
צפי לתחילת עבודות 14.06.2026</t>
  </si>
  <si>
    <t>בשלב התארגנות קבלן</t>
  </si>
  <si>
    <t>הקבלן עושה בעיות , ייתכן ויוחלף</t>
  </si>
  <si>
    <t>צפי כניסת קבלן לתחילת עבודות 28.06.2026
אגף הרכש הודיע על עיכוב באספקת השנאי ל- 08.2026 (יועלה לנושאים קריטים)</t>
  </si>
  <si>
    <t>אגף הרכש הודיע על עיכוב באספקת השנאי ל- 08.2026 (יועלה לנושאים קריטים)</t>
  </si>
  <si>
    <t>אגף הרכש הודיע על עיכוב באספקת השנאי ל- 08.2026 (ממתינים לישיבת נושאים קריטים)</t>
  </si>
  <si>
    <t>התארגנות קבלן, ממתינים לסוגיות סופיות מול תכנון אזרחי</t>
  </si>
  <si>
    <t xml:space="preserve">התארגנות קבלן
קבלן טרם אישר מסגרייה- מהווה עיכוב מהותי </t>
  </si>
  <si>
    <t>התארגנות קבלן
קבלן טרם אישר מסגרייה- מהווה עיכוב מהותי 
מסגריות נפסלו- הקבלן עדיין לא נכנס לעבודה, בודקים חלופות</t>
  </si>
  <si>
    <t>קבלן טרם אישר מסגרייה- מהווה עיכוב מהותי 
מסגריות נפסלו- הקבלן עדיין לא נכנס לעבודה, בודקים חלופות</t>
  </si>
  <si>
    <t>הנחיית הנהלת האגף יוכנס השנאי ללא עיגון
נתחלת עבודות אזרחיות 16.08.2026
24.08.2026- הכנסת שנאי</t>
  </si>
  <si>
    <t>הנחיית הנהלת האגף יוכנס השנאי ללא עיגון
תחילת עבודות אזרחיות 16.08.2026- בוצע
24.08.2026- הכנסת שנאי</t>
  </si>
  <si>
    <t>הנחיית הנהלת האגף יוכנס השנאי ללא עיגון
תחילת עבודות אזרחיות 16.08.2026- בוצע
24.08.2026- הכנסת שנאי
25.08.2026- צפי כניסת הרכבות
06.09.2026- מילוי שמן</t>
  </si>
  <si>
    <t>מסתמן עיכוב במועד ת.פ
עיכוב באספקת ציודים- בושינג לשנאי</t>
  </si>
  <si>
    <t>WBE-263</t>
  </si>
  <si>
    <t>כרמיאל-החלפת 4 שנ.מ-33 ל-50 מו"א-רב שלבי</t>
  </si>
  <si>
    <t>שנאי 522 ב12/2026 , שנאי 521 ב06/2027 ,שנאי 523 12/2027, שנאי 524 ב06/2028</t>
  </si>
  <si>
    <t>12.04.2026-  עבודות קבלן אזרחי</t>
  </si>
  <si>
    <t>12.04.2026-  החלו עבודות קבלן אזרחי</t>
  </si>
  <si>
    <t>12.04.2026-  החלו עבודות קבלן אזרחי
06.07.2026- התחלת שדרוגי שדות, הפסקת שנאי 522</t>
  </si>
  <si>
    <t>12.04.2026-  החלו עבודות קבלן אזרחי
06.07.2026- בוצע התחלת שדרוגי שדות, הפסקת שנאי 522- החלו עבודות שדרוג</t>
  </si>
  <si>
    <t>12.04.2026-  החלו עבודות קבלן אזרחי
06.07.2026- בוצע התחלת שדרוגי שדות, הפסקת שנאי 522- החלו עבודות שדרוג
ממתינים להפסקת פ"צ לטובת הוצאת השנאי שפורק</t>
  </si>
  <si>
    <t>12.04.2026-  החלו עבודות קבלן אזרחי
06.07.2026- בוצע התחלת שדרוגי שדות, הפסקת שנאי 522- החלו עבודות שדרוג
ממתינים להפסקת פ"צ לטובת הוצאת השנאי שפורק- לא אושרה הפסקת פ"צ, הוצאת השנאי תידחה ל- 09.2026 יקודמו עבודות אחרות -אזרחיות</t>
  </si>
  <si>
    <t>12.04.2026-  החלו עבודות קבלן אזרחי
06.07.2026- בוצע התחלת שדרוגי שדות, הפסקת שנאי 522- החלו עבודות שדרוג
19.08.2026- הפסקת פ"צ לטובת פירוק ציודים לשנאי</t>
  </si>
  <si>
    <t>12.04.2026-  החלו עבודות קבלן אזרחי
06.07.2026- בוצע התחלת שדרוגי שדות, הפסקת שנאי 522- החלו עבודות שדרוג
19.08.2026- הפסקת פ"צ לטובת פירוק ציודים לשנאי- בוצע</t>
  </si>
  <si>
    <t>WBE-226</t>
  </si>
  <si>
    <t>כורסי-רב שלבי-החלפת 2 שנאים 521,522 והתקנת 2 שנאים 523,524</t>
  </si>
  <si>
    <t xml:space="preserve">שנאי 521 11/2026
שנאים 523,524 
30/06/2027
שנאי 522
28/02/2028
</t>
  </si>
  <si>
    <t>צפי מסירות אזרחיות חלקיות סוף מאי</t>
  </si>
  <si>
    <t>צפי מסירות אזרחיות חלקיות סוף מאי
05.07.2026- הובלת שני שנאים ותחילת עבודות הרכבה חשמלית</t>
  </si>
  <si>
    <t>בוצעו מסירות אזרחיות חלקיות סוף מאי
05.07.2026- הובלת שני שנאים ותחילת עבודות הרכבה חשמלית</t>
  </si>
  <si>
    <t>בוצעו מסירות אזרחיות חלקיות סוף מאי
06.07.2026- הובלת שני שנאים 521+523 ותחילת עבודות הרכבה חשמלית</t>
  </si>
  <si>
    <t>בוצעו מסירות אזרחיות חלקיות סוף מאי
06.07.2026- בוצע הובלת שני שנאים 521+523 ותחילת עבודות הרכבה חשמלית
26.07.2026- מילוי שמן</t>
  </si>
  <si>
    <t>בוצעו מסירות אזרחיות חלקיות סוף מאי
06.07.2026- בוצע הובלת שני שנאים 521+523 ותחילת עבודות הרכבה חשמלית
26.07.2026- מילוי שמן- בוטל עקב אי זמינות בודק חשמל, נדחה ל 02.08.2026</t>
  </si>
  <si>
    <t>בוצעו מסירות אזרחיות חלקיות סוף מאי
06.07.2026- בוצע הובלת שני שנאים 521+523 ותחילת עבודות הרכבה חשמלית
26.07.2026- מילוי שמן- בוטל עקב אי זמינות בודק חשמל, נדחה ל 02.08.2026-בביצוע</t>
  </si>
  <si>
    <t>בוצעו מסירות אזרחיות חלקיות סוף מאי
06.07.2026- בוצע הובלת שני שנאים 521+523 ותחילת עבודות הרכבה חשמלית
26.07.2026- מילוי שמן- בוטל עקב אי זמינות בודק חשמל, נדחה ל 02.08.2026-בביצוע צפי לסיום 11.08.2026
נקבעה ישיבת DR לשלב ב' בתאריך 16.08.2026</t>
  </si>
  <si>
    <t>בוצעו מסירות אזרחיות חלקיות סוף מאי
06.07.2026- בוצע הובלת שני שנאים 521+523 ותחילת עבודות הרכבה חשמלית
26.07.2026- מילוי שמן- בוטל עקב אי זמינות בודק חשמל, נדחה ל 02.08.2026-בוצע
נקבעה ישיבת DR לשלב ב' בתאריך 18.08.2026</t>
  </si>
  <si>
    <t>עבודה אזרחית במקביל באתר
הרכבה חשמלית התקנת שנאי 521+מכולה+מסדר אפס וחיבור שנאי 522 למכולה חדשה
צפי מסירה ליח' תחמ"ש 04.10.2026
בוצעה ישיבת DR לשלב ב' בתאריך 18.08.2026- תתואם ישיבה המשך DR (ישיבה שניה)</t>
  </si>
  <si>
    <t>WBE-233</t>
  </si>
  <si>
    <t>יזרעאל-הח' 2 שנאים161/24 30 ב-50מגוו"א כ"א</t>
  </si>
  <si>
    <t>25/03/2026- 
בוצעו מסירות לטובת בדיקות שנאי 521
צפי לעיכוב עקב עבודות חוזרות של חווטים לאור שינויים רבים בתכנון החשמלי
מועד חשמול צפוי 05/06/2026</t>
  </si>
  <si>
    <t>חשמול צפוי שנאי 521 04.06.2026
צפי להפסקת שנאי 523- 10.06.206 וצפי תחילת עבודות אזרחיות</t>
  </si>
  <si>
    <t>חשמול צפוי שנאי 521 04.06.2026- חושמל
צפי להפסקת שנאי 523- 10.06.2026 וצפי תחילת עבודות אזרחיות</t>
  </si>
  <si>
    <t>שנאי 521 04.06.2026- חושמל
הופסק שנאי 523- 14.06.2026 תחילת עבודות פירוקים ועבודות אזרחיות
צפי לתחילת עבודות הרכבת חשמלית 15.09.2026</t>
  </si>
  <si>
    <t>הופסק שנאי 523- 14.06.2026 תחילת עבודות פירוקים ועבודות אזרחיות- בוצע
22.06.2026- החלו עבודות אזרחיות
צפי לתחילת עבודות הרכבת חשמלית 15.09.2026</t>
  </si>
  <si>
    <t>שנאי 521 חושמל
הופסק שנאי 523
22.06.2026- החלו עבודות אזרחיות
צפי לתחילת עבודות הרכבת חשמלית 15.09.2026</t>
  </si>
  <si>
    <t>WBE-135</t>
  </si>
  <si>
    <t>יזרעאל- החלפת שנאים 522 ו-524 ל-50 מגוו"א.</t>
  </si>
  <si>
    <t>נבחר קבלן 04.05.2026</t>
  </si>
  <si>
    <t>נבחר קבלן 04.05.2026
בשלב התארגנות עלייה לקרקע</t>
  </si>
  <si>
    <t>נבחר קבלן 04.05.2026
בשלב התארגנות עלייה לקרקע
נדרש משגיח נוסף</t>
  </si>
  <si>
    <t>נבחר קבלן 04.05.2026
בשלב התארגנות עלייה לקרקע
ממתינים להפסקות לטובת קירות מיגון</t>
  </si>
  <si>
    <t>נבחר קבלן 04.05.2026
בשלב התארגנות עלייה לקרקע
ממתינים להפסקות לטובת קירות מיגון- בוצע
03.08.2026- החלו עבודות קבלן</t>
  </si>
  <si>
    <t>נבחר קבלן 04.05.2026
ממתינים להפסקות לטובת קירות מיגון- בוצע
03.08.2026- החלו עבודות קבלן</t>
  </si>
  <si>
    <t>נבחר קבלן 04.05.2026
03.08.2026- החלו עבודות קבלן</t>
  </si>
  <si>
    <t>WBE-169</t>
  </si>
  <si>
    <t>יהלום-הוספת שנאי 50 MVA רב שלבי</t>
  </si>
  <si>
    <t>26.04.2026- יח' תחמ"ש חזרה לעבוד באתר
17.05.2026 החלו עבודות הצמדת תאי מקשר</t>
  </si>
  <si>
    <t>26.04.2026- יח' תחמ"ש חזרה לעבוד באתר
17.05.2026 החלו עבודות הצמדת תאי מקשר
27.05.2026- צפי סיום וחשמול קבוע</t>
  </si>
  <si>
    <t xml:space="preserve">
  27.05.2026-צפי סיום וחשמול קבוע- בוצע</t>
  </si>
  <si>
    <t>פרויקט הסתיים, תחמ"ש בניצול מלא</t>
  </si>
  <si>
    <t>WBE-252</t>
  </si>
  <si>
    <t>חולה - החלפת שנאי 522 מ- 33 ל- 50 מגוו"א והחלפת מסדר מ"ג פ"צ 2</t>
  </si>
  <si>
    <t xml:space="preserve">03.05.2026- החלו עבודות אזרחיות יסוד שנאי
נמצאו תשתיות כבלי מ"ג שלא מופיעים בתוכניות בשטח מסדר אפס+ שנאי+ סוללת קבלים- בטיפול המחוז
ליקוי מהותי בתכנון זרחי- יסוד שנאי, עצירת עבודות -חזרה לתכנון
</t>
  </si>
  <si>
    <t>טעות תכנון מהותי בתכנון יסוד שנאי, עצירת עבודות קבלן
ממתינים לשינוי תוכניות חדשות</t>
  </si>
  <si>
    <t xml:space="preserve">טעות תכנון מהותי בתכנון יסוד שנאי, עצירת עבודות קבלן
03.06.2026- התקבל תכנון מעודכן+תוספת תכולה לקבלן </t>
  </si>
  <si>
    <t>טעות תכנון מהותי בתכנון יסוד שנאי, עצירת עבודות קבלן
03.06.2026- התקבל תכנון מעודכן+תוספת תכולה לקבלן 
עקב השינוי ממתינים להפסקת פ"צ לטובת פירוקים והמשך עבודה</t>
  </si>
  <si>
    <t>טעות תכנון מהותי בתכנון יסוד שנאי, עצירת עבודות קבלן
03.06.2026- התקבל תכנון מעודכן+תוספת תכולה לקבלן 
עקב השינוי ממתינים להפסקת פ"צ לטובת פירוקים והמשך עבודה
בנוסף, אין גישה למנופים בגלל העבודות שביצעו</t>
  </si>
  <si>
    <t>טעות תכנון מהותי בתכנון יסוד שנאי, עצירת עבודות קבלן
03.06.2026- התקבל תכנון מעודכן+תוספת תכולה לקבלן 
עקב השינוי ממתינים להפסקת פ"צ לטובת פירוקים והמשך עבודה
בנוסף, אין גישה למנופים בגלל העבודות שביצעו
אירוע עדיין פעיל- בטיפול</t>
  </si>
  <si>
    <t>טעות תכנון מהותי בתכנון יסוד שנאי, עצירת עבודות קבלן
03.06.2026- התקבל תכנון מעודכן+תוספת תכולה לקבלן 
עקב השינוי ממתינים להפסקת פ"צ לטובת פירוקים והמשך עבודה
בנוסף, אין גישה למנופים בגלל העבודות שביצעו
אירוע עדיין פעיל- בטיפול
צפי לפירוק ציודים נדרשים לטיפול האירוע 06.08.2026</t>
  </si>
  <si>
    <t xml:space="preserve">טעות תכנון מהותי בתכנון יסוד שנאי, עצירת עבודות קבלן
03.06.2026- התקבל תכנון מעודכן+תוספת תכולה לקבלן 
עקב השינוי (לטובת פירוקים) תואמה הפסקת פ"צ בתאריך 13.08.2026 בלילה
</t>
  </si>
  <si>
    <t xml:space="preserve">טעות תכנון מהותי בתכנון יסוד שנאי, עצירת עבודות קבלן
03.06.2026- התקבל תכנון מעודכן+תוספת תכולה לקבלן 
עקב השינוי (לטובת פירוקים) תואמה הפסקת פ"צ בתאריך 13.08.2026 בלילה- בוצע
</t>
  </si>
  <si>
    <t>WBE-199</t>
  </si>
  <si>
    <t>זבולון-התקנת שנאי שלישי 161/24 ק"ו 50 מגוו"א</t>
  </si>
  <si>
    <t>צפי לגמר כתב כמויות 30.09.2026</t>
  </si>
  <si>
    <t>WBK-013</t>
  </si>
  <si>
    <t>זבולון-השלמת שדה 23 והתאמתו ליכולת 2500 א' במסדר 161 ק"ו. התקנת אוטו שנאי 400/170 ק"ו רביעי, בהספק 575 מגוו"א</t>
  </si>
  <si>
    <t>בתהליך התנעת פרויקט (בוצעה ישיבת הקפאת תצורה PDR 25.03.2026)
צפי להגשת בקשה להיתר-31.07.2026
צפי לגמר כתב כמויות 31.12.2026</t>
  </si>
  <si>
    <t>03.06.2026- התקבלה מנגה סכימה כולל שינויים ותכולה של 170 ק"ו, בבדיקת מחלקת ציוד עיקרי למועדי אספקה צפויים. שינוי זה הופך להיות נתיב קריטי
צפי להגשת בקשה להיתר-31.07.2026
צפי לגמר כתב כמויות 31.12.2026</t>
  </si>
  <si>
    <t>צפי להגשת בקשה להיתר-31.07.2026
צפי לגמר כתב כמויות 31.12.2026</t>
  </si>
  <si>
    <t>הוגשה בקשה להיתר
צפי לגמר כתב כמויות 31.12.2026</t>
  </si>
  <si>
    <t>מגזר תכנון מתעכב בהגשת בקשה להיתר
צפי לגמר כתב כמויות 31.12.2026</t>
  </si>
  <si>
    <t xml:space="preserve">עיכוב בהגשת בקשה להיתר </t>
  </si>
  <si>
    <t>WBC-206</t>
  </si>
  <si>
    <t>הדרי שאן(טירת צבי)-חח"י-התקנת 4 שנאים 50 מגוו"א</t>
  </si>
  <si>
    <t>11.05.2026 התקיים נושאים קריטים
נקבעו מועדי חשמול חדשים
היזם טרם חשמל פס צבירה</t>
  </si>
  <si>
    <t xml:space="preserve">11.05.2026 התקיים נושאים קריטים
נקבעו מועדי חשמול חדשים
10.06.2026- התקבל היתר שינויים, מתקדם לטופס 4
בהתייעצות עם מ כל שרעבי יצא מייל ליזם שמתריע על זכותינו לקדם עבודות ב-161 ק"ו ללא הסרת אחריות של היזם
היזם טרם חשמל פס צבירה
</t>
  </si>
  <si>
    <t>11.05.2026 התקיים נושאים קריטים
נקבעו מועדי חשמול חדשים
10.06.2026- התקבל היתר שינויים, מתקדם לטופס 4
צפי חשמול שנאי 521 30.06.2026</t>
  </si>
  <si>
    <r>
      <t xml:space="preserve">28.06.2026- התקבל אישור כיבוי אש
בימים הקרובים צפי לקבלת טופס 4
</t>
    </r>
    <r>
      <rPr>
        <b/>
        <sz val="12"/>
        <rFont val="Arial"/>
        <family val="2"/>
        <scheme val="minor"/>
      </rPr>
      <t>לא ניתן לחשמל עד לחתימה על הסכם תפעול</t>
    </r>
  </si>
  <si>
    <r>
      <rPr>
        <sz val="12"/>
        <rFont val="Arial"/>
        <family val="2"/>
        <scheme val="minor"/>
      </rPr>
      <t>שנאי 521 מוכן לחשמול- ממתינים לקבלת טופס 4- באחריות היזם
לא ניתן לחשמל עד לחתימה על הסכם תפעול</t>
    </r>
  </si>
  <si>
    <t xml:space="preserve"> 07.07.2026- התקבל טופס 4
15.07.2026- צפי לחשמול פ"צ של היזם
לא ניתן לחשמל שנאי 521 עד לחתימה על הסכם תפעול</t>
  </si>
  <si>
    <t xml:space="preserve"> 07.07.2026- התקבל טופס 4
15.07.2026- צפי לחשמול פ"צ של היזם+ שנאי 521 חח"י- לא בוצע עקב אי חתימה על הסכם תפעולי</t>
  </si>
  <si>
    <t xml:space="preserve"> 07.07.2026- התקבל טופס 4
15.07.2026- צפי לחשמול פ"צ של היזם+ שנאי 521 חח"י- לא בוצע עקב אי חתימה על הסכם תפעולי
המשך הרכבות ובדיקות שנאים 522+523+524</t>
  </si>
  <si>
    <t>06.08.2026 חושמל פ"צ של היזם
09.08.2026- חושמל שנאי 521+ שני מסדרי מ"ג
522+523- נמסרו לבדיקות חשמליות</t>
  </si>
  <si>
    <t>06.08.2026 חושמל פ"צ של היזם
09.08.2026- חושמל שנאי 521+ שני מסדרי מ"ג
522+523- נמסרו לבדיקות חשמליות
צפי חשמול כלל השנאים : 10.2026</t>
  </si>
  <si>
    <t>WBE-197</t>
  </si>
  <si>
    <t>אדמירליטי -התקנת שנאי שלישי 161/24 ק"ו, 50 מגוו"א</t>
  </si>
  <si>
    <t xml:space="preserve">מגזר התכנון מסרב להשתתף בישיבת הקפאת תצורה במועד שנקבע ע"י מנהל הפרויקט
לטענת המתכנן זה לא המועד שנקבע בתוכנית העבודה שלו </t>
  </si>
  <si>
    <t>נקבעה ישיבת הקפאת תצורה לתאריך 16.07.2026</t>
  </si>
  <si>
    <t>בוצעה ישיבת הקפאת תצורה לתאריך 16.07.2026</t>
  </si>
  <si>
    <t>בוצעה ישיבת הקפאת תצורה לתאריך 16.07.2026
צפי לגמר כתב כמויות 31.12.2026</t>
  </si>
  <si>
    <t>בוצעה ישיבת הקפאת תצורה בתאריך 16.07.2026
צפי לגמר כתב כמויות 31.12.2026</t>
  </si>
  <si>
    <t>WBD-127</t>
  </si>
  <si>
    <t>כרמיאל ניידת- תכנון הצבת תחמ"ש ניידת</t>
  </si>
  <si>
    <t>בשלב עבודות הרכבה חשמלית ויח' תחמ"ש</t>
  </si>
  <si>
    <t>בשלב עבודות הרכבה חשמלית ויח' תחמ"ש
צפי חשמול 18.06.2026</t>
  </si>
  <si>
    <t>בשלב עבודות הרכבה חשמלית ויח' תחמ"ש
צפי חשמול 18.06.2026- נדחה עקב הוצאת בודקים מהאתר לטובת תחמ"ש בראון</t>
  </si>
  <si>
    <t>בשלב עבודות הרכבה חשמלית ויח' תחמ"ש
צפי חשמול 18.06.2026- נדחה עקב הוצאת בודקים מהאתר לטובת תחמ"ש בראון
צפי חשמול 02.07.2026</t>
  </si>
  <si>
    <t>פרויקט הסתיים
ניידת חושמלה ב- 02.07.2026</t>
  </si>
  <si>
    <t>WBD-129</t>
  </si>
  <si>
    <t>הדרי שאן- תכנון הצבת תחמ"ש ניידת, 30 מגוו"א</t>
  </si>
  <si>
    <t>פרויקט הסתיים</t>
  </si>
  <si>
    <t>WBE-253</t>
  </si>
  <si>
    <t>"כברי - החלפת שנאי 523  ומסדר מ""ג פ""צ 3"</t>
  </si>
  <si>
    <t>צפי לגמר כתב כמויות 31.08.2026</t>
  </si>
  <si>
    <t>WBD-092</t>
  </si>
  <si>
    <t>שרון ניידת-הצבת תחמ"ש ניידת</t>
  </si>
  <si>
    <t>כוכבה כהן</t>
  </si>
  <si>
    <t xml:space="preserve"> ניידת חושמלה ב 25.2.26
חיבור יציאות מ"ג בוצע ב 25.3.26
טרם הוחלט על פתרון קבוע למעבר בטוח בין שני המפלסים בתחמש- בטיפול מול תכנון ויח' התחמש- מדידה התקבלה ב 12.5, ממתין לקבלת תכנון </t>
  </si>
  <si>
    <t xml:space="preserve"> ניידת חושמלה ב 25.2.26
חיבור יציאות מ"ג בוצע ב 25.3.26
טרם הוחלט על פתרון קבוע למעבר בטוח בין שני המפלסים בתחמש- בטיפול מול תכנון ויח' התחמש- מדידה התקבלה ב 12.5, ממתין לבדיקה וקבלת תכנון </t>
  </si>
  <si>
    <t xml:space="preserve"> ניידת חושמלה ב 25.2.26
חיבור יציאות מ"ג בוצע ב 25.3.26
טרם הוחלט על פתרון קבוע למעבר בטוח בין שני המפלסים בתחמש- בטיפול מול תכנון ויח' התחמש- מדידה התקבלה ב 12.5.
 בוצע סיור ב 10.6 תכנון אזרחי, פיקוח ויח התחמש לבדיקת מדרון -סוכם כי יש לפנות מילוי שצמוד לחומה (דרישת יועץ קרקע) כולל פינוי מילוי שגלש לניקוז. לאחר מכן לבצע מדידה חדשה ועדכון תכנון מדרגות. ממתין לקבלת הצעת מחיר מקבלן. עד ביצוע מדרגות הוחלט למתן את המעבר כמה שניתן על מנת לאפשר מעבר בטוח יותר .</t>
  </si>
  <si>
    <t xml:space="preserve"> ניידת חושמלה ב 25.2.26
חיבור יציאות מ"ג בוצע ב 25.3.26
מעבר בטוח בין שני המפלסים בתחמa:
 בוצע סיור ב 10.6 תכנון אזרחי, פיקוח ויח התחמש לבדיקת מדרון -סוכם כי יש לפנות מילוי שצמוד לחומה (דרישת יועץ קרקע) כולל פינוי מילוי שגלש לניקוז. לאחר מכן לבצע מדידה חדשה ועדכון תכנון מדרגות. ממתין לקבלת הצעת מחיר מקבלן. עד ביצוע מדרגות הוחלט למתן את המעבר כמה שניתן על מנת לאפשר מעבר בטוח יותר .
התקבלה תלונה מהישוב על רעש מהניידת (16.4.26) והועברה לטיפול יח התחמש- הונחו לוחות בטון, הרעש הגיע גם לאזורים אחרים. לא התקבל אישור להפסיק את הניידת בגלל העומס. כעת ממתין להמשך טיפול  במעורבות  שלנו למציאת פתרון </t>
  </si>
  <si>
    <t xml:space="preserve"> ניידת חושמלה ב 25.2.26
חיבור יציאות מ"ג בוצע ב 25.3.26
מעבר בטוח בין שני המפלסים בתחמa:
 בוצע סיור ב 10.6 תכנון אזרחי, פיקוח ויח התחמש לבדיקת מדרון -סוכם כי יש לפנות מילוי שצמוד לחומה (דרישת יועץ קרקע) כולל פינוי מילוי שגלש לניקוז. לאחר מכן לבצע מדידה חדשה ועדכון תכנון מדרגות. ממתין לקבלת הצעת מחיר מקבלן. עד ביצוע מדרגות הוחלט למתן את המעבר כמה שניתן על מנת לאפשר מעבר בטוח יותר .
התקבלה תלונה מהישוב על רעש מהניידת (16.4.26) והועברה לטיפול יח התחמש- הונחו לוחות בטון, הרעש הגיע גם לאזורים אחרים. לא התקבל אישור להפסיק את הניידת בגלל העומס. כעת ממתין להמשך טיפול  במעורבות  שלנו למציאת פתרון 
עדכון 29.6- 
*התקבלו הצעות מחיר מקבלן לטיפול במדרון , כעת בשלב  תאום ביצוע העבודות. 
*טרם נמצא פתרון לרעש. אין התקשרות עם קבלן אקוסטי או יועץ. בבדיקה אם ניתן להפעיל קבלן משנה לקבלן אזרחי של פ.ייצור ומעורבות אסדרה סביבתית ויח התחמש  
</t>
  </si>
  <si>
    <t xml:space="preserve"> ניידת חושמלה ב 25.2.26
חיבור יציאות מ"ג בוצע ב 25.3.26
מעבר בטוח בין שני המפלסים בתחמa:
 בוצע סיור ב 10.6 תכנון אזרחי, פיקוח ויח התחמש לבדיקת מדרון -סוכם כי יש לפנות מילוי שצמוד לחומה (דרישת יועץ קרקע) כולל פינוי מילוי שגלש לניקוז. לאחר מכן לבצע מדידה חדשה ועדכון תכנון מדרגות. ממתין לקבלת הצעת מחיר מקבלן. עד ביצוע מדרגות הוחלט למתן את המעבר כמה שניתן על מנת לאפשר מעבר בטוח יותר .
התקבלה תלונה מהישוב על רעש מהניידת (16.4.26) והועברה לטיפול יח התחמש- הונחו לוחות בטון, הרעש הגיע גם לאזורים אחרים. לא התקבל אישור להפסיק את הניידת בגלל העומס. כעת ממתין להמשך טיפול  במעורבות  שלנו למציאת פתרון 
עדכון 6.7.26:
תואם ביצוע עבודת קבלן אזרחי לטיפול במדרון וניקוי תעלה ב 7.7.26
*טרם נמצא פתרון לרעש. אין התקשרות עם קבלן אקוסטי או יועץ.  בבדיקה של גלי באחריות מי לטפל בנושא זה (יחידת התחמש או פרויקטים)
</t>
  </si>
  <si>
    <t xml:space="preserve"> ניידת חושמלה ב 25.2.26/ חיבור יציאות מ"ג בוצע ב 25.3.26
התקבלה תלונה מהישוב על רעש מהניידת (16.4.26) והועברה לטיפול יח התחמש- הונחו לוחות בטון, הרעש הגיע גם לאזורים אחרים. לא התקבל אישור להפסיק את הניידת בגלל העומס. כעת ממתין להמשך טיפול  במעורבות  שלנו למציאת פתרון 
עדכון 13.7.26:
הסתיימו עבודת קבלן אזרחי לטיפול במדרון וניקוי תעלה . כעת מממתין להתייחסות יח התחמש למעבר. לדעת תכנון לא נדרש מדרגות. יתכן מדרך או אבני שפה .
תלונת רעש - טרם טופל. בבדיקה של יום עדני. 
</t>
  </si>
  <si>
    <t xml:space="preserve"> ניידת חושמלה ב 25.2.26/ חיבור יציאות מ"ג בוצע ב 25.3.26
התקבלה תלונה מהישוב על רעש מהניידת (16.4.26) והועברה לטיפול יח התחמש- הונחו לוחות בטון, הרעש הגיע גם לאזורים אחרים. לא התקבל אישור להפסיק את הניידת בגלל העומס. כעת ממתין להמשך טיפול  במעורבות  שלנו למציאת פתרון 
עדכון 13.7.26:
הסתיימו עבודת קבלן אזרחי לטיפול במדרון וניקוי תעלה . כעת מממתין להתייחסות יח התחמש למעבר. לדעת תכנון לא נדרש מדרגות. יתכן מדרך או אבני שפה .
תלונת רעש - טרם טופל. לאחר בדיקה של יורם עדני הרעש מהשנאי עצמו. נדרש לצאת להתקשרות חיצונית. ממתין להתיחסות ירון/ גלי 
</t>
  </si>
  <si>
    <t xml:space="preserve"> ניידת חושמלה ב 25.2.26/ חיבור יציאות מ"ג בוצע ב 25.3.26
התקבלה תלונה מהישוב על רעש מהניידת (16.4.26) והועברה לטיפול יח התחמש- הונחו לוחות בטון, הרעש הגיע גם לאזורים אחרים. לא התקבל אישור להפסיק את הניידת בגלל העומס. כעת ממתין להמשך טיפול  במעורבות  שלנו למציאת פתרון 
עדכון 27.7.26:
הסתיימו עבודת קבלן אזרחי לטיפול במדרון וניקוי תעלה . אודי עדין מבקש גרם מדרגות - תבוצע מדידה חדשה
תלונת רעש - הועברה עי מרק  רשימת בדיקות נדרשות שיח התחמש צריכה לבצע. בטיפול אודי. לאחר ממצאים יוחלט מה לעשות 
</t>
  </si>
  <si>
    <t xml:space="preserve"> ניידת חושמלה ב 25.2.26/ חיבור יציאות מ"ג בוצע ב 25.3.26
התקבלה תלונה מהישוב על רעש מהניידת (16.4.26) והועברה לטיפול יח התחמש- הונחו לוחות בטון, הרעש הגיע גם לאזורים אחרים. לא התקבל אישור להפסיק את הניידת בגלל העומס. כעת ממתין להמשך טיפול  במעורבות  שלנו למציאת פתרון 
עדכון 3.8:
הסתיימו עבודת קבלן אזרחי לטיפול במדרון וניקוי תעלה . אודי עדין מבקש גרם מדרגות - תבוצע מדידה חדשה
תלונת רעש - בוצעה בדיקת  DPDM (אחזקה חזויה). הומלץ לבצע SFRA (בדיקה פנימית מכנית של השנאי) ולאחר מכן להגיע להחלטה- הנושא בטיפול יח התחמש 
</t>
  </si>
  <si>
    <t xml:space="preserve"> ניידת חושמלה ב 25.2.26/ חיבור יציאות מ"ג בוצע ב 25.3.26
התקבלה תלונה מהישוב על רעש מהניידת (16.4.26) והועברה לטיפול יח התחמש- הונחו לוחות בטון, הרעש הגיע גם לאזורים אחרים. לא התקבל אישור להפסיק את הניידת בגלל העומס. כעת ממתין להמשך טיפול  במעורבות  שלנו למציאת פתרון 
עדכון 10.8:
הסתיימו עבודת קבלן אזרחי לטיפול במדרון וניקוי תעלה . אודי עדין מבקש גרם מדרגות - תבוצע מדידה חדשה
תלונת רעש - בוצעה בדיקת  DPDM (אחזקה חזויה). הומלץ לבצע SFRA (בדיקה פנימית מכנית של השנאי) - אודי אריה טוען שזה מיותר ויש להקצות פרויקט דחוף לקירות אקוסטים - נדרש מעורבות הנהלת אגף . 
</t>
  </si>
  <si>
    <t xml:space="preserve"> ניידת חושמלה ב 25.2.26/ חיבור יציאות מ"ג בוצע ב 25.3.26
התקבלה תלונה מהישוב על רעש מהניידת (16.4.26) והועברה לטיפול יח התחמש- הונחו לוחות בטון, הרעש הגיע גם לאזורים אחרים. לא התקבל אישור להפסיק את הניידת בגלל העומס. כעת ממתין להמשך טיפול  במעורבות  שלנו למציאת פתרון 
עדכון 10.8:
הסתיימו עבודת קבלן אזרחי לטיפול במדרון וניקוי תעלה . אודי עדין מבקש גרם מדרגות - תבוצע מדידה חדשה
תלונת רעש - בוצעה בדיקת  DPDM (אחזקה חזויה). הומלץ לבצע SFRA (בדיקה פנימית מכנית של השנאי) - אודי אריה טוען שזה מיותר ויש להקצות פרויקט דחוף לקירות אקוסטים -ממתין להחלטת הנהלת האגף . 
</t>
  </si>
  <si>
    <t xml:space="preserve"> ניידת חושמלה ב 25.2.26/ חיבור יציאות מ"ג בוצע ב 25.3.26
התקבלה תלונה מהישוב על רעש מהניידת (16.4.26) והועברה לטיפול יח התחמש- הונחו לוחות בטון, הרעש הגיע גם לאזורים אחרים. לא התקבל אישור להפסיק את הניידת בגלל העומס. כעת ממתין להמשך טיפול  במעורבות  שלנו למציאת פתרון 
עדכון 10.8:
הסתיימו עבודת קבלן אזרחי לטיפול במדרון וניקוי תעלה . אודי עדין מבקש גרם מדרגות - תבוצע מדידה חדשה
תלונת רעש - בוצעה בדיקת  DPDM (אחזקה חזויה). הומלץ לבצע SFRA (בדיקה פנימית מכנית של השנאי) - אודי אריה טוען שזה מיותר ויש להקצות פרויקט דחוף לקירות אקוסטים -ממתין להחלטת הנהלת האגף . 
עדכון 24.8:
ממתין לקבלת מדידה חדשה למדרון. כדי להתאים תכנון לגרם מדרגות בין המפלסים
פתרון לרעש- הוחלט עי ירון להציב קירות אקוסטים. יטופל עי המחלקה של גלי. </t>
  </si>
  <si>
    <t>WBD-118</t>
  </si>
  <si>
    <t>שוהם-ב.ס.ר-הצבת תחמ"ש ניידת, 30 מגוו"א</t>
  </si>
  <si>
    <t xml:space="preserve">טרם ידוע </t>
  </si>
  <si>
    <t>סטטוס ללא שינוי 
עדכון של מיקי אזוט 15.3: הוחלט להציב2  ניידות 30 MVAולא תחמש ארעית. 
19.3: התקיימה ישיבה עם הנדסת רשת, תפעול איילון וגלי לקידום הנושא
יש לאשר מיקום מול מהנדס ועדה מקומית ומנכל אזו תעשיה. ראשית יש לוודא יישימות מ"ע ואל"מ. מ"ג יש יישימות - טרם התקבלה תשובה ממ"ע. 
בסיכום של גלי מול שוש מהנדסת רשת, אישור מיקום סופי מול המועצה ייעשה עי הנדסת רשת .עדכון :עוד לא קודם הנושא עי הנדסת רשת</t>
  </si>
  <si>
    <t xml:space="preserve">
עדכון של מיקי אזוט 15.3: הוחלט להציב2  ניידות 30 MVAולא תחמש ארעית. 
19.3: התקיימה ישיבה עם הנדסת רשת, תפעול איילון וגלי לקידום הנושא
יש לאשר מיקום מול מהנדס ועדה מקומית ומנכל אזו תעשיה. ראשית יש לוודא יישימות מ"ע ואל"מ. מ"ג יש יישימות - טרם התקבלה תשובה ממ"ע. 
בסיכום של גלי מול שוש מהנדסת רשת, אישור מיקום סופי מול המועצה ייעשה עי הנדסת רשת .
עדכון 25.5: התקיימה ישיבה של הנדסת רשת מול מתכננים. במיקום המוצע להצבת הניידות, יש התנגשות עם פרויקט נוסף. בבדיקה של תכנון מ"ע האם ניתן לשלב את שני הפרויקטים באותו מיקום, הערכה ראשונית- שלא ניתן.</t>
  </si>
  <si>
    <t xml:space="preserve">
עדכון של מיקי אזוט 15.3: הוחלט להציב2  ניידות 30 MVAולא תחמש ארעית. 
19.3: התקיימה ישיבה עם הנדסת רשת, תפעול איילון וגלי לקידום הנושא
יש לאשר מיקום מול מהנדס ועדה מקומית ומנכל אזו תעשיה. ראשית יש לוודא יישימות מ"ע ואל"מ. מ"ג יש יישימות - טרם התקבלה תשובה ממ"ע. 
בסיכום של גלי מול שוש מהנדסת רשת, אישור מיקום סופי מול המועצה ייעשה עי הנדסת רשת .
עדכון 25.5: התקיימה ישיבה של הנדסת רשת מול מתכננים. במיקום המוצע להצבת הניידות, יש התנגשות עם פרויקט נוסף. בבדיקה של תכנון מ"ע האם ניתן לשלב את שני הפרויקטים באותו מיקום, הערכה ראשונית- שלא ניתן.
עדכון 11.6 - (רועי חג'ג'), בוחנים שטח סמוך לעמוד 3993</t>
  </si>
  <si>
    <t>עדכון של מיקי אזוט 15.3: הוחלט להציב2  ניידות 30 MVAולא תחמש ארעית. 
19.3: התקיימה ישיבה עם הנדסת רשת, תפעול איילון וגלי לקידום הנושא
יש לאשר מיקום מול מהנדס ועדה מקומית ומנכל אזו תעשיה. ראשית יש לוודא יישימות מ"ע ואל"מ. מ"ג יש יישימות - טרם התקבלה תשובה ממ"ע. 
בסיכום של גלי מול שוש מהנדסת רשת, אישור מיקום סופי מול המועצה ייעשה עי הנדסת רשת .
עדכון 25.5: התקיימה ישיבה של הנדסת רשת מול מתכננים. במיקום המוצע להצבת הניידות, יש התנגשות עם פרויקט נוסף. בבדיקה של תכנון מ"ע האם ניתן לשלב את שני הפרויקטים באותו מיקום, הערכה ראשונית- שלא ניתן.
עדכון 11.6 - (רועי חג'ג'), בוחנים שטח סמוך לעמוד 3993</t>
  </si>
  <si>
    <t xml:space="preserve">עדכון של מיקי אזוט 15.3: הוחלט להציב2  ניידות 30 MVAולא תחמש ארעית. 
19.3: התקיימה ישיבה עם הנדסת רשת, תפעול איילון וגלי לקידום הנושא
יש לאשר מיקום מול מהנדס ועדה מקומית ומנכל אזו תעשיה. ראשית יש לוודא יישימות מ"ע ואל"מ. מ"ג יש יישימות - טרם התקבלה תשובה ממ"ע. 
בסיכום של גלי מול שוש מהנדסת רשת, אישור מיקום סופי מול המועצה ייעשה עי הנדסת רשת .
עדכון 25.5: התקיימה ישיבה של הנדסת רשת מול מתכננים. במיקום המוצע להצבת הניידות, יש התנגשות עם פרויקט נוסף. בבדיקה של תכנון מ"ע האם ניתן לשלב את שני הפרויקטים באותו מיקום, הערכה ראשונית- שלא ניתן.
עדכון 11.6 - (רועי חג'ג'), בוחנים שטח סמוך לעמוד 3993 </t>
  </si>
  <si>
    <t>WBD-117</t>
  </si>
  <si>
    <t>עזריאלי ניידות- הצבת 2 תחמ"ש ניידות, 20 מגוו"א כ"א</t>
  </si>
  <si>
    <t xml:space="preserve">ב6.5 הועבר סיכום ישיבה עי העיריה:
1.מיקום שסוכם היא החלופה הדרומית בשטח תחנת מעבר פסולת בסמוך לעמוד מע 5889
2.הליך היתר עם בקשה לשימוש חורג 
3.עי חחי לתאם ולקבל אישור מנת"י ומתכנני תת"ל למיקום.
4.חחי תעביר תוכנית הסדרים למעבר תוואי תת קרקעי להתיחסות העירייה
17.5בוצעה מדידה וכעת  בשרטוט
לאחר מדידה יהיה ניתן לקדם העמדה, סימולציה דרך גישה, דוח יועץ קרקע ובקשה לתיק מידע
17.5בבדיקה מול ניהול הרשת, בנצי, לגבי מועד חשמול נדרש/התחייבויות מול הלקוחות- הגענו למועד שהתחייבנו מול לקוחות. סיום רישוי , תכנון וביצוע יציאות מ"ג חצי שנה עד שמונה חודשים מיום הגשת ת"א
סימולצית תמרון הכנסת ניידות- מסתמן קושי בפניות </t>
  </si>
  <si>
    <t>ב6.5 הועבר סיכום ישיבה עי העיריה:
1.מיקום שסוכם היא החלופה הדרומית בשטח תחנת מעבר פסולת בסמוך לעמוד מע 5889
2.הליך היתר עם בקשה לשימוש חורג 
3.עי חחי לתאם ולקבל אישור מנת"י ומתכנני תת"ל למיקום.
4.חחי תעביר תוכנית הסדרים למעבר תוואי תת קרקעי להתיחסות העירייה
17.5בוצעה מדידה וכעת  בשרטוט
לאחר מדידה יהיה ניתן לקדם העמדה, סימולציה דרך גישה, דוח יועץ קרקע ובקשה לתיק מידע
17.5בבדיקה מול ניהול הרשת, בנצי, לגבי מועד חשמול נדרש/התחייבויות מול הלקוחות- הגענו למועד שהתחייבנו מול לקוחות. סיום רישוי , תכנון וביצוע יציאות מ"ג חצי שנה עד שמונה חודשים מיום הגשת ת"א
סימולצית תמרון הכנסת ניידות- מסתמן קושי בפניות 
עדכון 25.5- טרם התקבלה מפת מדידה</t>
  </si>
  <si>
    <t xml:space="preserve">ב 31.5.26 התקיימה ישיבה עם עייריית חולון:
מהנדסת העיר ציינה שלא ניתן לעמוד בלוז היתר שהצגנו (קבלת היתר ב 30/9). ומבקשת לפעול דרך רשות רישוי ארצית.
סוכם כי יש להקים בקשה לתיק מידע (ב 4.6.26)ולאח מכן לבחון לו"ז לקבלת היתר.
נת"י ורמ"י יכולים לעכב תהליך. 
1.6.26 טרם התקבלה מפת מדידה, הוחלט לנסות לפנות לוועדה להפקת אגרה לתיק מידע עם העמדה על גבי תצ"א ופניה לאישור נת"י במערכת תשיות שלהם </t>
  </si>
  <si>
    <t>4.6 התקבלה מפת מדידה  ובוצע תשלום אגרה 
7.6 תוקם בקשה לתיק מידע  + בקשה במערכת תשתיות של נת"י 
31.5 הוגשה בקשה לרשויות מעבר תוואי מ"ג
עד 14.6 תוגש בקשה לרשויות מעבר תווי עילי מ"ע 
10.6 בוצע סיור בטח עם מתכננים ותובלה. נדרש לפנות 2 מכולות משרדים ועצים וליישר שטח על מנת להציב את הניידות.
לו"ז לקבלת היתר מסתמן חצי שנה - מועד חשמול מסתמן 3/27</t>
  </si>
  <si>
    <t xml:space="preserve">4.6 התקבלה מפת מדידה  ובוצע תשלום אגרה 
31.5 הוגשה בקשה לרשויות מעבר תוואי מ"ג
עד 14.6 תוגש בקשה לרשויות מעבר תווי עילי מ"ע 
9.6 הוגשה בקשה לתיק מידע  + בקשה במערכת תשתיות של נת"י 
10.6 בוצע סיור בשטח עם מתכננים ותובלה. נדרש לפנות 2 מכולות משרדים ועצים וליישר שטח על מנת להציב את הניידות.
לו"ז לקבלת היתר מסתמן חצי שנה - מועד חשמול מסתמן 3/27
עדכון 22.6 - ממתין לקבלת מדידה חדשה וסימולצית תמרון והוצאת הסוסים עדכנית לצורך הצגה לעירייה </t>
  </si>
  <si>
    <t xml:space="preserve">4.6 התקבלה מפת מדידה  ובוצע תשלום אגרה 
31.5 הוגשה בקשה לרשויות מעבר תוואי מ"ג
עד 14.6 תוגש בקשה לרשויות מעבר תווי עילי מ"ע 
9.6 הוגשה בקשה לתיק מידע  + בקשה במערכת תשתיות של נת"י 
10.6 בוצע סיור בשטח עם מתכננים ותובלה. נדרש לפנות 2 מכולות משרדים ועצים וליישר שטח על מנת להציב את הניידות.
לו"ז לקבלת היתר מסתמן חצי שנה - מועד חשמול מסתמן 3/27
עדכון 6.7.26 - התקבלה  היום מדידה חדשה . ממתים לעדכון תוכניות בהתאם, כולל פירוקים  לצורך הצגה לעירייה . טרם התקבל תיק מידע </t>
  </si>
  <si>
    <t xml:space="preserve">4.6 התקבלה מפת מדידה  ובוצע תשלום אגרה 
31.5 הוגשה בקשה לרשויות מעבר תוואי מ"ג
עד 14.6 תוגש בקשה לרשויות מעבר תווי עילי מ"ע 
9.6 הוגשה בקשה לתיק מידע  + בקשה במערכת תשתיות של נת"י 
10.6 בוצע סיור בשטח עם מתכננים ותובלה. נדרש לפנות 2 מכולות משרדים ועצים וליישר שטח על מנת להציב את הניידות.
לו"ז לקבלת היתר מסתמן חצי שנה - מועד חשמול מסתמן 3/27
עדכון 20.7  התקבל תיק מידע (9.7), התקבלה תוכנית פירוקים. נדרש לפנות לעירייה להתייחסות/אישור לפירוקים </t>
  </si>
  <si>
    <t>4.6 התקבלה מפת מדידה  ובוצע תשלום אגרה 
31.5 הוגשה בקשה לרשויות מעבר תוואי מ"ג
עד 14.6 תוגש בקשה לרשויות מעבר תווי עילי מ"ע 
9.6 הוגשה בקשה לתיק מידע  + בקשה במערכת תשתיות של נת"י 
10.6 בוצע סיור בשטח עם מתכננים ותובלה. נדרש לפנות 2 מכולות משרדים ועצים וליישר שטח על מנת להציב את הניידות.
לו"ז לקבלת היתר מסתמן חצי שנה - מועד חשמול מסתמן 3/27
עדכון 20.7  התקבל תיק מידע (9.7), התקבלה תוכנית פירוקים. נדרש לפנות לעירייה להתייחסות/אישור לפירוקים 
עדכון 27.7.26: טרם הוגשה פניה לעירייה. נדרש להעביר חומר לראבוחין לקראת פגישה שלו מול העירייה</t>
  </si>
  <si>
    <t xml:space="preserve">4.6 התקבלה מפת מדידה  ובוצע תשלום אגרה 
31.5 הוגשה בקשה לרשויות מעבר תוואי מ"ג
עד 14.6 תוגש בקשה לרשויות מעבר תווי עילי מ"ע 
9.6 הוגשה בקשה לתיק מידע  + בקשה במערכת תשתיות של נת"י 
10.6 בוצע סיור בשטח עם מתכננים ותובלה. נדרש לפנות 2 מכולות משרדים ועצים וליישר שטח על מנת להציב את הניידות.
לו"ז לקבלת היתר מסתמן חצי שנה - מועד חשמול מסתמן 3/27
9.7 התקבל תיק מידע . התקבלה תוכנית פירוקים. נדרש לפנות לעירייה להתייחסות/אישור לפירוקים 
עדכון 10.8:
4.8 הוגשה תוכנית פינוי אובייקטים  לעירייה לאישור כולל ביצוע - טרם התקבלה התייחסות
נדרש להעביר חומר לראבוחין לקראת פגישה שלו מול העירייה - הועבר חומר לעיון גלי לפני הפצה 
יש לקדם תכנון להיתר </t>
  </si>
  <si>
    <t>4.6 התקבלה מפת מדידה  ובוצע תשלום אגרה 
31.5 הוגשה בקשה לרשויות מעבר תוואי מ"ג
עד 14.6 תוגש בקשה לרשויות מעבר תווי עילי מ"ע 
9.6 הוגשה בקשה לתיק מידע  + בקשה במערכת תשתיות של נת"י 
10.6 בוצע סיור בשטח עם מתכננים ותובלה. נדרש לפנות 2 מכולות משרדים ועצים וליישר שטח על מנת להציב את הניידות.
לו"ז לקבלת היתר מסתמן חצי שנה - מועד חשמול מסתמן 3/27
9.7 התקבל תיק מידע . התקבלה תוכנית פירוקים. נדרש לפנות לעירייה להתייחסות/אישור לפירוקים 
עדכון 17.8:
4.8 הוגשה תוכנית פינוי אובייקטים  לעירייה לאישור כולל ביצוע - טרם התקבלה התייחסות
9.8.26 הועבר חומר לראבוחין לקראת פגישה שלו מול העירייה לקידום הליך היתר ואישור פינוי אוביקטים (מכולות, עצים )
קידום  תכנון להיתר - בטיפול יוגש עד 20.8</t>
  </si>
  <si>
    <t>4.6 התקבלה מפת מדידה  ובוצע תשלום אגרה 
31.5 הוגשה בקשה לרשויות מעבר תוואי מ"ג
עד 14.6 תוגש בקשה לרשויות מעבר תווי עילי מ"ע 
9.6 הוגשה בקשה לתיק מידע  + בקשה במערכת תשתיות של נת"י 
10.6 בוצע סיור בשטח עם מתכננים ותובלה. נדרש לפנות 2 מכולות משרדים ועצים וליישר שטח על מנת להציב את הניידות.
לו"ז לקבלת היתר מסתמן חצי שנה - מועד חשמול מסתמן 3/27
9.7 התקבל תיק מידע . התקבלה תוכנית פירוקים. נדרש לפנות לעירייה להתייחסות/אישור לפירוקים 
עדכון 24.8:
4.8 הוגשה תוכנית פינוי אובייקטים  לעירייה לאישור כולל ביצוע - טרם התקבלה התייחסות
9.8.26 הועבר חומר לראבוחין לקראת פגישה שלו מול העירייה לקידום הליך היתר ואישור פינוי אוביקטים (מכולות, עצים )
19.8 הועבר תכנון להיתר . כעת בשלב מילוי תנאים והכנת גרמושקה. צפי הגשת היתר עד 16.9. 
יש להמשיך בתכנון אזרחי כולל פינוי אובייקטים כאופציה עי חחי. - צפי סיום תכנון 10/26</t>
  </si>
  <si>
    <t>WBD-099</t>
  </si>
  <si>
    <t>ספיר ניידת- תכנון הצבת 2 ניידות</t>
  </si>
  <si>
    <t xml:space="preserve">10.5תיק מידע התקבל , גרמושקה בעבודה
ת"א מ"ע הוגשה. סיום מסעף מסתמן 1/27
מדידה לנחל צפויה להתקבל בימים הקרובים ויחל תכנון אזרחי מפורט 
</t>
  </si>
  <si>
    <t xml:space="preserve">10.5תיק מידע התקבל , גרמושקה בעבודה, בשלב טיפול מילוי תנאים .
ת"א מ"ע הוגשה. סיום מסעף מסתמן 1/27
עדכון 25.5: מדידה לנחל התקבלה. ממתין לדוח הידרולוג.
</t>
  </si>
  <si>
    <t>10.5 התקבל תיק מידע 
2.6 הוגשה בקשה להיתר. בדיקת תנאים מוקדמים עד 24.6
7.6 נערכה ישיבת תאום בין תכנון ניידות לבין תכנון הקבועה. מסתמן קושי בהוצאת הנידות , יש לערוך תיאומים נוספים שת"פ להמשך תכנון מפורט . 
ממתינים לדוח הידרולוג
סיום מסעף מסתמן 1/27</t>
  </si>
  <si>
    <t xml:space="preserve">10.5 התקבל תיק מידע 
2.6 הוגשה בקשה להיתר. בדיקת תנאים מוקדמים עד 24.6
7.6 נערכה ישיבת תאום בין תכנון ניידות לבין תכנון הקבועה. מסתמן קושי בהוצאת הנידות , יש לערוך תיאומים נוספים שת"פ להמשך תכנון מפורט . 
עדכון 6.7.26: עדיין ממתינים לדוח הידרולוג, יכול לעכב תכנון אזרחי ועליית קבלן לקרקע. תואם ל21.7 סיור עם המועצה לקידום הליך היתר. ממתין להתייחסות פיקוח אזרחי א.פ.ייצור להפעלת קבלן שלהם כולל פיקוח. יתכן וידרש להפעיל קבלן של א.פ.השנאה כדי להימנע ממכרז 
</t>
  </si>
  <si>
    <t xml:space="preserve">10.5 התקבל תיק מידע 
2.6 הוגשה בקשה להיתר. בדיקת תנאים מוקדמים עד 24.6
7.6 נערכה ישיבת תאום בין תכנון ניידות לבין תכנון הקבועה.
עדכון 13.7.26: התקיימה ישיבה עם ירון בנושא סטטוס וסיכונים הקדמת לו"ז עליה לקרקע ב 10.26 הנושא בבדיקה מול כל הגורמים.
 טרם התקבל דוח הדרולוג
</t>
  </si>
  <si>
    <t xml:space="preserve">10.5 התקבל תיק מידע 
2.6 הוגשה בקשה להיתר. בדיקת תנאים מוקדמים עד 24.6
7.6 נערכה ישיבת תאום בין תכנון ניידות לבין תכנון הקבועה.
עדכון 20.7 - נקבע סיור 21.7 עם המועצה לפרויקטים דומים. לטובת קידום הליך היתר. עליה לקרקע ב 10/26 וחשמול 12/26
יח התחמש ציינו כי יש להם מחסור בכ"א ולא יעמדו בתאריך זה אם לא יתוגברו בבודקים 
 טרם התקבל דוח הדרולוג
</t>
  </si>
  <si>
    <t xml:space="preserve">10.5 התקבל תיק מידע 
2.6 הוגשה בקשה להיתר. בדיקת תנאים מוקדמים עד 24.6
7.6 נערכה ישיבת תאום בין תכנון ניידות לבין תכנון הקבועה.
עדכון 27.7 - התקיים סיור 21.7 עם המועצה לפרויקטים דומים. לטובת קידום הליך היתר. עליה לקרקע ב 10/26 וחשמול 12/26- יש נכונות מצידם. צמצמו תנאים.
יח התחמש ציינו כי יש להם מחסור בכ"א ולא יעמדו בתאריך זה אם לא יתוגברו בבודקים 
 טרם התקבל דוח הדרולוג
</t>
  </si>
  <si>
    <t xml:space="preserve">10.5 התקבל תיק מידע 
2.6 הוגשה בקשה להיתר. בדיקת תנאים מוקדמים עד 24.6
7.6 נערכה ישיבת תאום בין תכנון ניידות לבין תכנון הקבועה.
עדכון 27.7 - התקיים סיור 21.7 עם המועצה לפרויקטים דומים. לטובת קידום הליך היתר. עליה לקרקע ב 10/26 וחשמול 12/26- יש נכונות מצידם. צמצמו תנאים.
יח התחמש ציינו כי יש להם מחסור בכ"א ולא יעמדו בתאריך זה אם לא יתוגברו בבודקים 
6.8 התקבל דוח הידרולוג - לא התקבלו הנחיות שמעכבות תכנון אזרחי. צפוי להסתיים ב סוף אוגוסט כולל כ"כ.
צפי הגשת תנאי תכן - 16.8 
</t>
  </si>
  <si>
    <t xml:space="preserve">10.5 התקבל תיק מידע 
2.6 הוגשה בקשה להיתר. בדיקת תנאים מוקדמים עד 24.6
7.6 נערכה ישיבת תאום בין תכנון ניידות לבין תכנון הקבועה.
21.7 סיור עם המועצה לפרויקטים דומים. לטובת קידום הליך היתר.
יח התחמש ציינו כי יש להם מחסור בכ"א ולא יעמדו בתאריך זה אם לא יתוגברו בבודקים 
6.8 התקבל דוח הידרולוג - לא התקבלו הנחיות שמעכבות תכנון אזרחי. צפוי להסתיים ב סוף אוגוסט כולל כ"כ.
13.8 הוגשה בקשה במע תשתיות לאומיות 
16.8 הוגשו תנאי תכן
</t>
  </si>
  <si>
    <t xml:space="preserve">10.5 התקבל תיק מידע 
2.6 הוגשה בקשה להיתר. בדיקת תנאים מוקדמים עד 24.6
7.6 נערכה ישיבת תאום בין תכנון ניידות לבין תכנון הקבועה.
21.7 סיור עם המועצה לפרויקטים דומים. לטובת קידום הליך היתר.
יח התחמש ציינו כי יש להם מחסור בכ"א ולא יעמדו בתאריך זה אם לא יתוגברו בבודקים 
6.8 התקבל דוח הידרולוג - לא התקבלו הנחיות שמעכבות תכנון אזרחי. צפוי להסתיים ב סוף אוגוסט כולל כ"כ.
6.8 יצאה הזמנה לחיזור זמני 160 אמפר 
13.8 הוגשה בקשה במע תשתיות לאומיות 
16.8 הוגשו תנאי תכן
עדכון 24.8:
המועצה לא מאשרת את התכן ללא קבלת הסכם/חכירה חתום מול רמ"י . הנושא בטיפול ומקודם עי נתי דביר . ההסכם כולל את הקבועה. 
צפי העברת חומר אזרחי לבקרת חוזים- 1.9
סיור עם פיקוח תכון וצמן לתיאום סופי בשטח- נקבע ל 9.9
צפי חומר סופי למכרז- 15.9
צפי עליה לקרקע באמצע אוקטובר 
</t>
  </si>
  <si>
    <t>WBE-295</t>
  </si>
  <si>
    <t>נתניה-התקנת שנאי רביעי 161/24 ק"ו , 50 מגוו"א</t>
  </si>
  <si>
    <t>התנעת פרויקט תהיה החודש. הקפאת תצורה ביולי 
הערכות לסיום תכנון עד סוף השנה בהתאם לתוכנית עבודה של התכנון.
עלייה לשטח בQ1 2027</t>
  </si>
  <si>
    <t>בתאריך  27/05/26 התקיימה פגישת התנעה לפרויקט. נקבע סיור המשך התנעה ב 21/06/26</t>
  </si>
  <si>
    <t>היום ה21.6 יערך סיור התנעה של הפרויט בשטח, ואז יותנע תכנון אלק"מ - צפי להוצאת הזמנת לתכנון אזרחי - אוגוסט 26</t>
  </si>
  <si>
    <t>ב21.6 היה סיור בשטח על מנת לוודא ישימות של כלל התכולה. הפרוקיט הותנע, ויחל תכנון אלק"מ - צפי להוצאת הזמנת לתכנון אזרחי - אוגוסט 26</t>
  </si>
  <si>
    <t>הפרוקיט הותנע, והחל תכנון אלק"מ - צפי להוצאת הזמנת לתכנון אזרחי - אוגוסט 26</t>
  </si>
  <si>
    <t>הפרוקיט הותנע, והחל תכנון אלק"מ - צפי להוצאת הזמנת לתכנון אזרחי - אוגוסט 26
בכל מקרה נראה כי לו"ז הפרויקט קצר מההיתכנות בפועל, נקבעה ישיבה ב3.8 לדון בלו"ז ובפתרון גישור אפשרי כדי לדון ב</t>
  </si>
  <si>
    <t>הפרויקט הותנע, והחל תכנון אלק"מ - צפי להוצאת הזמנת לתכנון אזרחי - אוקטובר 26
בכל מקרה נראה כי לו"ז הפרויקט קצר מההיתכנות בפועל, התקיימה ישיבה ב3.8 לדון בלו"ז ובפתרון גישור אפשרי לדחייה, הנ"ל יוצג בישיבת דחיות למנהל האגף.</t>
  </si>
  <si>
    <t>הפרויקט הותנע, והחל תכנון אלק"מ - צפי להוצאת הזמנת לתכנון אזרחי - ספטמבר 26
בפרויקט זה נדרש להחליף מיכל ומשאבה עבור כבוי אש לשנאי 4
תבוצע שיחת תיאום נוספת עם הרכבה חשמלית ותחמ"ש כדי לקצר את זמני הביצוע וכן להיערך לתחילת עבודות החל ממרץ 27 - לאחר מכן לאישור של המחוז</t>
  </si>
  <si>
    <t>WBE-274</t>
  </si>
  <si>
    <t>תל אור - 2 מתקני אגירת אנרגיה בסוללות</t>
  </si>
  <si>
    <t>האתר מוכן לכניסת היזם לעבודה.</t>
  </si>
  <si>
    <t>יזם אל-דור נבחר. האתר מוכן לכניסתו. ב16.8 פגישת התנעה עם הקבלן.
תחילת תכנון החל משבוע הבא והגשתו עד 4 שבועות - כלומר עד אמצע ספטמבר</t>
  </si>
  <si>
    <t>יזם אל-מור נבחר לביצוע הפרויקט.
אתר זה מוכן מבחינת הכשרתו לכניסת היזם.
בוצעה ישיבת התנעה עם היזם וכן הועברו אליו מסמכים נדרשים לתחילת התכנון.
מתוכננות שתי ישיבות עם אלמור להצגת העמדה וסיור באחד האתרים שלהם</t>
  </si>
  <si>
    <t>WBD-087</t>
  </si>
  <si>
    <t>שער שומרון – התקנת תחמ"ש ניידת 20 מגוו"א</t>
  </si>
  <si>
    <t>הניידת חושמלה בהצלחה</t>
  </si>
  <si>
    <t xml:space="preserve">הניידת חושמלה בהצלחה </t>
  </si>
  <si>
    <t>הניידת חושמלה בהצלחה - אין דרישה לטוםס 4 (לא היה היתר). ניתן להוריד מהדו"ח</t>
  </si>
  <si>
    <t>הניידת חושמלה בהצלחה - אין דרישה לטופס  4 (לא היה היתר). ניתן להוריד מהדו"ח</t>
  </si>
  <si>
    <t>הניידת חושמלה בהצלחה / לא נדרש טופס 4 (ללא היתר)</t>
  </si>
  <si>
    <t>WBD-084</t>
  </si>
  <si>
    <t>רמת רחל ניידת- העתקת ניידת</t>
  </si>
  <si>
    <t>10/06/2026 חושמל</t>
  </si>
  <si>
    <t xml:space="preserve">בהמשך לעצירת העבודה של קבלן רת"ק בעקבות תקרית הבטיחות, הקבלן חזר שבוע שעבר לעבודה בשטח הישן- הכבל זוהה ונחתך ואז עבר לשטח החדש גם שם הכבל זוהה והורם. השבוע ביום- יומיים בהקרובים השטח יכוסה ויחולו עבודות השלמת גידור בטון של התחנה - כשבועיים עבודה
במקביל יסיימו את כלל הבדיקות על הניידת, כולל בדיקות על חי עם נגה (עבודות תקשורת לניידת הושלמו בהצלחה) וכן ביצוע סופיות של כבלי מ"ע
הערכות לסיום העבודות עד תחילת יוני </t>
  </si>
  <si>
    <t>סיימו לכסות את שטח החפירה של רת"ק, הוכן פיגום. היום נכס קבלן דורעד להשלמת גדר הבטון
השבוע יבוצע הגדר (כשבועיים), סיום כלל הבדיקות של הניידת והמשך עבודות חשמליות של רת"ק. חשמול הניידת צפוי בשבוע שני של יוני</t>
  </si>
  <si>
    <r>
      <rPr>
        <b/>
        <sz val="12"/>
        <rFont val="Arial"/>
        <family val="2"/>
      </rPr>
      <t xml:space="preserve">שטח ישן: 
</t>
    </r>
    <r>
      <rPr>
        <sz val="12"/>
        <rFont val="Arial"/>
        <family val="2"/>
      </rPr>
      <t xml:space="preserve">1. בעקבות נזילת השמן בקרקע השינה, ממתינים להנחיות טיפול בקרקע ע"י אסדרה סביבתית. ב 28/05/26 התקיימה ישיבה עם מנר"א לצורך היערכות לשחרור השטח עד 30/06/26, כרגע ממתינים לעדכון מהמשרד לאיכות הסביבה להנחיות פינוי השטח, הדבר עלול להתעכב מעבר לזמן הנדרש.
2. נדרש נוהל לקיצור הכבלים מ"ע הקבורים בשטח, הנ"ל מטופל ע"י מח' רת"ק, הם ממתינים להנחיות ויעדכנו כניסה לטיפול בנושא.
</t>
    </r>
    <r>
      <rPr>
        <b/>
        <sz val="12"/>
        <rFont val="Arial"/>
        <family val="2"/>
      </rPr>
      <t xml:space="preserve">
שטח חדש</t>
    </r>
    <r>
      <rPr>
        <sz val="12"/>
        <rFont val="Arial"/>
        <family val="2"/>
      </rPr>
      <t xml:space="preserve">:  הקבלן דורעד מבצע כעת את סיום עבודות חומת בטון וניקוי השטח - 07/06/26 
השבוע יבוצעו בדיקות הארקה. רת"ק בדיקות חשמליות וסופיות עד 07/06/26. צפי חישמול 11/06/26
</t>
    </r>
  </si>
  <si>
    <t xml:space="preserve"> 
שטח ישן: 
1. בעקבות נזילת השמן בקרקע , ביום רביעי ה10.6 יגיעו אסדרה סביביתית יחד עם רת"ק לבצע חפירה ודגימה של הקרקע. לאחר קבלת תשובות אם הקרקע מזוהמת נצטרך לקבל הנחיות לטיפול בקרקע. אם הקרקע נקיה נוכל החזיר אותה בהקדם לקיבוץ בהתאם ללוחות הזמנים.
2. נדרש נוהל לקיצור הכבלים מ"ע הקבורים בשטח, הנ"ל מטופל ע"י מח' רת"ק, הם ממתינים להנחיות ויעדכנו כניסה לטיפול בנושא.
שטח חדש:  הושלמה גדר היקפית, הונחה תשתית הארקות בכל הניידת, היום 8.6 מבוצעת בדיקת הארקות, במידה והכל יהיה תקין נוכל מחר 9.6 לחשמל את הניידת במ"ע (כבל מ"ע מוכן לחשמול)
לאחר החשמול נסיים את כלל העבודות של מ"ג 
טופס 4:
ב 08/07/26 התקבל עדכון של שרונה לטופס 4: 
"בהמשך לפנייתי מטה למחלקת הפקוח בעיריית ירושלים, 
היום התקבל אישור המחלקה כי לא נדרש להוציא תעודת גמר עבור הניידת ברמת רחל" .</t>
  </si>
  <si>
    <t>השטח החדש - 
הניידת חושמלה במ"ע בהצלחה ב9.6 
הניידת חשומלה לכבל הראשון של מ"ג - נדרשים עוד 3 חיבורים של מ"ג - 
הנ"ל יחובר במהלך השבועיים הקרובים.
השטח הישן - החזרתו עד ה30.6
1. ב-10.6 נלקחה דגימה של הקרקע על מנת לבדוק האם הקרקע מוהמת. כרגע הדגימה בבדיקה
נקבל תשובה בשבוע הקרוב. אם הקרקע תקינה - היא תוחזר בזמן 
אם הקרקע מזוהמת - היא תוחזר אך בהתנייה שנסיים את הטיפול בה
טיפול החזרת השטח יבוצע ע"י מנר"א
2. טיפול בנוהל קיצור הכבלים ע"י רת"ק לפני החזרה השטח</t>
  </si>
  <si>
    <t>השטח החדש - 
הניידת חושמלה במ"ע בהצלחה ב9.6 
הניידת חשומלה לכבל הראשון של מ"ג - נדרשים עוד 3 חיבורים של מ"ג - 
הנ"ל יחובר במהלך השבועיים הקרובים.
** כרגע קבלן אורבן וקבלן דורעד מסיימים להחזיר את השטח החיצוני מסביב לתחנה לקדמותו ואז נוכל לסיים את כלל העבודות
השטח הישן - החזרתו עד ה30.6
קיבלנו תוצאות של הדגימה של הקרקע- התוצאות תקינות, נשאר לקבלן אורבן להחזיר את המקום לקדמותו ואז נוכל להחזיר את השטח לפי מועד היעד</t>
  </si>
  <si>
    <r>
      <t>השטח החדש - 
הניידת חושמלה במ"ע בהצלחה ב9.6 
הניידת חשומלה לכבל הראשון של מ"ג - נדרשים עוד 3 חיבורים של מ"ג - 
הנ"ל יחובר במהלך השבועיים הקרובים.
*</t>
    </r>
    <r>
      <rPr>
        <b/>
        <sz val="12"/>
        <rFont val="Arial"/>
        <family val="2"/>
      </rPr>
      <t xml:space="preserve"> קבלן אורבן של מ"ע עדין לא נכנס למחוץ לשטח החדש כדי לשקם אותו, רונן אפריים נדרש לטפל בקיצור של הכבל מ"ע וכן סיום השיקום - הוא עדין לא החזיר תשובה ונדרשת התערבות של מנהל המחלקה. רק אחרי שאורבן יסיימו נוכל לסיים את העבודות של דורעד
</t>
    </r>
    <r>
      <rPr>
        <sz val="12"/>
        <rFont val="Arial"/>
        <family val="2"/>
      </rPr>
      <t>השטח הישן - החזרתו עד ה30.6
קיבלנו תוצאות של הדגימה של הקרקע- התוצאות תקינות, נשאר לקבלן אורבן להחזיר את המקום לקדמותו ואז נוכל להחזיר את השטח לפי מועד היעד</t>
    </r>
  </si>
  <si>
    <t>השטח החדש - 
הניידת חושמלה במ"ע ומ"ג - יצא מכתב של הכנסתה לניצול, וכך  הסתיימו העבודות בשטח הניידת.
כעת עובדים על השטח החיצוני - קבלן אורגן יתקן את המדרכה, קבלן דורעד יסיים לנקות את השטח. עבודה של עוד כשבוע והשטח יהיה מוכן
השטח הישן - השטח הוחזר ב1/07/26 וכבר אינו בבעלות של חברת חשמל</t>
  </si>
  <si>
    <t>השטח החדש - 
הניידת חושמלה במ"ע ומ"ג - יצא מכתב של הכנסתה לניצול, וכך  הסתיימו העבודות בשטח הניידת.
כעת עובדים על השטח החיצוני - קבלן אורבן מתקן את המדרכה במהלך השבוע ואז קבלן דורעד יסיים לנקות את השטח. עבודה של עוד כשבוע והשטח יהיה מוכן
השטח הישן - השטח הוחזר ב1/07/26 וכבר אינו בבעלות של חברת חשמל</t>
  </si>
  <si>
    <t>השטח החדש - 
הניידת חושמלה במ"ע ומ"ג - יצא מכתב של הכנסתה לניצול, וכך  הסתיימו העבודות בשטח הניידת.
כעת עובדים על השטח החיצוני - קבלן אורבן מתקן את המדרכה במהלך השבוע ואז קבלן דורעד יסיים לנקות את השטח. הערכות לסיום סופי עד סוף יולי 
השטח הישן - השטח הוחזר ב1/07/26 וכבר אינו בבעלות של חברת חשמל</t>
  </si>
  <si>
    <t>השטח החדש - 
הניידת חושמלה במ"ע ומ"ג - יצא מכתב של הכנסתה לניצול, וכך  הסתיימו העבודות בשטח הניידת.
קבלן אורבן סיים עם המדרכה , נשאר לקבלן דורעד לתקן מעט את השטח וזהו השטח יהיה מוכן גם מבחוץ
השטח הישן - השטח הוחזר ב1/07/26 וכבר אינו בבעלות של חברת חשמל</t>
  </si>
  <si>
    <t>השטח החדש - הסתיימו כלל העבודות, הניידת חושמלה במ"ע ומ"ג
קיבלנו אישור מהעירייה שאין צורך בטופס 4
השטח הישן - השטח הוחזר ב1/07/26 וכבר אינו בבעלות של חברת חשמל
הפרויקט הסתיים</t>
  </si>
  <si>
    <t>WBE-276</t>
  </si>
  <si>
    <t>קרית שמונה- מתקן אגירת אנרגיה בסוללות</t>
  </si>
  <si>
    <t xml:space="preserve">נבחר קבלן, נערך לעלייה לשטח לקראת תחילת יוני - הערכות לסיום כלל עבודות העתקה עד סוף 26
לידיעה
בחפירות גישוש שבוצעו בתחנה, נמצאה צנרת כבלים. הבינו אחרי בדיקה של פיקוח והתחמ"ש כי הכבלים ישנים וככל הנראה מנותקים אודי יהודה מסכים לאחר בדיקת הכבלים להכניס את הקבלן ולבקש ממנו לפתוח חלק מהכביש כדי להבין את התוואי ולוודא שאין מתח (יעשה בשלב עבודות הקבלן)
</t>
  </si>
  <si>
    <t xml:space="preserve">נבחר קבלן, נערכים לעלייה לשטח החודש - בהתאם להנחיות בעקבות המצב הביטחוני- הערכות לסיום כלל עבודות העתקה עד סוף 26
לידיעה
בחפירות גישוש שבוצעו בתחנה, נמצאה צנרת כבלים. הבינו אחרי בדיקה של פיקוח והתחמ"ש כי הכבלים ישנים וככל הנראה מנותקים אודי יהודה מסכים לאחר בדיקת הכבלים להכניס את הקבלן ולבקש ממנו לפתוח חלק מהכביש כדי להבין את התוואי ולוודא שאין מתח (יעשה בשלב עבודות הקבלן)
</t>
  </si>
  <si>
    <t xml:space="preserve">נבחר קבלן, נערכים לעלייה לשטח בשבוע הבא - הערכות לסיום כלל עבודות העתקה עד סוף 26
לידיעה
בחפירות גישוש שבוצעו בתחנה, נמצאה צנרת כבלים. הבינו אחרי בדיקה של פיקוח והתחמ"ש כי הכבלים ישנים וככל הנראה מנותקים אודי יהודה מסכים לאחר בדיקת הכבלים להכניס את הקבלן ולבקש ממנו לפתוח חלק מהכביש כדי להבין את התוואי ולוודא שאין מתח (יעשה בשלב עבודות הקבלן)
</t>
  </si>
  <si>
    <t xml:space="preserve">נבחר קבלן, נערכים לעלייה לשטח השבוע- הערכות לסיום כלל עבודות העתקה עד סוף 26
לידיעה
בחפירות גישוש שבוצעו בתחנה, נמצאה צנרת כבלים. הבינו אחרי בדיקה של פיקוח והתחמ"ש כי הכבלים ישנים וככל הנראה מנותקים אודי יהודה מסכים לאחר בדיקת הכבלים להכניס את הקבלן ולבקש ממנו לפתוח חלק מהכביש כדי להבין את התוואי ולוודא שאין מתח (יעשה בשלב עבודות הקבלן)
</t>
  </si>
  <si>
    <t xml:space="preserve">עלינו עפ הקבלן לשטח ב14.7 - עבודות אזרחיות כחודש עד סוף אוגוסט
במקביל הרכבה קיבלו תוכניות לביצוע הרכבות - תחילת אוגוסט כחודש - הרכבת הסוללות קבלים בשטח החדש 
החל מעונת ההפסקות - וסיום ההרכבה של הסוללות קבלים החדש בספטמבר - ניתוק סוללות קבלים ישן וחיבור חדש
בסיום חיבור- ניקוי השטח - בערך באוקטובר 
לידיעה
בחפירות גישוש שבוצעו בתחנה, נמצאה צנרת כבלים. הבינו אחרי בדיקה של פיקוח והתחמ"ש כי הכבלים ישנים וככל הנראה מנותקים אודי יהודה מסכים לאחר בדיקת הכבלים להכניס את הקבלן ולבקש ממנו לפתוח חלק מהכביש כדי להבין את התוואי ולוודא שאין מתח (יעשה בשלב עבודות הקבלן)
</t>
  </si>
  <si>
    <t xml:space="preserve">עלינו עם הקבלן לשטח ב14.7 - עבודות אזרחיות כחודש עד סוף אוגוסט
במקביל הרכבה קיבלו תוכניות לביצוע הרכבות - הם יתחילו הרכבות החל מסוף אוגוסט עד סוף ספטמבר. 
לאחר מכן הפסקה ועבודות בדיקה של התחמ"ש
רק לאחר מוכנות חיבור היחידה החדשה נפסיק את היחידה הישנה וננקה את השטח.
הערכות לסיום כלל העבודות - סוף נובמבר
לידיעה
בחפירות גישוש שבוצעו בתחנה, נמצאה צנרת כבלים. הבינו אחרי בדיקה של פיקוח והתחמ"ש כי הכבלים ישנים וככל הנראה מנותקים אודי יהודה מסכים לאחר בדיקת הכבלים להכניס את הקבלן ולבקש ממנו לפתוח חלק מהכביש כדי להבין את התוואי ולוודא שאין מתח (יעשה בשלב עבודות הקבלן)
</t>
  </si>
  <si>
    <t>יזם אל-דור נבחר. האתר מוכן לכניסתו. ב16.8 פגישת התנעה עם הקבלן.
תחילת תכנון החל משבוע הבא והגשתו עד 4 שבועות - כלומר עד אמצע ספטמבר.
במקביל אנו עובדים על פינוי סוללות הקבלים הקיימים בשטח והכשרת השטח עד סוף 2026</t>
  </si>
  <si>
    <t>באתר זה נמצאים בשטח להעתקת סוללות קבלים בשטח האגירה, עד סוף השנה האתר צפוי להיות מוכשר לכניסת היזם מבחינת תשתיות קיימות.
יזם אל-מור נבחר לביצוע הפרויקט.
בוצעה ישיבת התנעה עם היזם וכן הועברו אליו מסמכים נדרשים לתחילת התכנון.
מתוכננות שתי ישיבות עם אלמור להצגת העמדה וסיור באחד האתרים שלהם.</t>
  </si>
  <si>
    <t xml:space="preserve">
בנוסף חשוב להבין כי במהלך עבודות הקבלן אנו נבדוק שוב את הצנרת שנמצאה בתוואי השטח. במידה ובצנרת יימצאו כבלים חיים הדבר יאריך את שלבי הביצוע באופן משמעותי</t>
  </si>
  <si>
    <t>WBD-088</t>
  </si>
  <si>
    <t>קרית ארבע ניידת -  התקנת תחמ"ש ניידת</t>
  </si>
  <si>
    <t>ניידת חושמלה בהצלחה בתאריך 17/5/26</t>
  </si>
  <si>
    <t xml:space="preserve">ניידת חושמלה בהצלחה בתאריך 17/5/26 </t>
  </si>
  <si>
    <t>ניידת חושמלה בהצלחה בתאריך 17/5/26 . לא צריך טופס 4 לא היה היתר. ניתן להוריד מהדו"ח</t>
  </si>
  <si>
    <t xml:space="preserve">ניידת חושמלה בהצלחה בתאריך 17/5/26 . </t>
  </si>
  <si>
    <t>ניידת חושמלה בהצלחה בתאריך 17/5/26  / לא נדרש טופס 4 (ללא היתר)</t>
  </si>
  <si>
    <t>WBE-265</t>
  </si>
  <si>
    <t>קציעות-  2 מתקנים לאגירת אנרגיה בסוללות</t>
  </si>
  <si>
    <t xml:space="preserve">האתר מוכן לכניסת היזם לעבודה. </t>
  </si>
  <si>
    <t>האתר מוכן לכניסת היזם לעבודה. אך בבדיקה של נגה לגבי החלפתו</t>
  </si>
  <si>
    <t>האתר לא ישים ויוחלף לאתרים אחרים - עדין לא התקבל עדכון איזה אתר יוחלף</t>
  </si>
  <si>
    <t>אתר זה ככל הנראה יוחלף בשל אי ישימות לחיבורו למ"ג.
יזם אל-מור נבחר לביצוע הפרויקט.
בוצעה ישיבת התנעה עם היזם וכן הועברו אליו מסמכים נדרשים לתחילת התכנון.
מתוכננות שתי ישיבות עם אלמור להצגת העמדה וסיור באחד האתרים שלהם</t>
  </si>
  <si>
    <t>בבדיקשה של הרשת מול נגה להחלפת האתר</t>
  </si>
  <si>
    <t>WBE-140</t>
  </si>
  <si>
    <t>ערד - 2 מתקנים לאגירת אנרגיה בסוללות</t>
  </si>
  <si>
    <t xml:space="preserve">נפת הנגב טרם נכנסו לביצוע להעתקת כבלי מ"ג באזור האגירה - לפי עדכונם: תכניות הסדר הוגשו היום, לאחר תיקונים, ליועץ מטעם העירייה לאישור.
ברגע שנקבל אישור התכניות יועברו ע"י המהנדסת של העירייה לבדיקת משטרה
ברגע שנקבל אישור משטרה נגיש לעירייה לקבלת היתר לביצוע
נבצע סימון, נזמין סימוני תשתית ונצא לביצוע.
מחדדת, רק לאחר קבלת אישור מהמשטרה על תכנית הסדר תנועה הם יוכלו לתת תאריך עליה לקרקע. כל עוד האישורים ינתנו עד סוף החודש ותחילת עבודות ביוני נוכל לעמוד בלוחות הזמנים.
אחרת אנחנו עלולים להיכנס לזמן בעייתי אל מול היזם שיבחר לאגירה.
</t>
  </si>
  <si>
    <t>היום24/5 ביצוע רשת עידכנו כי ממתינים לאישור של יועץ העירייה על תוכנית הסדרי תנועה,לאחר אישור של היועץ, מהנדסת העיר תעביר את התוכנית המאושרת למשטרה.
לאחר שנקבל את אישור המשטרה, עירית ערד תוכל להוציא אישור חפירה והקבלן יוכל לעלות לשטח. ככל הנראה זמן האישורים יקח עוד כחודש, עלייה לשטח ביולי
זמן העתקה כשלושה חודשים.
סיום עד סוף השנה</t>
  </si>
  <si>
    <t>ממתינים לעדכון- ביצוע רשת , עדין ממתינים לאישור של יועץ העירייה על תוכנית הסדרי תנועה,לאחר אישור של היועץ, מהנדסת העיר תעביר את התוכנית המאושרת למשטרה.
לאחר שנקבל את אישור המשטרה, עירית ערד תוכל להוציא אישור חפירה והקבלן יוכל לעלות לשטח. ככל הנראה זמן האישורים יקח עוד כחודש, עלייה לשטח ביולי
זמן העתקה כשלושה חודשים.
סיום עד סוף השנה</t>
  </si>
  <si>
    <t>עדין אין אישור של עיריית ערד לתוכנית הסדרי תנועה!!!
כרגע אנחנו בעיכוב משמעותי 
הועבר לנווה למצוא דרך לסייע 
רק  לאחר אישור של היועץ, מהנדסת העיר תעביר את התוכנית המאושרת למשטרה.
לאחר שנקבל את אישור המשטרה, עירית ערד תוכל להוציא אישור חפירה והקבלן יוכל לעלות לשטח. ככל הנראה זמן האישורים יקח עוד כחודש, עלייה לשטח ביולי
זמן העתקה כשלושה חודשים.
סיום עד סוף השנה</t>
  </si>
  <si>
    <t>עדין אין אישור של עיריית ערד לתוכנית הסדרי תנועה!!! יש עם העירייה פגישה בשטח היום ה28.6
כרגע אנחנו בעיכוב משמעותי 
לאחר הפגישה נבין כיצד מתקדמים
רק  לאחר אישור של היועץ, מהנדסת העיר תעביר את התוכנית המאושרת למשטרה.
לאחר שנקבל את אישור המשטרה, עירית ערד תוכל להוציא אישור חפירה והקבלן יוכל לעלות לשטח. ככל הנראה זמן האישורים יקח עוד כחודש, עלייה לשטח ביולי
זמן העתקה כשלושה חודשים.
סיום עד סוף השנה</t>
  </si>
  <si>
    <t>עדין אין אישור של עיריית ערד לתוכנית הסדרי תנועה!!! ב28.6 היתה פגישה איתם בשטח והם נתנו עוד הערות לתיקונים. כעת המחוז מבצע את התיקונים ויגיש מחדש
כרגע אנחנו בעיכוב משמעותי 
אני ממתינה לסיום עדכון התוכנית והגשה מחדש בשבוע הקרוב
רק  לאחר אישור של היועץ, מהנדסת העיר תעביר את התוכנית המאושרת למשטרה.
לאחר שנקבל את אישור המשטרה, עירית ערד תוכל להוציא אישור חפירה והקבלן יוכל לעלות לשטח. ככל הנראה זמן האישורים יקח עוד כחודש, עלייה לשטח ביולי
זמן העתקה כשלושה חודשים.
סיום עד סוף השנה</t>
  </si>
  <si>
    <t xml:space="preserve">עדין אין אישור של עיריית ערד לתוכנית הסדרי תנועה!!! ב28.6 היתה פגישה איתם בשטח והם נתנו עוד הערות לתיקונים. כעת המחוז מבצע את התיקונים ויגיש מחדש במהלך השבוע
ברגע שהתוכנית תאושר עי העירייה היא תעבור לאישור המשטרה שגם עלולים לתת הערות לשינוי התוכנית.
כרגע אנחנו בעיכוב משמעותי - ביקשתי מהקבלן המבצע שיתן הערה לביצוע העבודות
</t>
  </si>
  <si>
    <t xml:space="preserve">עדין אין אישור של עיריית ערד לתוכנית הסדרי תנועה!!! כרגע אנחנו בעיכוב משמעותי מהמתוכנן.
היתה פגישה עם העיריה בשטח, הם החליפו יועץ שבדק להם את התוכניות וכל פעם שלח רג'קטים לחברת חשמל
כעת יש יועץ אחר מטעם העיריה שבודק את התוכניות- השבוע במידה ונקבל אוקיי מהעיריה נעביר את התוכנית לאישור המשטרה
רק לאחר אישור המשטרה נוכל לעלות לשטח
יש לשים לב כי עבודות ביצוע העתקה הם כחצי שנה, ז"א לפחות עד פברואר 27 (כרגע זה מסתדר מבחינת כניסת היזם, הוא לא יכנס לשחט לפני יוני 27)
</t>
  </si>
  <si>
    <t xml:space="preserve">עדין אין אישור של עיריית ערד לתוכנית הסדרי תנועה!!! כרגע אנחנו בעיכוב משמעותי מהמתוכנן.
היתה פגישה עם העיריה בשטח, הם החליפו יועץ שבדק להם את התוכניות וכל פעם שלח רג'קטים לחברת חשמל
כעת יש יועץ אחר מטעם העיריה שבודק את התוכניות- השבוע במידה ונקבל אוקיי מהעיריה נעביר את התוכנית לאישור המשטרה
רק לאחר אישור המשטרה נוכל לעלות לשטח
יש לשים לב כי עבודות ביצוע העתקה הם כחצי שנה, ז"א לפחות עד פברואר 27 (כרגע זה מסתדר מבחינת כניסת היזם, הוא לא יכנס לשטח לפני יוני 27)
</t>
  </si>
  <si>
    <t>נמצא פיתרון חלופי אשר מאפשר הפרדה בין העבודות, ביצוע מרחב נגב התחילו לבצע את העבודה.</t>
  </si>
  <si>
    <t>WBE-275</t>
  </si>
  <si>
    <t>עין חרוד - מתקן אגירת אנרגיה בסוללות</t>
  </si>
  <si>
    <t>יזם אל-דור נבחר. האתר מוכן לכניסתו. ב16.8 פגישת התנעה עם הקבלן.</t>
  </si>
  <si>
    <t>WBE-268</t>
  </si>
  <si>
    <t>נחל שחורת- מתקן אגירת אנרגיה בסוללות</t>
  </si>
  <si>
    <t xml:space="preserve">האתר מוכן לכניסת היזם לעבודה.
במקביל אנו מבצעים התאמת שדות מ"ג עבור האגירה (אין מניעה לכניסה היזם לאתר) - נדרש עדכון תכנון חשמלי ואז סיום עבודות הרכבה חשמלית ותחמ"ש </t>
  </si>
  <si>
    <t>האתר מוכן לכניסת היזם לעבודה.
במקביל אנו מבצעים התאמת שדות מ"ג עבור האגירה (אין מניעה לכניסה היזם לאתר) - אין צורך בעדכון תוכנית, נשארה מעט עבודה של הרכבה חשמלית הם יכנסו לפי עדיפות</t>
  </si>
  <si>
    <t>WBD-054</t>
  </si>
  <si>
    <t>חצבה (ספיר) ניידת-תחמ"ש ניידת 161/36 ק"ו</t>
  </si>
  <si>
    <t xml:space="preserve">הניידת חושמלה בהצלחה.
הועברו טפסים לשרונה לצורך הגשה למועצבה וקבלת טופס 4 </t>
  </si>
  <si>
    <t xml:space="preserve">הניידת חושמלה בהצלחה.
הועברו טפסים לשרונה לצורך הגשה למועצבה וקבלת טופס 4  </t>
  </si>
  <si>
    <t>WBD-100</t>
  </si>
  <si>
    <t>בית הגדי ניידת- הצבת תחמ"ש ניידת</t>
  </si>
  <si>
    <t>חושמל 30/08/2025</t>
  </si>
  <si>
    <t>הניידת חושמלה בהצלחה.
הועברו טפסים לשרונה לצורך הגשה למועצבה וקבלת טופס 4 במידה ונדרש</t>
  </si>
  <si>
    <t>WBE-139</t>
  </si>
  <si>
    <t>ב"ש מערב -מתקן אגירת אנרגיה בסוללות</t>
  </si>
  <si>
    <t>שטח האגירה מפונה. אבל נדרש להוסיף שדה מ"ג לצורך חיבור המתקן- הקבלן נכנס לעבודות ב13.4 עד יוני ואז תתואם המשך העבודה עם הרכבה</t>
  </si>
  <si>
    <t>שטח האגירה מפונה. אבל נדרש להוסיף שדה מ"ג לצורך חיבור המתקן- הקבלן יסיים את עבודתו בימים הקרובים, ביום שלישי 9.6 נקבע סיור בשטח כדי להכניס את הרכבה להניח את הציוד על הבסיסים, הקבלן יסיים את העבודות והרכבה חשמלית יסיימו הרכבות עד סוף השנה</t>
  </si>
  <si>
    <t>שטח האגירה מפונה. אבל נדרש להוסיף שדה מ"ג לצורך חיבור המתקן- הקבלן יסיים את עבודתו בימים הקרובים, ב- 9.6 נקבע סיור בשטח כסוכם כי:
יום חמישי 18/06 – פריקת ציוד בתחמ"ש [הרכבה חשמלית]
יום ראשון 21/06 – הרכבת הציוד בשדה. [הרכבה חשמלית]
ימים שני – שלישי 22-23/06 – גמר עבודות קבלן. [עבודות אזרחיות]
סיום עבודות הרכבה בהתאם ללו"ז עבודות מול התחמ"ש והרכבה. ההרכבות הקרטיות יבוצעו החודש</t>
  </si>
  <si>
    <t xml:space="preserve">שטח האגירה מפונה. הסתיימו העבודות האזרחיות להטספת השדה עבור האגירה כולל התקנת ציוד ראשוני- הרכבה חשמלית תמסיך להרכיב את הציוד עד סוף השנה.
האתר מוכן לכניסת היזם </t>
  </si>
  <si>
    <t xml:space="preserve">שטח האגירה מפונה. הסתיימו העבודות האזרחיות להוספת השדה עבור האגירה כולל התקנת ציוד ראשוני- הרכבה חשמלית משיך להרכיב את הציוד עד סוף השנה.
האתר מוכן לכניסת היזם </t>
  </si>
  <si>
    <t xml:space="preserve">שטח האגירה מפונה. הסתיימו העבודות האזרחיות להוספת השדה עבור האגירה כולל התקנת ציוד ראשוני- הרכבה חשמלית ממשיך להרכיב את הציוד עד סוף השנה.
האתר מוכן לכניסת היזם </t>
  </si>
  <si>
    <t>יזם אל-דור נבחר. האתר מוכן לכניסתו. ב16.8 פגישת התנעה עם הקבלן.
תחילת תכנון החל משבוע הבא והגשתו עד 4 שבועות - כלומר עד אמצע ספטמבר.</t>
  </si>
  <si>
    <t>WBE-164</t>
  </si>
  <si>
    <t>קישון -שדרוג תחמ"ש והחלפת שנאים 521, 522</t>
  </si>
  <si>
    <t>בשלב תכנון להיתר
הפרויקט בבחינת נחיצות ברמת מנהל אגף</t>
  </si>
  <si>
    <t>WBE-145</t>
  </si>
  <si>
    <t>קישון - החלפת שנאים  524, 523</t>
  </si>
  <si>
    <t>צפי מילוי שמן שנאי 524 -נדחה לזמן  ההפסקה שמתוכננת ב- 07.2026
הרכבה חשמלית החלה בעבודה
קבלן כבלים החל בעבודה</t>
  </si>
  <si>
    <t>בעבודה של הרכבה חשמלית 
קבלן כבלים החל בעבודה</t>
  </si>
  <si>
    <t>בעבודה של הרכבה חשמלית 
קבלן כבלים ממשיךבעבודה</t>
  </si>
  <si>
    <t>צפי כניסת מבדקה - 01.07.2026
צפי הפסקת שנאי 524 - אוגוסט 2026</t>
  </si>
  <si>
    <t>מסירת מסדר אפס של שנאי 524 - ב 01.07.2026
מבדקה - 01.07.2026
צפי הפסקת שנאי 524 - אוגוסט 2026</t>
  </si>
  <si>
    <t>מסירת מסדר אפס של שנאי 524 - ב 08.07.2026
מבדקה החלה בבדיקות מכולה 24 ב- 01.07.2026
צפי הפסקת שנאי 524 - אוגוסט 2026</t>
  </si>
  <si>
    <t xml:space="preserve"> מסדר אפס של שנאי 524 - נמסר ב 08.07.2026
מבדקה החלה בבדיקות מכולה 24 ומסדר אפס 524
צפי הפסקת שנאי 524 - אוגוסט 2026</t>
  </si>
  <si>
    <t xml:space="preserve"> מסדר אפס של שנאי 524 - נמסר ב 08.07.2026
מבדקה החלה בבדיקות מכולה 24 ומסדר אפס 524
צפי אספקת שנאי 524 - 18/8/26</t>
  </si>
  <si>
    <t>מתח יתר ב- 9/8/26 
צפי הספקת שנאי 524 - 18/8/26</t>
  </si>
  <si>
    <t>מתח יתר ב- 9/8/26 - עבר בהצלחה
נקבעה הפסקת שנאי 524 - 17/8/26</t>
  </si>
  <si>
    <t>היום 17.08.2026 חל הפסקת שנאי 524 לצורך החלפתו.</t>
  </si>
  <si>
    <t>ב 17.08.2026 החל ההפסקת שנאי 524 לצורך החלפתו, והחלו עבודות אזרחיות לעיבוי היסוד והקיר אש.</t>
  </si>
  <si>
    <t>WBM-406333
WBM-40534
WBM-40200</t>
  </si>
  <si>
    <t>קישון שדות 11,17,20,25 ומ"ז</t>
  </si>
  <si>
    <t>28/02/2027
31/05/2027
31/12/2026</t>
  </si>
  <si>
    <t>לאור עיכוב ברכש - סיור הקבלנים נדחה ליוני - דבר המעכב אשכול מערכתי זה</t>
  </si>
  <si>
    <t>עיכוב ברכש - סיור הקבלנים נדחה מאפריל ליוני וגם ביוני לא יתקיים -נשלח מייל לעדי שורק כי אם עלית קבלן לשטח לא תעשה עד 1.09.2026 - לא נעמוד ביעד ההפסקה של המחז"ם וביעד הנדרש לפרויקטים התלויים באשכול זה בזבולון</t>
  </si>
  <si>
    <r>
      <rPr>
        <b/>
        <u/>
        <sz val="12"/>
        <rFont val="Arial"/>
        <family val="2"/>
        <scheme val="minor"/>
      </rPr>
      <t>עיכוב ברכש</t>
    </r>
    <r>
      <rPr>
        <sz val="12"/>
        <rFont val="Arial"/>
        <family val="2"/>
        <scheme val="minor"/>
      </rPr>
      <t xml:space="preserve"> - סיור הקבלנים נדחה מאפריל ליוני וגם ביוני נדחה  -מנהל הפרויקט מתריע כי אם עלית קבלן לשטח לא תעשה עד 1.09.2026 - לא נעמוד ביעד ההפסקה של המחז"ם וביעד הנדרש לפרויקטים התלויים באשכול זה בזבולון</t>
    </r>
  </si>
  <si>
    <t>סוכם עם אילנית מבקרת חוזים ורכש כי קבלן יחל לעבוד בשטח ב 1.09.2026</t>
  </si>
  <si>
    <t>סיור קבלים נקבע  ל 23.07.2026
הרכבה החלה בפירוקים</t>
  </si>
  <si>
    <t>סיור קבלים נקבע  ל 27.07.2026
הרכבה החלה בפירוקים</t>
  </si>
  <si>
    <t>התקיים סיור קבלנים ב27/7/26 צפי עליה לקרקע 9/26</t>
  </si>
  <si>
    <t>התקיים סיור קבלנים ב27/7/26 צפי עליה לקרקע 9/26 , לדברי מנהל יח' תחמש צפון אוסר כניסה למסדר 161 קו עד לשדרוג הפס צבירה דבר זה יעכב את הפרויקט.</t>
  </si>
  <si>
    <t>התקיים סיור קבלנים ב27/7/26 - מחכים להודעה על קבלן זוכה
צפי עליה לקרקע 9/26 , 
לדברי מנהל יח' תחמש צפון אוסר כניסה למסדר 161 קו עד לשדרוג הפס צבירה דבר זה יעכב את הפרויקט.</t>
  </si>
  <si>
    <t>נבחר קבלן. צפי עליה לקרקע ספטמבר 2026</t>
  </si>
  <si>
    <t>צפת -התקנת שנאי רביעי 161/24 ק"ו, 50 מגוו"א</t>
  </si>
  <si>
    <t xml:space="preserve"> RFT סופי נשלח  לבקרת חוזים ב 14.05.2026.
נערך סיור בתחנה להצגת הפרויקטים באשכול ולבחינת מיקום להתקנת ניידת.
ב 17.05.2026 תערך ישיבה להחלטה על מיקום בו תותתקן ניידת. </t>
  </si>
  <si>
    <t xml:space="preserve"> RFT סופי נשלח  לבקרת חוזים ב 14.05.2026.
נערך סיור בתחנה להצגת הפרויקטים באשכול ולבחינת מיקום להתקנת ניידת.
מחכים  להחלטה על האם תותתקן ניידת. </t>
  </si>
  <si>
    <t>מחכים  להחלטה האם תותתקן ניידת.
כמו כן מחכים לקבלת עדיפות ביצוע בין הפרויקטים המערכתיים באשכול</t>
  </si>
  <si>
    <t>מחכים  להחלטה האם תותתקן ניידת.
פרויקטי האשכול הועברו לטיפול הרכש.</t>
  </si>
  <si>
    <t>מחכים  להחלטה האם תותתקן ניידת.
פרויקטי האשכול הועברו לטיפול הרכש.
סיור קבלנים נקבע ל 07.07.2026</t>
  </si>
  <si>
    <t>הוחלט לא להתקין ניידת.
סיור קבלנים בוצע ב 07.07.2026 מחכים לבחירת קבלן לאשכול</t>
  </si>
  <si>
    <t xml:space="preserve">סיור קבלים נערך ב 07.07.2026
לאור אי מתן הפסקות - שדרוג שדה 3 (מערכתי) נדחה לאביב 2027
</t>
  </si>
  <si>
    <t xml:space="preserve">סיור קבלים נערך ב 07.07.2026
לאור אי מתן הפסקות - שדרוג שדה 3 (מערכתי) נדחה לאביב 2027 .התקבלה הודעה על קבלן זוכה, צפי עליה לקרקע 9.26
</t>
  </si>
  <si>
    <t>סיור קבלים נערך ב 07.07.2026
לאור אי מתן הפסקות - שדרוג שדה 3 (מערכתי) נדחה לאביב 2027 .התקבלה הודעה על קבלן זוכה, צפי עליה לקרקע 9.26
תוכניות לביצוע מתוכננות להתקבל בפעימות  הדבר לא מוסכם על מיה פישלר נדרש להגיע להסכמה על מנת לא לעכב עליית קבלן</t>
  </si>
  <si>
    <t>סיור קבלים נערך ב 07.07.2026.התקבלה הודעה על קבלן זוכה, צפי עליה לקרקע 9.26
תוכניות לביצוע מתוכננות להתקבל בפעימות   - חבילה ראשונה תתקבל עד 24.08.2026 לצורך תחילת עבודת הקבלן</t>
  </si>
  <si>
    <t>בחר קבלן. צפי עליה לקרקע ספטמבר 2026</t>
  </si>
  <si>
    <t>WBE-195</t>
  </si>
  <si>
    <t>עתלית- התקנת שנאי שלישי (524) 161/24 ק"ו, 50 מגוו"א</t>
  </si>
  <si>
    <t>קיים עיכוב של חודשיים בתאריך אספקת מסדר מ"ג - מחכים להחלטת החטיבה לתיאום הלו"ז.
צפי הפצת RFT ראשוני 30/05/2026</t>
  </si>
  <si>
    <t>כתב כמויות הסתיים ומחכים להפצת RFT ראשוני</t>
  </si>
  <si>
    <t>RFT ראשוני הופץ ב 07/06/2026
ישיבת DR נקבעה ל 23/06/2026</t>
  </si>
  <si>
    <t xml:space="preserve">ישיבת DR נקבעה ל 23/06/2026
</t>
  </si>
  <si>
    <t>ישיבת DR נדחתה ל 28/06/2026 לאור יום גיבוש הרכבה + חופשות מתכננים</t>
  </si>
  <si>
    <t>RFT סופי הופץ ב 29.06.2026</t>
  </si>
  <si>
    <t>מחכים לסיור קבלנים RFT סופי הופץ ב 29.06.2026</t>
  </si>
  <si>
    <t>נקבע סיור קבלנים לתאריך 6/8/26
 RFT סופי הופץ ב 29.06.2026</t>
  </si>
  <si>
    <t>התקיים סיור קבלנים צפי עלייה לקרקע 11/26
 RFT סופי הופץ ב 29.06.2026</t>
  </si>
  <si>
    <t xml:space="preserve">התקיים סיור קבלנים ב06/8/26 - מחכים להודעה על קבלן זוכה
צפי עליה לקרקע 11/26 , 
</t>
  </si>
  <si>
    <t xml:space="preserve">התקיים סיור קבלנים ב06/8/26 - מחכים להודעה על קבלן זוכה
צפי עליה לקרקע 11/26 , </t>
  </si>
  <si>
    <t>WBE-141</t>
  </si>
  <si>
    <t>פארן - מתקן אגירת אנרגיה בסוללות</t>
  </si>
  <si>
    <t>חושמל 30/10/2024</t>
  </si>
  <si>
    <t>בטיפול לקבלת טופס 4 
לפני הכנסה לניצול - קיימת תקלה נדרש להחליף שנאי התקיים סיור 28/4
בתאום מול אפקון להחלפת השנאי - באחריות יח' תחמ"ש</t>
  </si>
  <si>
    <t>קבלת טופס 4 - אושר נמצא בחתימות
לפני הכנסה לניצול - קיימת תקלה נדרש להחליף שנאי התקיים סיור 28/4
בתאום מול אפקון להחלפת השנאי - באחריות יח' תחמ"ש</t>
  </si>
  <si>
    <t>תעודת גמר (טופס 4) התקבל ב-07/06/2026</t>
  </si>
  <si>
    <t>תעודת גמר (טופס 4) התקבל ב-07/06/2026
נדרש לצבוע מכולות בהתאם לדרישת המועצה - גוון חום . הועבר לטיפול הרכש</t>
  </si>
  <si>
    <t xml:space="preserve">תעודת גמר (טופס 4) התקבל ב-07/06/2026
נדרש לצבוע מכולות בהתאם לדרישת המועצה - גוון חום . בטיפול מול הרכש/פ. מכרזים
הוחלף שנאי תקול.
בטיפול מול אפקון להשלמת ציוד תקשורת 
לDATA שנלקחה מהאתרים הוזמנו 16 יחידות חדשות – MC-Cubes </t>
  </si>
  <si>
    <t>WBE-134</t>
  </si>
  <si>
    <t>נתיבות - התקנת מתקן אגירת אנרגיה</t>
  </si>
  <si>
    <t>חושמל 30/12/2024</t>
  </si>
  <si>
    <t>בטיפול לקבלת טופס 4 
לפני הכנסה לניצול - תקלות טופלו בהרצה לפני חשמול- באחריות יח' תחמ"ש</t>
  </si>
  <si>
    <t xml:space="preserve">בטיפול לקבלת טופס 4 -הועבר למפקח הוועדה יושלם תוך שבועיים
לפני הכנסה לניצול - תקלות טופלו בהרצה לפני חשמול- באחריות יח' תחמ"ש
</t>
  </si>
  <si>
    <t xml:space="preserve">בטיפול לקבלת טופס 4 -הועבר למפקח הוועדה בבדיקת סטטוס מול הוועדה
לפני הכנסה לניצול - תקלות טופלו בהרצה לפני חשמול- באחריות יח' תחמ"ש
</t>
  </si>
  <si>
    <t xml:space="preserve">בטיפול לקבלת טופס 4 -הועבר למפקח הוועדה בבדיקת סטטוס מול הוועדה
תקלות טופלו בהרצה לפני חשמול- באחריות יח' תחמ"ש
</t>
  </si>
  <si>
    <t>WBM-00289</t>
  </si>
  <si>
    <t>כפר סבא-התקנת 3 ס"ק 5*2 מגווא"ר כ"א</t>
  </si>
  <si>
    <t>הפרויקט לא הועבר בצורה רישמית למנהפ. אין עדיין תכנון , נדרש לצאת לתהליך קבלת היתר</t>
  </si>
  <si>
    <t>הפרויקט לא הועבר בצורה רישמית למנהפ. אין עדיין תכנון , 
נדרש תהליך סטטטורי עבור התקנת סוללות קבלים - יש לקדם תהליך קבלת היתר</t>
  </si>
  <si>
    <t xml:space="preserve">הפרויקט לא הועבר בצורה רישמית למנהפ. אין עדיין תכנון , 
נדרש תהליך סטטטורי עבור התקנת סוללות קבלים - יש לקדם תהליך קבלת היתר
מבירור התכנון טרם החל בתהליך  לקבלת היתר!
</t>
  </si>
  <si>
    <t xml:space="preserve">הפרויקט לא הועבר בצורה רישמית למנהפ. אין עדיין תכנון , 
נדרש תהליך סטטטורי עבור התקנת סוללות קבלים - יש לקדם תהליך קבלת היתר
מבירור התכנון טרם החל בתהליך  לקבלת היתר! , נדרש לקדם 
</t>
  </si>
  <si>
    <t>WBE-182</t>
  </si>
  <si>
    <t>כפר סבא-הרחבת מסדר 161 ק"ו והתקנת שנאי רביעי 161/24 ק"ו  50 מגוו"א</t>
  </si>
  <si>
    <t xml:space="preserve">  שנאי הועבר לתחמ"ש ב 18/2
חזרה לעבודות הרכבה החל מיום א' 3/5/2026
הרכבה לא עובדים ברצף בגלל תעדוף פרויקטים
חזרו השבוע 17/5 תאמנו מילוי שמן לשנאי 31/5
מקדמים את התקנת הציוד
עדכון ממח' ציוד - מסדר מ"ע יגיע בתחילת חודש 8/2026
(אספקה בשתי פעימות הראשונה 8/26)</t>
  </si>
  <si>
    <t xml:space="preserve">  שנאי הועבר לתחמ"ש ב 18/2
חזרה לעבודות הרכבה החל מיום א' 3/5/2026
הרכבה לא עובדים ברצף בגלל תעדוף פרויקטים
חזרו השבוע 17/5 תאמנו מילוי שמן לשנאי 31/5
מבקש מהרכבה חשמלית לעדכן אם יש עיכוב מבחינת מוכנות למילוי שמן
עדכון ממח' ציוד - מסדר מ"ע יגיע בתחילת חודש 8/2026
(אספקה בשתי פעימות הראשונה 8/26)</t>
  </si>
  <si>
    <t xml:space="preserve">  שנאי הועבר לתחמ"ש ב 18/2
חזרה לעבודות הרכבה החל מיום א' 3/5/2026
הרכבה עצרו את העבודה אין משגיח בגלל תעדוף פרויקטים
נדרש לבצע מילוי שמן לשנאי , הרכבת מסדר 24 ק"ו ישנן עבודות שניתן לקדם עד להגעת מסדר מ"ע בתחילת חודש 8/26 , תוכנן חשמול 10/26
מבקש להקצות משגיח באופן קבוע!
עדכון ממח' ציוד - מסדר מ"ע יגיע בתחילת חודש 8/2026
(אספקה בשתי פעימות הראשונה 8/26)</t>
  </si>
  <si>
    <t xml:space="preserve">  שנאי הועבר לתחמ"ש ב 18/2
חזרה לעבודות הרכבה החל מיום א' 3/5/2026
הרכבה עצרו את העבודה אין משגיח בגלל תעדוף פרויקטים
נדרש לבצע מילוי שמן לשנאי , הרכבת מסדר 24 ק"ו ישנן עבודות שניתן לקדם עד להגעת מסדר מ"ע בתחילת חודש 8/26 , תוכנן חשמול 10/26
נדרשת הוספת מערכת גילוי וכיבוי אש בתא שנאי נוסף
מבקש להקצות משגיח באופן קבוע!
עדכון ממח' ציוד - מסדר מ"ע יגיע בתחילת חודש 8/2026
(אספקה בשתי פעימות הראשונה 8/26)</t>
  </si>
  <si>
    <t xml:space="preserve">עבודות שמן בשנאי יחלו ב-21/06/2026. השגחות יהוי רק לטיפול בשנאי בלבד.עיכוב משמעותי ביעד אספקת מסדרי מ"ע. טרם התקבל התייחסות למועד הגעת הציוד מהספק (מחלקת ציוד). </t>
  </si>
  <si>
    <t xml:space="preserve">עבודות שמן בשנאי החלו ב-21/06/2026. השגחות יהוי רק לטיפול בשנאי בלבד.
לאחר מכן סוכם עם יובל נויהוז הרכבה חשמלית ימשיכו בהתקנת ציוד בהשגחה עצמאית
עיכוב משמעותי ביעד אספקת מסדרי מ"ע. טרם התקבלו תאריכי יעד מבהספק! (מחלקת ציוד). </t>
  </si>
  <si>
    <t>עבודות שמן בשנאי הסתיימו - תקלה במצוף יוחלף ויושלם מילוי שמן , 
סוכם עם יובל בשלב זה הרכבה חשמלית תבצע השגחה עצמית לעבודות הכנסה והרכבת מסדר 24 ק"ו.
עיכוב משמעותי ביעד אספקת מסדרי מ"ע. טרם התקבלו תאריכי יעד מבהספק! (מחלקת ציוד). 
כרגע מדובר על אספקה בשתי פעימות הראשונה 1/8 , והשניה בחודש 11/26 לא נאמר מה מגיע במשלוח הראשון!
לו"ז הוצג לסמנכ"ל עם דחייה לחשמול בחודש 4/2027</t>
  </si>
  <si>
    <r>
      <t xml:space="preserve">עבודות שמן בשנאי הסתיימו - תקלה במצוף יוחלף ויושלם מילוי שמן , 
סוכם עם יובל בשלב זה הרכבה חשמלית תבצע השגחה עצמית לעבודות הכנסה והרכבת מסדר 24 ק"ו.
</t>
    </r>
    <r>
      <rPr>
        <b/>
        <sz val="12"/>
        <rFont val="Arial"/>
        <family val="2"/>
        <scheme val="minor"/>
      </rPr>
      <t>הרכבה חשמלית סיימו 5/7 את עבודות הצמדת המסדר כעת לפני הנחת כבלים לא ניתן לבצע בהשגחה עצמית אין משגיח!</t>
    </r>
    <r>
      <rPr>
        <sz val="12"/>
        <rFont val="Arial"/>
        <family val="2"/>
        <charset val="177"/>
        <scheme val="minor"/>
      </rPr>
      <t xml:space="preserve">
עיכוב משמעותי ביעד אספקת מסדרי מ"ע. טרם התקבלו תאריכי יעד מבהספק! (מחלקת ציוד). 
כרגע מדובר על אספקה בשתי פעימות הראשונה 1/8 , והשניה בחודש 11/26 לא נאמר מה מגיע במשלוח הראשון!
לו"ז הוצג לסמנכ"ל עם דחייה לחשמול בחודש 3/2027
בישיבת סטטוס 6/7 בראשותו של מנהל האגף יש להוסיף בנ"מ - סיום פרויקט סוף 5/2027</t>
    </r>
  </si>
  <si>
    <t>עבודות שמן בשנאי הסתיימו - תקלה במצוף יוחלף ויושלם מילוי שמן , 
סוכם עם יובל בשלב זה הרכבה חשמלית תבצע השגחה עצמית לעבודות הכנסה והרכבת מסדר 24 ק"ו.
הרכבה חשמלית סיימו 5/7 את עבודות הצמדת המסדר כעת לפני הנחת כבלים לא ניתן לבצע בהשגחה עצמית אין משגיח!
עיכוב משמעותי ביעד אספקת מסדרי מ"ע. טרם התקבלו תאריכי יעד מבהספק! (מחלקת ציוד). 
כרגע מדובר על אספקה בשתי פעימות הראשונה 1/8 , והשניה בחודש 11/26 לא נאמר מה מגיע במשלוח הראשון!
לו"ז הוצג לסמנכ"ל עם דחייה לחשמול בחודש 3/2027
בישיבת סטטוס 6/7 בראשותו של מנהל האגף יש להוסיף בנ"מ - סיום פרויקט סוף 5/2027</t>
  </si>
  <si>
    <t>עבודות שמן בשנאי הסתיימו - תקלה במצוף תוקן  13/7- הושלם 
 ביקשנו מיובל להקצות משגיח להמשך עבודות הרכבה חשמלחית  הנחת כבלים והרכבת מסדר 24 ק"ו.
הרכבה חשמלית סיימו 5/7 את עבודות הצמדת המסדר כעת לפני הנחת כבלים לא ניתן לבצע בהשגחה עצמית אין משגיח!
עיכוב משמעותי ביעד אספקת מסדרי מ"ע. טרם התקבלו תאריכי יעד מבהספק! (מחלקת ציוד). 
כרגע מדובר על אספקה בשתי פעימות הראשונה 1/8 , והשניה בחודש 11/26 לא נאמר מה מגיע במשלוח הראשון!
לו"ז הוצג לסמנכ"ל עם דחייה לחשמול בחודש 3/2027
בישיבת סטטוס 6/7 בראשותו של מנהל האגף יש להוסיף בנ"מ - סיום פרויקט סוף 5/2027</t>
  </si>
  <si>
    <t>עבודות שמן בשנאי הסתיימו - תקלה במצוף תוקן  13/7- הושלם 
הוקצה משגיח להמשך עבודות הרכבה חשמלחית  הנחת כבלים והרכבת מסדר 24 ק"ו.
 שנאי הורכב, מסדר 24 ק"ו ומסדר אפס הורכבו , מבצעים הנחת כבלים  
עיכוב משמעותי ביעד אספקת מסדרי מ"ע. טרם התקבלו תאריכי יעד מבהספק! (מחלקת ציוד). 
כרגע מדובר על אספקה בשתי פעימות הראשונה 1/8 , והשניה בחודש 11/26 לא נאמר מה מגיע במשלוח הראשון!
לו"ז הוצג לסמנכ"ל עם דחייה לחשמול בחודש 3/2027
בישיבת סטטוס 6/7 בראשותו של מנהל האגף יש להוסיף בנ"מ - כך שסיום הפרויקט בסוף 5/2027</t>
  </si>
  <si>
    <t xml:space="preserve">
הוקצה משגיח להמשך עבודות הרכבה חשמלחית  הנחת כבלים והרכבת מסדר 24 ק"ו.
 שנאי הורכב, מסדר 24 ק"ו ומסדר אפס הורכבו , מבצעים הנחת כבלים מע' SCS 
נדרש לקדם תחילת בדיקות  יח' תחמ"ש ישנה בדגש על מע' SCS 
עיכוב משמעותי ביעד אספקת מסדרי מ"ע. טרם התקבלו תאריכי יעד מבהספק! (עדכון ממחלקת ציוד). 
כרגע מדובר על אספקה בשתי פעימות הראשונה בסוף 8/26 , והשניה בחודש 11/26 לא נאמר מה מגיע במשלוח הראשון!
לו"ז הוצג לסמנכ"ל עם דחייה לחשמול בחודש 3/2027
בישיבת סטטוס 6/7 בראשותו של מנהל האגף יש להוסיף בנ"מ - כך שסיום הפרויקט בסוף 5/2027</t>
  </si>
  <si>
    <t xml:space="preserve">
הוקצה משגיח להמשך עבודות הרכבה חשמלחית  הנחת כבלים והרכבת מסדר 24 ק"ו.
 שנאי הורכב, מסדר 24 ק"ו ומסדר אפס הורכבו , מבצעים הנחת כבלים,  מע' SCS 
נדרש לקדם תחילת בדיקות  יח' תחמ"ש בדגש על שדרוג מע' SCS 
עבודות הרכבה לקראת סיום בחלק הנ"ל, פרט להתקנת מסדרי מ"ע שמתעכבים באספקה לחח"י , לכן בשבוע הבא 23/8 לא תהיה עבודה של הרכבה חשמלית בתחמ"ש
עיכוב משמעותי ביעד אספקת מסדרי מ"ע. טרם התקבלו תאריכי יעד מבהספק! (עדכון ממחלקת ציוד). 
כרגע מדובר על אספקה בשתי פעימות הראשונה בסוף 8/26 , והשניה בחודש 11/26 לא נאמר מה מגיע במשלוח הראשון!
לו"ז הוצג לסמנכ"ל עם דחייה לחשמול בחודש 3/2027
בישיבת סטטוס 6/7 בראשותו של מנהל האגף יש להוסיף בנ"מ - כך שסיום הפרויקט בסוף 5/2027</t>
  </si>
  <si>
    <t xml:space="preserve">
עבודות הרכבה חשמלית הסתיימו (בכל הקשור להרכבת ציוד שנאי ומסדר 24 ק"ו)עד לקבלת מסדר מ"ע צפי לאספקה ראשונה סוף חודש 8/2026 .
 שנאי הורכב, מסדר 24 ק"ו ומסדר אפס הורכבו ,הונחו כבלים, הורכבה מע' SCS 
נדרש לקדם תחילת בדיקות  יח' תחמ"ש בדגש על שדרוג מע' SCS היקף עבודה גדול
החל מתאריך 23/8 לא תהיה עבודה של הרכבה חשמלית בתחמ"ש
עיכוב משמעותי ביעד אספקת מסדרי מ"ע. טרם התקבלו תאריכי יעד מבהספק! (עדכון ממחלקת ציוד). 
כרגע מדובר על אספקה בשתי פעימות הראשונה בסוף 8/26 לא וודאי , והשניה בחודש 11/26 לא נאמר מה מגיע במשלוח הראשון! ---עקב כך יידרש לבחון שוב את לו"ז עם הגעת הציוד
לו"ז הוצג לסמנכ"ל עם דחייה לחשמול בחודש 3/2027
בישיבת סטטוס 6/7 בראשותו של מנהל האגף יש להוסיף בנ"מ - כך שסיום הפרויקט בסוף 5/2027</t>
  </si>
  <si>
    <t>זמורות - הקמת בניין פיקוד ו- 4 מסדרי מ''ג</t>
  </si>
  <si>
    <t xml:space="preserve">בתאריך 15/2 הועבר לאגף רכש לבחירת קבלן.
עדכון ממכרזים (אילנית) לו"ז בחירת קבלן 6/2026
סיור קבלנים תואם 26/5
מבקש לקדם ככל האפשר את שלב בחירת הקבלן
בשל עיכוב בתחילת עבודות קבלן גם אספקת ציוד עודכנה בהתאם
</t>
  </si>
  <si>
    <t xml:space="preserve">בתאריך 15/2 הועבר לאגף רכש לבחירת קבלן.
עדכון ממכרזים (אילנית) לו"ז בחירת קבלן 6/2026
סיור קבלנים תואם 26/5
בשלב ראשון רוב העבודות יבוצעו בשטח שמחוץ לתחנה התפעולית אין צורך במשגיח ניתן לעבוד בשעות מתוגברות בהתאם לצורך 
בשל התמשכות תהליך לבחירת קבלן גם אספקת ציוד עודכנה בהתאם
</t>
  </si>
  <si>
    <t xml:space="preserve">בתאריך 15/2 הועבר לאגף רכש לבחירת קבלן.
עדכון ממכרזים (אילנית) לו"ז בחירת קבלן 6/2026
התקיים סיור קבלנים  26/5
בישיבת DR 10/2025 נדרש תכנון מ"ג להתחיל בתהליך העתקת עמודים הנמצאים בסמיכות למבנה החדש שיוקם , בתאום מול מנה"פ תכנון מ"ג להערכתו "יתאפשר רק בעוד כחצי שנה תלוי בגורמי חוץ"!
בשל התמשכות תהליך לבחירת קבלן גם אספקת ציוד עודכנה בהתאם
</t>
  </si>
  <si>
    <t xml:space="preserve">בתאריך 15/2 הועבר לאגף רכש לבחירת קבלן.
עדכון ממכרזים (אילנית) לו"ז בחירת קבלן 6/2026
התקיים סיור קבלנים  26/5
בישיבת DR 10/2025 נדרש תכנון מ"ג להתחיל בתהליך העתקת עמודים הנמצאים בסמיכות למבנה החדש שיוקם , בתאום מול מנה"פ תכנון מ"ג להערכתו "יתאפשר רק בעוד כחצי שנה תלוי בגורמי חוץ"!
בהתאם לכך זומנה ישיבה עם מיכאל מאירזון ותכנון מ"ג לתאום עבודות קבלן ולקידום העתקת העמודים!
בשל התמשכות תהליך לבחירת קבלן גם אספקת ציוד עודכנה בהתאם
</t>
  </si>
  <si>
    <t>הגשת הצעות עד סוף 06/2026 . צפי בחירת קבלן עד 15/07/2026. עיכוב רשת דן וחוף בהעתקת עמודי מ"ג. התקיימו מספר ישיבות עם תכנון רשת , הם מקדמים פרוק תיילים בשלב ראשון בכדי לאפשר תחילת עבודות הקבלן.</t>
  </si>
  <si>
    <t>הגשת הצעות עד סוף 06/2026 .לבקשת הקבלנים אושר דחיה בהגשה עד 6/7/2026 
 צפי בחירת קבלן עד 22/07/2026.
 עיכוב של רשת דן וחוף בהעתקת עמודי מ"ג. (מטופל מול גורמי חוץ...) התקיימו מספר ישיבות עם תכנון רשת מ"ע, הם מקדמים פרוק תיילים בשלב ראשון בכדי לאפשר את תחילת עבודות הקבלן.</t>
  </si>
  <si>
    <t>הגשת הצעות עד סוף 06/2026 .לבקשת הקבלנים אושר דחיה בהגשה עד 6/7/2026 
 צפי בחירת קבלן עד 30/07/2026.
עליית קבלן לקרקע אמצע חודש 8/2026
 עיכוב של רשת דן וחוף בהעתקת עמודי מ"ג. (מטופל מול גורמי חוץ...) התקיימו מספר ישיבות עם תכנון רשת מ"ע, הם מקדמים פרוק תיילים בשלב ראשון בכדי לאפשר את תחילת עבודות הקבלן.</t>
  </si>
  <si>
    <t>הגשת הצעות עד סוף 06/2026 .לבקשת הקבלנים אושר דחיה בהגשה עד 15/7/2026 
 צפי בחירת קבלן תחילת חודש 8/2026.
עליית קבלן לקרקע23/8/2026
 עיכוב של רשת דן וחוף בהעתקת עמודי מ"ג. (מטופל מול גורמי חוץ...) התקיימו מספר ישיבות עם תכנון רשת מ"ע, הם מקדמים פרוק תיילים בשלב ראשון בכדי לאפשר את תחילת עבודות הקבלן.</t>
  </si>
  <si>
    <t>הגשת הצעות עד סוף 06/2026 .לבקשת הקבלנים אושר דחיה בהגשה עד 15/7/2026 
 צפי בחירת קבלן תחילת חודש 8/2026.
עליית קבלן לקרקע23/8/2026
 עיכוב של רשת דן וחוף בהעתקת עמודי מ"ג. (מטופל מול גורמי חוץ...) התקיימו מספר ישיבות עם תכנון רשת מ"ע, הם מקדמים פרוק תיילים בשלב ראשון בכדי לאפשר את תחילת עבודות הקבלן.
צפי סיום העתקת קווי מ"ג אמתע 08/2026</t>
  </si>
  <si>
    <t>פורסם קבלן זוכה -  "אלביליה חנן בע"מ"  סך היקף החוזה 18,976,939.26
לו"ז לביצוע העבודה החל - 23/8/2026
עיכוב של רשת דן וחוף בהעתקת עמודי מ"ג. (מטופל מול גורמי חוץ...) התקיימו מספר ישיבות עם תכנון רשת מ"ע, הם מקדמים פרוק תיילים בשלב ראשון בכדי לאפשר את תחילת עבודות הקבלן.
צפי סיום העתקת קווי מ"ג אמתע 08/2026</t>
  </si>
  <si>
    <t>פורסם קבלן זוכה -  "אלביליה חנן בע"מ"  סך היקף החוזה 18,976,939.26
לו"ז לביצוע העבודה החל - 23/8/2026
הקבלן נדרש לקדם אישור עליה לקרקע - תשתיות לאומיות
עיכוב של רשת דן וחוף בהעתקת עמודי מ"ג. (מטופל מול גורמי חוץ...) התקיימו מספר ישיבות עם תכנון רשת מ"ע, הם מקדמים פרוק תיילים בשלב ראשון בכדי לאפשר את תחילת עבודות הקבלן.
צפי סיום העתקת קווי מ"ג אמתע 08/2026</t>
  </si>
  <si>
    <t xml:space="preserve">פורסם קבלן זוכה -  "אלביליה חנן בע"מ"  סך היקף החוזה 18,976,939.26
לו"ז לביצוע העבודה החל - 23/8/2026 צפי לעיכוב בשל שלב האישורים
הקבלן נדרש לקדם אישור עליה לקרקע - תשתיות לאומיות
הקבלן הגיש ביטוח לאישור 
עיכוב של רשת דן וחוף בהעתקת עמודי מ"ג. (מטופל מול גורמי חוץ...) התקיימו מספר ישיבות עם תכנון רשת מ"ע, 
לאחר חשמול מכולה מ"ג מבצעים כעת את פרוק התיילים ועמודים בשלב ראשון בכדי לאפשר את תחילת עבודות הקבלן. - צפי לסיום כל העבודות עד סוף חודש 8/2026
</t>
  </si>
  <si>
    <t xml:space="preserve">פורסם קבלן זוכה -  "אלביליה חנן בע"מ"  סך היקף החוזה 18,976,939.26
לו"ז לביצוע העבודה החל - 23/8/2026 צפי לעיכוב בשל שלב האישורים
הקבלן נדרש לקדם אישור עליה לקרקע - מול הרשויות
הקבלן הגיש ביטוח לאישור , יש לקדם את אישורי הביטחון עבור עובדי הקבלן
לאחר חשמול מכולה מ"ג מבצעים כעת את פרוק התיילים ועמודים בשלב ראשון בכדי לאפשר את תחילת עבודות הקבלן. - צפי לסיום כל העבודות עד סוף חודש 8/2026
</t>
  </si>
  <si>
    <t>WBE-115</t>
  </si>
  <si>
    <t>זמורות-הוספת שנאי רביעי 524 50 מגוו"א ומסדר מ"ג (מכולה)</t>
  </si>
  <si>
    <r>
      <t xml:space="preserve"> חשמול תוכנן סוף - 4/2026 (בעיכוב -
וועדת חשמול תוכננה 4/3 נידחה בשל המצב הביטחוני).
נותר לבצע חיבור כבלי מ"ג למקשר - תואם מול תחמ"ש
</t>
    </r>
    <r>
      <rPr>
        <b/>
        <sz val="12"/>
        <rFont val="Arial"/>
        <family val="2"/>
        <scheme val="minor"/>
      </rPr>
      <t>בשיחה עם יובל נויהוז 18/5 תואם המשך עבודות 24/5</t>
    </r>
    <r>
      <rPr>
        <sz val="12"/>
        <rFont val="Arial"/>
        <family val="2"/>
        <charset val="177"/>
        <scheme val="minor"/>
      </rPr>
      <t xml:space="preserve"> (הפסקת מקשר...) ובהתאם זימון וועדת חשמול
צפי לחשמול עד סוף חודש 6/2026 (תיתכן הקדמה) 
</t>
    </r>
  </si>
  <si>
    <t xml:space="preserve"> חשמול תוכנן סוף - 4/2026 (בעיכוב -
וועדת חשמול תוכננה 4/3 נידחה בשל המצב הביטחוני).
החל מהיום 24/5 מקשר הופסק לצורך חיבור כבלי מ"ג למקשר - תואם מול תחמ"ש
בסיום העבודות תצא הזמנה לוועדת חשמול
צפי לחשמול עד סוף חודש 6/2026 (תיתכן הקדמה) 
</t>
  </si>
  <si>
    <t xml:space="preserve"> חשמול תוכנן סוף - 4/2026 (בעיכוב -
וועדת חשמול תוכננה 4/3 נידחה בשל המצב הביטחוני).
בוצעה הנחת כבלים 24/5
נותר לבצע גישורים לשנאי 
בסיום העבודות תצא הזמנה לוועדת חשמול
צפי לחשמול עד סוף חודש 6/2026 (תיתכן הקדמה) 
</t>
  </si>
  <si>
    <t xml:space="preserve"> חשמול תוכנן סוף - 4/2026 (בעיכוב -
וועדת חשמול תוכננה 4/3 נידחה בשל המצב הביטחוני).
בוצעה הנחת כבלים 24/5
נותר לבצע גישורים לשנאי 
בסיום העבודות תצא הזמנה לוועדת חשמול - פניתי ליובל כדי שיתאם
צפי לחשמול עד סוף חודש 6/2026 (תיתכן הקדמה) 
</t>
  </si>
  <si>
    <t>טרם נקבע תאריך לוועדת חשמול, יצאה בקשה ליובל לקידום הנושא</t>
  </si>
  <si>
    <t>בהמשך לשיחה עם יובל נויהוז חשמול השנאי מתוכנן עד 25/6/2026</t>
  </si>
  <si>
    <t xml:space="preserve">בהמשך לשיחה עם יובל נויהוז חשמול השנאי תוכנן להתבצע עד 25/6/2026 אך נדחה לסוף שבוע זה 2/7 </t>
  </si>
  <si>
    <t>בהמשך לשיחה עם יובל נויהוז חשמול השנאי תוכנן להתבצע עד 25/6/2026 אך נדחה לסוף שבוע זה 2/7 
לאחר תקלה בשעוני מד גובה בשנאי נדרש להחליף את השעונים יבוצע עד סוף שבוע 9/7 חשמול מתוכנן מיד לאחר מכן החל מיום א' 12/7</t>
  </si>
  <si>
    <t>שנאי חושמל 12/7 טרם נשלחה הודעה רשמית
תקלה בשעוני מד גובה בשנאי - הושלם
חשמול מכולה טרם בוצע</t>
  </si>
  <si>
    <t>שנאי חושמל 12/7 טרם נשלחה הודעה רשמית
תקלה בשעוני מד גובה בשנאי - הושלם
חשמול מכולה ממתינים למחוז לביצוע חיבור בעומס - טרם בוצע</t>
  </si>
  <si>
    <t>שנאי חושמל 12/7 טרם נשלחה הודעה רשמית
תקלה בשעוני מד גובה בשנאי - הושלם
חשמול הסתיים, ממתינים להודעת יחידת תחמ"ש</t>
  </si>
  <si>
    <t>שנאי חושמל 12/7 טרם נשלחה הודעה רשמית
תקלה בשעוני מד גובה בשנאי - הושלם
חשמול הסתיים, ממתינים להודעה רשמית מיחידת תחמ"ש</t>
  </si>
  <si>
    <t>שנאי חושמל 12/7 
תקלה בשעוני מד גובה בשנאי - הושלם
חשמול הסתיים, ממתינים להודעה רשמית מיחידת תחמ"ש</t>
  </si>
  <si>
    <t>WBE-172</t>
  </si>
  <si>
    <t>דימונה-התקנת מת.אגירת אנרגיה בליתיום יון</t>
  </si>
  <si>
    <t>בטיפול לקבלת טופס 4 
לפני הכנסה לניצול - באחריות אפקון לתיקון תקלות - באחריות יח' תחמ"ש</t>
  </si>
  <si>
    <t xml:space="preserve">בטיפול לקבלת טופס 4 -בבדיקת סטטוס מול מפקח הוועדה 
לפני הכנסה לניצול - תקלות טופלו בהרצה לפני חשמול- באחריות יח' תחמ"ש
</t>
  </si>
  <si>
    <t xml:space="preserve">בטיפול לקבלת טופס 4 -בבדיקת סטטוס מול מפקח הוועדה 
תקלות טופלו בהרצה לפני חשמול- באחריות יח' תחמ"ש
</t>
  </si>
  <si>
    <t xml:space="preserve">בטיפול לקבלת טופס 4 -בבדיקת סטטוס מול מפקח הוועדה 
תקלות טופלו בהרצה לפני חשמול- באחריות יח' תחמ"ש
נדרש להוציא מדידה חדשה עבור טופס 4 - בטיפול מול ירון חנין
</t>
  </si>
  <si>
    <t xml:space="preserve">בטיפול לקבלת טופס 4 -בבדיקת סטטוס מול מפקח הוועדה 
תקלות טופלו בהרצה לפני חשמול- באחריות יח' תחמ"ש
בטיפול מול אפקון להשלמת ציוד תקשורת 
לDATA שנלקחה מהאתרים הוזמנו 16 יחידות חדשות – MC-Cubes 
פועלים מול ירון חנין לביצוע מדידה חדשה , נדרש להוצאת טופס 4 - תכנון ומנר"א
</t>
  </si>
  <si>
    <t>WBE-185</t>
  </si>
  <si>
    <t>גליל-התקנת 2 שנאים 50 מגוו"א 161/24 ק"ו</t>
  </si>
  <si>
    <t xml:space="preserve">עדכון לאחר השלמת רג'קטים - מסירה להרכבה חשמלית עודכן 11/5/2026
לקראת סיום הצבה/הצמדת מסדר מ"ג 11/5 (עיכוב בגלל תיקון נזילה מגג המבנה)
צפי מוכנות חשמול מסדר 24 ק"ו 8/2026  (עיכוב במסירת מבנה להרכבה חשמלית)
מקדמים עבודות רת"ק מ"ע בתאי שנאים  כדי לאפשר את השלמת מערכות כיבוי אש בתאים
שנאים סופקו ביום ג' 10/3 והורכבו , תואם לבצע את מילוי השמן החל מיום א'  24/5
</t>
  </si>
  <si>
    <t xml:space="preserve">עדכון לאחר השלמת רג'קטים - מסירה להרכבה חשמלית עודכן 11/5/2026
 לקראת סיום הצבה/הצמדת מסדר מ"ג צפי לקראת סוף שבוע 28/5
צפי מוכנות חשמול מסדר 24 ק"ו 8/2026  (עיכוב במסירת מבנה להרכבה חשמלית)
 עבודות רת"ק מ"ע הונחו כבלים בתאי שנאים בכדי לאפשר את השלמת מערכות גילוי וכיבוי אש בתאים
שנאים סופקו ביום ג' 10/3 והורכבו ,החלו בעבודות מילוי שמן מיום א'  24/5
</t>
  </si>
  <si>
    <t xml:space="preserve">עדכון לאחר השלמת רג'קטים - מסירה להרכבה חשמלית עודכן 11/5/2026
 לקראת סיום הצבה/הצמדת מסדר מ"ג צפי 2/6
צפי מוכנות חשמול מסדר 24 ק"ו 8/2026  (עיכוב במסירת מבנה להרכבה חשמלית)
 עבודות רת"ק מ"ע הונחו כבלים בתאי שנאים בכדי לאפשר את השלמת מערכות גילוי וכיבוי אש בתאים
שנאים סופקו ביום ג' 10/3 והורכבו ,החלו בעבודות מילוי שמן מיום א'  24/5
</t>
  </si>
  <si>
    <t xml:space="preserve"> לקראת סיום הצבה/הצמדת מסדר מ"ג צפי 2/6
צפי מוכנות חשמול מסדר 24 ק"ו 8/2026  (עיכוב במסירת מבנה להרכבה חשמלית)
 עבודות רת"ק מ"ע הונחו כבלים בתאי שנאים בכדי לאפשר את השלמת מערכות גילוי וכיבוי אש בתאים מבוצע כעת ע"י קבלן כיבוי אש
הסתיימו עבודות למילוי שמן בשני השנאים 4/6
</t>
  </si>
  <si>
    <t xml:space="preserve">מ-10/06/2026 - מסדר 24 מתבצע עבודות גז ע"י תחמ"ש. 
הרכבת מערכת כיבוי וגילוי אש בתאי שנאים </t>
  </si>
  <si>
    <t xml:space="preserve">הרכבה חשמלית בהרכבת ציוד באולם מסדר 24 ק"ו , מתבצעות עבודות גז ע"י תחמ"ש צ'. 
לקראת סיום - הרכבת מערכת כיבוי וגילוי אש בתאי שנאים 
כבלי מ"ע הונחו עד לשנאים יש להשלים סופיות </t>
  </si>
  <si>
    <t>הרכבה חשמלית בהרכבת ציוד באולם מסדר 24 ק"ו , מתבצעות עבודות גז ע"י תחמ"ש צ'. 
לקראת סיום - סיום עבודות קבלן הרכבת מערכת כיבוי וגילוי אש בתאי שנאים 
כבלי מ"ע הונחו עד לשנאים יש להשלים סופיות 
מוכנות לחשמול חודש 9/2026</t>
  </si>
  <si>
    <t>הרכבה חשמלית בהרכבת ציוד באולם מסדר 24 ק"ו , הסתיימו עבודות גז ע"י תחמ"ש צ'. 
הסתיימו עבודות קבלן הרכבת מערכת כיבוי וגילוי אש בתאי שנאים 
ממתינים לבדיקות מגזר ביצוע!
כבלי מ"ע הונחו עד לשנאים יש להשלים סופיות 
מוכנות לחשמול חודש 10/2026 (טרם בוצעו בדיקות למסדר)</t>
  </si>
  <si>
    <t>הרכבה חשמלית בהרכבת ציוד באולם מסדר 24 ק"ו , הסתיימו עבודות גז ע"י תחמ"ש צ'. 
הסתיימו עבודות קבלן הרכבת מערכת כיבוי וגילוי אש בתאי שנאים 
ממתינים לבדיקות מגזר ביצוע!
כבלי מ"ע הונחו עד לשנאים יש להשלים סופיות 
מוכנות לחשמול חודש 10/2026 (יעד אינו סופי מאחר וטרם בוצעו בדיקות למסדר)</t>
  </si>
  <si>
    <t>הרכבה חשמלית השלימה הרכבת ציוד באולם מסדר 24 ק"ו, משלימים עבודות חיווט​
עבודות גז במסדר הסתיימו​
החלו בדיקות מגזר הביצוע שצפוי להימשך עד 25/08/2026​
חשמול מסתמן 10/2026​</t>
  </si>
  <si>
    <t>הרכבה חשמלית השלימה הרכבת ציוד באולם מסדר 24 ק"ו, מבצעים כעת עבודות חיווט​
עבודות גז במסדר הסתיימו​
החלו בדיקות מגזר ביצוע , צפי לסיום בדיקות עד 25/08/2026​ 
חשמול מסתמן 10/2026​</t>
  </si>
  <si>
    <t>הרכבה חשמלית השלימה הרכבת ציוד באולם מסדר 24 ק"ו, ממשיכים השלמת עבודות חיווט​
עבודות גז במסדר הסתיימו​
החלו בדיקות מגזר ביצוע , צפי לסיום בדיקות עד 25/08/2026​ 
יח' תחמ"ש נכנסו השבוע לביצוע בדיקות 
חשמול מסתמן 10/2026​</t>
  </si>
  <si>
    <t>הרכבה חשמלית השלימה הרכבת ציוד באולם מסדר 24 ק"ו, ממשיכים השלמת עבודות חיווט​
עבודות גז במסדר הסתיימו​
החלו בדיקות מגזר ביצוע , צפי לסיום בדיקות עד 25/08/2026​ 
יח' תחמ"ש נכנסו 12/8 לביצוע בדיקות 
חשמול מסתמן 10/2026​</t>
  </si>
  <si>
    <t>הרכבה חשמלית סיימה את הרכבת הציוד במסדר 24 ק"ו, סיום עבודות חיווט​
עבודות גז יח' תחמ"ש צ' אחזקה הסתיימו​
החלו בדיקות מגזר ביצוע , צפי לסיום בדיקות עד 25/08/2026​ 
יח' תחמ"ש מבצעים בדיקות מסדר 24 ק"ו + מסדרי אפס החל מתאריך 12/8 
מוכנות לחשמול מסתמן  10/2026​</t>
  </si>
  <si>
    <t>WBJ-002</t>
  </si>
  <si>
    <t>גליל-הקמת תחמ"ג 400/161, 650*2 מגוו"א-רב שלבי</t>
  </si>
  <si>
    <t xml:space="preserve">31/08/2026 מסדר 161 ק"ו
מסדר 400 ק"ו 28/02/2027 (מוכנות לחשמול  
(ומותנא בהמשך בדיקות מגזר הביצוע </t>
  </si>
  <si>
    <t xml:space="preserve">עדכון ---מצברים לחדר סוללות יסופקו  בסוף חודש 5/2026 
שלושת אוטו-שנאים 451,452,453 נמצאים בסטטוס "שימור"
מסדר 161 ק"ו בעיצומן של בדיקות הכנסה לניצול לפני חשמול צפי לסוף חודש 6/2026
מסדר 400 ק"ו יעודכן לו"ז בהתאם לשינויי ועדכון התכנון חווט (שניידר) -  בודקי מגזר ביצוע עצרו את העבודה לטובת פרויקטים אחרים בוצעו כ 50% מהיקף הבדיקות נעדכן לו"ז לבדיקות מ"י ותחילת בדיקות מבדקה בהתאם
הולכה - קווי מ"ע , הוחלט לחשמל את המעגלים כמתוכנן לאחר עדכון לו"ז יחושמלו עד סוף חודש 6/2026
קביעת אחריות תפעולית טרם חשמול מסדר 161 ק"ו - לאחר סיור בתחמ"ג 18/3 יחד עם הקבלן הוחלט העברת אחריות ליח' תחמ"ש החל מסוף חודש 5/2026 (לפני חשמול המסדר) תואמה ישיבה עם יח' תחמ"ש בנין הרכבה חשמלית ביום ד' 20/5
העברת שטח התארגנות א. הולכה להמשך עבודות קבלן התחמ"ג לצורך קבלת טופס 4 תואם החל מיום א' 17/5
קבלת טופס4 - מקיימים ישיבות סדירות מול הקבלן יקודם עם קבלת שטח התארגנות א. הולכה להשלמת מערכות כיבוי אש במים בהיקף התחנה צפי לקבלת טופס 4 סוף חודש 6/2026
סיום כל עבודות הקבלן בתחמ"ג נקבע לחודש 6/2026
</t>
  </si>
  <si>
    <t xml:space="preserve">עדכון ---מצברים לחדר סוללות יסופקו  בסוף חודש 5/2026 - הגיעו לארץ כעת בבדיקות אצל ספק הציוד , אספקה מתוכננת עד סוף חודש 5/2026
שלושת אוטו-שנאים 451,452,453 נמצאים בסטטוס "שימור"
מסדר 161 ק"ו בעיצומן של בדיקות הכנסה לניצול לפני חשמול צפי לסוף חודש 6/2026
מסדר 400 ק"ו יעודכן לו"ז בהתאם לשינויי ועדכון התכנון חווט (שניידר) -  בודקי מגזר ביצוע עצרו את העבודה לטובת פרויקטים אחרים בוצעו כ 50% מהיקף הבדיקות נעדכן לו"ז לבדיקות מ"י ותחילת בדיקות מבדקה בהתאם
הולכה - קווי מ"ע , הוחלט לחשמל את המעגלים כמתוכנן לאחר עדכון לו"ז יחושמלו עד סוף חודש 6/2026
קביעת אחריות תפעולית טרם חשמול מסדר 161 ק"ו - סוכם בישיבה בתחמ"ג 20/5 יחד עם נציגי תחמ"ש ומגזר ביצוע בשלב ראשון מסדר 161 ק"ו תבוצע הפרדת חצרים כל שאר התחמ"ג ישאר באחריות הקבלן עד לסיום כל העבודת אזרחיות בתחמ"ג
העברת שטח התארגנות א. הולכה להמשך עבודות קבלן התחמ"ג לצורך קבלת טופס 4 תואם החל מיום א' 31/5 (תיעדוף עבודות צמ"ן)
קבלת טופס4 - מקיימים ישיבות סדירות מול הקבלן יקודם עם קבלת שטח התארגנות א. הולכה להשלמת מערכות כיבוי אש במים בהיקף התחנה צפי לקבלת טופס 4 סוף חודש 6/2026
סיום כל עבודות הקבלן בתחמ"ג נקבע לחודש 6/2026
</t>
  </si>
  <si>
    <t xml:space="preserve">עדכון ---מצברים לחדר סוללות יסופקו  במהלך השבוע הנוכחי - הגיעו לארץ כעת בבדיקות אצל ספק הציוד
שלושת אוטו-שנאים 451,452,453 נמצאים בסטטוס "שימור"
מסדר 161 ק"ו בעיצומן של בדיקות הכנסה לניצול לפני חשמול צפי לסוף חודש 6/2026
מסדר 400 ק"ו יעודכן לו"ז בהתאם לשינויי ועדכון התכנון חווט (שניידר) -  בודקי מגזר ביצוע עצרו את העבודה לטובת פרויקטים אחרים בוצעו כ 50% מהיקף הבדיקות נעדכן לו"ז לבדיקות מ"י ותחילת בדיקות מבדקה בהתאם
נדרשת תמיכת נציג  GE באתר ׁ(השלמת ציוד, טיפול בתקלות)- בטיפול מנהל מגזר ביצוע מול GE
הולכה - קווי מ"ע , הוחלט לחשמל את המעגלים כמתוכנן לאחר עדכון לו"ז יחושמלו עד סוף חודש 6/2026
קביעת אחריות תפעולית טרם חשמול מסדר 161 ק"ו - סוכם בישיבה בתחמ"ג 20/5 יחד עם נציגי תחמ"ש ומגזר ביצוע בשלב ראשון מסדר 161 ק"ו תבוצע הפרדת חצרים כל שאר התחמ"ג ישאר באחריות הקבלן עד לסיום כל העבודת אזרחיות בתחמ"ג
העברת שטח התארגנות א. הולכה להמשך עבודות קבלן התחמ"ג לצורך קבלת טופס 4 תואם החל מיום א' 31/5 (תיעדוף עבודות צמ"ן)
קבלת טופס4 - מקיימים ישיבות סדירות מול הקבלן יקודם עם קבלת שטח התארגנות א. הולכה להשלמת מערכות כיבוי אש במים בהיקף התחנה צפי לקבלת טופס 4 סוף חודש 6/2026
סיום כל עבודות הקבלן בתחמ"ג נקבע לחודש 6/2026
</t>
  </si>
  <si>
    <t xml:space="preserve">מצברים לחדר סוללות יסופקו  לאחר סיור בשטח של הספק תואם לשבוע הנוכחי 
שלושת אוטו-שנאים 451,452,453 נמצאים בסטטוס "שימור"
מסדר 161 ק"ו בעיצומן של בדיקות הכנסה לניצול לפני חשמול צפי לסוף חודש 6/2026
שמוליק טיפל מול GE לגבי תמיכה של GE וציוד חסר - ינתן מענה מבחינת תוכנתית וציוד חסר יסופק במהלך החודש 6/26
מסדר 400 ק"ו יעודכן לו"ז בהתאם לחזרה של בודקי מגזר ביצוע שעצרו את העבודה לטובת פרויקטים אחרים. בוצעו כ 50% מהיקף הבדיקות נעדכן לו"ז לבדיקות מ"י ותחילת בדיקות מבדקה בהתאם
נדרשת תמיכת נציג  GE באתר ׁ(השלמת ציוד, טיפול בתקלות)- כאמור טופל ע"י מנהל מגזר ביצוע מול GE
הולכה - קווי מ"ע , לפי אבישי תורגמן 4/6 הוחלט לחשמל את המעגלים כמתוכנן לאחר עדכון לו"ז יחושמלו עד סוף חודש 6/2026 
בהצגת הפרויקט למנהל האגף 3/6 גיל חזום עדכן שממתינים לאישור סמנכ"לים לחשמול והצפי הוא 7/2026
קביעת אחריות תפעולית טרם חשמול מסדר 161 ק"ו - סוכם בישיבה בתחמ"ג 20/5 יחד עם נציגי תחמ"ש ומגזר ביצוע בשלב ראשון מסדר 161 ק"ו תבוצע הפרדת חצרים כל שאר התחמ"ג ישאר באחריות הקבלן עד לסיום כל העבודת אזרחיות בתחמ"ג
בוצעה העברת שטח התארגנות א. הולכה להמשך עבודות קבלן התחמ"ג לצורך קבלת טופס 4
קבלת טופס4 - מקיימים ישיבות סדירות מול הקבלן יקודם עם קבלת שטח התארגנות א. הולכה להשלמת מערכות כיבוי אש במים בהיקף התחנה צפי לקבלת טופס 4 סוף חודש 6/2026
סיום כל עבודות הקבלן בתחמ"ג נקבע לחודש 6/2026
</t>
  </si>
  <si>
    <t xml:space="preserve">אספקת סוללות מצברים מתוכננת ל-21/06/2026, יצאה בקשה לאיתן זיו להקדמת האספקה. טרם התקבל התייחסות. מסדר 161 ק"ו בעיצומן של בדיקות הכנסה לניצול לפני חשמול צפי לסוף חודש 6/2026
שמוליק טיפל מול GE לגבי תמיכה של GE וציוד חסר - ינתן מענה מבחינת תוכנתית וציוד חסר יסופק במהלך החודש 6/26 , טרם התקבלה התייחסות.
מסדר 400 ק"ו יעודכן לו"ז בהתאם לחזרה של בודקי מגזר ביצוע שעצרו את העבודה לטובת פרויקטים אחרים. בוצעו כ 50% מהיקף הבדיקות נעדכן לו"ז לבדיקות מ"י ותחילת בדיקות מבדקה בהתאם.
הולכה - קווי מ"ע , לפי אבישי תורגמן 4/6 הוחלט לחשמל את המעגלים כמתוכנן לאחר עדכון לו"ז יחושמלו עד סוף חודש 6/2026 
בהצגת הפרויקט למנהל האגף 3/6 גיל חזום עדכן שממתינים לאישור סמנכ"לים לחשמול והצפי הוא 7/2026
ב-17/06/2026 תואמה ישיבה עם יחידת תחמ"ש ושאר המעורבים לקביעת אחריות תפעולית בתחמ"ג.
</t>
  </si>
  <si>
    <t>אספקת סוללות מצברים מתוכננת ל-24/06/2026, .
 מסדר 161 ק"ו בעיצומן של בדיקות הכנסה לניצול לפני חשמול צפי לסוף חודש 6/2026
שמוליק טיפל מול GE לגבי תמיכה של GE וציוד חסר - ניתן מענה מבחינת תוכנתית וציוד 
מסדר 400 ק"ו יעודכן לו"ז בהתאם לחזרה של בודקי מגזר ביצוע שעצרו את העבודה לטובת פרויקטים אחרים. בוצעו כ 50% מהיקף הבדיקות ----- בהתאם לפי הנחיית סמנכ"ל יש לקדם את מוכנות לבדיקות מ"י עד חודש 8/2026 על מגזר ביצוע להיערך בהתאם 
הולכה - קווי מ"ע , לפי אבישי תורגמן 4/6 הוחלט לחשמל את המעגלים כמתוכנן לאחר עדכון לו"ז יחושמלו עד סוף חודש 6/2026 
(אבישי עדכן)  22/6 מתקיימת ישיבה סמנכ"ל מול נגה להחלטה בנושא חשמול מסדר 161 ק"ו
ב-17/06/2026 התקיימה שיבה עם יחידת תחמ"ש ושאר המעורבים לקביעת אחריות תפעולית בתחמ"ג - הוחלט לגדר את מתחם רת"ק כולל עד cablebox על מנת שיוכלו לעבוד ללא צורך בהשגחה.
יח' תחמ"ש צ' אחראים מבחינה תפעולית על מסדר 161 ק"ו בלבד.
עד לסיום עבודות הקבלן בתחמ"ג (בימים הקרובים יתקבל לו"ז מהקבלן) נקיים שוב דיון להעברת אחריות אל שאר אזורי התחמ"ג</t>
  </si>
  <si>
    <r>
      <t xml:space="preserve">סוללות מצברים סופקו ביום ד'-24/06/2026 סופקו עם סטנדים לא מתאימים (דו קומתיים) לא מתאים לסוג הסוללות שסופקו . הצענו פתרון להתקנתם על חלק התחתון של הסטנד טרם התקבל אישור מהספק - בטיפול מח' ציוד ורכש!
, .
 מסדר 161 ק"ו בעיצומן של בדיקות הכנסה לניצול לפני חשמול צפי לסוף חודש 6/2026
</t>
    </r>
    <r>
      <rPr>
        <b/>
        <sz val="12"/>
        <rFont val="Aptos Narrow"/>
        <family val="2"/>
      </rPr>
      <t xml:space="preserve">שמוליק טיפל מול GE לגבי עדכון התוכנה , תמיכה של GE וציוד חסר - ניתן מענה מבחינת וציוד </t>
    </r>
    <r>
      <rPr>
        <sz val="12"/>
        <rFont val="Aptos Narrow"/>
        <family val="2"/>
      </rPr>
      <t xml:space="preserve">
מסדר 400 ק"ו - חזרה של בודקי מגזר ביצוע  להמשך בדיקות  - לפי הנחיית סמנכ"ל יש לקדם את מוכנות לבדיקות מ"י עד חודש 8/2026 יש להיערך בהתאם 
הולכה - קווי מ"ע , לפי אבישי תורגמן 4/6 הוחלט לחשמל את המעגלים כמתוכנן לאחר עדכון מוכנות  לחשמול בחודש 6/2026 
ב-17/06/2026 התקיימה שיבה עם יחידת תחמ"ש ושאר המעורבים לקביעת אחריות תפעולית בתחמ"ג - הוחלט לגדר את מתחם רת"ק כולל עד cablebox על מנת שיוכלו לעבוד ללא צורך בהשגחה.
יח' תחמ"ש צ' אחראים מבחינה תפעולית על מסדר 161 ק"ו בלבד.
עד לסיום עבודות הקבלן בתחמ"ג (בימים הקרובים יתקבל לו"ז מהקבלן) נקיים שוב דיון להעברת אחריות אל שאר אזורי התחמ"ג
סיום כל עבודות הקבלן כולל פיתוח נופי חודש 9/2026</t>
    </r>
  </si>
  <si>
    <t xml:space="preserve">סוללות מצברים סופקו ביום ד'-24/06/2026 סופקו עם סטנדים לא מתאימים (דו קומתיים) לא מתאים לסוג הסוללות שסופקו . הצענו פתרון להתקנתם על חלק התחתון של הסטנד הספק יבצע את ההתקנה בהתאם
, .
 מסדר 161 ק"ו בעיצומן של בדיקות הכנסה לניצול לפני חשמול צפי לסוף חודש 6/2026
שמוליק טיפל מול GE לגבי עדכון התוכנה , תמיכה של GE וציוד חסר - ניתן מענה מבחינת וציוד 
מסדר 400 ק"ו - חזרה של בודקי מגזר ביצוע  להמשך בדיקות  - לפי הנחיית סמנכ"ל יש לקדם את מוכנות לבדיקות מ"י עד חודש 8/2026 יש להיערך בהתאם 
הולכה - קווי מ"ע , לפי אבישי תורגמן 4/6 הוחלט לחשמל את המעגלים כמתוכנן לאחר עדכון מוכנות  לחשמול בחודש 6/2026 
ב-17/06/2026 התקיימה שיבה עם יחידת תחמ"ש ושאר המעורבים לקביעת אחריות תפעולית בתחמ"ג - הוחלט לגדר את מתחם רת"ק כולל עד cablebox על מנת שיוכלו לעבוד ללא צורך בהשגחה.
יח' תחמ"ש צ' אחראים מבחינה תפעולית על מסדר 161 ק"ו בלבד.
עד לסיום עבודות הקבלן בתחמ"ג (בימים הקרובים יתקבל לו"ז מהקבלן) נקיים שוב דיון להעברת אחריות אל שאר אזורי התחמ"ג
מחלקת ציוד מטפלים בהזמנת ציוד לשני שדות נוספים מסדר 400 ק"ו שדה 7 ו- 9 
מבקש לקדם ולקבל לו"ז כדי לתאם את העבודות עם כל הגורמים
סיום כל עבודות הקבלן כולל פיתוח נופי חודש 9/2026
בהתאם להנחיית הסמנכ"ל חשמול מסדר 161 ק"ו נקבע ל 15/7/2026
מתואם מול נגה
</t>
  </si>
  <si>
    <t xml:space="preserve">סוללות מצברים סופקו ביום ד'-24/06/2026 סופקו עם סטנדים לא מתאימים (דו קומתיים) לא מתאים לסוג הסוללות שסופקו . הצענו פתרון להתקנתם על חלק התחתון של הסטנד הספק יבצע את ההתקנה בהתאם
טרם הושלמה התקנה ספק מתעכב מתוכנן לסיים השבוע
 מסדר 161 ק"ו בעיצומן של בדיקות הכנסה לניצול לפני חשמול צפי לסוף חודש 7/2026
שמוליק טיפל מול GE לגבי עדכון התוכנה ,- הושלם
מסדר 400 ק"ו - חזרה של בודקי מגזר ביצוע  להמשך בדיקות  - לפי הנחיית סמנכ"ל יש לקדם את מוכנות לבדיקות מ"י עד חודש 8/2026 יש להיערך בהתאם 
הולכה - קווי מ"ע , לפי אבישי תורגמן 4/6 הוחלט לחשמל את המעגלים כמתוכנן לאחר עדכון מוכנות  לחשמול בחודש 6/2026 
ב-17/06/2026 התקיימה ישיבה עם יחידת תחמ"ש ושאר המעורבים לקביעת אחריות תפעולית בתחמ"ג - הוחלט לגדר את מתחם רת"ק כולל עד cablebox על מנת שיוכלו לעבוד ללא צורך בהשגחה.
יח' תחמ"ש צ' אחראים מבחינה תפעולית על מסדר 161 ק"ו בלבד.
עד לסיום עבודות הקבלן בתחמ"ג (בימים הקרובים יתקבל לו"ז מהקבלן) נקיים שוב דיון להעברת אחריות אל שאר אזורי התחמ"ג
למרות הסיכום לעיל אנחנו מעדיפים לשחרר את אחריות הקבלן מהתחמ"ג יתואם בישיבה יום ד' 15/7
מחלקת ציוד מטפלים בהזמנת ציוד לשני שדות נוספים מסדר 400 ק"ו שדה 7 ו- 9 
מבקש לקדם ולקבל לו"ז כדי לתאם את העבודות עם כל הגורמים
סיום כל עבודות הקבלן כולל פיתוח נופי חודש 9/2026
בהתאם להנחיית הסמנכ"ל חשמול מסדר 161 ק"ו נקבע ל 15/7/2026
מוכנות יח' תחמ"ש סוף חודש 7/2026 (בגלל עידכוני התוכנה והשלמת סוללות מצברים)
מתואם מול נגה
</t>
  </si>
  <si>
    <t xml:space="preserve">סוללות מצברים סופקו ביום ד'-24/06/2026 סופקו עם סטנדים לא מתאימים (דו קומתיים) לא מתאים לסוג הסוללות שסופקו . הצענו פתרון להתקנתם על חלק התחתון של הסטנד הספק יבצע את ההתקנה בהתאם
התקנה הושלמה! , הספק מתוכנן להגיע לבצע פריקה עד יום ד' 22/7
 מסדר 161 ק"ו  עיקר בדיקות הכנסה לניצול הסתיימו כעת לפני חשמול צפי לסוף חודש 7/2026 , טרם תואמה וועדת חשמול באחריות מנהל יח' תחמ"ש צ'. (ביקשתי שוב לתאם בישיבת הסטטוס האחרונה)
שמוליק טיפל מול GE לגבי עדכון התוכנה ,- הושלם
מסדר 400 ק"ו - חזרה של בודקי מגזר ביצוע  להמשך בדיקות  - לפי הנחיית סמנכ"ל יש לקדם את מוכנות לבדיקות מ"י עד חודש 8/2026 יש להיערך בהתאם 
הולכה - קווי מ"ע , לפי אבישי תורגמן 4/6 הוחלט לחשמל את המעגלים כמתוכנן לאחר עדכון מוכנות  לחשמול בחודש 6/2026 . התקיימה וועדת חשמול עבור רת"ק 16/7 . 
ב-17/06/2026 התקיימה ישיבה עם יחידת תחמ"ש ושאר המעורבים לקביעת אחריות תפעולית בתחמ"ג - הוחלט לגדר את מתחם רת"ק כולל עד cablebox על מנת שיוכלו לעבוד ללא צורך בהשגחה.
יח' תחמ"ש צ' אחראים מבחינה תפעולית על מסדר 161 ק"ו בלבד.
עד לסיום עבודות הקבלן בתחמ"ג (בימים הקרובים יתקבל לו"ז מהקבלן) נקיים שוב דיון להעברת אחריות אל שאר אזורי התחמ"ג
למרות הסיכום לעיל אנחנו מעדיפים לשחרר את אחריות הקבלן מהתחמ"ג יתואם בישיבה יום ד' 15/7 . לצורך כך הוזמנה שמירה 24/7 החל מתחילת חודש 8/2026 .
מחלקת ציוד מטפלים בהזמנה להשלמת הציוד עבור שני שדות שהותקנו במסדר 400 ק"ו שדה 7 ו- 9 
מבקש לקדם ולקבל לו"ז כדי לתאם את העבודות עם כל הגורמים
סיום כל עבודות הקבלן כולל פיתוח נופי חודש 9/2026
בהתאם להנחיית הסמנכ"ל חשמול מסדר 161 ק"ו נקבע לסוף חודש 7/2026 כאמור ממתנים לקיום וועדת חשמול.
מוכנות יח' תחמ"ש סוף חודש 7/2026 (בגלל עידכוני התוכנה והשלמת סוללות מצברים)
מתואם מול נגה
</t>
  </si>
  <si>
    <t>סוללות מצברים סופקו ביום ד'-24/06/2026 סופקו עם סטנדים לא מתאימים (דו קומתיים) לא מתאים לסוג הסוללות שסופקו . הצענו פתרון להתקנתם על חלק התחתון של הסטנד הספק יבצע את ההתקנה בהתאם
התקנה הושלמה! , הספק מתוכנן להגיע לבצע פריקה עד יום ד' 22/7
 מסדר 161 ק"ו  עיקר בדיקות הכנסה לניצול הסתיימו כעת לפני חשמול צפי לאמצע חודש 8/2026 , טרם תואמה וועדת חשמול באחריות מנהל יח' תחמ"ש צ'. (ביקשתי שוב לתאם בישיבת הסטטוס האחרונה)
שמוליק טיפל מול GE לגבי עדכון התוכנה ,- הושלם
מסדר 400 ק"ו - בודקים מגזר ביצוע - בוצעו בדיקות (כ-50%) שהופסקו לטובת פרויקטים אחרים. ​
התקבלה ההחלטה לתת מענה ראשוני לתמיכה עבור מסדר 24 בגליל​
צפי חזרה של בודקי מגזר ביצוע להמשך בדיקות 25/08/2026​
חשמול מסדר 400 דרך אוטושנאים ולא באמצעות מעגלי מתח על.
הולכה - קווי מ"ע , לפי אבישי תורגמן 4/6 הוחלט לחשמל את המעגלים כמתוכנן לאחר עדכון מוכנות  לחשמול בחודש 6/2026 . התקיימה וועדת חשמול עבור רת"ק 16/7 . 
ב-17/06/2026 התקיימה ישיבה עם יחידת תחמ"ש ושאר המעורבים לקביעת אחריות תפעולית בתחמ"ג - הוחלט לגדר את מתחם רת"ק כולל עד cablebox על מנת שיוכלו לעבוד ללא צורך בהשגחה.
יח' תחמ"ש צ' אחראים מבחינה תפעולית על מסדר 161 ק"ו בלבד.
עד לסיום עבודות הקבלן בתחמ"ג (בימים הקרובים יתקבל לו"ז מהקבלן) נקיים שוב דיון להעברת אחריות אל שאר אזורי התחמ"ג
למרות הסיכום לעיל אנחנו מעדיפים לשחרר את אחריות הקבלן מהתחמ"ג יתואם בישיבה יום ד' 15/7 . לצורך כך הוזמנה שמירה 24/7 החל מתחילת חודש 8/2026 .
מחלקת ציוד מטפלים בהזמנה להשלמת הציוד עבור שני שדות שהותקנו במסדר 400 ק"ו שדה 7 ו- 9 
מבקש לקדם ולקבל לו"ז כדי לתאם את העבודות עם כל הגורמים
סיום כל עבודות הקבלן כולל פיתוח נופי חודש 9/2026
בהתאם להנחיית הסמנכ"ל חשמול מסדר 161 ק"ו נקבע לסוף חודש 7/2026 כאמור ממתנים לקיום וועדת חשמול.
מוכנות יח' תחמ"ש אמצע  חודש 8/2026 (בגלל עידכוני התוכנה והשלמת סוללות מצברים)
מתואם מול נגה
טרם נמצא פתרון לאספקת ביתן שומר. כרגע חסר בתאום מול הבטחון.</t>
  </si>
  <si>
    <r>
      <t>סוללות מצברים סופקו ביום ד'-24/06/2026 סופקו עם סטנדים לא מתאימים (דו קומתיים) נמצא פתרון התקנה הושלמה!
ביקשנו לספק סטנדים מתאימים לחדר הנוסף.
 , נדרש מהספק לבצע בדיקה חוזרת יחד עם בקרת איכות טרם נקבע תאריך  -בטיפול מול איתן זיו
מסדר 161 ק"ו  ,בדיקות הכנסה לניצול הסתיימו כעת לפני חשמול צפי לאמצע חודש 8/2026 , טרם תואמה וועדת חשמול באחריות מנהל יח' תחמ"ש צ'. (ביקשתי שוב לתאם בישיבת הסטטוס האחרונה)</t>
    </r>
    <r>
      <rPr>
        <b/>
        <sz val="11"/>
        <rFont val="Aptos Narrow"/>
        <family val="2"/>
      </rPr>
      <t xml:space="preserve">
</t>
    </r>
    <r>
      <rPr>
        <sz val="11"/>
        <rFont val="Aptos Narrow"/>
        <family val="2"/>
      </rPr>
      <t xml:space="preserve">
מסדר 400 ק"ו - בודקים מגזר ביצוע - נדרש להשלים בדיקות שהופסקו לטובת פרויקטים אחרים. ​
התקבלה ההחלטת הנהלה לתת מענה ראשוני לתמיכה עבור מסדר 24 בגליל​
צפי חזרה של בודקי מגזר ביצוע להמשך בדיקות 25/08/2026​
חשמול מסדר 400 דרך אוטושנאים ולא באמצעות מעגלי מתח על.
הולכה - קווי מ"ע , לפי אבישי תורגמן 4/6 הוחלט לחשמל את המעגלים כמתוכנן -מוכנים לחשמול . התקיימה וועדת חשמול עבור רת"ק 16/7 . 
ב-17/06/2026 התקיימה ישיבה עם יחידת תחמ"ש ושאר המעורבים לקביעת אחריות תפעולית בתחמ"ג - הוחלט לגדר את מתחם רת"ק כולל עד cablebox על מנת שיוכלו לעבוד ללא צורך בהשגחה.
יח' תחמ"ש צ' אחראים מבחינה תפעולית על מסדר 161 ק"ו בלבד.
עד לסיום עבודות הקבלן בתחמ"ג 9/2026
למרות הסיכום לעיל אנחנו מעדיפים לשחרר את אחריות הקבלן מהתחמ"ג י-  לצורך כך הוזמנה שמירה 24/7 החל מאמצע חודש 8/2026 .
מחלקת ציוד מטפלים בהזמנה להשלמת הציוד עבור שני שדות שהותקנו במסדר 400 ק"ו שדה 7 ו- 9 
מבקש לקדם ולקבל לו"ז כדי לתאם את העבודות עם כל הגורמים
סיום כל עבודות הקבלן כולל פיתוח נופי חודש 9/2026
בהתאם להנחיית הסמנכ"ל חשמול מסדר 161 ק"ו נקבע לחודש 8/2026 כאמור ממתנים לקיום וועדת חשמול.
</t>
    </r>
  </si>
  <si>
    <t xml:space="preserve">
 בוצעה בדיקה חוזרת 9/8 יחד עם בקרת איכות ממתינים לקבל דו"ח יצרן 
מסדר 161 ק"ו  ,בדיקות הכנסה לניצול הסתיימו כעת לפני חשמול צפי לאמצע חודש 8/2026 , 
תואמה וועדת חשמול יח' תחמ"ש צ'. 12/8/2026
מסדר 400 ק"ו - בודקים מגזר ביצוע - נדרש להשלים בדיקות שהופסקו לטובת פרויקטים אחרים. ​
התקבלה ההחלטת הנהלה לתת מענה ראשוני לתמיכה עבור מסדר 24 בגליל​
צפי חזרה של בודקי מגזר ביצוע להמשך בדיקות 25/08/2026​ כדי לאפשר תחילת בדיקות מ"י מיד לאחר  החגים
חשמול מסדר 400 דרך אוטושנאים ולא באמצעות מעגלי מתח על.
הולכה - קווי מ"ע , לפי אבישי תורגמן 4/6 הוחלט לחשמל את המעגלים כמתוכנן -מוכנים לחשמול . התקיימה וועדת חשמול עבור רת"ק 16/7 . תואמה בנושא ישיבה מול נגה
ב-17/06/2026 התקיימה ישיבה עם יחידת תחמ"ש ושאר המעורבים לקביעת אחריות תפעולית בתחמ"ג - הוחלט לגדר את מתחם רת"ק כולל עד cablebox על מנת שיוכלו לעבוד ללא צורך בהשגחה.
יח' תחמ"ש צ' אחראים מבחינה תפעולית על מסדר 161 ק"ו בלבד.
עד לסיום עבודות הקבלן בתחמ"ג 9/2026
מחלקת ציוד מטפלים בהזמנה להשלמת הציוד עבור שני שדות שהותקנו במסדר 400 ק"ו שדה 7 ו- 9 
מבקש לקדם ולקבל לו"ז כדי לתאם את העבודות עם כל הגורמים
סיום כל עבודות הקבלן כולל פיתוח נופי חודש 9/2026
בהתאם להנחיית הסמנכ"ל חשמול מסדר 161 ק"ו נקבע לחודש 8/2026 כאמור ממתנים לקיום וועדת חשמול.
</t>
  </si>
  <si>
    <t xml:space="preserve">
מסדר 161 ק"ו  ,בדיקות הכנסה לניצול הסתיימו כעת לפני חשמול צפי לסוף חודש 8/2026 , 
התקיימה וועדת חשמול  12/8/2026 , הוצגו כל האישורים הנדרשים למעט דוח הארקות לכלל התחנה כפי שנדרש בועדה (קיים דוח למסדר 161 ק"ו)
מסדר 400 ק"ו - תחילת בדיקות מגזר ביצוע מתוכנןן לתאריך 25/8 עם סיום הבדיקות במסדר 24 ק"ו.​ כדי לאפשר תחילת בדיקות מ"י מיד לאחר  החגים
התקבלה ההחלטת הנהלה לתת מענה ראשוני לתמיכה עבור מסדר 24 בגליל​
חשמול מסדר 400 דרך אוטושנאים ולא באמצעות מעגלי מתח על.
הולכה - קווי מ"ע , הוחלט לחשמל את המעגלים (18 ו- 20) כמתוכנן -מוכנים לחשמול . התקיימה וועדת חשמול עבור רת"ק 16/7 . 
ב-17/06/2026 התקיימה ישיבה עם יחידת תחמ"ש ושאר המעורבים לקביעת אחריות תפעולית בתחמ"ג - הוחלט לגדר את מתחם רת"ק כולל עד cablebox על מנת שיוכלו לעבוד ללא צורך בהשגחה.
יח' תחמ"ש צ' אחראים מבחינה תפעולית על מסדר 161 ק"ו בלבד.
עד לסיום עבודות הקבלן בתחמ"ג 9/2026
מחלקת ציוד מטפלים בהזמנה להשלמת הציוד עבור שני שדות שהותקנו במסדר 400 ק"ו שדה 7 ו- 9 
מבקש לקדם ולקבל לו"ז כדי לתאם את העבודות עם כל הגורמים
סיום כל עבודות הקבלן כולל פיתוח נופי חודש 9/2026
</t>
  </si>
  <si>
    <r>
      <t xml:space="preserve">
מסדר 161 ק"ו  ,בדיקות הכנסה לניצול הסתיימו כעת לפני חשמול צפי לסוף חודש 8/2026 , הושלם מנתק שדה מס' 1 בוצעה בדיקת מ"י חוזרת הושלם 18/8 
התקיימה וועדת חשמול  12/8/2026 , הוצגו כל האישורים הנדרשים למעט דוח הארקות לכלל התחנה כפי שנדרש בועדה (קיים דוח למסדר 161 ק"ו) . בדיקת הארקות מעבדה תוכנן לתאריך 24/8 .
מבחינת מוכנות לחשמול לאחר קבלת דוח הארקות מאושר ניתן להתקדם לחשמול המסדר צפי לסוף חודש הנוכחי 8/2026
מסדר 400 ק"ו - תחילת בדיקות מגזר ביצוע מתוכנןן לתאריך 25/8 עם סיום הבדיקות במסדר 24 ק"ו.​ כדי לאפשר תחילת בדיקות מ"י מיד לאחר  חגי תשרי. 
(תיעדוף בדיקות מגזר ביצוע בהתאם להחלטת הנהלה לתת מענה ראשוני לתמיכה עבור מסדר 24 בגליל​)
</t>
    </r>
    <r>
      <rPr>
        <u/>
        <sz val="11"/>
        <rFont val="Aptos Narrow"/>
        <family val="2"/>
      </rPr>
      <t>חשמול מסדר 400 דרך אוטושנאים ולא באמצעות מעגלי מתח על.</t>
    </r>
    <r>
      <rPr>
        <sz val="11"/>
        <rFont val="Aptos Narrow"/>
        <family val="2"/>
      </rPr>
      <t xml:space="preserve">
הולכה - קווי מ"ע , הוחלט לחשמל את המעגלים (18 ו- 20) כמתוכנן -מוכנים לחשמול . התקיימה וועדת חשמול עבור רת"ק 16/7 . 
ב-17/06/2026 התקיימה ישיבה עם יחידת תחמ"ש ושאר המעורבים לקביעת אחריות תפעולית בתחמ"ג - הוחלט לגדר את מתחם רת"ק כולל עד cablebox על מנת שיוכלו לעבוד ללא צורך בהשגחה.
עם חשמול המסדר - יח' תחמ"ש צ' אחראים מבחינה תפעולית על מסדר 161 ק"ו בלבד.
עד לסיום עבודות הקבלן בתחמ"ג 9/2026  תוצב שמירה 24/7 - הועברה בקשה למח' בטחון (כרגע אין להם ביתן שומר לספק לגליל ). 
מחלקת ציוד מטפלים בהזמנה להשלמת הציוד עבור שני שדות שהותקנו במסדר 400 ק"ו שדה 7 ו- 9 
מבקש לקדם ולקבל לו"ז כדי לתאם את העבודות עם כל הגורמים
סיום כל עבודות הקבלן כולל פיתוח נופי חודש 9/2026
</t>
    </r>
  </si>
  <si>
    <t>WBE-131</t>
  </si>
  <si>
    <t>בשור - התקנת מתקן אגירת אנרגיה</t>
  </si>
  <si>
    <t>בטיפול לקבלת טופס 4
לפני הכנסה לניצול - מטופל מול אפקון החלפת ציוד תקול - סוללות -באחריות יח' תחמ"ש</t>
  </si>
  <si>
    <t xml:space="preserve">בטיפול לקבלת טופס 4 -בבדיקת סטטוס מול מפקח הוועדה 
 תקלות טופלו בהרצה לפני חשמול- באחריות יח' תחמ"ש
</t>
  </si>
  <si>
    <t>WBE-284</t>
  </si>
  <si>
    <t>בשור-הקמת שדה שנאי 161 ק"ו  מותאם ליכולת 2500 אמפר</t>
  </si>
  <si>
    <t>לא ניתן לקבוע עד להגשת תכנון מאושר</t>
  </si>
  <si>
    <t xml:space="preserve">הפרויקט לא הועבר עדיין למנהל הפרויקט </t>
  </si>
  <si>
    <t>לאחר סיור שבוצע ב-18/05/2026 ממתינים להתייחסות רת"ק מ"ע לאופן כניסת הכבלים לתחמ"ש (בטיפול אדי גרויסמן מול נגה)</t>
  </si>
  <si>
    <t>לאחר סיור שבוצע ב-18/05/2026 ממתינים להתייחסות רת"ק מ"ע לאופן כניסת הכבלים לתחמ"ש (בטיפול אדי גרויסמן מול נגה)
לא ניתן לקדם את התכנון להוספת שדה שנאי 4A עד להתייחסות תכנון מ"ע - אדי גרויסמן</t>
  </si>
  <si>
    <t>טרם התקבלה התייחסות רת"ק מ"ע לאופן כניסת הכבלים לתחמ"ש (בטיפול אדי גרויסמן מול נגה)
לא ניתן לקדם את התכנון להוספת שדה שנאי 4A עד להתייחסות תכנון מ"ע - אדי גרויסמן</t>
  </si>
  <si>
    <t>בשלבי הקפאת תצורה</t>
  </si>
  <si>
    <t>בשלבי הקפאת תצורה
תכנון רת"ק מ"ע הגיעו לא מוכנים לישיבה, נדרש תיאום הנדסי נוסף.</t>
  </si>
  <si>
    <t>בשלבי הקפאת תצורה
נדרש למצוא פתרונות לגישת משאית + עבודה תחת תיל מ"ע.</t>
  </si>
  <si>
    <t>הקפאת תצורה בוצעה, ממתינים להתייחסות פירוח אזרחי + אלקטרומכני</t>
  </si>
  <si>
    <t>WBE-119</t>
  </si>
  <si>
    <t>בשור- התקנת שנאי  50 מגוו"א ומאצרת שמן לשנאי</t>
  </si>
  <si>
    <t xml:space="preserve"> 09/08/26</t>
  </si>
  <si>
    <t xml:space="preserve">המבנה נמסר בתאריך 16/4 עם רג' קטים (WBM-40609) משליך על עמידה ביעד חשמול שנאי 524 שתוכנן לחודש  4/2026  עודכן בישיבת סטטוס סמנכ"ל צפי לחשמול 4/2026 בהתאם לעיכוב בהתקדמות העבודות חשמול לא לפני סוף חודש 5/2026
שגם מאתגר יח' תחמ"ש יעשו מאמצים לקדם את העבודות , 
עודכן יעד חשמול 5/2026 (בהתחשב גם במצב הבטחוני)
</t>
  </si>
  <si>
    <t xml:space="preserve">המבנה נמסר בתאריך 16/4 עם רג' קטים (WBM-40609) משליך על עמידה ביעד חשמול שנאי 524 שתוכנן לחודש  4/2026  עודכן בישיבת סטטוס סמנכ"ל צפי לחשמול 4/2026 בהתאם לעיכוב בהתקדמות העבודות חשמול לא לפני סוף חודש 6/2026
 יח' תחמ"ש יעשו מאמצים לקדם את העבודות , 
</t>
  </si>
  <si>
    <t>המבנה נמסר בתאריך 16/4 עם רג' קטים (WBM-40609) משליך על עמידה ביעד חשמול שנאי 524 שתוכנן לחודש  4/2026  עודכן בישיבת סטטוס סמנכ"ל צפי לחשמול 4/2026 בהתאם לעיכוב בהתקדמות העבודות חשמול לא לפני סוף חודש 6/2026
 יח' תחמ"ש יעשו מאמצים לקדם את העבודות , 
1/6 נכנס צוות בודקים מגזר ביצוע לבדיקות מסדר מ"ג לאחר מכן יוכלו להכנס מבדקה יח' תחמ"ש (הנ"ל מעכב את חשמול השנאי)</t>
  </si>
  <si>
    <t>המבנה נמסר בתאריך 16/4 עם רג' קטים (WBM-40609) משליך על עמידה ביעד חשמול שנאי 524 שתוכנן לחודש  4/2026  עודכן בישיבת סטטוס סמנכ"ל צפי לחשמול 4/2026 בהתאם לעיכוב בהתקדמות העבודות יעשו מאמצים למוכנות חשמול בסוף חודש 6/2026 (צפי לחריגה)
 יח' תחמ"ש יחלו בבדיקות מסדר מ"ע  ממתינים למסירה מסדר מ"ג , 
1/6 נכנס צוות בודקים מגזר ביצוע לבדיקות מסדר מ"ג לאחר מכן יוכלו להכנס מבדקה יח' תחמ"ש (הנ"ל מעכב את חשמול השנאי שתוכנן 6/26 )</t>
  </si>
  <si>
    <t>המבנה נמסר בתאריך 16/4 עם רג' קטים (WBM-40609) משליך על עמידה ביעד חשמול שנאי 524 שתוכנן לחודש  4/2026  עודכן בישיבת סטטוס סמנכ"ל צפי לחשמול 4/2026 בהתאם לעיכוב בהתקדמות העבודות יעשו מאמצים למוכנות חשמול בסוף חודש 6/2026 (צפי לחריגה)
 יח' תחמ"ש יחלו בבדיקות מסדר מ"ע  ממתינים למסירה מסדר מ"ג אשר נמצא בבדיקות מגזר הביצוע. בקשנו לתעדוף תאים לשנאי 524 שנוסף. 
1/6 נכנס צוות בודקים מגזר ביצוע לבדיקות מסדר מ"ג לאחר מכן יוכלו להכנס מבדקה יח' תחמ"ש (הנ"ל יעכב את חשמול השנאי שתוכנן 6/26 )</t>
  </si>
  <si>
    <t xml:space="preserve">המבנה נמסר בתאריך 16/4 עם רג' קטים (WBM-40609) משליך על עמידה ביעד חשמול שנאי 524 שתוכנן לחודש  4/2026  עודכן בישיבת סטטוס סמנכ"ל צפי לחשמול 4/2026 בהתאם לעיכוב בהתקדמות העבודות יעשו מאמצים למוכנות חשמול בסוף חודש 6/2026 - לא עומדים ביעד זה 
 יח' תחמ"ש  החלו בבדיקות מסדר מ"ע  ממתינים למסירה מסדר מ"ג אשר נמצא בבדיקות מגזר הביצוע מסירה סקציה 524 5/7. (תיעדוף לתאים שנאי 524 שנוסף). 
1/6 נכנס צוות בודקים מגזר ביצוע לבדיקות מסדר מ"ג לאחר מכן יוכלו להכנס מבדקה יח' תחמ"ש חשמול מסתמן 7/2026 </t>
  </si>
  <si>
    <t xml:space="preserve">המבנה נמסר בתאריך 16/4 עם רג' קטים (WBM-40609) משליך על עמידה ביעד חשמול שנאי 524 שתוכנן לחודש  4/2026  
צפי מוכנות לחשמול בסוף חודש 7/2026 
 יח' תחמ"ש  החלו בבדיקות מסדר מ"ע  6/26 , ממתינים למסירה מסדר מ"ג אשר נמצא בבדיקות מגזר הביצוע  (תיעדוף לתאים שנאי 524 שנוסף). מסירה של כל התאים בתאריך 9/7 (תואם מול אפרת)
בהתאם להתקדמות בדיקות ,נתאם בדיקת  מ"י במסדר 24 ק"ו </t>
  </si>
  <si>
    <t xml:space="preserve">המבנה נמסר בתאריך 16/4 עם רג' קטים (WBM-40609) משליך על עמידה ביעד חשמול שנאי 524 שתוכנן לחודש  4/2026  
 מוכנות לחשמול בסוף חודש 7/2026 לא ריאלי לפי התקדמות הבדיקות
תהיה חריגה לכוון חודש 8/2026  
 יח' תחמ"ש  החלו בבדיקות מסדר מ"ע  6/26 , ממתינים למסירה מסדר מ"ג אשר נמצא בבדיקות מגזר הביצוע  (תיעדוף לתאים שנאי 524 שנוסף). מסירה של כל התאים בתאריך 9/7 (תואם מול אפרת)
בהתאם להתקדמות בדיקות ,נתאם בדיקת  מ"י במסדר 24 ק"ו </t>
  </si>
  <si>
    <t>המבנה נמסר בתאריך 16/4 עם רג' קטים (WBM-40609) משליך על עמידה ביעד חשמול שנאי 524 שתוכנן לחודש  4/2026  
 מוכנות לחשמול בסוף חודש 7/2026 לא ריאלי לפי התקדמות הבדיקות
תהיה חריגה לכוון חודש 8/2026  
 יח' תחמ"ש  החלו בבדיקות מסדר מ"ע  6/26 , ממתינים למסירה מסדר מ"ג אשר נמצא בבדיקות מגזר הביצוע  (תיעדוף לתאים שנאי 524 שנוסף). 
ב-12.7 מבוצעי בדיקות מתח יתר לפ"צ 4</t>
  </si>
  <si>
    <t>המבנה נמסר בתאריך 16/4 עם רג' קטים (WBM-40609) משליך על עמידה ביעד חשמול שנאי 524 שתוכנן לחודש  4/2026  
 מוכנות לחשמול בסוף חודש 7/2026 לא ריאלי לפי התקדמות הבדיקות
תהיה חריגה לכוון חודש 8/2026 .
יח' תחמ"ש נמצאים בבדיקות - פ"צ 4 לאחר מתח יתר .</t>
  </si>
  <si>
    <t>המבנה נמסר בתאריך 16/4 עם רג' קטים (WBM-40609) משליך על עמידה ביעד חשמול שנאי 524 שתוכנן לחודש  4/2026  
צפי חשמול 8/2026 .
יח' תחמ"ש נמצאים בבדיקות - פ"צ 4 לאחר מתח יתר .</t>
  </si>
  <si>
    <t>המבנה נמסר בתאריך 16/4 עם רג' קטים (WBM-40609) משליך על עמידה ביעד חשמול שנאי 524 שתוכנן לחודש  4/2026  
צפי חשמול 8/2026 .
יח' תחמ"ש נמצאים בבדיקות ,
בוצעה מסירה בתאריך 06.08 לח' התחמש. נדרש לתגבר בבודקים !</t>
  </si>
  <si>
    <t>WBM-40609</t>
  </si>
  <si>
    <t>בשור- הקמת בניין פקוד, התקנת 3 מסדרי מ''ג והעתקת היציאות למסדרים החדשים ומאצרת שמן לשנאי</t>
  </si>
  <si>
    <t>מקדמים בניית מסדרי מ"ג. הרכבה חשמלית ממשיכים בהרכבות. טרם נכנסו מגזר הביצוע לבדיקות בגלל תיעדוף הפרויקטים. צפי חשמול 06/2026</t>
  </si>
  <si>
    <t>המשך עבודות קבלן בבנין מסדרי מ"ג. הרכבה חשמלית ממשיכים בהרכבות. נדרש לבצע בדיקות מגזר ביצוע במסדר (הרכבת פילטרים וכו') טרם החלו בגלל תיעדוף הפרויקטים. 
חשמול 06/2026 כפי הנראה יתעכב , מבקש לתת תיעדוף לעבודות מאחר ונדרש לחיבור שנאי 524 עבור יצרן פרטי</t>
  </si>
  <si>
    <t>המשך עבודות קבלן בבנין מסדרי מ"ג. הרכבה חשמלית ממשיכים בהרכבות. 
1/6 תחילחת בדיקות מגזר ביצוע במסדר (הרכבת פילטרים וכו') 
חשמול 06/2026 כפי הנראה יתעכב , מבקש לתת תיעדוף לעבודות מאחר ונדרש לחיבור שנאי 524 עבור יצרן פרטי</t>
  </si>
  <si>
    <t>המשך עבודות קבלן בבנין מסדרי מ"ג. הרכבה חשמלית ממשיכים בהרכבות. 
1/6 תחילחת בדיקות מגזר ביצוע במסדר (הרכבת פילטרים וכו') 
חשמול 06/2026 לא ריאלי צפי לסוף חודש 7/2026 , מבקש לתת תיעדוף לעבודות מאחר ונדרש  בהקדם חיבור שנאי 524 עבור יצרן פרטי</t>
  </si>
  <si>
    <t xml:space="preserve">הקבלן בעבודות פיתוח מצעים לפני אספלט .., הרכבה חשמלית ממשיכים בהרכבות כולל חיווט בחדר פיקוד . 
1/6 תחילחת בדיקות מגזר ביצוע במסדר (הרכבת פילטרים וכו') 
חשמול 06/2026 לא ריאלי צפי לסוף חודש 7/2026 , מבקש לתת תיעדוף לעבודות מאחר ונדרש  בהקדם חיבור שנאי 524 עבור יצרן פרטי
</t>
  </si>
  <si>
    <t xml:space="preserve">הקבלן בעבודות פיתוח מצעים לפני אספלט .., הרכבה חשמלית ממשיכים בהרכבות כולל חיווט בחדר פיקוד מקדמים ביתר שאת את העבודות!. 
1/6 תחילחת בדיקות מגזר ביצוע במסדר (הרכבת פילטרים וכו') 
בקש לתת תיעדוף לעבודות מאחר ונדרש  בהקדם חיבור שנאי 524 עבור יצרן פרטי
</t>
  </si>
  <si>
    <t xml:space="preserve">הקבלן בעבודות פיתוח מצעים לפני אספלט .., הרכבה חשמלית ממשיכים בהרכבות כולל חיווט בחדר פיקוד + ארונות SCS
מבקש לתת תיעדוף לעבודות מאחר ונדרש בהקדם חיבור שנאי 524 עבור יצרן פרטי
</t>
  </si>
  <si>
    <t>בשור-הקמת 2 שדות קו 161חדשים והתא' שד' קו והקמת 2 שד' קו161ק"ו חדשים לניר יצחק</t>
  </si>
  <si>
    <t>שני שדות - 30/12/2026 , שני שדות 30/09/2027</t>
  </si>
  <si>
    <t xml:space="preserve">הועברה למחלקת בנין ד' חבילת מסירה לביצוע 8/3 
הועבר כתב כמויות ראשוני לצורך בחינה מול הקבלן והכנה לביצוע עבודות מקדימות ליציקת רגלי עמודי רשת ע"י א. הולכה
העבודה עברה לקבלן , תחילת ביצוע -התקבל אישור הוועדה 14/5
לאחר ישיבה עם תכנון תחמ"ש והולכה זומנה ישיבה נוספת בתחמ"ש לתאריך 17/5 במטרה גם לבצע הקפאת תצורה סיור בתחמ"ש 18/5.
הסיור בעיקר לצורך הקפאת תצורה להוספת הקווים 1A 3A 4A 
לפי תכנון מ"ע רת"ק קיימת בעיה סטטטורית לכניסת הקווים מצד מזרחי וכפי הנראה יידרש לבצע בחינה חדשה מול נגה -עדכון 17/5
בהתאם לאישור וועדת מכרזים - נדרש להתקדם בביצוע העבודות ע"י הקבלן על מנת לעמוד ביעד חשמול 10/2026
</t>
  </si>
  <si>
    <t xml:space="preserve">
לאחר ישיבה עם תכנון תחמ"ש והולכה זומנה ישיבה נוספת בתחמ"ש לתאריך 17/5 במטרה גם לבצע הקפאת תצורה סיור בתחמ"ש 18/5.
הסיור בעיקר לצורך הקפאת תצורה להוספת הקווים 1A 3A 4A 
לאחר בחינת הנתונים בשטח לא ניתן להבצע את הוספת 3 השדות מאחר ותכנון רת"ק אינו תומך בתכנון שהוצע בסחור מבחינת סטטטוריקה - הנ"ל יתואם מול נגה - באחריות תכנון מ"ע הולכה.
קבלן הנוכחי יכול להתחיל לבצע את הקמת שני השדות 11ו-13 לאחר סיום עבודות הקבלן רשת יכנסו לבצע את הקמת עמודי הרשת
לפי תכנון מ"ע רת"ק קיימת בעיה סטטטורית לכניסת הקווים מצד מזרחי וכפי הנראה יידרש לבצע בחינה חדשה מול נגה -עדכון 17/5
בהתאם לאישור וועדת מכרזים - מבקש להתקדם בביצוע העבודות ע"י הקבלן על מנת לעמוד ביעד חשמול 10/2026
</t>
  </si>
  <si>
    <t xml:space="preserve">
לאחר ישיבה עם תכנון תחמ"ש והולכה זומנה ישיבה נוספת בתחמ"ש לתאריך 17/5 במטרה גם לבצע הקפאת תצורה סיור בתחמ"ש 18/5.
הסיור בעיקר לצורך הקפאת תצורה להוספת הקווים 1A 3A 4A 
לאחר בחינת הנתונים בשטח לא ניתן להבצע את הוספת 3 השדות מאחר ותכנון רת"ק אינו תומך בתכנון שהוצע בסחור מבחינת סטטטוריקה - הנ"ל יתואם מול נגה - באחריות תכנון מ"ע הולכה.
קבלן הנוכחי יכול להתחיל לבצע את הקמת שני השדות 11ו-13 לאחר סיום עבודות הקבלן רשת יכנסו לבצע את הקמת עמודי הרשת
לפי תכנון מ"ע רת"ק קיימת בעיה סטטטורית לכניסת הקווים מצד מזרחי וכפי הנראה יידרש לבצע בחינה חדשה מול נגה -עדכון 17/5
טרם התקבלה התייחסות תכנון  רת"ק מ"ע הא םקודם/טופל מול נגה!
בהתאם לאישור וועדת מכרזים - מבקש להתקדם בביצוע העבודות ע"י הקבלן על מנת לעמוד ביעד חשמול 10/2026
</t>
  </si>
  <si>
    <t>קבלן שומרוני נכנס לעבודות לטובת שדות  קו 11 ו-13.שדות 1A ו-3A התקיים סיור בשטח, נדרש לעדכן תכנון אלק"מ שהוצג, עקב  בעייה בהשלמת תכנון כניסת קווי מ"ע עבור שדה שנאי</t>
  </si>
  <si>
    <t>קבלן שומרוני נכנס לעבודות לטובת שדות  קו 11 ו-13.שדות 1A ו-3A התקיים סיור בשטח, נדרש לעדכן תכנון אלק"מ שהוצג, עקב  בעייה אי סגירת  תכנון כניסת קווי מ"ע עבור שדה שנאי - בטיפול תכנון מ"ע אדי גרויסמן</t>
  </si>
  <si>
    <r>
      <t xml:space="preserve">קבלן שומרוני נכנס לעבודות לטובת שדות הקמת קו 11 ו-13 - בסיור בתחמ"ש 28/6 נראה כי הקבלן טרם קידם את העבודות עבור שדות אלה מבקש לזרז את עבודות הקבלן החשמול נדרש 10/2026 כעת צפי לחרגיגה 11/2026 
שדות 1A ו-3A ושדה שנאי 4A התקיים סיור בשטח, נדרש לעדכן תכנון אלק"מ שהוצג, עקב  בעייה לאי סגירת התכנון כניסת קווי מ"ע עבור שדה שנאי - </t>
    </r>
    <r>
      <rPr>
        <u/>
        <sz val="12"/>
        <rFont val="Arial"/>
        <family val="2"/>
        <scheme val="minor"/>
      </rPr>
      <t>בטיפול תכנון מ"ע אדי גרויסמן</t>
    </r>
  </si>
  <si>
    <t>קבלן שומרוני נכנס לעבודות לטובת שדות הקמת קו 11 ו-13 - בסיור בתחמ"ש 28/6 נראה כי הקבלן טרם קידם את העבודות עבור שדות אלה מבקש לזרז את עבודות הקבלן החשמול נדרש 10/2026 כעת צפי לחרגיגה 11/2026 
מחלקת בנין עדכנו סיום עבודות קבלן בחודש 11/2026 לא תומך בלו"ז הנדרש מהסמנכ"ל - חשמול השדות הנוספים עד סוף השנה הנוכחית אבקש לפעול מול הקבלן לקדם את העבודות בהתאם מדובר עלשני שדות בסה"כ!!!
שדות 1A ו-3A ושדה שנאי 4A התקיים סיור בשטח, נדרש לעדכן תכנון אלק"מ שהוצג, עקב  בעייה לאי סגירת התכנון כניסת קווי מ"ע עבור שדה שנאי - בטיפול תכנון מ"ע אדי גרויסמן</t>
  </si>
  <si>
    <t>קבלן שומרוני נכנס לעבודות לטובת שדות הקמת קו 11 ו-13 - בסיור בתחמ"ש 28/6 נראה כי הקבלן טרם קידם את העבודות עבור שדות אלה מבקש לזרז את עבודות הקבלן החשמול נדרש 10/2026 כעת צפי לחרגיגה 11/2026 
מחלקת בנין עדכנו סיום עבודות קבלן בחודש 11/2026 לא תומך בלו"ז הנדרש מהסמנכ"ל - חשמול השדות הנוספים עד סוף השנה הנוכחית אבקש לפעול מול הקבלן לקדם את העבודות בהתאם מדובר על שני שדות בסה"כ!!!
שדות 1A ו-3A ושדה שנאי 4A התקיים סיור בשטח, נדרש לעדכן תכנון אלק"מ שהוצג, עקב  בעייה לאי סגירת התכנון כניסת קווי מ"ע עבור שדה שנאי - בטיפול תכנון מ"ע אדי גרויסמן</t>
  </si>
  <si>
    <t>קבלן שומרוני נכנס לעבודות לטובת שדות הקמת קו 11 ו-13 - בסיור בתחמ"ש 28/6 נראה כי הקבלן טרם קידם את העבודות עבור שדות אלה מבקש לזרז את עבודות הקבלן החשמול נדרש 10/2026 כעת צפי לחרגיגה 11/2026 
מחלקת בנין עדכנו סיום עבודות קבלן בחודש 11/2026 לא תומך בלו"ז הנדרש מהסמנכ"ל - חשמול השדות הנוספים עד סוף השנה הנוכחית אבקש לפעול מול הקבלן לקדם את העבודות בהתאם מדובר על שני שדות בסה"כ!
שדות 1A ו-3A ושדה שנאי 4A התקיים סיור בשטח, נדרש לעדכן תכנון אלק"מ שהוצג, עקב  בעייה לאי סגירת התכנון.</t>
  </si>
  <si>
    <t>קבלן שומרוני נכנס לעבודות לטובת שדות הקמת קו 11 ו-13 - בסיור בתחמ"ש 28/6 נראה כי הקבלן טרם קידם את העבודות עבור שדות אלה מבקש לזרז את עבודות הקבלן החשמול נדרש 10/2026 כעת צפי לחרגיגה 02/27
מחלקת בנין עדכנו סיום עבודות קבלן בחודש 11/2026 לא תומך בלו"ז הנדרש מהסמנכ"ל - חשמול השדות הנוספים עד סוף השנה הנוכחית אבקש לפעול מול הקבלן לקדם את העבודות בהתאם מדובר על שני שדות בסה"כ!
שדות 1A ו-3A ושדה שנאי 4A התקיים סיור בשטח, נדרש לעדכן תכנון אלק"מ שהוצג, עקב  בעייה לאי סגירת התכנון.</t>
  </si>
  <si>
    <t>קבלן שומרוני נכנס לעבודות לטובת שדות הקמת קו 11 ו-13 - בסיור בתחמ"ש 28/6 נראה כי הקבלן טרם קידם את העבודות עבור שדות אלה מבקש לזרז את עבודות הקבלן החשמול נדרש 10/2026 כעת צפי לחרגיגה 02/27
מחלקת בנין עדכנו סיום עבודות קבלן בחודש 11/2026 לא תומך בלו"ז הנדרש מהסמנכ"ל - חשמול השדות הנוספים עד סוף השנה הנוכחית אבקש לפעול מול הקבלן לקדם את העבודות בהתאם מדובר על שני שדות בסה"כ!
ביקשתי מפיקוח אזרחי שהקבלן ימשיך עבודות גם בחול המועד- נמצא בבדיקה</t>
  </si>
  <si>
    <t>קבלן שומרוני נכנס לעבודות לטובת שדות הקמת קו 11 ו-13 - בסיור בתחמ"ש 28/6 נראה כי הקבלן טרם קידם את העבודות עבור שדות אלה מבקש לזרז את עבודות הקבלן החשמול נדרש 10/2026 כעת צפי לחרגיגה 02/27
מחלקת בנין עדכנו סיום עבודות קבלן בחודש 11/2026 לא תומך בלו"ז הנדרש מהסמנכ"ל - חשמול השדות הנוספים עד סוף השנה הנוכחית אבקש לפעול מול הקבלן לקדם את העבודות בהתאם מדובר על שני שדות בסה"כ!
קבלן עובד ביום חופש הסכם קיבוצי 23.8 , ביקשתי מפיקוח אזרחי שהקבלן ימשיך עבודות גם בחול המועד- נמצא בבדיקה</t>
  </si>
  <si>
    <t>WBE-129</t>
  </si>
  <si>
    <t>אילת- התקנת מתקן אגירת אנרגיה + פירוק</t>
  </si>
  <si>
    <t>בטיפול לקבלת טופס 4 
לפני הכנסה לניצול - בטיפול מול אפקון לתיקון תקלות - באחריות יח' תחמ"ש</t>
  </si>
  <si>
    <t xml:space="preserve">בטיפול לקבלת טופס 4 -בבדיקת סטטוס מול מפקח הוועדה 
 תקלות טופלו בהרצה לפני חשמול- באחריות יח' תחמ"ש
נדרש להציג אישור לפינוי אשפה מהאתר - בטיפול מול תחמ"ש אילת
</t>
  </si>
  <si>
    <t xml:space="preserve">בטיפול לקבלת טופס 4 -בבדיקת סטטוס מול מפקח הוועדה 
תקלות טופלו בהרצה לפני חשמול- באחריות יח' תחמ"ש
נדרש להציג אישור לפינוי אשפה מהאתר - טיפלנו יחד עם תחמ"ש אילת
בטיפול מול אפקון להשלמת ציוד תקשורת 
לDATA שנלקחה מהאתרים הוזמנו 16 יחידות חדשות – MC-Cubes </t>
  </si>
  <si>
    <t>WBE-244</t>
  </si>
  <si>
    <t>אופקים - עע"א - התקנת שנאי 45 מו"א לרכבת</t>
  </si>
  <si>
    <t xml:space="preserve">שנאי שהותקן עבור הרכבת חושמל .
</t>
  </si>
  <si>
    <t xml:space="preserve">שנאי חושמל
</t>
  </si>
  <si>
    <t>אוניברסיטת תל אביב-הקמת תחמ"ש פנימית 161</t>
  </si>
  <si>
    <t xml:space="preserve"> 30/9/2026 
</t>
  </si>
  <si>
    <t xml:space="preserve">המשך בדיקות הכנסה לניצול תוגברו משמעותית צוות הבודקים. 
בדיקות מתח יתר עברו בהצלחה סיום יום ה' 9/4 
התקיימה ישיבה 10/5 מגזר פיקוח ויח' תחמ"ש לתאום ציפיות מסירת המבנה ליח' תחמ"ש טרם החשמול - מה נדרש על מנת לחשמל את התחמ"ש מבחינת השלמת עבודות קבלן. יובל מבקש שכל העבודות במבנה יסתיימו ויבוצע תיחום של המבנה כך שלא תהיה גישה לתחמ"ש כאשר תחושמל לפי כך הערכנו את עבודות הקבלן שיסתיימו בשבוע ראשון של חודש 7/2026 ואז ניתן יהיה לחשמל!
בסטטוס סמנכ"ל 11/5 הובהר לכולם יעד חשמול כל התחמ"ש עד סוף חודש 6/2026
חשש לאי עמידה ביעד בגלל המתנה של רת"ק לבדיקות מעבדה מתח יתר המתוכננות לתחילת חודש 6/2026 מבקש לתת קדימות לבדיקות
מאחר ולאחר הבדיקות ישנן עבודות הנדרשות להשלמה ע"י קבלן כיבוי אש בתאי שנאים!
קבלן רת"ק טרם סיים עבודות בחזית דרומית ובתאי שנאים מעכב את התקדמות עבודות קבלן האזרחי - נדרש דחוף סיום עבודות!
צפי לביצוע בדיקות מ"י כבלי מ"ע סוף חודש 5/2026 
הנחת כבלי מ"ג ע"י המחוז טרם הסתיים הונחו 9 מעגלים מותר להשלים 11 מעגלים מכוון קלאוזנר הקבלן יבצע החל מיום א/ 10/5. 
</t>
  </si>
  <si>
    <t xml:space="preserve">המשך בדיקות הכנסה לניצול תוגברו משמעותית צוות הבודקים. 
בדיקות מתח יתר עברו בהצלחה סיום יום ה' 9/4 
התקיימה ישיבה 10/5 מגזר פיקוח ויח' תחמ"ש לתאום ציפיות מסירת המבנה ליח' תחמ"ש טרם החשמול -  יובל מבקש שכל העבודות במבנה יסתיימו ויבוצע תיחום/גדר של המבנה כך שלא תהיה גישה לתחמ"ש כאשר תחושמל לפי כך הערכנו את עבודות הקבלן שיסתיימו בשבוע ראשון של חודש 7/2026 ואז ניתן יהיה לחשמל!
בסטטוס סמנכ"ל 11/5 הובהר לכולם יעד חשמול כל התחמ"ש עד סוף חודש 6/2026
לצורך קידום העבודות והתכנסות ליעד חשמול נדרש (בסטטוס סמנכ"ל 11/5) זומנה ישיבה עם כל המעורבים בפרויקט ליום ב' 1/6
חשש לאי עמידה ביעד בגלל המתנה של רת"ק לבדיקות מעבדה מתח יתר המתוכננות לתחילת חודש 6/2026 מבקש לתת קדימות לבדיקות
רת"ק פירקו את הפיגום בתאים על-מנת לאפשר לקבלן להשלים את מערכות גילוי וכיבוי אש בתאים - נדרש לעבודות במשמרות מתוגברות לסיום העבודות קבלן כיבוי אש בתאי שנאים!
הנחת כבלי מ"ג ע"י המחוז טרם הסתיים הונחו 9 מעגלים מותר להשלים 11 מעגלים מכוון קלאוזנר הקבלן יבצע החל מיום א/ 10/5. 
</t>
  </si>
  <si>
    <t xml:space="preserve">המשך בדיקות הכנסה לניצול תוגברו משמעותית צוות הבודקים. 
בדיקות מתח יתר מ"ע עברו בהצלחה סיום יום ה' 9/4 
התקיימה ישיבה 10/5 מגזר פיקוח ויח' תחמ"ש לתאום ציפיות מסירת המבנה ליח' תחמ"ש טרם החשמול -  יובל מבקש שכל העבודות במבנה יסתיימו ויבוצע תיחום/גדר של המבנה כך שלא תהיה גישה לתחמ"ש כאשר תחושמל לפי כך הערכנו את עבודות הקבלן שיסתיימו בשבוע ראשון של חודש 7/2026 ואז ניתן יהיה לחשמל!
בסטטוס סמנכ"ל 11/5 הובהר לכולם יעד חשמול כל התחמ"ש עד סוף חודש 6/2026
לצורך קידום העבודות והתכנסות ליעד חשמול נדרש (בסטטוס סמנכ"ל 11/5) זומנה ישיבה עם כל המעורבים בפרויקט ליום ב' 1/6
חשש לאי עמידה ביעד בגלל המתנה של רת"ק לבדיקות מעבדה מתח יתר המתוכננות לתחילת חודש 6/2026 מבקש לתת קדימות לבדיקות
רת"ק פירקו את הפיגום בתאים על-מנת לאפשר לקבלן להשלים את מערכות גילוי וכיבוי אש בתאים - נדרש לעבודות במשמרות מתוגברות לסיום העבודות קבלן כיבוי אש בתאי שנאים!
בוצעה הנחת כבלי מ"ג ע"י קבלן המחוז, יש לקדם את חיבור קוו מ"ג המיועד לחשמול שנאי בית בתחמ"ש - תואם מול אבי לבחר
התקיימה ישיבת סטטוס מנהלת 1/6/26 תואמו עבודות לקידום חשמול התחמ"ש. לפי יח' תחמ"ש יעשו מאמצים לחשמול מסדר 161 ק"ו עד סוף חודש 6/2026 לגבי שאר התחמ"ש (מ"ג + שנאים) צפי לחשמול סוף חודש  תיתכן חריגה 7/2026 תיתכן חריגה.
</t>
  </si>
  <si>
    <r>
      <t xml:space="preserve">המשך בדיקות הכנסה לניצול תוגברו משמעותית צוות הבודקים. 
התקיימה ישיבה 10/5 מגזר פיקוח ויח' תחמ"ש לתאום ציפיות מסירת המבנה ליח' תחמ"ש טרם החשמול -  יובל מבקש שכל העבודות במבנה יסתיימו ויבוצע תיחום/גדר של המבנה כך שלא תהיה גישה לתחמ"ש כאשר תחושמל לפי כך הערכנו את עבודות הקבלן שיסתיימו בשבוע ראשון של חודש 7/2026 ואז ניתן יהיה לחשמל!
בסטטוס סמנכ"ל 11/5 הובהר לכולם יעד חשמול כל התחמ"ש עד סוף חודש 6/2026
לצורך קידום העבודות והתכנסות ליעד חשמול נדרש (בסטטוס סמנכ"ל 11/5) זומנה ישיבה עם כל המעורבים בפרויקט ליום ב' 1/6. 
לאחר לישיבה  1/6 עם  אלפרד,יובל אבישי שמוליק ושאר המנהלת  -  יח' תחמ"ש ציינו שיעשו מאמצים לחשמל אתמסדר 161 ק"ו עד סוף חודש 6/2026 תיתכן חריגה לתחילת חודש 7/2026. לגבי חשמול שאר התחמ"ש (מסדר מ"ג + שנאים) סוף חודש 7/2026 תחילת חודש אוגוסט - לדברי אלפרד ליסט
חשש לאי עמידה ביעד בגלל המתנה של רת"ק לבדיקות מעבדה מתח יתר המתוכננות לתחילת חודש 6/2026 מבקש לתת קדימות לבדיקות
רת"ק פירקו את הפיגום בתאים על-מנת לאפשר לקבלן להשלים את מערכות גילוי וכיבוי אש בתאים - נדרש לעבודות במשמרות מתוגברות לסיום העבודות קבלן כיבוי אש בתאי שנאים!
</t>
    </r>
    <r>
      <rPr>
        <b/>
        <sz val="12"/>
        <rFont val="Arial"/>
        <family val="2"/>
        <scheme val="minor"/>
      </rPr>
      <t>בדיקות מתח יתר</t>
    </r>
    <r>
      <rPr>
        <sz val="12"/>
        <rFont val="Arial"/>
        <family val="2"/>
        <scheme val="minor"/>
      </rPr>
      <t xml:space="preserve"> לכבלי מ"ע החל מיום א' 7/6 , מסדר מ"ג החל מיום 14/6 לשאר הכבלים הפנימיים 28/6 
בוצעה הנחת כבלי מ"ג ע"י קבלן המחוז, יש לקדם את חיבור קוו מ"ג המיועד לחשמול שנאי בית בתחמ"ש - תואם מול אבי לבחר
התקיימה ישיבת סטטוס מנהלת 1/6/26 תואמו עבודות לקידום חשמול התחמ"ש. לפי יח' תחמ"ש יעשו מאמצים לחשמול מסדר 161 ק"ו עד סוף חודש 6/2026 לגבי שאר התחמ"ש (מ"ג + שנאים) צפי לחשמול סוף חודש  תיתכן חריגה 7/2026 תיתכן חריגה.
</t>
    </r>
  </si>
  <si>
    <t xml:space="preserve">
לאחר לישיבה  1/6 עם  אלפרד,יובל אבישי שמוליק ושאר המנהלת  -  יח' תחמ"ש ציינו שיעשו מאמצים לחשמל אתמסדר 161 ק"ו עד סוף חודש 6/2026 תיתכן חריגה לתחילת חודש 7/2026. לגבי חשמול שאר התחמ"ש (מסדר מ"ג + שנאים) סוף חודש 7/2026 תחילת חודש אוגוסט - לדברי אלפרד ליסט .
ב-16/06/2026 אלפרד ליסט עדכן שחישמול 161 יתאפשר באמצע יולי וחשמול מ"ג ושנאי אמצע אוגוסט.
בדיקות מתח יתר שנאים מ"ע עבר בהצלחה. מתבצעות בדיקות מ"י למסדר מ"ג.
בוצעה הנחת כבלי מ"ג ע"י קבלן המחוז, יש לקדם את חיבור קוו מ"ג המיועד לחשמול שנאי בית בתחמ"ש - תואם מול אבי לבחר
</t>
  </si>
  <si>
    <t xml:space="preserve">
עדכון מאלפרד ליסט - חשמול מסדר 161 ק"ו אמצע חודש 7/2026 
חשמול שאר התחמ"ש (שנאים + מסדר מ"ג) עד אמצע חודש 8/2026 
,י
בעיה עיקרית כרגע אי השלמת מערכת גילוי אש במבנה - מנהל אגף עודכן שחב' אורד מערימה קשיים בהשלמת העבודות! 
בדיקות מ"י לכבלי מתח עליון שנאים + כבלים עברו בהצלחה!
בוצעה הנחת כבלי מ"ג ע"י קבלן המחוז, קבלן החל להניח כבלים לתוך התחמ"ש - יש לקדם את חיבור קוו מ"ג המיועד לחשמול שנאי בית בתחמ"ש - תואם מול אבי לבחר
</t>
  </si>
  <si>
    <t xml:space="preserve">
עדכון מאלפרד ליסט - חשמול מסדר 161 ק"ו אמצע חודש 7/2026 
חשמול שאר התחמ"ש (שנאים + מסדר מ"ג) עד אמצע חודש 8/2026 
הנחיה של לאוניד 28/6 - נדרש חשמול לכל התחמ"ש לא יבוצע חשמול למסדר 161 ק"ו בלבד , יום ג' 30/6 נקבעה וועדת חשמול לאחר מכן נעדכן יעד חשמול 
בעיה עיקרית כרגע אי השלמת מערכת גילוי אש במבנה - מנהל אגף פנה למנכ"ל חב' אורד התקבל לו"ז לסיום עבודות כולל בדיקות מ. התקנים ואינטגרצייה עד 23/7.
התקיימה ישיבת מנהלת -סטטוס עבודות  29/6 בדגש על הקדמת הבדיקות ואינטגרציית מערכות! - בהתאם לדרישת הסמנכ"ל 28/6
בדיקות מ"י לכבלי מתח עליון שנאים + כבלים עברו בהצלחה!
בוצעה הנחת כבלי מ"ג ע"י קבלן המחוז, קבלן החל להניח כבלים לתוך התחמ"ש.
תואם הקדמת חיבור קוו מ"ג המיועד לחשמול שנאי בית בתחמ"ש - מול אבי לבחר
</t>
  </si>
  <si>
    <t xml:space="preserve">התקיימה ועדת חשמול 30/6/2026 להלן סיכום:
עדכון מאלפרד ליסט - חשמול מסדר 161 ק"ו סוף חודש 7/2026 
חשמול שאר התחמ"ש (שנאים + מסדר מ"ג) עד אמצע סוף חודש 9/2026 
הנחיית הסמנכ"ל לחשמול התחמ"ש כולה יחד ולא בשלביות ניתן לזרז את הבדיקות ולעמוד ביעד חשמול 8/2026
בעיה עיקרית כרגע אי השלמת מערכת גילוי אש במבנה - מנהל אגף פנה למנכ"ל חב' אורד התקבל לו"ז לסיום עבודות כולל בדיקות מ. התקנים ואינטגרצייה עד 23/7.
התקיימה ישיבת מנהלת -סטטוס עבודות  29/6 בדגש על הקדמת הבדיקות ואינטגרציית מערכות! - בהתאם לדרישת הסמנכ"ל 28/6
בדיקות מ"י לכבלי מתח עליון שנאים + כבלים עברו בהצלחה!
חיבור שנאי בית באחריות רשת דן וחוף לפי עדכון אחרון יתאפשר רק בסוף חודש 7/2026 (התעכב אצלם בהוצאת הזמנה)
בוצעה הנחת כבלי מ"ג ע"י קבלן המחוז, קבלן החל להניח כבלים לתוך התחמ"ש.
תואם הקדמת חיבור קוו מ"ג המיועד לחשמול שנאי בית בתחמ"ש - מול אבי לבחר
</t>
  </si>
  <si>
    <t xml:space="preserve">התקיימה ועדת חשמול 30/6/2026 להלן סיכום:
עדכון מאלפרד ליסט - חשמול מסדר 161 ק"ו סוף חודש 7/2026 
חשמול שאר התחמ"ש (שנאים + מסדר מ"ג) עד סוף חודש 9/2026 
הנחיית הסמנכ"ל לחשמול התחמ"ש כולה יחד ולא בשלביות. 
בעיה עיקרית כרגע אי השלמת מערכת גילוי אש במבנה - מנהל אגף פנה למנכ"ל חב' אורד התקבל לו"ז לסיום עבודות כולל בדיקות מ. התקנים ואינטגרצייה עד 23/7.
התקיימה ישיבת מנהלת -סטטוס עבודות  29/6 בדגש על הקדמת הבדיקות ואינטגרציית מערכות! - בהתאם לדרישת הסמנכ"ל 28/6
בדיקות מ"י לכבלי מתח עליון שנאים + כבלים עברו בהצלחה!
חיבור שנאי בית באחריות רשת דן וחוף לפי עדכון אחרון יתאפשר רק בסוף חודש 7/2026 (התעכב אצלם בהוצאת הזמנה)
בוצעה הנחת כבלי מ"ג ע"י קבלן המחוז, קבלן החל להניח כבלים לתוך התחמ"ש.
תואם 7/7 הקדמת חיבור קוו מ"ג המיועד לחשמול שנאי בית בתחמ"ש - מול יואב דרוקר יעדכן  לו"ז לאחר ישיבה עם אברהם ראבוחין
</t>
  </si>
  <si>
    <t xml:space="preserve">התקיימה ועדת חשמול 30/6/2026 להלן סיכום:
עדכון מאלפרד ליסט - חשמול מסדר 161 ק"ו סוף חודש 7/2026 
חשמול שאר התחמ"ש (שנאים + מסדר מ"ג) עד סוף חודש 9/2026 
הנחיית הסמנכ"ל לחשמול התחמ"ש כולה יחד ולא בשלביות. 
השלמת עבודות חב' אורד התקבל לו"ז לסיום עבודות כולל בדיקות מ. התקנים ואינטגרצייה: 
בדיקות 1001 ו- 1221 בוצעו 19/7 בדיקת אינטגרציה 22/7 התזות בשנאים 23/7 
התקיימה ישיבת מנהלת -סטטוס עבודות  29/6 בדגש על הקדמת הבדיקות ואינטגרציית מערכות! - בהתאם לדרישת הסמנכ"ל 28/6
בדיקות מ"י לכבלי מתח עליון שנאים + כבלים עברו בהצלחה!
חיבור שנאי בית באחריות רשת דן וחוף לפי עדכון אחרון יתאפשר רק בסוף חודש 7/2026 (התעכבו בהוצאת הזמנה לביצוע)
בוצעה הנחת כבלי מ"ג ע"י קבלן המחוז, קבלן החל להניח כבלים לתוך התחמ"ש.
תואם 7/7 הקדמת חיבור קוו מ"ג המיועד לחשמול שנאי בית בתחמ"ש - מול יואב דרוקר יעדכן  לו"ז לאחר ישיבה עם אברהם ראבוחין
התקיימה ישיבה עם יועצת משפטית הדס ארנון לקידום נושאים פתוחים מול עיריית ת"א  קו תאורה ברחוב ירוחם משל נדרש להעתקה הדיון מי יבצע ועל חשבון מי. סיכמנו שנקיים ישיבה/פגישה נוספת מול העיריה לסגירת הנושא.
נספח סניטרי שלא צורף להיתר - טופל ועודכן במערכת הטיפול כעת מול מי אביבים לקידום אישור והעברה לביצוע.
</t>
  </si>
  <si>
    <t xml:space="preserve">התקיימה ועדת חשמול 30/6/2026 להלן סיכום:
חשמול  התחמ"ש עד סוף חודש 9/2026 
הנחיית הסמנכ"ל לחשמול התחמ"ש כולה יחד ולא בשלביות. 
השלמת עבודות חב' אורד התקבל לו"ז לסיום עבודות כולל בדיקות מ. התקנים ואינטגרצייה: 
בדיקות 1001 ו- 1221 בוצעו 19/7 בדיקת אינטגרציה 22/7 התזות בשנאים 23/7 
התקיימה ישיבת מנהלת -סטטוס עבודות  29/6 בדגש על הקדמת הבדיקות ואינטגרציית מערכות! - בהתאם לדרישת הסמנכ"ל 28/6
בדיקות מ"י לכבלי מתח עליון שנאים + כבלים עברו בהצלחה!
חיבור שנאי בית באחריות רשת דן וחוף לפי עדכון אחרון יתאפשר רק בסוף חודש 7/2026 (התעכבו בהוצאת הזמנה לביצוע)
בוצעה הנחת כבלי מ"ג ע"י קבלן המחוז, קבלן החל להניח כבלים לתוך התחמ"ש.
תואם 7/7 הקדמת חיבור קוו מ"ג המיועד לחשמול שנאי בית בתחמ"ש - מול יואב דרוקר יעדכן  לו"ז לאחר ישיבה עם אברהם ראבוחין
ב-27/07/2026 התקיימה ישיבה עם יועצת משפטית הדס ארנון לקידום נושאים פתוחים מול עיריית ת"א  קו תאורה ברחוב ירוחם משל נדרש להעתקה הדיון מי יבצע ועל חשבון מי.
נספח סניטרי שלא צורף להיתר - טופל ועודכן במערכת הטיפול כעת מול מי אביבים לקידום אישור והעברה לביצוע.
</t>
  </si>
  <si>
    <t xml:space="preserve">התקיימה ועדת חשמול 30/6/2026 סוכם:  חשמול  התחמ"ש עד סוף חודש 9/2026 
בסיור מנהלי אגפים ריון + רמי הוחלט חשמול מסדר 161 ק"ו עד אמצע 8/2026 , שאר התחמ"ש 9/2026
השלמת עבודות חב' אורד - סיום עבודות כולל בדיקות מ. התקנים ואינטגרצייה: 
בדיקות 1001 ו- 1221 בוצעו 19/7 בדיקת אינטגרציה 22/7 התזות בשנאים 23/7  בוצעו!
בדיקות מ"י לכבלי מתח עליון שנאים + כבלים עברו בהצלחה!
חיבור שנאי בית באחריות רשת דן וחוף הונחו כבלים הובטח שיחוברו במהלך הימים הקרובים שנאי 1 בשלב ראשון (התעכבו בהוצאת הזמנה לביצוע)
בוצעה הנחת כבלי מ"ג ע"י קבלן המחוז, 
בישיבת סטטטוס בראשותו של אברהם ראבוחין הוחלט לקדם את חיבור שנאי הבית 
ב-27/07/2026 התקיימה ישיבה עם יועצת משפטית הדס ארנון לקידום נושאים פתוחים מול עיריית ת"א  קו תאורה ברחוב ירוחם משל נדרש להעתקה הדיון מי יבצע ועל חשבון מי. התקיימה ישיבה נוספת להבהרת הנושאים לטיפול , נקבעה פגישה עם מנהל אגף תשתיות עיריית ת"א בתחמ"שאוניברסיטה 4/8
נספח סניטרי שלא צורף להיתר - טופל ועודכן במערכת הטיפול כעת מול מי אביבים לקידום אישור והעברה לביצוע.
</t>
  </si>
  <si>
    <t xml:space="preserve">התקיימה ועדת חשמול 30/6/2026 סוכם:  חשמול  התחמ"ש עד סוף חודש 8/2026 לפי הנחיית סמנכ"ל 
השלמת עבודות חב' אורד - סיום עבודות כולל בדיקות מ. התקנים ואינטגרצייה: 
בדיקות 1001 ו- 1221 בוצעו 19/7 בדיקת אינטגרציה
חיבור שנאי בית באחריות רשת דן וחוף הונחו כבלים הובטח שיחוברו במהלך הימים הקרובים שנאי 1 בשלב ראשון (התעכבו בהוצאת הזמנה לביצוע)
חיבור שנאי בית ע"י מחוז נקבע 24/8  - טופל מול יואב דרוקר.
בישיבת סטטטוס בראשותו של אברהם ראבוחין הוחלט לקדם את חיבור שנאי הבית 
ב-27/07/2026 התקיימה ישיבה עם יועצת משפטית הדס ארנון לקידום נושאים פתוחים מול עיריית ת"א  קו תאורה ברחוב ירוחם משל נדרש להעתקה הדיון מי יבצע ועל חשבון מי. התקיימה ישיבה נוספת להבהרת הנושאים לטיפול , הביצוע על קבלן העיריה בהתאם לסיכום בתנאיי היתר חח"י תישא בתשלום - מטופל מול המחלקה המשפטית על אופן התשלום (לקבלן או ישירות לעיריית ת"א)
נספח סניטרי שלא צורף להיתר - טופל ועודכן במערכת הטיפול כעת מול מי אביבים לקידום אישור והעברה לביצוע.היום 9/8/ התקבלו הערות לנספח שהוגש למי אביבים , מתכנן חח"י יעדכן ויגיש שוב ביום חמישי 13/8 
</t>
  </si>
  <si>
    <t xml:space="preserve">התקיימה ועדת חשמול 30/6/2026 סוכם:  חשמול  התחמ"ש עד סוף חודש 8/2026 לפי הנחיית סמנכ"ל 
יח' תחמ"ש הציגו 12/8 קיצור לו"ז ומשמעויות עבור חשמול כלל התחמ"ש בהתאם להנחיית הסמנכ"ל עד תאריך 31/8/2026
השלמת עבודות חב' אורד - סיום עבודות כולל בדיקות מ. התקנים ואינטגרצייה: 
בדיקות 1001 ו- 1221 בוצעו 19/7 בדיקת אינטגרציה בוצעו עד 13/8
חיבור שנאי בית באחריות רשת דן וחוף הונחו כבלים הובטח שיחוברו במהלך הימים הקרובים שנאי 1 בשלב ראשון (התעכבו בהוצאת הזמנה לביצוע)
חיבור שנאי בית ע"י מחוז נקבע 24/8  - טופל מול יואב דרוקר.
בישיבת סטטטוס בראשותו של אברהם ראבוחין הוחלט לקדם את חיבור שנאי הבית 
ב-27/07/2026 התקיימה ישיבה עם יועצת משפטית הדס ארנון לקידום נושאים פתוחים מול עיריית ת"א  קו תאורה ברחוב ירוחם משל נדרש להעתקה 
הביצוע על קבלן העיריה בהתאם לסיכום בתנאיי היתר חח"י תישא בתשלום (התקבלה הצעת מחיר הקבלן ע"ס כ 60,000 ש"ח)- מטופל מול המחלקה המשפטית על אופן התשלום הנ"ל יועבר למח' מכרזים
נספח סניטרי שלא צורף להיתר - טופל ויעודכן במערכת ע"י תכנון מכני , התקבלו הערות לנספח שהוגש למי אביבים , מתכנן חח"י יעדכן ויגיש שוב קימנו פגישה מול מי אביבים לקידום אישור הנספח 
</t>
  </si>
  <si>
    <t>WBC-082</t>
  </si>
  <si>
    <t>תחמ"ש נווה ימין 
(כפר סבא)</t>
  </si>
  <si>
    <t xml:space="preserve">התקיימו מספר ישיבות לקביעת תכולת פרויקט סוכם והוכן מסמך חלוקת אחריות , 
נפתח תיק עסקה ברמ"י , אדג'קונקס יכולים להתחיל לעבוד לפני אבני דרך
התקימה ישיבה 29/4 יחד עם מיכל שרעבי לבדיקת סטטוס תאום טכני וכו' 
אדג'קונקס מכינים הצעת מחיר איתו ניגש לוועדת מכרזים
הכנו מסמך הצדקה הועבר למיכל שרעבי להמשך טיפול
תואמו סדרת ישיבות תכנון חח"י מול תכנון אדג'קונקס
ישיבה עם יציגי תכנון 19/5
בהתאם למסמך נגה - עודכן יעד ת.פ 2030
</t>
  </si>
  <si>
    <t xml:space="preserve">התקיימו מספר ישיבות לקביעת תכולת פרויקט סוכם והוכן מסמך חלוקת אחריות , 
נפתח תיק עסקה ברמ"י , אדג'קונקס יכולים להתחיל לעבוד לפני אבני דרך
התקימה ישיבה 29/4 יחד עם מיכל שרעבי לבדיקת סטטוס תאום טכני וכו' 
אדג'קונקס מכינים הצעת מחיר איתו ניגש לוועדת מכרזים
הכנו מסמך הצדקה הועבר למיכל שרעבי להמשך טיפול
מתקיימות ישיבות סדירות עם נציגי תכנון חח"י ותכנון אדג'קונקס
ישיבה הבאה 2/6
בהתאם למסמך נגה - עודכן יעד ת.פ 2030
</t>
  </si>
  <si>
    <t>מתוכננת ישיבה עם נציגי תכנון לתאריך 17/06/2026</t>
  </si>
  <si>
    <t>התקיימה ישיבה עם נציגי תכנון בתאריך 17/06/2026 ישנם נושאים שהועלו לבירור טיפול יחד עם אדריכלית חח"י . תוזמן ישיבה פנימית לדון בכל הנושאים הנדרשים</t>
  </si>
  <si>
    <t>מתקיימות ישיבות סדירות עם נציגי תכנון חח"י ואדג'קונקס.
 ישנם נושאים שהועלו בבירור וטיפול יחד עם אדריכלית חח"י . 
זומנה ישיבה פנימית  לדון בכל הנושאים הנדרשים</t>
  </si>
  <si>
    <t xml:space="preserve">מתקיימות ישיבות סדירות עם נציגי תכנון חח"י ואדג'קונקס.
 ישנם נושאים שהועלו בבירור וטיפול יחד עם אדריכלית חח"י . 
זומנה ישיבה פנימית עם נציגי תכנון חח"י 15/7 לדון בכל הנושאים הנדרשים להוצאת תכנון ע"י היזם  </t>
  </si>
  <si>
    <t xml:space="preserve">מתקיימות ישיבות סדירות עם נציגי תכנון חח"י ואדג'קונקס.
 ישנם נושאים שהועלו בבירור וטיפול יחד עם אדריכלית חח"י - היזם מעביר תכנון לבדיקה ראשונית עד לישיבה 22/7. 
התקיימה ישיבה פנימית עם נציגי תכנון חח"י 15/7 לדון בכל הנושאים הנדרשים להוצאת תכנון ע"י היזם  </t>
  </si>
  <si>
    <t>מתקיימות ישיבות סדירות עם נציגי תכנון חח"י ואדג'קונקס.
 ישנם נושאים שהועלו בבירור וטיפול יחד עם אדריכלית חח"י - היזם העביר תכנון לבדיקה ראשונית שנדון בישיבה שהתקיימה ב-22/7. 
היזם התבקש להעביר בהקדם הצעת מחיר ראשונית</t>
  </si>
  <si>
    <t>מתקיימות ישיבות סדירות עם נציגי תכנון חח"י ואדג'קונקס.- התכנון ביקש לקיים את הישיבות הבאות באופן פרונטלי לקידום הנושאים.
היזם התבקש להעביר בהקדם הצעת מחיר ראשונית להמשך טיפול בעריכת ההסכם יחד עם מיכל שרעבי.</t>
  </si>
  <si>
    <t>מתקיימות ישיבות סדירות עם נציגי תכנון חח"י ואדג'קונקס.- התכנון ביקש לקיים את הישיבות הבאות באופן פרונטלי לקידום הנושאים.תואמה ישיבה ליום רביעי  12/8 בבנין המה"ר
היזם התבקש להעביר בהקדם הצעת מחיר ראשונית להמשך טיפול בעריכת ההסכם יחד עם מיכל שרעבי.</t>
  </si>
  <si>
    <t xml:space="preserve">מתקיימות ישיבות סדירות עם נציגי תכנון חח"י ואדג'קונקס.- התכנון ביקש לקיים את הישיבות הבאות באופן פרונטלי לקידום הנושאים.התקיימה ישיבה ברביעי  12/8 בבנין המה"ר , ישיבה נוספת בעוד שבוע
היזם התבקש להעביר בהקדם הצעת מחיר ראשונית להמשך טיפול בעריכת ההסכם יחד עם מיכל שרעבי.
בשיחה עם מנה"פ היזם 17/8 ממתין לקבלת כל הנתונים מהספקים ובהתאם יעביר הצעה לא סופית. </t>
  </si>
  <si>
    <t xml:space="preserve">מתקיימות ישיבות סדירות עם נציגי תכנון חח"י ואדג'קונקס.כעת מתקיימות ישיבות באופן פרונטלי לקידום הנושאים. התקיימה ישיבה ברביעי  12/8 בבנין המה"ר , ישיבה נוספת מתוכננת 2/9
היזם התבקש להעביר בהקדם הצעת מחיר ראשונית להמשך טיפול בעריכת ההסכם יחד עם מיכל שרעבי.
בשיחה עם מנה"פ היזם 17/8 ממתין לקבלת כל הנתונים מהספקים ובהתאם יעביר הצעה לא סופית. </t>
  </si>
  <si>
    <t>WBE-183</t>
  </si>
  <si>
    <t>ת"א מרכז-התקנת שנאי רביעי 161/13.8/13.8 ק"ו 56 מגוו"א</t>
  </si>
  <si>
    <t xml:space="preserve">הקפאת תכולה </t>
  </si>
  <si>
    <t>WBE-302</t>
  </si>
  <si>
    <t>מודיעין-הקמת שני שדות 1 ו-13</t>
  </si>
  <si>
    <t>טרם הוקצאה</t>
  </si>
  <si>
    <t>בשלב הקפאת תצורה</t>
  </si>
  <si>
    <t>WBE-281</t>
  </si>
  <si>
    <t>מודיעין – התקנת שנאי שישי (525) 50 מגוו"א.</t>
  </si>
  <si>
    <t>התקבל תכנון עבור מסדר מ"ג. חשמול המסדר מתוכנן ל 9/2026. כ"כ ותכניות הועברו לבחינת הפיקוח RFT ראשוני בוצע.  עיכוב בביצוע חפירות גישוש עכב דרישות התחמ"ש</t>
  </si>
  <si>
    <t>התחלת עבודות על מסדר מ"ג 7/6/26, חשמול המסדר מתוכנן ל 9/2026.             לפי החלטת הנהלה עוברים להסכם שו"ש דרום, כ"כ יוסב בהקדם. ממתינים לבחירת קבלן ועליה לשטח.</t>
  </si>
  <si>
    <t>התחלת עבודות על מסדר מ"ג 7/6/26, חשמול המסדר מתוכנן ל 9/2026.             התחלת עבודה קבלן-יולי 2026</t>
  </si>
  <si>
    <t>התחלת עבודות על מסדר מ"ג 7/6/26, עיכוב של חודש באספקת המסדר,          חשמול המסדר מתוכנן ל 10/26.  התחלת עבודה קבלן-יולי 2026</t>
  </si>
  <si>
    <t>התחלת עבודות על מסדר מ"ג 7/6/26, עיכוב של חודש באספקת המסדר. חשמול המסדר מתוכנן ל 10/26.  התחלת עבודה קבלן-יולי 2026</t>
  </si>
  <si>
    <t>התחלת עבודות על מסדר מ"ג 7/6/26, עיכוב של חודש באספקת המסדר.                               חשמול המסדר מתוכנן ל 11.26.  התחלת עבודה קבלן-יולי 2026</t>
  </si>
  <si>
    <t>התחלת עבודות על מסדר מ"ג ממתין לבודקים של אפרת                                                                      חשמול המסדר מתוכנן ל 11.26.  התחלת עבודה קבלן-יולי 2027</t>
  </si>
  <si>
    <t>WBE-198</t>
  </si>
  <si>
    <t>לוד-הוספת שנאי שישי  (525) 161/24 ק"ו 50 מגוו"א</t>
  </si>
  <si>
    <t>פרויקט הרכבת-בהמתנה להסכם משפטי. כ"כ מתוכנן ליוני 2026 פרויקט הוספת השנאי יתבצע במקביל לפרויקט הרכבת,.</t>
  </si>
  <si>
    <t xml:space="preserve"> כ"כ מתוכנן ליוני 2026 פרויקט הוספת השנאי יתבצע במקביל לפרויקט הרכבת,.</t>
  </si>
  <si>
    <t xml:space="preserve"> כ"כ מתוכנן ליולי 2026 פרויקט הוספת השנאי יתבצע במקביל לפרויקט הרכבת,.</t>
  </si>
  <si>
    <t xml:space="preserve"> לקראת RFT סופי, פרויקט הוספת השנאי יתבצע במקביל לפרויקט הרכבת,.</t>
  </si>
  <si>
    <t xml:space="preserve"> לקראת RFT  סופי, פרויקט הוספת השנאי יתבצע במקביל לפרויקט הרכבת,.</t>
  </si>
  <si>
    <t>ממתינים כשבועיים לנספח 5 מהפיקוח</t>
  </si>
  <si>
    <t>חסר נספח 5</t>
  </si>
  <si>
    <t>WBE-216</t>
  </si>
  <si>
    <t>כנות-התקנת שנאי שלישי 161/24 ק"ו 50 מו"א</t>
  </si>
  <si>
    <t>בשלבי תכנון, באיחור משמעותי של תכנון  ייצור. מתבצעת הערכות למסירת מסדר מ"ג לקראת ינואר 2027. אין מועד ברור לסיום התכנון.</t>
  </si>
  <si>
    <t>באיחור משמעותי של תכנון  ייצור. מתבצעת הערכות למסירת מסדר מ"ג לקראת ינואר 2027. ,תכנון הועבר לבדיקת הפיקוח.</t>
  </si>
  <si>
    <t>באיחור משמעותי של תכנון  ייצור. מתבצעת הערכות למסירת מסדר מ"ג לקראת ינואר 2027. ,תכנון הועבר לבדיקת הפיקוח.בהמתנה לכתב כמיות מתוקן ומעודכן.</t>
  </si>
  <si>
    <t>באיחור משמעותי של תכנון  ייצור. מתבצעת הערכות למסירת מסדר מ"ג לקראת 11/2026. ,תכנון הועבר לבדיקת הפיקוח.בהמתנה לכתב כמיות מתוקן ומעודכן.</t>
  </si>
  <si>
    <t>באיחור משמעותי של תכנון  ייצור. מתבצעת הערכות למסירת מסדר מ"ג לקראת 11/2026. בהמתנה ל RFT סופי .</t>
  </si>
  <si>
    <t>לקראת בחירת קבלן ועליה לקרקע.</t>
  </si>
  <si>
    <t>לקראת עליה לקרקע.</t>
  </si>
  <si>
    <t>WBM-10482</t>
  </si>
  <si>
    <t>גזר-
ST-1 התקנת מסדר 24 ק"ו, פ"צ 4, השלמת מערכת SCS במסדרי 161 ו 400 ק"ו.
ST-2 החלפת 2 מסדרי מ"ג ומערכת SCS</t>
  </si>
  <si>
    <t>התקבל RTF ויציאה להליך לבחירת קבלן</t>
  </si>
  <si>
    <t>התחלת עבודות קבלן 7/2026</t>
  </si>
  <si>
    <t>התחלת עבודות קבלן אזרחי 7/2026</t>
  </si>
  <si>
    <t>התחלת עבודות קבלן אזרחי 7/2027</t>
  </si>
  <si>
    <t>התחלת עבודות קבלן אזרחי מתעכבת לאחר סרוב הקבלן  7/2026</t>
  </si>
  <si>
    <t>התחלת עבודות קבלן אזרחי עדיין מתעכבת לאחר סרוב הקבלן  7/2026</t>
  </si>
  <si>
    <t>בחירת קבלן מתעכבת מעל חודשיים לאחר סרוב שני קבלנים .</t>
  </si>
  <si>
    <t>עדיין לא נבחר קבלן</t>
  </si>
  <si>
    <t>גבעת שאול-הרחבת מסדר 161 ק"ו והתקנת שנאי רביעי</t>
  </si>
  <si>
    <t>התחלת עבודות הרכבת מסדר מ"ג. לחשמול המסדר ביולי 2026. מסדר מ"ג מוכן להתחלת בדיקות.ממתינים למבדקת תחמ"ש ירושלים</t>
  </si>
  <si>
    <t xml:space="preserve">מסדר מ"ג מוכן, ממתין לבדיקות חשמל. חשמול המסדר ביולי 2026. מסדר מ"ג </t>
  </si>
  <si>
    <t xml:space="preserve">מסדר מ"ג מוכן, ממתין לבדיקות. חשמול המסדר  8/2026 </t>
  </si>
  <si>
    <t>מסדר מ"ג מוכן, ממתין לבדיקות. חשמול המסדר  8/2026</t>
  </si>
  <si>
    <t>מסדר מ"ג מוכן, ממתין לבדיקות. חשמול המסדר  20/8/26</t>
  </si>
  <si>
    <t>מסדר מ"ג מוכן, בשלב בדיקות. חשמול המסדר  20/8/26</t>
  </si>
  <si>
    <t>מסדר מ"ג מוכן, בשלב בדיקות. חשמול המסדר  8/2026</t>
  </si>
  <si>
    <t xml:space="preserve">מסדר מ"ג מוכן, בשלב בדיקות. חשמול המסדר  נדחה עכב שינוי בצורך המרחב ל 1.1.27 </t>
  </si>
  <si>
    <t>מסדר מ"ג מוכן, בשלב בדיקות. חשמול המסדר  נדחה עכב שינוי בצורך המרחב ל 1.1.27</t>
  </si>
  <si>
    <t>בהמתנה למבדקת התחמ"ש לאחר שחשמול המסדר  נדחה עכב שינוי בצורך המרחב ל 11/26.                מסדר 161 עדיין לא סופק, אין תאריך יעד לאספקה. בנוסף קיים חוסר בסוללות קבלים.</t>
  </si>
  <si>
    <t>נדרש תיעדוף מבדקת תחמ"ש בבדיקות הכנסה לניצול של מסדר מ"ג חדש לצורך התחייבות לחיבור משרד הבטחון</t>
  </si>
  <si>
    <t>WBE-261</t>
  </si>
  <si>
    <t>ביתר – הוספת שנאי רביעי  36KV 50 MVA</t>
  </si>
  <si>
    <t>בהמתנה לתיקון היצרן בשלושה תאים מרעישים במסדר מ"ג. נדרש סיום בדיקות תחמ"ש ירושלים.</t>
  </si>
  <si>
    <t xml:space="preserve"> ממתין להשלמת בדיקות מבדקת תחמ"ש ירושלים.</t>
  </si>
  <si>
    <t xml:space="preserve"> ממתין להשלמת בדיקות מבדקת תחמ"ש ירושלים.צפי חשמול 10/11/2026</t>
  </si>
  <si>
    <t xml:space="preserve"> ממתין להשלמת בדיקות מבדקת תחמ"ש ירושלים.צפי חשמול 31/10/2026</t>
  </si>
  <si>
    <t xml:space="preserve"> איחור בחשמול ללא ביצוע בדיקות תחמ"ש ירושלים</t>
  </si>
  <si>
    <t>WBC-031</t>
  </si>
  <si>
    <t>בית וגן - הקמת תחמ"ש פנימית 161/24 ק"ו</t>
  </si>
  <si>
    <t>בתהליך תכן להיתר, לקראת יציאה למכרז.</t>
  </si>
  <si>
    <t>בתהליך תכן להיתר, הועבר למכרזים לפני יציאה למכרז.</t>
  </si>
  <si>
    <t>בתהליך תכן להיתר, הועבר למכרזים לקראת יציאה למכרז.</t>
  </si>
  <si>
    <t>בתהליך תכן להיתר, הועבר למכרזים לקראת יציאה למכרז. סיור קבלנים 17/8/26</t>
  </si>
  <si>
    <t>לקראת סיום תכן להיתר, הועבר למכרזים לקראת יציאה למכרז. סיור קבלנים 17/8/26</t>
  </si>
  <si>
    <t>WBM-40136</t>
  </si>
  <si>
    <t>רמת גן- משיק כבל-התאמת ציוד לז"ק 50 ק"א</t>
  </si>
  <si>
    <t xml:space="preserve">בוצע הקפאת תצורה </t>
  </si>
  <si>
    <t>בוצע הקפאת תצורה ממתין לתכנון סופי</t>
  </si>
  <si>
    <t>WBJ-003</t>
  </si>
  <si>
    <t>תחמ"ג ירושלים</t>
  </si>
  <si>
    <t>התקיימה פגישת הצגת תכנון א"מ של מובל ומבנה 161 ק"ו טרם העברה לתכנון אזרחי מפורט. יש מס' סוגיות הדורשות התייחסות מעמיקה - צפויות להיות ישיבות נוספות ולקראת סוף חודש יוני 26 ניתן יהיה (כנראה) להעביר לתכנון אזרחי מפורט. מסמך זכויות על קרקע של חוות הסוסים - לאחר שלא נענתה בטלפון, שלחה עו"ד מיכל שרעבי מייל המפרט את הדרישות שלנו לגבי הצגת בעלות על הקרקע לעו"ד המייצגת את בעל החווה. ללא אישור על בעלות - לא ניתן יהיה להתקדם עם הסכם ביננו. תוכנית שלביות העתקת מעגלי 161 ק"ו הכוללת סכימה חדש קווית לכל שלב נשלחה לפיקוח הולכה להציג לנגה ולקבל הסכמתם. לאחר בחינת המלצות יועץ קרקע שני - יוצג לבוריס אוירינג נושא המובל והכלונסאות על מנת לבחור דרך עדיפה לנו.</t>
  </si>
  <si>
    <t>התקיימה פגישת הצגת תכנון א"מ של מובל ומבנה 161 ק"ו טרם העברה לתכנון אזרחי מפורט. יש מס' סוגיות הדורשות התייחסות מעמיקה - ישיבת המשך ביום 27.5. מסמך זכויות על קרקע של חוות הסוסים - לאחר שלא נענתה בטלפון, שלחה עו"ד מיכל שרעבי מייל המפרט את הדרישות שלנו לגבי הצגת בעלות על הקרקע לעו"ד המייצגת את בעל החווה. ללא אישור על בעלות - לא ניתן יהיה להתקדם עם הסכם ביננו. תוכנית שלביות העתקת מעגלי 161 ק"ו הכוללת סכימה חדש קווית לכל שלב נשלחה לפיקוח הולכה להציג לנגה ולקבל הסכמתם. לאחר בחינת המלצות יועץ קרקע שני - יוצג לבוריס אוירינג נושא המובל והכלונסאות על מנת לבחור דרך עדיפה לנו. התקבלו דרישות מיגון מבנה 400 ק"ו. טרם ישיבת התנעה בעוד שבועיים, נקיים ישיבה מקדימה לבחינת המשמעות על התכנון והביצוע.</t>
  </si>
  <si>
    <t>ישיבת המשך להצגת תכנון א"מ תתקיים בשבוע הבא עקב מס' נושאים שעדיין בטיפול. התקיימה פגישת התנעת תכנון 400 ק"ו. לקראת פגישה עם אדריכלית העיר ירושלים - הצגת תכנון אדריכלות ונוף. מסמך זכויות בעלות על קרקע חוות הסוסים עדיין לא התקבלה. בשבוע הבא ישיבת תכנון להצגת תכנון מעודכן העקבות חחו"ד שנייה של יועץ קרקע. התקבל מסמך מעודכן מנגה בנושא דרישות מיגון מבנה 400 ק"ו - המשמעויו יפורט בפגישה שמתוכננת בשבוע הבא.</t>
  </si>
  <si>
    <t>התקיימה ישיבת המשך התנעת תכנון. ממתינים לאישור רשמי של רת"ק לפריסת כבלים במבנה 161. לגבי מזגנים במבנה - נדון בפגישה נפרדת. יח' תחמ"ש דרשו פתרון אחר לסולם מילוט צפוני - הוצע פתרון הנדסי. נדרש לקבל החלטה ניהולית. היתר חפירה לקראת וועדה בעוד שבועיים (אחרי מילוי כל ההערות שהתקבלו). קבלן אזרחי לתשתיות עדיין לא התחיל עבודתו.</t>
  </si>
  <si>
    <t>היתר חפירה לקראת דיון בוועדה בשבוע הבא. קבלן אזרחי לתשתיות צפוי להתחיל עבודתו השבוע. בישיבת סמנכ"ל - הוחלט לקיים דיון בראשותו בנושא הסכם עם חוות הסוסים. הוגשה בקשה להפסקות מעגלי מ"ע לאפריל 2027 לצורך תמיכת עמוד 11001. ב 21.6 פגישה לפתרון שלביות כיבוי אש לשלב 161 ק"ו. ב-22.6 פגישת עדכון סטטוס ציוד 400 ק"ו.</t>
  </si>
  <si>
    <t>היתר חפירה לקראת דיון בוועדה בשבוע זה. קבלן אזרחי לתשתיות צפוי להתחיל עבודתו ביום 28.6.26.  בישיבת סמנכ"ל - הוחלט לקיים דיון בראשותו בנושא הסכם עם חוות הסוסים. הוגשה בקשה להפסקות מעגלי מ"ע לאפריל 2027 לצורך תמיכת עמוד 11001. ב 21.6 פגישה לפתרון שלביות כיבוי אש לשלב 161 ק"ו. ב-חודש יולי פגישת עדכון סטטוס ציוד 400 ק"ו.</t>
  </si>
  <si>
    <t>היתר חפירה נדון בוועדה בשבוע שעבר - עדיין אין עדכון. קבלן אזרחי לתשתיות התחיל עבודתו ביום 28.6.26.  בישיבת סמנכ"ל - הוחלט לקיים דיון בראשותו בנושא הסכם עם חוות הסוסים. הוגשה בקשה להפסקות מעגלי מ"ע לאפריל 2027 לצורך תמיכת עמוד 11001. ב 21.6 פגישה לפתרון שלביות כיבוי אש לשלב 161 ק"ו. ב-חודש יולי פגישת עדכון סטטוס ציוד 400 ק"ו.</t>
  </si>
  <si>
    <t>קבלן אזרחי לתשתיות התחיל עבודתו ביום 28.6.26. מחוז ים' צפויים להתחיל חפירות מחוץ לתחמ"ש בעוד שבועיים וחצי - העבודה נדרשת להיות מתואמת יחד עם הקבלן שלנו בתחמ"ש כפי שסוכם. ביום 15.7 יתקיים דיון בראשות סמנכ"ל  בנושא הסכם עם חוות הסוסים. הוגשה בקשה להפסקות מעגלי מ"ע לאפריל 2027 לצורך תמיכת עמוד 11001. ב 9.7 פגישה לפתרון שלביות כיבוי אש לשלב 161 ק"ו. אתמול התקיימה פגישת עדכון סטטוס ציוד 400 ק"ו + 161 ק"ו. עדיין לא סוכם עם מתכנני הולכה אופן הכנסת כבלים מ"ע באופן כולל - הדבר נדרש על מנת להעביר תוכניות אזרחיות להיתר.</t>
  </si>
  <si>
    <t>השבוע דווח ע"י אגף רשת ירושלים "התנגשות" בתכנון תשתית הכבלים שלהם עם תשתיות של העירייה - זה חסם משמעותי לקידום עבודות הקבלן. נקיים פגישה בסופש להבנת תמונת המצב. קבלן אזרחי ממשיך בעבודות התשתית. פגיעות קבלים עיכבו את עבודתו. צפי לסיום העבודות 4.8.26. בישיבה אצל הסמנכל הוחלט להגיע להסכמה עם בעל חוות הסוסים לגבי פיצוי כספי מוסכם.הועבר עו"ד מיכל שרעבי סעיף תקציבי לייעוץ  שמאי אלמנטרי.  עדיין לא התחילו ביצוע רשת ירושלים את החפירות עבור העתקות התשתית מחוץ לתחמ"ש. פגישת הצגת תכנון נוף לאדריכלית העיר נקבעה לתחילת ספטמבר 26. בישיבת תאום בין מנהלי פרוייקטים של ההולכה - נדרש לדייק לוז של המובל, להציג שלביות העתקות 161 ק"ו ולתאם מעגלים חדשים - מסעפים מצפון - תוזמנו פגישות המשך.</t>
  </si>
  <si>
    <t>המשך עבודות תשתית. בשבוע הבא עוברים לביצוע יעד 2 - 40 צינורות מול מבנה 36. בגיבוש תכנון ההתנגשות עם תשתיות עיריית ים' מחוץ לתחמ"ש - נדרש אישור מתכנן תחמש ומהנדס תפעול ים'. התקיימה פגישת תאום לוז עם ההולכה - לקראת הצגת לוז אינטגרטיבי. התקיימה פגישה בין חחי לבין שמאי אלמנטרי - נקדם פגישה מקדימה וופגישה בחוות הסוסים לצורך קבלת הערכה מקצועית וזאת לקבל פיצוי כספי מוסכם ללא הוכחת בעלות. הועברה בקשה לתכנון אזרחי לתכנון למכרז לאחר השלמות פרטים והתייחסות להערות של יח' תחמש וההולכה.</t>
  </si>
  <si>
    <t>התגבש פתרון להתנגשות עם תשתיות עירוניות.- ייסגר בסיור ביום 13.8 - דורש אישור יח' תחמ"ש לביצוע מופות בתוך התחמ"ש. השבוע צפויה להתחיל עבודות חפירה של 40 צינורות. ב-20.8 פגישה עם שמאי אלמנטרי בחוות הסוסים - לצורך חוות דעת מקצועית לחחי לקידום הסכם עם חוות הסוסים. ביום 9.8 התקיימה פגישה עם מהנדס העיר - הוצגו פרוייקט התחמג והמשיקים. הודגש חשיבות הפרוייקט לעיר ירושלים. מהנדס העיר הציע לקיים איתנו פגישה חודשית להסרת חסמים. הועלתה סוגיית חוות הסוסים - במידה ונדרוש הוא יסייע. ב-3.9 תתקיים פגישה עם תכנון נוף ואדריכלית הפרוייקט יחד עם אדריכלית העיר ירושלים.</t>
  </si>
  <si>
    <t>עבודות תשתית יעד 1 לקראת סיום. בשבוע הבא מתחילים יעד 2 - חפירות בחוץ ובפנים לקראת הטמנת 40 צינורות והעתקות קווי מ"ג. ביום 13.8 קיימנו סיור לפתרון "התנגשות" עם תשתית עירונית מחוץ לתחמ"ש. הנושא בטיפול מחוז ים'. במידת הצורך, יעברו בתוך התחמ"ש ומתחת לשער החירום. התקיימה פגישת תאום אחרונה כולל נציגי בטיחות וקבלן של מחוז ים' ומהנדסת האגף. העבודה מתואמת. מחוז ים' מתחיל חפירות בשבוע הבא. אנחנו מתחילים שבוע אחריו. התקיימה ישיבת תכנון להפסקות שנאים והעתקות קווי מ"ג כולל תאיכים מדוייקים. הפסקות השנאים באחריות יח' תחמש. ביום 20.8 פגישה באתר עם שמאי אלמנטרי ואח"כ פגישה בחוות הסוסים לקבלת חוות דעת להסדר. ב-3.9 תתקיים פגישה עם אדריכלית העיר להצגת תכנון כולל בתחמ"ש ומחוצה לו. בשבוע שעבר בפגישה עם מהנדס העיר יואל אבן הוצגה חשיבות התחמ"ג. סוכם על פגישות חודשיות לקידום הפרויקטיים של ירושלים עם מהנדס העיר.</t>
  </si>
  <si>
    <t>קבלת סל מידע מנגה לצורך השלמת תכנון תקשורת והעברת קווי מג בספטמבר 26</t>
  </si>
  <si>
    <t>WBM-40475</t>
  </si>
  <si>
    <t>הכפר הירוק-הח' 2 מ"ז ,2 בושינג(7,9) מהדק</t>
  </si>
  <si>
    <t xml:space="preserve">אין שינוי : העבודה הופסקה בשלב ביצוע. החלה העבודה בשדה 7. עם פירוק הציוד התברר כי יש אי התאמה בין הציוד החדש לישן. GE איתרו חלק וינסו להביאו. נכון לתאריך 28.1 העבודה באתר הופסקה והצוותים יצאו. התקבל עדכון מ GE שהמתאם מוכן למשלוח. בבירור מולם נושא המשלוח. GE הודיעו שכרגע לא יכולים לתת תאריכים מעודכנים להגעת מומחה להמשך עבודה בפרויקט זה. נדרש לבחון עם הגעת החלק האם מתקדמים בפרויקט ללא מומחה. </t>
  </si>
  <si>
    <t xml:space="preserve">העבודה הופסקה בשלב ביצוע. החלה העבודה בשדה 7. עם פירוק הציוד התברר כי יש אי התאמה בין הציוד החדש לישן. GE איתרו חלק וינסו להביאו. נכון לתאריך 28.1 העבודה באתר הופסקה והצוותים יצאו. ציוד הגיע לארץ!!! .מחכים לקבלת תשובות מ- GE  להגעת מומחה להמשך עבודה בפרויקט זה. </t>
  </si>
  <si>
    <t>ציוד הגיע לארץ והוחלט לבצע את הפרויקט ללא נוכחות מומחה. ישיבה עם כל הגורמים המעורבים נקבעה ל 5.7 על מנת לתאם זמנים</t>
  </si>
  <si>
    <t xml:space="preserve">ציוד הגיע לארץ והוחלט לבצע את הפרויקט ללא נוכחות מומחה.בישיבה לתיאום העבודה מהיום הוחלט לקדם את העבודה בשדה 7 החל מה 19.7. תיאום המשך העבודה בשדה 9 יעשה לאחר התייחסות GE גם למ"ז שנמצא תקול. </t>
  </si>
  <si>
    <t xml:space="preserve">התקיימה ישיבה מול GE ב 16.7. ביקשו לתת תמיכה מרחוק ולדחות את תחילת העבודה ל 26.7. תיאום המשך העבודה בשדה 9 יעשה לאחר התייחסות GE גם למ"ז שנמצא תקול. </t>
  </si>
  <si>
    <t>החלה העבודה בשדה 7 של ה.חשמלית צפון ויחידת התחמ"ש. תמיכה מרחוק של GE</t>
  </si>
  <si>
    <t xml:space="preserve">שדה 7- 3.8 מתבצעות בדיקות מתח יתר. תצא פניה לוועדת שינויים להחלפת מגני ברק בשדות 7+9 ולטובת פירוק משנק בשדה 7. ה.חשמלית תתוזמן בהמשך עם קבלת אישור לשינוי תכולת הפרויקט וקבלת חבילת עבודה.  שדה 9 - מחכים למענה מ GE. </t>
  </si>
  <si>
    <t xml:space="preserve">היום 18.08.26 מתקיימת ועדת שינויים לגבי החלפת מגני ברק בשדה 7.  שדה 9 - מחכים למענה מ GE. </t>
  </si>
  <si>
    <t>יש אישור מועדת שינויים להחלפת מגיני ברק. יעבור לתכנון להשלמת תכנון ותמיכה</t>
  </si>
  <si>
    <t>ציוד לא תואם , קבלת תמיכה מ GE בהתאם למתחייב</t>
  </si>
  <si>
    <t>WBC-084</t>
  </si>
  <si>
    <t>סירקין- הקמת תחמ"ש פנימית  161/24 ק"ו</t>
  </si>
  <si>
    <t>פגישה עם הות"ל הועברה לתאריך 11.6 לבקשתם. קידוחי נסיון לא החלו בשל בעיה ביטוח של הקבלן הנבחר. בטיפול מחלקת בניין צפון</t>
  </si>
  <si>
    <t>פגישה עם הות"ל הועברה לתאריך 14.6 לבקשת אביב שניידר. קידוחי נסיון החלו ב 07.06</t>
  </si>
  <si>
    <t xml:space="preserve">התקיימה היום ישיבה מול הות"ל. קידוחי נסיון נמשכים בשטח. </t>
  </si>
  <si>
    <t xml:space="preserve">קידוחי נסיון ןנמשכים - חל עיכוב , עבודה איטית מאוד של הקבלן. </t>
  </si>
  <si>
    <t xml:space="preserve">קידוחי נסיון נמשכים - חל עיכוב , עבודה איטית מאוד של הקבלן. במקביל תתואם פגישה מול מהנדס עיריית פ"ת. </t>
  </si>
  <si>
    <t>הסתיימו קידוחי נסיון. צפי לקבלת תכנון להיתר סוף יולי</t>
  </si>
  <si>
    <t>צפי לקבלת תכנון להיתר סוף יולי. צפי הגשת בקשה להיתר 10/26</t>
  </si>
  <si>
    <t>תוכניות תכנון להיתר נשלחו לאישור אלקטרומכני. צפי הגשת בקשה 10/2026</t>
  </si>
  <si>
    <t>עמידה בלו"ז, גישה לעבודות דרך המושב או לחילופין הבסיס הצבאי</t>
  </si>
  <si>
    <t>WBE-314</t>
  </si>
  <si>
    <t>בית יהושוע הוספת מסדר מ"ג 4</t>
  </si>
  <si>
    <t>התחילו  עבודות על מסדר מ"ג חשמול מתוכנן ל15/7/26</t>
  </si>
  <si>
    <t>התחילו  עבודות על מסדר מ"ג, התחלת בדיקות 7/6/26 חשמול מתוכנן ל15/7/27</t>
  </si>
  <si>
    <t>התחילו  עבודות על מסדר מ"ג, התחלת בדיקות 7/6/26 חשמול מתוכנן ל15/7/26</t>
  </si>
  <si>
    <t xml:space="preserve"> הסתיימו בדיקות הרכבה חשמלית למסדר מ"ג , ממתין למבדקת תחמ"ש דן וחוף שעדיין לא התחילו.</t>
  </si>
  <si>
    <t xml:space="preserve"> הסתיימו בדיקות הרכבה חשמלית למסדר מ"ג , חשמול מתוכנן 8/2026</t>
  </si>
  <si>
    <t xml:space="preserve"> בשלב בדיקות תחמ"ש דן וחוף למסדר מ"ג , חשמול מתוכנן 8/2026</t>
  </si>
  <si>
    <t xml:space="preserve"> בשלב בדיקות תחמ"ש דן וחוף למסדר מ"ג , חשמול מתוכנן 9/2026                                                           תכנון תקשורת הגיע ב 16/8/26.</t>
  </si>
  <si>
    <t xml:space="preserve"> בשלב בדיקות תחמ"ש דן וחוף למסדר מ"ג , חשמול מתוכנן 9/2026  תכנון תקשורת הגיע ב 16/8/26.</t>
  </si>
  <si>
    <t>WBD-126</t>
  </si>
  <si>
    <t>בית יהושוע- הוספת ניידת 20</t>
  </si>
  <si>
    <t>בוצע סיור להקפאת תצורה מתקדמים לביצוע לפי לו"ז מתוכנן 6/2027</t>
  </si>
  <si>
    <t>בוצע סיור להקפאת תצורה, בהמתנה להקצאת ניידת.</t>
  </si>
  <si>
    <t>בהמתנה להקצאת ניידת.</t>
  </si>
  <si>
    <t>לקראת הקפאת תצורה  7/9/26</t>
  </si>
  <si>
    <t>WBE-294</t>
  </si>
  <si>
    <t>בית שמש-התקנת שנאי שלישי161/24 ק"ו 50 מגוו"א</t>
  </si>
  <si>
    <t>בוצע סיור  לתחילת התכנון</t>
  </si>
  <si>
    <t>בתכנון אלק"מ</t>
  </si>
  <si>
    <t>הקפאת תצורה בתאריך  21/6/26</t>
  </si>
  <si>
    <t>הקפאת תצורה בתאריך  21/6/27</t>
  </si>
  <si>
    <t>בוצעה הקפאת תצורה, ממתין לתכנון אלק"מ</t>
  </si>
  <si>
    <t>WBM-40158</t>
  </si>
  <si>
    <t>סתריה - שדרוג שדות קו 15,16 ליכולת 1440א'</t>
  </si>
  <si>
    <t>בהמתנה לעדכון תכנון בהתאם לעדכון תכולה</t>
  </si>
  <si>
    <t>מוכנים להתחלת עבודות בסתיו הקרוב כתלות במתן הפסקות.</t>
  </si>
  <si>
    <t>מוכנים להתחלת עבודות בסתיו הקרוב, לא הוזמנה הפסקה ע"י יחידת התחמ"ש.</t>
  </si>
  <si>
    <t>מוכנות להתחלת עבודות בסתיו הקרוב, לא הוזמנה הפסקה ע"י יחידת התחמ"ש.</t>
  </si>
  <si>
    <t>מוכנות להתחלת עבודות בסתיו הקרוב, לא בסידור עבודה של יחידת התחמ"ש.</t>
  </si>
  <si>
    <t>לא הוזמנה הפסקה לסתיו הקרוב</t>
  </si>
  <si>
    <t xml:space="preserve">קדם ניידות </t>
  </si>
  <si>
    <t xml:space="preserve">נמצאת בגן שורק
מוכנה לשימוש
</t>
  </si>
  <si>
    <t>ניידת 44</t>
  </si>
  <si>
    <t>נמצאת בשפיים
מוכנה לשימוש</t>
  </si>
  <si>
    <t>ניידת 45</t>
  </si>
  <si>
    <t>ניידת 46</t>
  </si>
  <si>
    <t>באר שבע צפון
הושלמו בדיקות החירום
החלו בדיקות הכנסה לניצול מלאות</t>
  </si>
  <si>
    <t>באר שבע צפון
מוכנה לשימוש</t>
  </si>
  <si>
    <t>ניידת 47</t>
  </si>
  <si>
    <t>ניידת 48</t>
  </si>
  <si>
    <t>נמצאת בזבולון 
בשלבי סיום בדיקות
- בעיה במחשב - בטיפול מול היצרן</t>
  </si>
  <si>
    <t>עברה לשטח הפרויקט בכרמיאל</t>
  </si>
  <si>
    <t>ניידת 49 חירום</t>
  </si>
  <si>
    <t>נמצאת בזבולון.
 המסדר שפורק נשלח לחו"ל 11.05.2026</t>
  </si>
  <si>
    <t>ניידת 50</t>
  </si>
  <si>
    <t>נמצאת ברידינג 
מוכנה לשימוש</t>
  </si>
  <si>
    <t>ניידת 51</t>
  </si>
  <si>
    <t>חושמלה</t>
  </si>
  <si>
    <t>ניידת 60</t>
  </si>
  <si>
    <t>נמצאת בשטח 6 
מוכנה לשימוש</t>
  </si>
  <si>
    <t xml:space="preserve">נמצאת בשטח 6 
מוכנה לשימוש
</t>
  </si>
  <si>
    <t>הניידת ללא הזנה חשמלית בעקבות תקלה במערכת החשמל בשטח 6 - מהווה סיכון לזמינות הציוד</t>
  </si>
  <si>
    <t>ניידת 61</t>
  </si>
  <si>
    <t xml:space="preserve">נמצאת בשטח 6 
מוכנה לשימוש
עברה מבחן רישוי </t>
  </si>
  <si>
    <t>ניידת 62</t>
  </si>
  <si>
    <t>ניידת 63</t>
  </si>
  <si>
    <t>בעקבות אירוע קצר פרצה שרפה בניידת .נותקו ארונות חלוקה ומ"ג</t>
  </si>
  <si>
    <t xml:space="preserve">נקבעה ישיבה לתאריך 13/8/26 לשיקום הניידת עם מחלקת ציוד ומטה תחמש </t>
  </si>
  <si>
    <t>ב 13/08/2026 נערכה ישיבה בנושא שיקום הניידת.. מחלקת ציוד תפנה ליצרן לאומדן נזקים.
מחכים להנחיות של בודק שרפות שיגיע ב 19/08/2026 לבחון את הנזק.</t>
  </si>
  <si>
    <t>ב 19.08.2026 הגיע בוחן שריפות - מחכים לדוח</t>
  </si>
  <si>
    <t>ניידת 64</t>
  </si>
  <si>
    <t>ניידת 65</t>
  </si>
  <si>
    <t>ניידת 66</t>
  </si>
  <si>
    <t xml:space="preserve">נמצאת ברוטנברג
בסיום עבודות הרכבה חשמלית במקביל לבדיקות
</t>
  </si>
  <si>
    <t>נמצאת ברוטנברג
מוכנה לשימוש</t>
  </si>
  <si>
    <t>ניידת 67</t>
  </si>
  <si>
    <t>ניידת 68</t>
  </si>
  <si>
    <t>ניידת 69</t>
  </si>
  <si>
    <t xml:space="preserve"> נמצאת במחסן נגב והערבה</t>
  </si>
  <si>
    <t xml:space="preserve"> נמצאת במחסן נגב והערבה
ממתינים להחלטת הנהלה בנוגע למילוי שמן</t>
  </si>
  <si>
    <t xml:space="preserve">הרכבה חשמלית התחילו לעבוד על הניידת </t>
  </si>
  <si>
    <t xml:space="preserve">חצור
הרכבה חשמלית התחילו לעבוד על הניידת </t>
  </si>
  <si>
    <t>חירום</t>
  </si>
  <si>
    <t>ניידת 70</t>
  </si>
  <si>
    <t>ניידת 71</t>
  </si>
  <si>
    <t>ניידת 56</t>
  </si>
  <si>
    <t>Kontrolmatik
נמצאת בעין חרוד 
ב 10.05.2026 החלו עבודות הרכבה
מתקיים תהליך מול היצרן לתיאום תיקונים נדרשים</t>
  </si>
  <si>
    <t>Kontrolmatik
נמצאת בעין חרוד 
ב 10.05.2026 החלו עבודות הרכבה
מתקיים תהליך מול היצרן לתיאום תיקונים נדרשים
ב 01.06.2026 נערכה ישיבה עם נציגי הרכש בה הוצגה הצעת מחיר לטיפול בליקויים בכל 4 הניידות - ההצעה תשלח לקונטרולמטיק</t>
  </si>
  <si>
    <t>Kontrolmatik
נמצאת בעין חרוד 
ב 10.05.2026 החלו עבודות הרכבה
תקלות יצרן במסדר 160 - בטיפול מחלקת ציוד</t>
  </si>
  <si>
    <t>Kontrolmatik
נמצאת בעין חרוד 
תקלות יצרן במסדר 160 - בטיפול מחלקת ציוד</t>
  </si>
  <si>
    <t>Kontrolmatik
נמצאת בעין חרוד 
תקלות יצרן במסדר 160 - בטיפול מחלקת ציוד
ב 12.07.2026 יערך סיור עם יצרן HITCHI</t>
  </si>
  <si>
    <t>Kontrolmatik
נמצאת בעין חרוד 
תקלות יצרן במסדר 160 - בטיפול מחלקת ציוד
ב 12.07.2026 נערך סיור עם יצרן - מחכים להתייחסותו HITCHI</t>
  </si>
  <si>
    <t>Kontrolmatik
נמצאת בעין חרוד 
תקלות יצרן במסדר 160 - בטיפול מחלקת ציוד
ב 12.07.2026 נערך סיור עם יצרן - ב 1/2/08/2026 נתקבל פרוטוקול מהיצרן  HITCHI</t>
  </si>
  <si>
    <t>קידום תיקון הליקויים מול היצרן</t>
  </si>
  <si>
    <t>ניידת 57</t>
  </si>
  <si>
    <t>ניידת 58</t>
  </si>
  <si>
    <t xml:space="preserve">Kontrolmatik
  נמצאת בתחמ"ג איילון
ב 05/05/2026 החלו בעבודות הרכבה מתקיים תיאום עם היצרן לתיאום תיקונים נדרשים
החלו עבודות ל מילוי גז </t>
  </si>
  <si>
    <t xml:space="preserve">Kontrolmatik
  נמצאת בתחמ"ג איילון
ב 05/05/2026 החלו בעבודות הרכבה מתקיים תיאום עם היצרן לתיאום תיקונים נדרשים
החלו עבודות ל מילוי גז
בעיה במאריק יציאה במסדר 170 - נקבעה פגישה עם היצרן ב 1.6.2026  </t>
  </si>
  <si>
    <t xml:space="preserve">Kontrolmatik
  נמצאת בתחמ"ג איילון
ב 05/05/2026 החלו בעבודות הרכבה מתקיים תיאום עם היצרן לתיאום תיקונים נדרשים
החלו עבודות ל מילוי גז
ב 01.06.2026 נערכה ישיבה עם נציגי הרכש בה הוצגה הצעת מחיר לטיפול בליקויים בכל 4 הניידות - ההצעה תשלח לקונטרולמטיק
יה במאריק יציאה במסדר 170 - נקבעה פגישה עם היצרן ב 1.6.2026  
</t>
  </si>
  <si>
    <t xml:space="preserve">Kontrolmatik
  נמצאת בתחמ"ג איילון
ב 05/05/2026 החלו בעבודות הרכבה מתקיים תיאום עם היצרן לתיאום תיקונים נדרשים
החלו עבודות ל מילוי גז
תקלות יצרן במסדר 160 - בטיפול מחלקת ציוד   
</t>
  </si>
  <si>
    <t xml:space="preserve">Kontrolmatik
  נמצאת בתחמ"ג איילון
תקלות יצרן במסדר 160 - בטיפול מחלקת ציוד   
</t>
  </si>
  <si>
    <t xml:space="preserve">Kontrolmatik
  נמצאת בתחמ"ג איילון
תקלות יצרן במסדר 160 - בטיפול מחלקת ציוד
התבצע סיור עם HITACHI - מחכים להנחיות   
</t>
  </si>
  <si>
    <t xml:space="preserve">Kontrolmatik
  נמצאת בתחמ"ג איילון
תקלות יצרן במסדר 160 - בטיפול מחלקת ציוד
התבצע סיור  HITACHI - מחכים להנחיות   
</t>
  </si>
  <si>
    <t xml:space="preserve">Kontrolmatik
  נמצאת בתחמ"ג איילון
תקלות יצרן במסדר 160 - בטיפול מחלקת ציוד
התבצע סיור עם יצרן - ב 1/2/08/2026 נתקבל פרוטוקול מהיצרן  HITACHI - מחכים להנחיות   
</t>
  </si>
  <si>
    <t xml:space="preserve">Kontrolmatik
  נמצאת בתחמ"ג איילון
תקלות יצרן במסדר 160 - ב 26.08.2026 יגיע מומחה לטיפול בתקלה  HITACHI - מחכים להנחיות   </t>
  </si>
  <si>
    <t>ניידת 59</t>
  </si>
  <si>
    <t xml:space="preserve">Kontrolmatik
  נמצאת בתחמ"ג איילון
ב 05/05/2026 החלו בעבודות הרכבה מתקיים תיאום עם היצרן לתיאום תיקונים נדרשים
החלו עבודות ל מילוי גז
ב 01.06.2026 נערכה ישיבה עם נציגי הרכש בה הוצגה הצעת מחיר לטיפול בליקויים בכל 4 הניידות - ההצעה תשלח לקונטרולמטיק </t>
  </si>
  <si>
    <t xml:space="preserve">Kontrolmatik
  נמצאת בתחמ"ג איילון
ב 05/05/2026 החלו בעבודות הרכבה מתקיים תיאום עם היצרן לתיאום תיקונים נדרשים
החלו עבודות ל מילוי גז
תקלות יצרן במסדר 160 - בטיפול מחלקת ציוד </t>
  </si>
  <si>
    <t xml:space="preserve">Kontrolmatik
  נמצאת בתחמ"ג איילון
תקלות יצרן במסדר 160 - בטיפול מחלקת ציוד </t>
  </si>
  <si>
    <t xml:space="preserve">Kontrolmatik
  נמצאת בתחמ"ג איילון
תקלות יצרן במסדר 160 - בטיפול מחלקת ציוד
התבצע סיור עם HITACHI - מחכים להנחיות    </t>
  </si>
  <si>
    <t xml:space="preserve">Kontrolmatik
  נמצאת בתחמ"ג איילון
תקלות יצרן במסדר 160 - בטיפול מחלקת ציוד
התבצע סיור  HITACHI - מחכים להנחיות    </t>
  </si>
  <si>
    <t xml:space="preserve">Kontrolmatik
  נמצאת בתחמ"ג איילון
תקלות יצרן במסדר 160 - בטיפול מחלקת ציוד
התבצע סיור עם יצרן - ב 1/2/08/2026 נתקבל פרוטוקול מהיצרן   HITACHI - מחכים להנחיות    </t>
  </si>
  <si>
    <t>WBM-40636</t>
  </si>
  <si>
    <t>הרצליה – הוספת 10 שדות מ"ג בעלי יציאות תת קרקעיות בכבלים</t>
  </si>
  <si>
    <t xml:space="preserve">הוקמה דרישה ועבר לרכש לבחירת קבלן. טיפול בהרשאה באחריות הנדסת רשת. </t>
  </si>
  <si>
    <t xml:space="preserve">הוקמה דרישה ועבר לרכש לבחירת קבלן. טיפול בהרשאה באחריות הנדסת רשת-נשלח לבדיקה חוזרת לקבלת הרשאה מנגה. </t>
  </si>
  <si>
    <t xml:space="preserve">צפי לסיור קבלנים 23.7. טיפול בהרשאה באחריות הנדסת רשת-נשלח לבדיקה חוזרת לקבלת הרשאה מנגה. </t>
  </si>
  <si>
    <t xml:space="preserve">צפי לסיור קבלנים 29.7. טיפול בהרשאה באחריות הנדסת רשת-נשלח לבדיקה חוזרת לקבלת הרשאה מנגה.  יש לקבל אישור מהרכבה חשמלית לגבי ציוד ותמיכות. יש לקבל תעדוף מהמחוז. </t>
  </si>
  <si>
    <t xml:space="preserve">בוצע סיור קבלנים ב 27.7. צפי לבחירת קבלן אמצע אוגוסט. התקבלה הרשאה מנגה לעבודה זו.  יש לקבל אישור מהרכבה חשמלית לגבי ציוד ותמיכות. יש לקבל תעדוף מהמחוז לגבי העדפתם לביצוע בהתאם ליציאות מ"ג. </t>
  </si>
  <si>
    <t xml:space="preserve">בוצע סיור קבלנים ב 27.7. צפי לבחירת קבלן אמצע אוגוסט. התקבלה הרשאה מנגה לעבודה זו.  יש לקבל אישור מהרכבה חשמלית לגבי ציוד ותמיכות. התקבל תעדוף מהמחוז לגבי העדפתם לביצוע בהתאם ליציאות מ"ג. </t>
  </si>
  <si>
    <t xml:space="preserve">בוצע סיור קבלנים ב 27.7. צפי לבחירת קבלן 9/26. התקבלה הרשאה מנגה לעבודה זו.  יש לקבל אישור מהרכבה חשמלית לגבי ציוד ותמיכות. התקבל תעדוף מהמחוז לגבי העדפתם לביצוע בהתאם ליציאות מ"ג. </t>
  </si>
  <si>
    <t>WBM-40287</t>
  </si>
  <si>
    <t>הרצליה -החלפת מ"ז,מנתק, משנק ב: 5,11,7-8</t>
  </si>
  <si>
    <t xml:space="preserve">נמצא בתכנון אלקטרומכני. מחכים לקבלת יעדי לו"ז. </t>
  </si>
  <si>
    <t xml:space="preserve">נמצא בתכנון אלקטרומכני. לא תהיה עבודה אזרחית. מחכים לקבלת חבילת מסירה להרכבה חשמלית. </t>
  </si>
  <si>
    <t xml:space="preserve">נמצא בתכנון אלקטרומכני. לא תהיה עבודה אזרחית. נשלחה חבילת מסירה עבור ייצור מבנה ברזל ב 09.06.26. חבילת מסירה להרכבה חשמלית ב 10.06.26. תתקיים ישיבה ב 18.06.26 להצגת הפרויקט ליחידת התחמ"ש ולתיאום לו"ז. </t>
  </si>
  <si>
    <t xml:space="preserve">הפרויקט הוצג להרכבה חשמלית ולתחמ"ש. ייכנס לתכנית הפסקות הקרובה ובהתאם תתואם העבודה. </t>
  </si>
  <si>
    <t xml:space="preserve">נשלחו תמיכות ברזל לייצור. ציוד נמצא במלאי. ייכנס לתכנית הפסקות הקרובה ובהתאם תתואם העבודה. </t>
  </si>
  <si>
    <t>קושי בקבלת הפסקות . יהיה צורך ככל הנראה במציאת גישורים ברשת. עמידה בלו"ז!</t>
  </si>
  <si>
    <t>WBM-10494</t>
  </si>
  <si>
    <t>מנחת-הוספת מכולה מס' 2 לניצול השנאי במלואו</t>
  </si>
  <si>
    <t>לא ניתן להתייחס כעת</t>
  </si>
  <si>
    <t xml:space="preserve">יש פגישה להצגת תוכנית הנחת כבלי מ"ג </t>
  </si>
  <si>
    <t>נקבעה הקפאת תצורה עבור העברת הכבלים יש RFT עבודה על נספח 5 החלה</t>
  </si>
  <si>
    <t xml:space="preserve">נמצא בבחירת קבלן </t>
  </si>
  <si>
    <t xml:space="preserve">לקראת RFT סופי </t>
  </si>
  <si>
    <t>לא נמצא פתרון להעברת קווי היציאות - יעלה לנושאים קריטיים</t>
  </si>
  <si>
    <t>לא נמצא פתרון להעברת קווי היציאות - יעלה לנושאים קריטיים ב- 23.7</t>
  </si>
  <si>
    <t>נמצא בבדיקה מול מנהל האגף לגבי האפשרויות להתקדם בפרויקט</t>
  </si>
  <si>
    <t>נקבע סיור  ל- 13.08 לקביעת אופן ביצוע קידוח אופקי</t>
  </si>
  <si>
    <t>מנהלת תכנון מ"ג מרחב ירושלים ונגב טרם נתנה תאריך להגעת הקודח.</t>
  </si>
  <si>
    <t>WBM-70025</t>
  </si>
  <si>
    <t>הרטוב - החלפת משנה זרם בשדה 9 משיק wbo-614</t>
  </si>
  <si>
    <t>התקיימה ישיבה - ממתינים לחבילות מסירה מסודרות</t>
  </si>
  <si>
    <t>הועברו חבילות לכתב כמויות</t>
  </si>
  <si>
    <t xml:space="preserve">הפרויקט הנ"ל </t>
  </si>
  <si>
    <t>מקודם יחד עם פרויקט שדה 5</t>
  </si>
  <si>
    <t>סוגיה של הכנת מזכר תיכנוני תדיין היום בפגישה ייעודית לטובת מציאת פתרון להכנת מזכר תיכנוני לגישורים</t>
  </si>
  <si>
    <t>WBM-70002</t>
  </si>
  <si>
    <t>החלפת מ"ז, מנתק ומשנק סשדה 5</t>
  </si>
  <si>
    <t>נקבע DR ל-26.07</t>
  </si>
  <si>
    <t>DR נדחה עקב אי וודאות לגבי ההפסקות תשובה תינתן עד סוף שבוע הבא 06.08</t>
  </si>
  <si>
    <t>DR נדחה עקב אי וודאות לגבי ההפסקות תשובה תינתן עד סוף שבוע הבא 11.08</t>
  </si>
  <si>
    <t>WBM-01447</t>
  </si>
  <si>
    <t>ירושלים ה-פירוק והתקנת סוללות קבלים עבור שנאים 511, 512, 513</t>
  </si>
  <si>
    <t>סוללות הקבלים מותקנות בשטח, נמצא בבדיקת תיעדוף אצל PMO חטיבתי</t>
  </si>
  <si>
    <t>סוללות הקבלים מותקנות בחלקה בשטח, נמצא בבדיקת תיעדוף אצל PMO חטיבתי</t>
  </si>
  <si>
    <t>סוללות הקבלים מותקנות בחלקה בשטח, נמצא בבדיקת תיעדוף אצל PMO חטיבתי עקב אי תיעדוף במבדקת תחמ"ש</t>
  </si>
  <si>
    <t>WBM-70040</t>
  </si>
  <si>
    <t>תעשיה אדומים – התקנת  12 מודולים של סק</t>
  </si>
  <si>
    <t>תיעדוף תכנון של הייצור סיום תכנון צפוי רק ב- 01.09.2026</t>
  </si>
  <si>
    <t>תיעדוף תכנון של הייצור סיום כתב כמויות צפוי  ב- 01.09.2026</t>
  </si>
  <si>
    <t>תיעדוף תכנון של הייצור סיום כתב כמויות צפוי ב- 01.09.2026</t>
  </si>
  <si>
    <t>התקבלה פניה מתכנון בייצור לגבי אי עמידה ביעדים של התכנון לאחר המתנה של כ-8 חודשים לבקשתם</t>
  </si>
  <si>
    <t>WBC-131</t>
  </si>
  <si>
    <t>תחמ"ש רעננה מערב</t>
  </si>
  <si>
    <t xml:space="preserve">עירית רעננה מקדמים סלילת כביש עוקף תחמ"ש 
נפתח תיק מידע 10/2/2026 
</t>
  </si>
  <si>
    <t xml:space="preserve">עירית רעננה מקדמים את סלילת הכביש עוקף תחמ"ש 
נפתח תיק מידע 10/2/2026 
</t>
  </si>
  <si>
    <t xml:space="preserve">עירית רעננה מקדמים את סלילת הכביש עוקף תחמ"ש 
זומנה ישיבה מול עיריית רעננה לבדיקת סטטוס הפרויקט בהתאם תיבחן מול נגה העברת הפרויקט לחח"י.
נפתח תיק מידע 10/2/2026 
</t>
  </si>
  <si>
    <t xml:space="preserve">עירית רעננה מקדמים את סלילת הכביש עוקף תחמ"ש 
זומנה ישיבה השבוע מול עיריית רעננה לבדיקת סטטוס הפרויקט בהתאם תיבחן מול נגה העברת הפרויקט לחח"י.
נפתח תיק מידע 10/2/2026 
</t>
  </si>
  <si>
    <t xml:space="preserve">עירית רעננה מקדמים את סלילת הכביש עוקף תחמ"ש 
זומנה ישיבה שנדחתה 28/06/2026 מול עיריית רעננה לתאום סופי לקידוחי ניסיון והצגת פתרונות תכנון
נפתח תיק מידע 10/2/2026 
</t>
  </si>
  <si>
    <t xml:space="preserve">עירית רעננה מקדמים את סלילת הכביש עוקף תחמ"ש 
התקיימה ישיבה  28/06/2026 מול עיריית רעננה לתאום סופי לקידוחי ניסיון והצגת פתרונות תכנון כביש גישה...
נדרש טיפול מול רמ"י בעניין שטחים
נפתח תיק מידע 10/2/2026 
</t>
  </si>
  <si>
    <t xml:space="preserve">עירית רעננה מקדמים את סלילת הכביש עוקף תחמ"ש 
התקיימה ישיבה  28/06/2026 מול עיריית רעננה לתאום סופי לקידוחי ניסיון והצגת פתרונות תכנון להעתקת כביש גישה...
נדרש טיפול מול רמ"י בעניין שטחים
נפתח תיק מידע 10/2/2026 
</t>
  </si>
  <si>
    <t xml:space="preserve">עירית רעננה מקדמים את סלילת הכביש עוקף תחמ"ש 
התקיימה ישיבה  28/06/2026 מול עיריית רעננה לתאום סופי לקידוחי ניסיון והצגת פתרונות תכנון להעתקת כביש גישה…
 דיון 3/8 - החלטת סמנכ"ל אם להעביר את הפרויקט לחח"י 
נדרש טיפול מול רמ"י בעניין שטחים - נתי דביר
נפתח תיק מידע 10/2/2026 
</t>
  </si>
  <si>
    <t xml:space="preserve">עירית רעננה מקדמים את סלילת הכביש עוקף תחמ"ש. 
התקיימה ישיבה  28/06/2026 מול עיריית רעננה לתאום סופי לקידוחי ניסיון והצגת פתרונות תכנון להעתקת כביש גישה…
 דיון 3/8 - החלטת סמנכ"ל אם להעביר את הפרויקט לחח"יהוחלט לא להעביר את הפרויקטבשלב זה, כאמור מנ"א מתאמים פגישה משולשת עם רמ"י לבחינת התקדמות האישורים
ממשיכים בקידום קידוחי הניסיון , תכנון להיתר והזמנת סקר סביבתי 
נפתח תיק מידע 10/2/2026 
</t>
  </si>
  <si>
    <t>WBC-104</t>
  </si>
  <si>
    <t>בית אליעזר-הקמת תחמ"ש פנימית 161/24</t>
  </si>
  <si>
    <t>הפרויקט נמצא בשלב קדם, נפתחה בקשה לתיק מידע. נקבעה פגישה אצל מהנדס העיר ב 27/05/26 לגבי כניסת קוי מ"ע  לתחנה (עילי או תת"ק)
ב 20/05/26 נקיים פגישה הכנה לנ"ל</t>
  </si>
  <si>
    <t>הפרויקט נמצא בשלב קדם, נפתחה בקשה לתיק מידע. 
ב 20/05/26 התקיימה פגישה הכנה אצל מנהל מגזר תכנון לקראת הפגישה אצל מהנדס העיר ב 27/05/26 לגבי כניסת קוי מ"ע  לתחנה (עילי או תת"ק)
ב 24/05/26 התקבל מזכר מנגה לתחנה.</t>
  </si>
  <si>
    <t>הפרויקט נמצא בשלב קדם, נפתחה בקשה לתיק מידע. 
ב 24/05/26 התקבל מזכר מנגה לתחנה.
ב 27/05/26 התקיימה הפגישה אצל מהנדס העיר באווירה חיובית, סוכם על שיתופי פעולה ועזרה בקידום האישורים וההיתר. 
כמו כן סוכם שתהיה פניה משותפת של העיריה וחח"י לחברת נגה לעדכן את נושא כניסת הקוים לתחמ"ש - לכניסה תת"ק בחיבור הפוך. 
על מנת לא לפגוע ביעדי הפרויקט אל מול טיפולה של העירייה מול נגה בנושא הטמנת הקו ממנו תחובר התחמ"ש.
.</t>
  </si>
  <si>
    <t>הפרויקט נמצא בשלב קדם, נפתחה בקשה לתיק מידע. 
ב 24/05/26 התקבל מזכר מנגה לתחנה.
ב 27/05/26 התקיימה הפגישה אצל מהנדס העיר באווירה חיובית, סוכם על שיתופי פעולה ועזרה בקידום האישורים וההיתר. 
כמו כן סוכם שתהיה פניה משותפת של העיריה וחח"י לחברת נגה לעדכן את נושא כניסת הקוים לתחמ"ש - לכניסה תת"ק בחיבור הפוך. 
על מנת לא לפגוע ביעדי הפרויקט אל מול טיפולה של העירייה מול נגה בנושא הטמנת הקו ממנו תחובר התחמ"ש.
נקבעה ישיבת התנעה במגזר התכנון ב 08/07/26
.</t>
  </si>
  <si>
    <t>הפרויקט נמצא בשלב קדם, נפתחה בקשה לתיק מידע. 
ב 24/05/26 התקבל מזכר מנגה לתחנה.
ב 27/05/26 התקיימה הפגישה אצל מהנדס העיר באווירה חיובית, סוכם על שיתופי פעולה ועזרה בקידום האישורים וההיתר. 
כמו כן סוכם שתהיה פניה משותפת של העיריה וחח"י לחברת נגה לעדכן את נושא כניסת הקוים לתחמ"ש - לכניסה תת"ק בחיבור הפוך. 
על מנת לא לפגוע ביעדי הפרויקט אל מול טיפולה של העירייה מול נגה בנושא הטמנת הקו ממנו תחובר התחמ"ש.
נקבעה ישיבת התנעה במגזר התכנון ב 08/07/26</t>
  </si>
  <si>
    <t>הפרויקט נמצא בשלב קדם, נפתחה בקשה לתיק מידע. 
ב 24/05/26 התקבל מזכר מנגה לתחנה.
ב 27/05/26 התקיימה הפגישה אצל מהנדס העיר באווירה חיובית, סוכם על שיתופי פעולה ועזרה בקידום האישורים וההיתר. 
כמו כן סוכם שתהיה פניה משותפת של העיריה וחח"י לחברת נגה לעדכן את נושא כניסת הקוים לתחמ"ש - לכניסה תת"ק בחיבור הפוך. 
על מנת לא לפגוע ביעדי הפרויקט אל מול טיפולה של העירייה מול נגה בנושא הטמנת הקו ממנו תחובר התחמ"ש.
התקיימה ישיבת התנעה במגזר התכנון ב 08/07/26
ממתינים לתשובת נגה האם התחנה תחובר עילי או תת"ק על מנת להשלים הקפאת תצורה.</t>
  </si>
  <si>
    <t>הפרויקט נמצא בשלב קדם, התקבל תיק מידע. 
ב 24/05/26 התקבל מזכר מנגה לתחנה.
ב 27/05/26 התקיימה הפגישה אצל מהנדס העיר באווירה חיובית, סוכם על שיתופי פעולה ועזרה בקידום האישורים וההיתר. 
כמו כן סוכם שתהיה פניה משותפת של העיריה וחח"י לחברת נגה לעדכן את נושא כניסת הקוים לתחמ"ש - לכניסה תת"ק בחיבור הפוך. 
על מנת לא לפגוע ביעדי הפרויקט אל מול טיפולה של העירייה מול נגה בנושא הטמנת הקו ממנו תחובר התחמ"ש.
התקיימה ישיבת התנעה במגזר התכנון ב 08/07/26
ממתינים לתשובת נגה האם התחנה תחובר עילי או תת"ק על מנת להשלים הקפאת תצורה.</t>
  </si>
  <si>
    <t>WBE-308</t>
  </si>
  <si>
    <t>הרטוב-החלפת שנאי 524 (שדה 14) מ-33 מגוו"א ל-50 מגוו"א</t>
  </si>
  <si>
    <t>WBE-315</t>
  </si>
  <si>
    <t xml:space="preserve">חריש-התקנת שנאי שלישי 161/24 ק"ו, 50 מגוו"א. </t>
  </si>
  <si>
    <t>בשלב הקפאת תכולה</t>
  </si>
  <si>
    <t>ב 22/06/2026 צפוי סיור באתר להגדרת תכולת הפרויקט</t>
  </si>
  <si>
    <t>ב 22/06/2026 התקיים סיור באתר להגדרת תכולת הפרויקט</t>
  </si>
  <si>
    <t>ב 09.07.2026 נערכה ישיבה להגדרת תכולת הפרויקט</t>
  </si>
  <si>
    <t>ב 09.07.2026 נערכה ישיבה להגדרת תכולת הפרויקט
יש להכניס לתוכנית העבודה ולקבל רשימת מתכננים</t>
  </si>
  <si>
    <t>ישיבת התנעה לפרויקט תתקיים במהלך חודש ספטמבר 26</t>
  </si>
  <si>
    <t>ניידת 52</t>
  </si>
  <si>
    <t>MVA - צפי אספקה 10.06.2026</t>
  </si>
  <si>
    <t>MVA - צפי אספקה 18.06.2026</t>
  </si>
  <si>
    <t>MVA - צפי אספקה 18.06.2026
יאוחסנו ברוטנברג</t>
  </si>
  <si>
    <t>ב 18.06.2026 סופקה לרוטנברג</t>
  </si>
  <si>
    <t xml:space="preserve">נמצאת ברוטנברג
</t>
  </si>
  <si>
    <t>נמצאת ברוטנברג
קבלן MVA יחל בעבודתו ב 12.07.2026</t>
  </si>
  <si>
    <t>נמצאת ברוטנברג
קבלן MVA החל בעבודתו ב 12.07.2026</t>
  </si>
  <si>
    <t>נמצאת ברוטנברג
קבלן MVA והרכבה סיימו עבודתם. בדיקות COMM נקבעו לאוקטובר 2026</t>
  </si>
  <si>
    <t>ניידת 53</t>
  </si>
  <si>
    <t>ב 21.06.2026 סופקה לרוטנברג</t>
  </si>
  <si>
    <t>WBE-222</t>
  </si>
  <si>
    <t>עין חרוד-התקנת שנאי רביעי 161/24 50 מו"א</t>
  </si>
  <si>
    <t xml:space="preserve">פרויקט חדש - יותנע בתחילת 2027 
אנו ממתינים לעדכון של איחוד תכולות הכולל את הוספת השנאי </t>
  </si>
  <si>
    <t>WBC-214</t>
  </si>
  <si>
    <t>גשר(כוכב הירדן)- הקמת תחמ"ש חיצונית 161/24 ק"ו</t>
  </si>
  <si>
    <t>הפרויקט טרם הועבר מנגה</t>
  </si>
  <si>
    <t>ממתינים למסמכים רלוונטים- באחריות לופוביץ שירן וגיל חזום</t>
  </si>
  <si>
    <t>WBE-297</t>
  </si>
  <si>
    <t>כפר סבא- הרחבת מסדר 161 ק"ו – הוספת 2 שדות קו חדשים, יכולת 2000 א'.</t>
  </si>
  <si>
    <t xml:space="preserve">הנ"ל מדווח בפרויקט כפר סבא WBE 182 הוספת שנאי 4 </t>
  </si>
  <si>
    <t>WBD-130</t>
  </si>
  <si>
    <t>אופקים 2- תכנון הצבת ניידת</t>
  </si>
  <si>
    <t>איסוף חומרים לקראת מדידה ובקשה לצו שר</t>
  </si>
  <si>
    <t xml:space="preserve"> ישיבת התנעה תתקים מחר - לטובת ההוצאת תכנית העמדה וצו שר</t>
  </si>
  <si>
    <t>בוצעה פניה למנהל התכנון לאחר הוצאת פוליגון ותכנית העמדה, יש לוודא כי הבקשה נכנסת לועדה של 1.9</t>
  </si>
  <si>
    <t>WBE-303</t>
  </si>
  <si>
    <t>ציפורית-החלפה שנאי 521</t>
  </si>
  <si>
    <t>ממתינים למסמכים רלוונטים</t>
  </si>
  <si>
    <t>להתנעת הפרויקט נדרשים מסמכים רלוונטים</t>
  </si>
  <si>
    <t>WBE-304</t>
  </si>
  <si>
    <t>ציפורית-החלפה שנאי 522</t>
  </si>
  <si>
    <t>WBD-131</t>
  </si>
  <si>
    <t>זבולון- תכנון הצבת ניידת שנייה או החלפת ניידת 20 ב-30 מגוו"א</t>
  </si>
  <si>
    <t>WBD-133</t>
  </si>
  <si>
    <t>כוכב הירדן 2- תכנון הצבת תחמ"ש ניידת שניה</t>
  </si>
  <si>
    <t>ב 16/08/2026 נערכה ישיבת התנעה</t>
  </si>
  <si>
    <t>ב 16/08/2026 נערכה ישיבת התנעה
נדרש תהליך היתר</t>
  </si>
  <si>
    <t>WBC-092</t>
  </si>
  <si>
    <t>ניר צבי- הקמת תחמ"ש פנימית 161/24 ק"ו</t>
  </si>
  <si>
    <t>בוצעה הקפאת תצורה
11.08.2026- הועברה הזמנה לתכנון אזרחי להיתר מהתכנון אלק"מ</t>
  </si>
  <si>
    <t>WBC-107</t>
  </si>
  <si>
    <t>חבר(עפולה)-הקמת תחמ"ש חיצונית</t>
  </si>
  <si>
    <t xml:space="preserve">מגזר תכנון מודיע על עיכוב בהגשת בקשה להיתר מיולי 2026 לפברואר 2027 ללא תיאום ואישור מנהל פרויקט
דחייה זו משמעותה עיכוב של 7 חודשים ממועד חשמול נדרש ( פרויקט זה ללא בנ"מ)
</t>
  </si>
  <si>
    <t xml:space="preserve">ממתינים להקפאת תכולה
לטענת אלי קשטן נושא זה אינו בטיפולו
בשיחה מול נווה הנושא תואם מול אלי קשטן , ממתינים </t>
  </si>
  <si>
    <t>לקראת התחלת שדרוג שנאי ראשון
מסתמנים עיכובים עקב הקצאת משגיח אחד לעבודות אזרחיות (נדרש שניים)</t>
  </si>
  <si>
    <t>נדרש שני משגיחים, עבודות אזרחיות מעוכבות באופן מהותי</t>
  </si>
  <si>
    <t>צפי מסירה שנאי 521 ליח' תחמ"ש 04.10.2026
בוצעה ישיבת DR לשלב ב' בתאריך 18.08.2026- בוצעהישיבה המשך DR (ישיבה שניה)
30.08.2026- יציאה ל RFT</t>
  </si>
  <si>
    <t>שנאי 521 חושמל
צפי לתחילת עבודות הרכבת חשמלית 15.09.2026</t>
  </si>
  <si>
    <t>נדרש הפסקה בשדה 10 (שדה יצרן מעלה גלבוע)- בטיפול מנהל פרויקט</t>
  </si>
  <si>
    <t>עיכוב בעבודות אזרחיות- נדרש שני משגיחים לחודש לטובת צמצום פערים</t>
  </si>
  <si>
    <t>06.08.2026 חושמל פ"צ של היזם
09.08.2026- חושמל שנאי 521+ שני מסדרי מ"ג
522+523- נמסרו לבדיקות חשמליות
צפי חשמול כלל השנאים : 15.11.2026</t>
  </si>
  <si>
    <t>צפי לגמר כתב כמויות 31.12.2026</t>
  </si>
  <si>
    <t xml:space="preserve">02.09.2026- נקבעה ישיבת התנעה </t>
  </si>
  <si>
    <t>הפרויקט הותנע, והחל תכנון אלק"מ - צפי להוצאת הזמנת לתכנון אזרחי - ספטמבר 26
בפרויקט זה נדרש להחליף מיכל ומשאבה עבור כבוי אש לשנאי 4 
בוצעה שיחת תיאום בין הרכבה חשמלית והמחוז לצורך הבנת משך צפוי להרכבות במהלך ההפסקות בעונת האביב הבאה - בשיחה המחוז איפשרו להיכנס לעבודות החל מפברואר ועד יוני , אך המסדרים עצמה צפויים להגיע לכל המוקדם במרץ - אני ממתינה לתשובה סופית לגבי תאריך אספקה ואז נוכל להבין האם ניתן להיכנס לעבודות בעונת האביב בתחילת שנה הבאה</t>
  </si>
  <si>
    <t>מעבדה מדווחים על אי זמינות בבדיקת מתח יתר לכבלי מ"ג, המועד שנמסר הינו 11.2026</t>
  </si>
  <si>
    <t>כתב כמויות הופץ והועברו הערות  עד סוף חודש 08.26 לבדיקת הפיקוח</t>
  </si>
  <si>
    <t>התקבלו הערות לכ"כ שהופץ , דיון DR לצורך קביעת RFT אחרון נקבע לתאריך 06.09.26</t>
  </si>
  <si>
    <t xml:space="preserve">סיור קבלנים בוצע בתאריך 26.08.26 , הגשת הצעות עד 17.09.26 צפי תחילת עב' אזרחיות 18.10.26 צפי חשמול 06.2027.בתאריך 11.08.26 הוצב השנאי על היסוד , אין משגיח להרכבת השנאי , הודעתי זאת אישית למנהל האגף </t>
  </si>
  <si>
    <t xml:space="preserve">בתאריך 24.08.26 הגיע תכנון חשמלי ארונות ממירים בשלבי ייצור  יעד סיום 12.2026 אני אקדים זאת  , </t>
  </si>
  <si>
    <t>בפרויקט זה השנאים חושמלו אך נדרש להשלים החלפת סליל כיבוי ותוספת מפסק ומ"ז בשדה מקשר, בתאריך 10/05/2026 הודעתי לתפעול ב"ש כי נדרש לקדם ולהתחיל עבודות אלו. לדבריהם עקב ריבוי משימות פרויקט זה לא בסדר עדיפויות ויתבצע בסוף 2026 , מייל נוסף שלחתי בתאריך 27.08.26</t>
  </si>
  <si>
    <t>שנאי חושמל בתאריך 30.08.26</t>
  </si>
  <si>
    <t xml:space="preserve">בתאריך 16.08.26 החלו עבודות הרכבה חשמלית באתר ,, סיום הרכבת הציוד כולל commisining  וחיווטים נדרש עד תחילת אוקטובר , אין מהדקים התרעתי כל כך מעל חצי שנה גם בפני כהן נווה ומיטרני נאמר שיגיעו ב12.2026 שאני התרעתי בפני הסמנכל על נושא המהדקים כולם התלהמו מדוע אני אומר זאת מול הסמנכ"ל  , בנוסף אין כבלי מ"נ </t>
  </si>
  <si>
    <t xml:space="preserve">החלפת ברגי העיגון עדיין לא הסתיימה , הפסקת פ"צ להרכבת מנתק פ"צ מאושרת לסוף אוקטובר  נובמבר 26 , נדרש לקדוח מס קדחים בקיר החיצוני של בניין הפיקוד לכניסת כבלי מ"נ  , קבלן לא מוכן לבצע  , אבקש מניצן שגב לבצע זאת </t>
  </si>
  <si>
    <t>חומר למכרז הועבר לבדיקת  פיקוח , העבודה תבוצע רק לאחר סיום שדה 6 כנראה יתחיל מתאריך 03.2028</t>
  </si>
  <si>
    <t>הנחיית הנהלת האגף יוכנס השנאי ללא עיגון
תחילת עבודות אזרחיות 16.08.2026- בוצע
24.08.2026- הכנסת שנאי- בוצע
25.08.2026- כניסת הרכבות- בוצע
06.09.2026- מילוי שמן , תלוי באספקת בושינג חסר (יסופק מהשנאי שיגיע)- ציוד ומפרטים הודיע על עיכוב של חודש וחצי, מסתמן עיכוב במועד חשמול</t>
  </si>
  <si>
    <t>התסריטים נשלחו לעיריית ירושלים לאישורם לצורך הגשה לוועדה המחוזית. מטפלת בהפקעות מטעם העירייה שירה אדרי מול נתי דביר. ארז סרי יכין הסכם משפטי לצורך תשלום הקדמת היטלי סלילה והעברתו למחלקת תנועה. לוז הפרוייקט עודכן ונשלח לכלל השותפים בפרוייקט טרם הצגה להנהלת האגף ולנגה. הועבר לאגף רשת ים' הערכת עבודות עפר לצורך קידום נושא קידוחים אופקיים ושוחות עוד טרם התחלת עבודות כביש וצומת. נדרש להעביר לארז סרי חומר לקראת הסכם עבור גמל מים כבאות ארצית.</t>
  </si>
  <si>
    <t xml:space="preserve">כביש הגישה לתחנה בשלב העברת טיוטת הסכם משפטי בין עורכי הדין. באחריות מנר"א לעדכן את הסכום שסוכם מול היישוב ולהביאו לאישור בוועדת המכרזים. </t>
  </si>
  <si>
    <t xml:space="preserve">
                                                                    3. כביש גישה - חסם עיקרי כרגע! לא ניתן להתחיל עבודות         בשטח ללא הסדרת דרך גישה. בשל בעיות בהסדרי תנועה זמניים, העבודה חייבת להתבצע דרך המעבר מכפר רות. נמצא אצל יעוץ משפטי של חח"י   </t>
  </si>
  <si>
    <t>הסכם חכירה בדיונים בין המחלקות המקצועיות והמשפטיות, נדרש לקדם תכנון חח"י.</t>
  </si>
  <si>
    <t>התחלת עבודות על מסדר מ"ג ממתין לבודקים של אפרת חשמול המסדר מתוכנן ל 11.26.  התחלת עבודה קבלן-יולי 2026</t>
  </si>
  <si>
    <t>ממתינים כשלושה שבועות לנספח 5 מהפיקוח</t>
  </si>
  <si>
    <t>בהמתנה למבדקת התחמ"ש לאחר שחשמול המסדר  נדחה עכב שינוי בצורך המרחב ל 11/26.                       מסדר 161 עדיין לא סופק, אין תאריך יעד לאספקה. בנוסף קיים חוסר בסוללות קבלים.</t>
  </si>
  <si>
    <t>לקראת סיום תכן להיתר, הועבר למכרזים לקראת יציאה למכרז. התקיים סיור קבלנים 17/8/26</t>
  </si>
  <si>
    <t xml:space="preserve">פורסם קבלן זוכה -  "אלביליה חנן בע"מ"  סך היקף החוזה 18,976,939.26
לו"ז לביצוע העבודה החל - 23/8/2026 צפי לעיכוב בשל שלב האישורים
הקבלן נדרש לקדם אישור עליה לקרקע - מול הרשויות
הקבלן הגיש ביטוח לאישור , יש לקדם את אישורי הביטחון עבור עובדי הקבלן
פעלנו מול מקורות לקבלת אישור בתשתיות לאומיות (הערה שלהם לאופן תכנון גדר) טופל! 
מבחינת מקורות יש אישור לתחילת עבודות.
הרשת פירקו את העמודים כולל פינוי היסודות משטח המתוכנן להקמת מבנה 24 ק"ו ,השטח פנוי לעבודות הקבלן.
</t>
  </si>
  <si>
    <t xml:space="preserve">שנאי חושמל 12/7 
תקלה בשעוני מד גובה בשנאי - הושלם
</t>
  </si>
  <si>
    <t xml:space="preserve">הרכבה חשמלית סיימה את הרכבת הציוד במסדר 24 ק"ו, סיום עבודות חיווט​
עבודות גז יח' תחמ"ש צ' אחזקה הסתיימו​
הסתיימו בדיקות מגזר ביצוע , בוצעה מסירה מסודרת להרכבה חשמ' ויח' תחמ"ש
יח' תחמ"ש מבצעים בדיקות מסדר 24 ק"ו + מסדרי אפס החל מתאריך 12/8 
מוכנות לחשמול מתוכנן  10/2026​ - יח' תחמ"ש יעדכנו אם הם עומדים ביעד מוכנות לחשמול 10/2026 - כפי הנראה  תיתכן תחייה בשל תקופת החגים. </t>
  </si>
  <si>
    <t>נקבע סיור קבלנים ל 8/9/2026</t>
  </si>
  <si>
    <t>עבודה אזרחית - מבוצעים יסודות למסדרי אפס ושדה 14
הועתק כבל מ"ג לצורך חיבור שוחות למסדרי אפס
נדרש להוריד כבלי מ"ג מהשנאים לטוואי תת קרקעי כהכנה לחישמול מסדרי אפס</t>
  </si>
  <si>
    <t xml:space="preserve">הקבלן ביצע יסודות של מכולות, והתחיל עבודות של מאצרה ויסודות שנאי. 
נדרשת העתקת תשתיות מיגון
</t>
  </si>
  <si>
    <t xml:space="preserve">תכולה אזרחית נכללה כאופציה במכרז של WBE260.
הקבלן של שלב א' עובד באופן מספק, נדרש לחדד את התכולות של שלב ב' לצורך הצגתן לקבלן
</t>
  </si>
  <si>
    <t>הרכבה חשמלית עדיין מחווטים ומשלימים השחלות כבלים
בסיום החיווט (צפוי בשבוע הבא) יחלו בדיקות
קיבלנו הסכמת המחוז לביצוע הצבת גומחות משנאי בית על ידם</t>
  </si>
  <si>
    <t xml:space="preserve">בוצע תיאום לביסוס יסודות עמודי מ"ע ע"י קבלן אזרחי שלנו - התקבלה חבילת מסירה לביצוע
קבלן  צפוי לעלות לשטח בשבוע הבא
התקבל היתר  - 10/8
ממתין לאישור רט"ג לקבלת היתר חפירה
אושרה דחיית ת"פ ל 10/2027
</t>
  </si>
  <si>
    <t>שנאי חדש הותקן בתאריך 25.8 , החל סחרור שמן.
יח' תחמ"ש מבצעים נטרול מתצחים למסדר , פירוק פ"צ 1+2 צפוי לתחילת שבוע הבא</t>
  </si>
  <si>
    <t>תכניות ביסוס קרקע התקבלו באיחור,  ממתינים לביצוע מ"ע לעבודות ביסוס
לא התקבל היתר חפירה ממשרד תפעול ב"ש ולכן נדחה.</t>
  </si>
  <si>
    <t>תוואי שוחות שנאי 534+ 2 מכולות מ"ג גבוה הושלם רק בתאריך 18.8 .
צפי לסיום חיווט ע"י הרכבה חשמלית 1.9
יח' התחמ"ש לא מתגברים בודקים- נדרשים 6 בודקים לפחות.
בנוסף תכנון תקשורת + סל מידע טרם הסתיימו !</t>
  </si>
  <si>
    <t>הרכבה חשמלית בשלבי מיקום ציוד בשדה + חיווט</t>
  </si>
  <si>
    <t>הקפאת תצורה בוצעה, ממתינים להתייחסות פייקוח אלקטרומכני</t>
  </si>
  <si>
    <t>התקבל היתר
השלמת מסמכים להיתר תחילת עבודות (עדיין לא אושר האישור הנכסי, ממתינים לאישור הסדרי התנועה)
הוסדר האישור מנת"ע על העברת השטח לבעלות חח"י- הוסדר וטופל ע"י מנהל הפרויקט ונמסר למנר"א להטמעה בחוזה מול עיריית ת"א.
שטח ההתארגנות יימסר לקבלן לטובת הכנות מקדימות ב- 31.08.2026 
צפי תחילת עבודות קבלן אזרחי 09.2026
טרם הוסרה תשתית קו הביוב משטח התחנה- באחריות עיריית תל אביב.- העתקת קו הניקוז לפני ביצוע.
עיריית ת"א התחייבה לפנות את כל שטח התחמ"ש מרכבים ותשתיות - טרם החלו עבודות הפינוי
מסתמן עיכוב בקבלת תוכניות לביצוע , צפי קבלת התוכניות 09.2026</t>
  </si>
  <si>
    <t>סיום עבודות רפדוסה לבניין 161 ק"ו, המשך עבודות הקמה
ביצוע גדר היקפית (קירות בטון)
המשך עבודות הפיתוח בשטח 
התקיימה ישיבה עם הקבלן לצורך קידום הפרויקט של שלב 161 ק"ו- כרגע מסתמן שלא אפשרי 
*כרגע קיים עיכוב של כחודש וחצי מהלו"ז המתוכנן
התקיימו ישיבות עם המחלקות השונות לצורך עמידה בת.פ ומתן הפתרונות ליישום היעד</t>
  </si>
  <si>
    <t xml:space="preserve">ועדת חשמול התקיימה בתאריך 26.8  , טרם התקבל סל מידע מנגה- צפי חשמול 15.10 </t>
  </si>
  <si>
    <t>הרכבה חשמלית + יח' תחמ"ש עובדים בפ"צ 1,2,3 במסדר מ"ג</t>
  </si>
  <si>
    <t>קבלן שומרוני נכנס לעבודות לטובת שדות הקמת קו 11 ו-13 - בסיור בתחמ"ש 28/6 נראה כי הקבלן טרם קידם את העבודות עבור שדות אלה מבקש לזרז את עבודות הקבלן החשמול נדרש 10/2026 כעת צפי לחרגיגה 02/27
מחלקת בנין עדכנו סיום עבודות קבלן בחודש 11/2026 לא תומך בלו"ז הנדרש מהסמנכ"ל - חשמול השדות הנוספים עד סוף השנה הנוכחית אבקש לפעול מול הקבלן לקדם את העבודות בהתאם מדובר על שני שדות בסה"כ!
קבלן עבד ביום חופש הסכם קיבוצי 23.8 , ביקשתי מפיקוח אזרחי שהקבלן ימשיך עבודות גם בחול המועד- נמצא בבדיקה</t>
  </si>
  <si>
    <t xml:space="preserve">בחינת נחיצות
עיכוב בהחלפת השנאים </t>
  </si>
  <si>
    <t xml:space="preserve">בסיום עבודות אזרחיות. </t>
  </si>
  <si>
    <t>פירוק ציוד ישן</t>
  </si>
  <si>
    <t>נבחר קבלן. צפי עליה לקרקע ספטמבר 2026
צפי כניסה לפירוקים - 6 בפטמבר 2026</t>
  </si>
  <si>
    <t xml:space="preserve">ניידת 42 </t>
  </si>
  <si>
    <t xml:space="preserve">ניידת 43 </t>
  </si>
  <si>
    <t>נמצאת בזבולון.
 המסדר שפורק נשלח לחו"ל 11.05.2026. צפי לסיום התיקון אוקטובר 2026</t>
  </si>
  <si>
    <t xml:space="preserve">נמצאת בשטח 6 
מוכנה לשימוש
עברה טסט
</t>
  </si>
  <si>
    <t>נמצאת בשטח 6 
מוכנה לשימוש
תעבור טסט בשבוע הקרוב</t>
  </si>
  <si>
    <t>ב 19.08.2026 הגיע בוחן שריפות - נתקבלוה הערכה ראשונית. מחכים לדוח מלא.
תעבור טסט בשבוע הקרוב (שריפה לא משפיעה על הטסט)</t>
  </si>
  <si>
    <t>Kontrolmatik
  נמצאת בתחמ"ג איילון
תקלה במנתקים  במסדר 160 -  טופל</t>
  </si>
  <si>
    <t xml:space="preserve">Kontrolmatik
 נמצאת בתחמ"ג עין חרוד
תקלות יצרן במסדר 160 -  יגיע מומחה לטיפול בתקלה בספטמבר 2026  HITACHI - מחכים להנחיות   </t>
  </si>
  <si>
    <t>ניידת 54</t>
  </si>
  <si>
    <t>נמצאת בשטח 6 ומחכה למעבר לשטחי האחסון בקיסריה</t>
  </si>
  <si>
    <t>החל תהליך היתר</t>
  </si>
  <si>
    <t xml:space="preserve"> הרכבות חשמליות נכנסו לעבודות במ"ג בתאריך 18/5.   בתאריך 12/7/26 הוכנס שנאי ראשון לתחנה, בתאריך 4/8/26 הוכנס השנאי השני לתחנה. בתי מלאכה - עבודות שמן הסתיימו בתאריך 30/8. . במקביל עבודות הרכבה חשמלית ממשיכות באתר וכן עבודות קבלן ההקמה . בוצע סיור עבור מסירה חלקית לאבני דרך 4-6. אפרת קריטי תכנס לבדיקות בתאריך 2/9</t>
  </si>
  <si>
    <t>מתקדמים בתכנון WBE-236 ST1בהתאם ללו"ז בהתאם להמלצה של קשטן שהופץ לתכנון, התקיימה פגישה נוספת של צוות התכולות גיבשו לו"ז ושלביות חדשים בתהליך אישור סופי. בשלב עדכון לו"ז עדכני</t>
  </si>
  <si>
    <t xml:space="preserve">התקבל אישור מהנדס הוועדה להציב את הניידות בפטור מהיתר, . עבודות מ"ע לקראת סיום . בתאריך 22/7/26 הוכנסה ניידת ראשונה לתחנה, בתאריך 8/6/26 הוכנסה הניידת השניה. במקביל עבודות של יח' התחמ"ש ושל הרכבה חשמלית מתבצעות על הניידת בארעית ניר יצחק, התגלה דליפת גז בניידת הראשונה מעכב חישמול, ממתינים להצעת מחיר מחברה חיצונית לתיקון הדליפה </t>
  </si>
  <si>
    <t xml:space="preserve"> מקדמים תיאום תכנון מול מקורות לתכנון העתקת תשתיות מדרך הגישה . פועלים מול מקורות לחיבור נק' מים לתחמ"ש.  בתאריך 17/5/26 נבחר קבלן זוכה במכרז - לסיכו בע"מ. קיים עיכוב בבקשה לחיבור חשמל זמני.קבלן עלה לקרקע . קיימים חסמים מול מקורות בדרך גישה ובמגרש התחמ"ש</t>
  </si>
  <si>
    <t xml:space="preserve">בתאריך 8/6/26 התקבל היתר בניה . מכתב זכייה לקבלן קל פלד הופץ בתאריך 26/8/26  . נפתחה בקשה לתיאום ביצוע במערכת לתיאום תשתיות לאומיות והתקבלה התייחסות ראשונית מרשות העתיקות, נדרש חיתוכי בדיקה בתחמ"ש. בתאריך 2/8/26  רשות העתיקות החלו בחיתוכי בדיקה .  בתאריך 9/8 נמצאו 2 נק' החשודות מקדמים חפירות הצלה  </t>
  </si>
  <si>
    <t xml:space="preserve"> בתאריך 8/6/26 בוצע פגישה ראשונה מול נגה. נקבע סדרת פגישות לקידום ההליך המסחרי .בתאריך 8/7/26 גובש נספח תכולות עבודה סופי. ממתינים לקבלת הצעת מחיר לתכולות של חח"י מהיזם. נגה בקשה להוסיף מקשר לתחנה הקיימת  בשלב בדיקה ע"י היזם</t>
  </si>
  <si>
    <t xml:space="preserve">השנאים 75 מגוו"א הוסטו לפרויקט בת ים.  כניסה לתחילת הרכבות נדחתה לאביב 2027
בהמשך לסיכום שהתקבל מדיון סטטוס פרויקטים דן וחוף, נקבע כי אין אישור לבצע הסטת השנאים וכי הפרויקט ייעשה עפי הלו"ז בתוכנית הפיתוח - אביב 2027.
פרויקט שו"ש WBM40608 -  החלפת מסדרים נדרש לקבל תשובה של אגף התפעול להסתנכרנות מול פרויקט ההרחבה.
</t>
  </si>
  <si>
    <t>צוות הבודקים של יח' התחמ"ש חזרו ב 26/07/26 לבצע בדיקות לטובת הכנסה לניצול  -  צפי להכנסה לניצול 30/09/26  
הצוות של אפרת יחל את הקומישינג ביומיים הקרובים (ממתינים לפירוק חיווטים) לכשבועיים עבודה, לאחר מכן ימסרו למתר יתר.</t>
  </si>
  <si>
    <t xml:space="preserve"> עד 06/09  תועבר טבלת תשלומים סופית עבור שינויים ותוספות לאישור טראלייט.</t>
  </si>
  <si>
    <t>נציג אפקון טרם השלים את תיקון התקלה, כמו כן נמצאו תקלות בתאים נוספים. ממתינים לתיאום מחודש של אפרת עם נציג אפקון להשלמת כלל התיקונים, רק לאחר השלמת הטיפול הנ"ל נוכל לתאם מסירה ולהשלים מתח יתר.
 צפי הכנסה לניצול  10/11/2026 - מותנה בהשלמת התיקון ובזמינות בודקים.
 ב 17/08/26 התקיימה ועדת מכרזים - אושר תשלום סופי כולל הפשרה לחברת אנרג'יקס .
ב 20/08/26 היזם העביר חשבוניות, מקדמים תשלום חשבוניות וסגירת חוזה.</t>
  </si>
  <si>
    <t xml:space="preserve">המשך עבודות הקבלן באתר, קבלן שני לקידוח אופקי צפוי להיכנס בתחילת ספטמבר, קיים קושי משמעותי בהשגת ותיאום 2 המשגיחים עבור הקבלן. בטיפול של רחלי מול יח' התחמ"ש ומגזר ביצוע להסדרת ימים בהם יהיו 2 משגיחים וימים בהם הקבלן יכול לעבוד עם משגיח אחד. 
צפי השלמת יסוד שנאי 15/09/26 
ציוד: נמצאה אפשרות להקדמת המסדר לספטמבר 2026 - ממתינים בדחיפות לאישור הנהלה לתעדוף לטובת ברלב.
</t>
  </si>
  <si>
    <t xml:space="preserve">עבור השלמת שוחה 10V - ביום בו הגיעו לבצע את זיהוי וניתוק הכבלים, ממונה הבטיחות הגיע במקביל ועצר את העבודה באזור, הכבלים כוסו, העבודה באיזור הוקפאה, ממתינים להשלמת תחקיר אירוע (כבלים תחת מתח חשופים)ובמקביל הסטת הכבלים משטח העבודה ע"י צוות של ביצוע מ"ג עמקים .
נדרש לקבל אישור נגה להשלמת התקנת סוללות קבלים לאחר החישמול בגלל קושי בהשלמת התשתית העוברת בתוואי כבלים חי של התחנה התפעולית - באחריות רחלי מול גיל חזום
הרכבות:
המשך עבודות הרכבה נעשות ב 2 משמרות: ביום - עבודה על חדר הפיקוד ואולם המסדרים, ובערב - התקנת שנאים ופ"צ.
צוות של יח' התחמ"ש נכנס ב 24/08 למילי גז והכנה לקומישנינג .
כניסת צוות של אפרת לקומישינג עבור 7 המסדרים ב 05/09/26 נדרשת התערבות הנהלה להקדמת סדרי עדיפויות.
ממשיכים לקדם התקנת וחיווט ארונות בחדר הפיקוד.
קבלן כבלים החל את עבודתו בתאריך 24/08/26.
</t>
  </si>
  <si>
    <t>הקבלן האזרחי משלים את הטבעת ההקפית לטובת סיום התקנת מע' כיבוי אש.
צפי כניסת בדיקות תחמ"ש - במהלך ספטמבר 2026.
ממשיכים בעבודות רת"ק</t>
  </si>
  <si>
    <t xml:space="preserve">הסכמי ביצוע: תש"א - ב 30.08.2026 התקיימה ועדת מכרזים לאישור ההתקשרות.
קצא"א - נמצאים בשלב סופי לקראת אישור טיוטאת הסכם הביצוע.
תואם מיקום חלופי למנחת - באישור סופי מול משרד הביטחון.
היתר - שלב מילוי תנאים.
מכרז - שלב תכנון וכתב כמויות.
</t>
  </si>
  <si>
    <t xml:space="preserve">מבוצעות בדיקות commissining. ציוד חסר הגיע. צפי סיום בדיקות תחילת ספטמבר.    בדיקות מתח יתר - יבוצע בישיבה משותפת השבוע. התקבל מענה מGE לגבי סיכון חשמול מסדר 161 כאשר הבקרים אינם תקינים. הוסכם שיש להפריד בין טיפול זמני שמטרתו להכניס את השדה החדש במהירות, לבין פרויקט שדרוג קבוע שידרוש תכנון, תקצוב ומכרזים, כאשר כל שלב ינוהל על ידי גורם אחר.טיפול זמני ונושא פתיחת פרויקט חדש להחלפת מערכת הבקרה יינתן ע"י תפעול השנאה, תמיכה ע"י פרויקטי השנאה. </t>
  </si>
  <si>
    <t xml:space="preserve">בוצע סיור קבלנים ב 27.7. צפי לבחירת קבלן 9/26. התקבלה הרשאה מנגה לעבודה זו.  יש לקבל אישור מהרכבה חשמלית לגבי ציוד ותמיכות. התקבל תעדוף מהמחוז לגבי העדפתם לביצוע בהתאם ליציאות מ"ג. ארונות מ"ג חסר רכיב, צריך לקבל עדכון לו"ז להגעתו, לא בטוח מונע הרכבה. </t>
  </si>
  <si>
    <t xml:space="preserve">התקבל מייל כי ניתן יהיה לקבל הפסקות ב 11.10 עבור קבלת הפסקת פ"צ ושדה שנאי לחיבור בין פ"צ חדש לישן. 4 ימים עבור כל פ"צ. כלומר בדיקות מתח יתר נדרש יהיה בסוף אוקטובר. </t>
  </si>
  <si>
    <t>עבודות תשתית יעד 1 לקראת סיום - השלמת מצעים. ב-6/9  מתחילים יעד 2 - חפירות בחוץ ובפנים לקראת הטמנת 40 צינורות והעתקות קווי מ"ג.   התקיימה ישיבת תכנון להפסקות שנאים והעתקות קווי מ"ג כולל תאיכים מדוייקים. הפסקות השנאים באחריות יח' תחמש. לא התקבלו תוכניות מעודכנות (כבלי פיקוד) ולכן קיים עיכוב בכל נושא החיווט. הנושא מטופל. ביום 20.8 התקיימה פגישה באתר עם שמאי אלמנטרי ואח"כ פגישה בחוות הסוסים לקבלת חוות דעת להסדר. השמאי יקיים התייעצויות עם מומחים מטעמו. יש עוד 2 אפשרויות שנבדקות (ביצוע כלונסאות מובל בלילה ופנייה למגשרים מטעם בית משפט). מקדם פגישה עם הממונה עם איכהו"ס בעירייה - מירי רייס. ב-3.9 תתקיים פגישה עם אדריכלית העיר להצגת תכנון כולל בתחמ"ש ומחוצה לו. בשבוע שעבר התקיימה פגישת הצגת תכנון נוף לרט"ג וקק"ל.  ב-27.8.26 התקיים DR לשלב א' - חפירה ודיפון של מבנה 161 ק"ו. יש עוד הערות למגזר פיקוח - יקבלו התייחסות במייל חוזר.</t>
  </si>
  <si>
    <t>עבודות תשתית - השבוע מתחילים יעד 2 - חפירות בחוץ ובפנים והטמנת 40 צינורות והעתקות קווי מ"ג. לא התקבלו תוכניות חשמל מעודכנות ולכן יש עבודת חיווט נוספת - מטופל ע"י הרכבה חשמלית. התקיימה ישיבת תכנון להפסקות שנאים והעתקות קווי מ"ג כולל תאריכים מדוייקים. הפסקות השנאים באחריות יח' תחמש. ביום 20.8 התקיימה פגישה באתר עם שמאי אלמנטרי ואח"כ פגישה בחוות הסוסים לקבלת חוות דעת להסדר. השמאי יקיים התייעצויות עם מומחים מטעמו. יש עוד 2 אפשרויות שנבדקות (ביצוע כלונסאות מובל בלילה ופנייה למגשרים מטעם בית משפט). לגבי עבודת לילה - נעשתה פנייה לנציגת העירייה. ממתינים לפגישה עם מירי רייס הממונה על איכות הסביבה בעירייה. ב-3.9 תתקיים פגישה עם אדריכלית העיר להצגת תכנון כולל בתחמ"ש ומחוצה לו. בשבוע שעבר התקיימה פגישת הצגת תכנון נוף לרט"ג וקק"ל. ביום 27.8 התקיימה פגישת DR עבור שלב א' - חפירה ודיפון שטח מבנה 161 ק"ו - התקבלו הערות מגזר פיקוח שיוטמעו בכתב הכמויות.</t>
  </si>
  <si>
    <t>קבלת היתר - צפי לקבלה 10/9/26 -  נדרש אישור הסכם משפטי מול עיריית קרית אונו, הועבר מסמך טיוטא , מצויין  דרישות מעבר למה שהוסכם, בהמשך לישיבה עם ירון, התקיימה פגישה עם נציג העירייה, בוצע עדכון להסכם צורך העברה לוועדת מכרזים- מתוכנן ל 9.9.2026 מטפלים במקביל לתשלום אגרות.</t>
  </si>
  <si>
    <t>הוסרו כלל החסמים הבירוקרטיים מול המועצה האזורית באר טוביה, ויצאה הזמנה למתכנן קו סניקה שמתקדם בשלב התכנון.
סיור קבלנים נקבע לתחילת חודש ספטמבר, בכפוף להתקדמות תכנון העתקת קו הסניקה.
כל תנאי התכן הוגשו לעירייה וממתין לבדיקת התכן, אגרות והיטלים ולקבלת היתר הבנייה.</t>
  </si>
  <si>
    <t>תנאי התכן הושלמו והוגשו למועצה, התקבלו היטלי סלילה ולאחר תשלומם יתקבלו האגרות.
הקיבוץ התחייב מול רמ""י למסור את השטח כשהוא פנוי מעצים עד לתאריך 01.11.2026, בהתאם לתנאי קבלת החזקה בשטח.
התקיים סיור קבלנים כחלק מההיערכות לשלב הביצוע.
אספקת השנאים צפויה רק בספטמבר 2027 (09/2027), מועד המאוחר בכ-5 חודשים מהנדרש לצורך עמידה ביעדי הפרויקט.
נדרשת התערבות הנהלה מול גורמי האספקה לצמצום פער לוחות הזמנים ולהבטחת עמידה ביעדי הפרויקט."</t>
  </si>
  <si>
    <r>
      <t xml:space="preserve">התקלות המהותיות בניידות והעיכוב במתן פתרון מלא להן עלולים לפגוע בעמידה ביעדי החשמול.
קיים סיכון לעיכוב בלוחות הזמנים עד לקבלת חתימת צו השר, המהווה תלות חיצונית להמשך קידום הפרויקט.
</t>
    </r>
    <r>
      <rPr>
        <b/>
        <sz val="12"/>
        <rFont val="Arial"/>
        <family val="2"/>
        <scheme val="minor"/>
      </rPr>
      <t>מחסור בבודקים</t>
    </r>
  </si>
  <si>
    <t>התקיימה ישיבת DR להקפאת תצורה למכרז. ביום שלישי 1.9.26 צפוי לצאת מסמך RFT
אותרו תקלות מהותיות בניידות, אשר מעכבות את ההתקדמות ומייצרות סיכון משמעותי לעמידה ביעדי החשמול - מקודמים פתרונות לכלל התקלות.
יש מחסור בבודקים על הניידות ועלול לסכן את העמידה ביעדי הפרויקט - נדרשת התערבות הנהלה!
במקביל מקודמת הצבת ניידת שלישית בשטח חברת מגה אור.
ממתינים לחתימת צו השר.    
כרגע בשלב ניסוח כתב התחייבות מול מועצה אזורית יואב לביצוע עבודות ללא חתימת צו שר.</t>
  </si>
  <si>
    <t xml:space="preserve">ב 7.9 בדיקות מתח יתר למסדר 24 ק"ו. נציגי אפקון הגיעו, נדרשים לתקן מפסק בתא 510 ולהחליף את כל מגעי העזר (מפסק או מנתק) לכל המסדר. צפי תיקון שבוע הבא. </t>
  </si>
  <si>
    <t>במסגרת דיון נושאים קריטיים סוכם כי הפרויקט יתוכנן במתכונת חיבור מ"ע תת קרקעי.
התכנון יקודם במקביל לבחינת אגף ההולכה את היתכנות ויישום החיבור.
נדרש לעדכן את יעד תוכנית הפיתוח לסוף שנת 2029, בתיאום עם נגה.
התקיימה פגישת תיאום עם נגה 
הועבר מסמך ההתייחסות למהנדס העיר אשדוד.
התקיימה פגישה עם אדריכלית העיר וסוכם להמשיך בתהליך הרישוי</t>
  </si>
  <si>
    <t xml:space="preserve">בדיגום קרקע שבוצע באתר התגלה זיהום קרקע.
התקבלו הנחיות המשרד להגנת הסביבה להמשך הפעילות.
הזיהום והעיכוב בקבלת מענה ממשרד להגנת הסביבה גרם לעיכוב בלוחות הזמנים ולדחייה בביצוע עבודות הקבלן </t>
  </si>
  <si>
    <t xml:space="preserve">העירייה טוענת שיש תוספת שטחים נדרש להוציא היתר חדש. התכנון אינו מכיר שום תוספת שטחים וביקשנו פגישת הבהרה עם העירייה. ממתינים לתגובתם
</t>
  </si>
  <si>
    <t xml:space="preserve">הקבלן מבצע עבודות באתר בהתאם לתוכנית העבודה.
לצורך הקמת השדות נדרש לפרק משנה מתח קיים.
נגה לא אישרה הפסקה הנדרשת לביצוע הפירוק לאור זאת הקבלן יבצע רק חצי שדה והפרויקט מתעכב.
</t>
  </si>
  <si>
    <t xml:space="preserve">עבודה אזרחית- קיים עיכוב של חודשיים בכל היעדים .
מסירה אזרחית  של מסדר 24 ק"ו צפוי בחודש 11/26, 161 ק"ו צפוי  בחודש 12/26. 
בשלב יציקת קירות. התקנת  לוח"דים מסדר 24 ק"ו , דרוש הוצאת תכנון תקשורת  , לצורך  ייצור ארונות - באחריות דסה ליבסי.,  נדרש להשלים תכנון אב.  המשך עבודה  הבהתאם ליעדים אזרחיים. </t>
  </si>
  <si>
    <t>שנאי 524 חושמל והוכנס לניצול.
שנאי 523 הוצא מהיסוד, ועבודות חיזוק היסוד נמצאות לקראת סיום. מסירת היסוד להרכבה חשמלית צפויה בימים הקרובים.
הושלם התיאום להבאת שנאי 523 והצבתו על היסוד בתאריך 14.09.2026.
במקביל החלו עבודות ההרכבה החשמלית במסדר מ״ג.
הפרויקט בעיכוב ביחס לאבני הדרך כתוצאה ממחסור בכוח אדם מצד יחידת התחמ״ש.</t>
  </si>
  <si>
    <t>התקבל אישור לקחת את השנאי ישנה ישיבת התנעה ב-06.09.26</t>
  </si>
  <si>
    <t>נקבעה ישיבה אצל מהנדס העיר לקידום ההיתר</t>
  </si>
  <si>
    <t>סיום עבודה אזרחית נדרש 10.09</t>
  </si>
  <si>
    <t>נקבעה פגישה למיקום קידוח האופקי 03.09</t>
  </si>
  <si>
    <t>התקיים סיור לקראת ביצוע - מזכר התכנוני בביצוע</t>
  </si>
  <si>
    <t xml:space="preserve"> ניידת חושמלה ב 25.2.26/ חיבור יציאות מ"ג בוצע ב 25.3.26
התקבלה תלונה מהישוב על רעש מהניידת (16.4.26) והועברה לטיפול יח התחמש- הונחו לוחות בטון, הרעש הגיע גם לאזורים אחרים. לא התקבל אישור להפסיק את הניידת בגלל העומס. כעת ממתין להמשך טיפול  במעורבות  שלנו למציאת פתרון 
עדכון 10.8:
הסתיימו עבודת קבלן אזרחי לטיפול במדרון וניקוי תעלה . אודי עדין מבקש גרם מדרגות - תבוצע מדידה חדשה
תלונת רעש - בוצעה בדיקת  DPDM (אחזקה חזויה). הומלץ לבצע SFRA (בדיקה פנימית מכנית של השנאי) - אודי אריה טוען שזה מיותר ויש להקצות פרויקט דחוף לקירות אקוסטים -ממתין להחלטת הנהלת האגף . 
עדכון1.9:
27.8 בוצעה  מדידה חדשה למדרון. כדי להתאים תכנון לגרם מדרגות בין המפלסים - ממתינה לתוצאות מדידה
פתרון לרעש- הוחלט עי ירון להציב קירות אקוסטים. יטופל עי המחלקה של גלי/ דוד עמר</t>
  </si>
  <si>
    <t>ב 16/08/26 הוצג אצל סמנכ"ל החטיבה ואושרה חלופה של השלמת כלל תכולת הפרויקט עד מרץ 2027 והצבת ניידת מהדרי שאן כפיתרון ביניים ב 11/2026  
ב  26/8/2026 נערך דיון לקבלת החלטות למיקום ניידת בבית שאן.
הוחלט שתוצב ניידת 30 מוו"א שתחובר למעגל אדום עין חרוד (שדה 7).
הניידת תהווה פרוייקט גישור לחיבור לקוחות במ"ג עד שתחנת בית שאן החדשה תחושמל (צפי לחישמול מרץ 2027)
יש לתכנן את הצבה וחיבור הניידת למתח עליון ולמ"ג. (עפ"י סקיצה שצורפה)
יקבע מפגש מתכננים בשטח.</t>
  </si>
  <si>
    <t>וועדת חשמולבוצע  בתאריך 27.08.26 , חשמול השנאי ככל הנראה עד 17.09.26</t>
  </si>
  <si>
    <t>4.6 התקבלה מפת מדידה  ובוצע תשלום אגרה 
31.5 הוגשה בקשה לרשויות מעבר תוואי מ"ג
עד 14.6 תוגש בקשה לרשויות מעבר תווי עילי מ"ע 
9.6 הוגשה בקשה לתיק מידע  + בקשה במערכת תשתיות של נת"י עי רישוי (באסם)
10.6 בוצע סיור בשטח עם מתכננים ותובלה. נדרש לפנות 2 מכולות משרדים ועצים וליישר שטח על מנת להציב את הניידות.
לו"ז לקבלת היתר מסתמן חצי שנה - מועד חשמול מסתמן 3/27
9.7 התקבל תיק מידע . התקבלה תוכנית פירוקים. נדרש לפנות לעירייה להתייחסות/אישור לפירוקים 
9.8.26 הועבר חומר לראבוחין לקראת פגישה שלו מול העירייה לקידום הליך היתר ואישור פינוי אוביקטים (מכולות, עצים )
עדכון 1.9:
4.8 הוגשה תוכנית פינוי אובייקטים  לעירייה לאישור כולל ביצוע - התקבלה התייחסות ביום 28.8 לתיאום פגישה בשטח.
11.8 התקבלה התייחסות נת"י למיקום נדרשנו להעביר התייחסות לדרך גישה ונתונים לתחמ"ש הקבועה- הועברה התייחסותנו ב 30.8 עי רישוי (באסם)
19.8 הועבר תכנון להיתר . כעת בשלב מילוי תנאים והכנת גרמושקה. צפי הגשת היתר עד 16.9. 
יש להמשיך בתכנון אזרחי כולל פינוי אובייקטים כאופציה עי חחי. - צפי סיום תכנון 10/26
27.8 בהחלטת ירון  נדרש להקדים מועד קבלת היתר ל9/26 . הוחלט להעביר פרויקט לניהול מחלקה של גלי. כולל פיקוח וה.חשמלית של השנאה</t>
  </si>
  <si>
    <t>10.5 התקבל תיק מידע 
2.6 הוגשה בקשה להיתר. בדיקת תנאים מוקדמים עד 24.6
7.6 נערכה ישיבת תאום בין תכנון ניידות לבין תכנון הקבועה.
21.7 סיור עם המועצה לפרויקטים דומים. לטובת קידום הליך היתר.
יח התחמש ציינו כי יש להם מחסור בכ"א ולא יעמדו בתאריך זה אם לא יתוגברו בבודקים 
6.8 התקבל דוח הידרולוג - לא התקבלו הנחיות שמעכבות תכנון אזרחי. צפוי להסתיים ב סוף אוגוסט כולל כ"כ.
6.8 יצאה הזמנה לחיזור זמני 160 אמפר 
13.8 הוגשה בקשה במע תשתיות לאומיות 
16.8 הוגשו תנאי תכן
עדכון 1.9:
המועצה לא מאשרת את התכן ללא קבלת הסכם/חכירה חתום מול רמ"י . הנושא בטיפול ומקודם עי נתי דביר . ההסכם כולל את הקבועה. 
31.8 הועבר חומר לבקרת חוזים להערות פיקוח אזרחי ואל"מ (בקרת חוזים השנאה, פיקוח פרויקטי ייצור)
סיור עם פיקוח תכנון וצמן לתיאום סופי בשטח- נקבע ל 9.9
צפי חומר סופי למכרז- 15.9
צפי עליה לקרקע באמצע אוקטובר 
אומדן הפרויקט- עלה ב יותר מ 1 מש"ח, עקב עבודות אזרחיות, הארקות, שעות פיקוח, לינה עקב המיקום המרוחק וכו. הנושא יבחן מול המח' הטכנו כלכלית לאחר הערות פיקוח . 
משך עבודות אזרחיות (פיתוח שטח, יסודות לציודים מ"ג מ"ע)- מוערך עי הפיקוח כ 3 חודשים  ולא 3 שבועות כפי שנדרש עי הנהלה. לאחר הערות פיקוח יהיה ניתן לקבוע משך ועדכון לו"ז בהתאם</t>
  </si>
  <si>
    <t>המשך עבודות אזרחיות - פיתוח שטח גדר צפי סיום 9/26.
הרכבה חשמלית בשלבי ביצוע מתקדמים:
 עבודות מסדר 161 ק"ו - התחלת מ"י החל 24/8/26, צפי סיום 3/9/26.
כוח אדם - התקבל כ"א לבדיקות,  בהמשך לישיבה אצל סמנכ"ל 20/8/26 תוכנית עבודה לתגבור כוח אדם לבדיקות.
מסדר - 24 ק"ו - בביצוע לבדיקות מ"י, טרם נקבע תאריך לבדיקות מזיו סמברג.
תאיי שנאים - כיבוי אש בתא שנאים- צפי סיום 10/9/26.
עבודות רת"ק - התקבל עדכון מהפרויקטור של רת"ק שמשך העבודות מחוץ לתחמ"ש בין 50-60 יום מקבלת אישור הסדרי תנועה.
מחוז - עבודות בשלבים להכנסת כבלים.
כביש גישה - בתאריך 31/08/26 התקבל עדכון מערן בשלב תכנון אזרחי, במקביל טיפול בהכנת טיוטת להסכם עם חברת קדישא.
עמידה בלו"ז 11/26 - בסיכון, בשל עבודות רת"ק.</t>
  </si>
  <si>
    <t>כביש גישה - בטיפול התכנון מול חברת קדישא, להמשך קידום מול עיריית בת ים.
סל מידע - מוכן, השלמת תמונה מנוגה מתוכנן 10/26, יש לוודא מול הנדסת רשת כי המועד הנ"ל תוומך לו"ז חישמול 11/2026.
עבודות רת"ק - התקבל עדכון מהפרויקטור של רת"ק שמשך העבודות מחוץ לתחמ"ש בין 50-60 יום מקבלת אישור הסדרי תנועה.
עמידה בלו"ז 11/26 - בסיכון, בשל עבודות רת"ק.</t>
  </si>
  <si>
    <t>מסדר 161 ק"ו -  נשלחה מסירה ליחידת תחמ"ש לבדיקות. 
שנאים - המשך עבודות  הרכבת כבלים עם מבודדי תמיכה, כולל מסדרי אפס,  עבודות  עיבוד כבלים צפוי סיום ספטמבר.
רת"ק - החלו עבודות רת"ק 16.8 הכנסת כבלים - סוף השבוע כלל העבודות כחודש.
עמידה בלו"ז - נדרש תיגבור כ"א לבדיקות התקיימה ישיבה אצל סמנכ"ל 20/8/26 תוכנית עבודה לתגבור כוח אדם לבדיקות , סיום 10/2026 בסיכון.
סל מידע - מוכן, השלמת תמונה מנוגה מתוכנן 10/26, יש לוודא מול הנדסת רשת כי המועד הנ"ל תוומך לו"ז חישמול 11/2026.</t>
  </si>
  <si>
    <t>עיכוב בעבודות אזרחיות - צפי הכנסה לניצול צפוי להדחות לחודש 11/26, בהתאם ללו"ז יח תחמ"ש מסיום חווט במסדר  161 ק"ו צפוי 6/8/26, SCS עבדות 3-4 חודשים צפי סיום צפוי 11/26.
סל מידע - מוכן, השלמת תמונה מנוגה מתוכנן 10/26, יש לוודא מול הנדסת רשת כי המועד הנ"ל תוומך לו"ז חישמול 11/2026.</t>
  </si>
  <si>
    <r>
      <rPr>
        <sz val="12"/>
        <rFont val="Arial"/>
        <family val="2"/>
        <scheme val="minor"/>
      </rPr>
      <t xml:space="preserve">
עמידת ההולכה בלו"ז לביצוע תשתית מ"ע.
פינוי תשתיות
קבלת מסדרים 13.6+24 בשלבים- בפריסה של חמישה חודשים - יהווה עיכוב משמעותי בלו"ז הפרויקט
קבלת תוכניות לביצוע</t>
    </r>
  </si>
  <si>
    <r>
      <t xml:space="preserve">קבלן אזרחי ממשיך בעבודתו צפי מסירות :חדר 24 ק"ו - 08.10.26,  אולם 161 ק"ו - 18.11.26 , חדר פיקוד - 13.12.26 , יסודות שנאים - 20.12.26 , סיום עבודות הקבלן 14.03.27 , בשלב זה עדיין מוקדם להעריך כניסת הביצוע , </t>
    </r>
    <r>
      <rPr>
        <sz val="11"/>
        <rFont val="Arial"/>
        <family val="2"/>
        <scheme val="minor"/>
      </rPr>
      <t>צפי התארגנות הרכבה חשמלית 10.2027</t>
    </r>
  </si>
  <si>
    <t xml:space="preserve">אין מהדקים  , אין כבלי מ"נ </t>
  </si>
  <si>
    <r>
      <rPr>
        <b/>
        <sz val="11"/>
        <rFont val="Arial"/>
        <family val="2"/>
        <scheme val="minor"/>
      </rPr>
      <t xml:space="preserve">נקבע חשמול תחמ"ש אוניברסיטה בלילה של יום ג' 1/09/2026 
</t>
    </r>
    <r>
      <rPr>
        <sz val="11"/>
        <rFont val="Arial"/>
        <family val="2"/>
        <scheme val="minor"/>
      </rPr>
      <t xml:space="preserve">
התקיימה ועדת חשמול חוזרת 26/8/2026 סוכם:  חשמול  התחמ"ש עד סוף חודש 8/2026 לפי הנחיית סמנכ"ל 
יח' תחמ"ש הציגו 12/8 קיצור לו"ז ומשמעויות עבור חשמול כלל התחמ"ש בהתאם להנחיית הסמנכ"ל עד תאריך 31/8/2026
השלמת עבודות חב' אורד - סיום עבודות כולל בדיקות מ. התקנים ואינטגרצייה: 
בדיקות 1001 ו- 1221 בוצעו 19/7 בדיקת אינטגרציה בוצעו עד 13/8
חיבור שנאי בית ראשון בוצע  24/8 , חיבור שנאי בית שני יבוצע מיד עם חשמול התחמ"ש
ב-27/07/2026 התקיימה ישיבה עם יועצת משפטית הדס ארנון לקידום נושאים פתוחים מול עיריית ת"א  קו תאורה ברחוב ירוחם משל נדרש להעתקה 
הביצוע על קבלן העיריה בהתאם לסיכום בתנאיי היתר חח"י תישא בתשלום (התקבלה הצעת מחיר הקבלן ע"ס כ 60,000 ש"ח)- מטופל מול המחלקה המשפטית על אופן התשלום הנ"ל יועבר למח' מכרזים. הוכן מסמך הצדקה שיועבר לחתימת מנהל האגף
נספח סניטרי שלא צורף להיתר -  התקבלו שוב הערות לנספח שהוגש למי אביבים , תאמנו יחד עם מתכנן חח"י  פגישה במי אביבים  2/9 לקידום אישור הנספח
בתאום מול אחוזת החוף/עיריית תל אביב שטח התארגנות חלק עליון יוחזר עד 11/2026 כחניות הקבלן נערך לביצוע העבודות (יש לפנות את כל המכולות פנינו למשק) 
</t>
    </r>
  </si>
  <si>
    <t xml:space="preserve">בשלב תכנון להיתר
הבניין בבחינת נחיצות ברמת מנהל אגף
יש לבחון כיצד מקדמים החלפת השנאים (521 522 ) ללא תלות בבניין </t>
  </si>
  <si>
    <t xml:space="preserve">
עבודות הרכבה חשמלית הסתיימו (בכל הקשור להרכבת ציוד שנאי ומסדר 24 ק"ו)עד לקבלת מסדר מ"ע צפי לאספקה ראשונה סוף חודש 8/2026 .
 שנאי הורכב, מסדר 24 ק"ו ומסדר אפס הורכבו ,הונחו כבלים, הורכבה מע' SCS 
נדרש לקדם תחילת בדיקות  יח' תחמ"ש בדגש על שדרוג מע' SCS היקף עבודה גדול
החל מתאריך 23/8 לא תהיה עבודה של הרכבה חשמלית בתחמ"ש
עיכוב משמעותי ביעד אספקת מסדרי מ"ע. טרם התקבלו תאריכי יעד מבהספק! (עדכון ממחלקת ציוד). 
כרגע מדובר על אספקה בשתי פעימות הראשונה בסוף 8/26 - טרם עודכנו למועד קבלת ציוד  נכון לעכשיו יש דחיה באספקה
אספקה שניה  מתוכננת בחודש 11/26 לא נאמר מה מגיע במשלוח הראשון! ---עקב כך יידרש לבחון שוב את לו"ז עם הגעת הציוד
לו"ז הוצג לסמנכ"ל עם דחייה לחשמול בחודש 3/2027
בישיבת סטטוס 6/7 בראשותו של מנהל האגף יש להוסיף בנ"מ - כך שסיום הפרויקט בסוף 5/2027</t>
  </si>
  <si>
    <r>
      <rPr>
        <b/>
        <sz val="11"/>
        <rFont val="Aptos Narrow"/>
        <family val="2"/>
      </rPr>
      <t xml:space="preserve">
לאחר מס' תאומים נקבע חשמול מסדר 161 ק"ו בלילה של יום רביעי 2/9/2026 
</t>
    </r>
    <r>
      <rPr>
        <sz val="11"/>
        <rFont val="Aptos Narrow"/>
        <family val="2"/>
      </rPr>
      <t xml:space="preserve"> 
מסדר 161 ק"ו  ,בדיקות הכנסה לניצול הסתיימו כעת לפני חשמול צפי לתחילת חודש 9/2026 , הושלם מנתק שדה מס' 1 בוצעה בדיקת מ"י חוזרת הושלם 18/8 
התקיימה וועדת חשמול  12/8/2026 , הוצגו כל האישורים הנדרשים למעט דוח הארקות לכלל התחנה כפי שנדרש בועדה (קיים דוח למסדר 161 ק"ו) . בדיקת הארקות מעבדה תוכנן לתאריך 24/8 .
מסדר 400 ק"ו - תחילת בדיקות מגזר ביצוע מתוכנןן לתאריך 25/8 עם סיום הבדיקות במסדר 24 ק"ו.​ כדי לאפשר תחילת בדיקות מ"י מיד לאחר  חגי תשרי. 
(תיעדוף בדיקות מגזר ביצוע בהתאם להחלטת הנהלה לתת מענה ראשוני לתמיכה עבור מסדר 24 בגליל​)
חשמול מסדר 400 דרך אוטושנאים ולא באמצעות מעגלי מתח על.</t>
    </r>
    <r>
      <rPr>
        <u/>
        <sz val="11"/>
        <rFont val="Aptos Narrow"/>
        <family val="2"/>
      </rPr>
      <t xml:space="preserve">
</t>
    </r>
    <r>
      <rPr>
        <sz val="11"/>
        <rFont val="Aptos Narrow"/>
        <family val="2"/>
      </rPr>
      <t xml:space="preserve">
הולכה - קווי מ"ע , הוחלט לחשמל את המעגלים (18 ו- 20) כמתוכנן -מוכנים לחשמול . התקיימה וועדת חשמול עבור רת"ק 16/7 . 
ב-17/06/2026 התקיימה ישיבה עם יחידת תחמ"ש ושאר המעורבים לקביעת אחריות תפעולית בתחמ"ג - הוחלט לגדר את מתחם רת"ק כולל עד cablebox על מנת שיוכלו לעבוד ללא צורך בהשגחה.
עם חשמול המסדר - יח' תחמ"ש צ' אחראים מבחינה תפעולית על מסדר 161 ק"ו בלבד.
עד לסיום עבודות הקבלן בתחמ"ג 9/2026  תוצב שמירה 24/7 - הועברה בקשה למח' בטחון - בתאום אחרון 27/8 מול בטחון הובטח הצבת שומר בימים הקרובים 
מחלקת ציוד מטפלים בהזמנה להשלמת הציוד עבור שני שדות שהותקנו במסדר 400 ק"ו שדה 7 ו- 9 
מבקש לקדם ולקבל לו"ז כדי לתאם את העבודות עם כל הגורמים
סיום כל עבודות הקבלן כולל פיתוח נופי חודש 9/2026 כמו כן צפי לקבלת טופס 4 </t>
    </r>
  </si>
  <si>
    <t>עבודות אזרחיות בעיצומן- צפי חשמול 02.2027  אנסה לעמוד ביעד חשמול 31.12.2026
קבלן אזרחי בתחמ"ש אריאל הפסיק עבודתו בתחמ"ש בעקבות בדיקות ביטחוניות שהוא עובר במחסום .
כל דחייה מבחינת הקבלן האזרחי או מכל גורם אחר יביא לדחיית הפרויקט</t>
  </si>
  <si>
    <t>1. חוסר כבלים ופסי נחושת בחברה
2.  טרם התקבלה חבילת תכנון תקשורת  - נדרש בדחיפות
3. אי יכולת השלמת תכולות אזרחיות בשטח התפעולי באיזורים בהם קיימים קוים חיים של התחנה הישנה - נדרש פיתרון מול נגה והוצאת התכולות מהקבלן הקיים.</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</si>
</sst>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010000]d/m/yyyy;@"/>
  </numFmts>
  <fonts count="31" x14ac:knownFonts="1">
    <font>
      <sz val="11"/>
      <color theme="1"/>
      <name val="Arial"/>
      <family val="2"/>
      <charset val="177"/>
      <scheme val="minor"/>
    </font>
    <font>
      <sz val="11"/>
      <color rgb="FF000000"/>
      <name val="Arial"/>
      <family val="2"/>
      <charset val="177"/>
      <scheme val="minor"/>
    </font>
    <font>
      <sz val="8"/>
      <name val="Arial"/>
      <family val="2"/>
      <charset val="177"/>
      <scheme val="minor"/>
    </font>
    <font>
      <sz val="11"/>
      <name val="Arial"/>
      <family val="2"/>
      <charset val="177"/>
      <scheme val="minor"/>
    </font>
    <font>
      <b/>
      <sz val="9"/>
      <color indexed="81"/>
      <name val="Tahoma"/>
      <family val="2"/>
    </font>
    <font>
      <sz val="9"/>
      <color indexed="81"/>
      <name val="Tahoma"/>
      <family val="2"/>
    </font>
    <font>
      <sz val="12"/>
      <name val="Arial"/>
      <family val="2"/>
    </font>
    <font>
      <sz val="12"/>
      <name val="Arial"/>
      <family val="2"/>
      <scheme val="minor"/>
    </font>
    <font>
      <sz val="12"/>
      <name val="Arial"/>
      <family val="2"/>
      <charset val="177"/>
      <scheme val="minor"/>
    </font>
    <font>
      <sz val="12"/>
      <name val="Aptos Narrow"/>
      <family val="2"/>
    </font>
    <font>
      <sz val="12"/>
      <name val="Arial"/>
      <family val="2"/>
      <charset val="177"/>
    </font>
    <font>
      <sz val="11"/>
      <name val="Arial"/>
      <family val="2"/>
    </font>
    <font>
      <sz val="11"/>
      <name val="Arial"/>
      <family val="2"/>
      <scheme val="minor"/>
    </font>
    <font>
      <u/>
      <sz val="11"/>
      <color theme="10"/>
      <name val="Arial"/>
      <family val="2"/>
      <charset val="177"/>
      <scheme val="minor"/>
    </font>
    <font>
      <b/>
      <sz val="12"/>
      <name val="Arial"/>
      <family val="2"/>
      <scheme val="minor"/>
    </font>
    <font>
      <sz val="11"/>
      <color indexed="81"/>
      <name val="Tahoma"/>
      <family val="2"/>
    </font>
    <font>
      <sz val="12"/>
      <name val="Arial"/>
      <family val="2"/>
      <charset val="1"/>
    </font>
    <font>
      <sz val="12"/>
      <name val="Aptos"/>
      <family val="2"/>
    </font>
    <font>
      <sz val="11"/>
      <name val="Open Sans"/>
      <family val="2"/>
    </font>
    <font>
      <sz val="12"/>
      <name val="Open Sans"/>
      <family val="2"/>
    </font>
    <font>
      <u/>
      <sz val="12"/>
      <name val="Arial"/>
      <family val="2"/>
      <scheme val="minor"/>
    </font>
    <font>
      <b/>
      <sz val="12"/>
      <name val="Arial"/>
      <family val="2"/>
    </font>
    <font>
      <b/>
      <sz val="14"/>
      <name val="Arial"/>
      <family val="2"/>
      <scheme val="minor"/>
    </font>
    <font>
      <b/>
      <sz val="12"/>
      <name val="Aptos Narrow"/>
      <family val="2"/>
    </font>
    <font>
      <b/>
      <u/>
      <sz val="12"/>
      <name val="Arial"/>
      <family val="2"/>
      <scheme val="minor"/>
    </font>
    <font>
      <sz val="14"/>
      <name val="Arial"/>
      <family val="2"/>
      <scheme val="minor"/>
    </font>
    <font>
      <sz val="12"/>
      <name val="Aptos Narrow"/>
      <family val="2"/>
      <charset val="177"/>
    </font>
    <font>
      <sz val="11"/>
      <name val="Aptos Narrow"/>
      <family val="2"/>
    </font>
    <font>
      <b/>
      <sz val="11"/>
      <name val="Aptos Narrow"/>
      <family val="2"/>
    </font>
    <font>
      <u/>
      <sz val="11"/>
      <name val="Aptos Narrow"/>
      <family val="2"/>
    </font>
    <font>
      <b/>
      <sz val="11"/>
      <name val="Arial"/>
      <family val="2"/>
      <scheme val="minor"/>
    </font>
  </fonts>
  <fills count="8">
    <fill>
      <patternFill patternType="none"/>
    </fill>
    <fill>
      <patternFill patternType="gray125"/>
    </fill>
    <fill>
      <patternFill patternType="solid">
        <fgColor rgb="FFFF7C80"/>
        <bgColor indexed="64"/>
      </patternFill>
    </fill>
    <fill>
      <patternFill patternType="solid">
        <fgColor theme="5" tint="0.59999389629810485"/>
        <bgColor indexed="64"/>
      </patternFill>
    </fill>
    <fill>
      <patternFill patternType="solid">
        <fgColor theme="9" tint="0.59999389629810485"/>
        <bgColor indexed="64"/>
      </patternFill>
    </fill>
    <fill>
      <patternFill patternType="solid">
        <fgColor theme="0"/>
        <bgColor indexed="64"/>
      </patternFill>
    </fill>
    <fill>
      <patternFill patternType="solid">
        <fgColor rgb="FFFFFFFF"/>
        <bgColor indexed="64"/>
      </patternFill>
    </fill>
    <fill>
      <patternFill patternType="solid">
        <fgColor theme="4" tint="0.79998168889431442"/>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rgb="FF000000"/>
      </left>
      <right style="thin">
        <color indexed="64"/>
      </right>
      <top style="thin">
        <color indexed="64"/>
      </top>
      <bottom style="thin">
        <color indexed="64"/>
      </bottom>
      <diagonal/>
    </border>
    <border>
      <left style="thin">
        <color rgb="FF000000"/>
      </left>
      <right style="thin">
        <color indexed="64"/>
      </right>
      <top style="thin">
        <color indexed="64"/>
      </top>
      <bottom/>
      <diagonal/>
    </border>
    <border>
      <left style="thin">
        <color rgb="FF000000"/>
      </left>
      <right style="thin">
        <color indexed="64"/>
      </right>
      <top style="thin">
        <color indexed="64"/>
      </top>
      <bottom style="thin">
        <color rgb="FF000000"/>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rgb="FF000000"/>
      </bottom>
      <diagonal/>
    </border>
    <border>
      <left style="thin">
        <color indexed="64"/>
      </left>
      <right/>
      <top style="thin">
        <color indexed="64"/>
      </top>
      <bottom/>
      <diagonal/>
    </border>
    <border>
      <left style="thin">
        <color indexed="64"/>
      </left>
      <right style="thin">
        <color indexed="64"/>
      </right>
      <top/>
      <bottom/>
      <diagonal/>
    </border>
    <border>
      <left style="thin">
        <color indexed="64"/>
      </left>
      <right style="thin">
        <color indexed="64"/>
      </right>
      <top style="thin">
        <color theme="7"/>
      </top>
      <bottom style="thin">
        <color indexed="64"/>
      </bottom>
      <diagonal/>
    </border>
    <border>
      <left/>
      <right/>
      <top style="thin">
        <color indexed="64"/>
      </top>
      <bottom/>
      <diagonal/>
    </border>
    <border>
      <left/>
      <right style="thin">
        <color indexed="64"/>
      </right>
      <top/>
      <bottom/>
      <diagonal/>
    </border>
  </borders>
  <cellStyleXfs count="2">
    <xf numFmtId="0" fontId="0" fillId="0" borderId="0"/>
    <xf numFmtId="0" fontId="13" fillId="0" borderId="0" applyNumberFormat="0" applyFill="0" applyBorder="0" applyAlignment="0" applyProtection="0"/>
  </cellStyleXfs>
  <cellXfs count="227">
    <xf numFmtId="0" fontId="0" fillId="0" borderId="0" xfId="0"/>
    <xf numFmtId="0" fontId="1" fillId="0" borderId="0" xfId="0" applyFont="1" applyAlignment="1">
      <alignment readingOrder="2"/>
    </xf>
    <xf numFmtId="0" fontId="0" fillId="0" borderId="1" xfId="0" applyBorder="1"/>
    <xf numFmtId="0" fontId="6" fillId="0" borderId="1" xfId="0" applyFont="1" applyBorder="1" applyAlignment="1" applyProtection="1">
      <alignment horizontal="center" vertical="center" wrapText="1" readingOrder="2"/>
      <protection locked="0"/>
    </xf>
    <xf numFmtId="0" fontId="7" fillId="0" borderId="1" xfId="0" applyFont="1" applyBorder="1" applyAlignment="1" applyProtection="1">
      <alignment vertical="center" wrapText="1"/>
      <protection locked="0"/>
    </xf>
    <xf numFmtId="0" fontId="0" fillId="2" borderId="1" xfId="0" applyFill="1" applyBorder="1"/>
    <xf numFmtId="0" fontId="0" fillId="3" borderId="1" xfId="0" applyFill="1" applyBorder="1"/>
    <xf numFmtId="0" fontId="0" fillId="4" borderId="1" xfId="0" applyFill="1" applyBorder="1"/>
    <xf numFmtId="0" fontId="1" fillId="0" borderId="1" xfId="0" applyFont="1" applyBorder="1" applyAlignment="1">
      <alignment readingOrder="2"/>
    </xf>
    <xf numFmtId="0" fontId="0" fillId="7" borderId="0" xfId="0" applyFill="1"/>
    <xf numFmtId="0" fontId="8" fillId="0" borderId="2" xfId="0" applyFont="1" applyBorder="1" applyAlignment="1" applyProtection="1">
      <alignment horizontal="center" vertical="center"/>
      <protection locked="0"/>
    </xf>
    <xf numFmtId="0" fontId="8" fillId="0" borderId="2" xfId="0" applyFont="1" applyBorder="1" applyAlignment="1" applyProtection="1">
      <alignment horizontal="center" vertical="center" wrapText="1"/>
      <protection locked="0"/>
    </xf>
    <xf numFmtId="0" fontId="0" fillId="0" borderId="12" xfId="0" applyBorder="1"/>
    <xf numFmtId="0" fontId="8" fillId="0" borderId="2" xfId="0" applyFont="1" applyBorder="1" applyAlignment="1" applyProtection="1">
      <alignment horizontal="center" vertical="center" wrapText="1" readingOrder="2"/>
      <protection locked="0"/>
    </xf>
    <xf numFmtId="0" fontId="8" fillId="0" borderId="0" xfId="0" applyFont="1" applyAlignment="1" applyProtection="1">
      <alignment horizontal="center" vertical="center" wrapText="1" readingOrder="2"/>
      <protection locked="0"/>
    </xf>
    <xf numFmtId="0" fontId="6" fillId="5" borderId="3" xfId="0" applyFont="1" applyFill="1" applyBorder="1" applyAlignment="1">
      <alignment horizontal="center" vertical="center"/>
    </xf>
    <xf numFmtId="0" fontId="6" fillId="5" borderId="1" xfId="0" applyFont="1" applyFill="1" applyBorder="1" applyAlignment="1">
      <alignment horizontal="center" vertical="center" wrapText="1"/>
    </xf>
    <xf numFmtId="0" fontId="6" fillId="5" borderId="1" xfId="0" applyFont="1" applyFill="1" applyBorder="1" applyAlignment="1">
      <alignment horizontal="center" vertical="center"/>
    </xf>
    <xf numFmtId="164" fontId="6" fillId="5" borderId="1" xfId="0" applyNumberFormat="1" applyFont="1" applyFill="1" applyBorder="1" applyAlignment="1" applyProtection="1">
      <alignment horizontal="center" vertical="center" wrapText="1"/>
      <protection locked="0"/>
    </xf>
    <xf numFmtId="0" fontId="7" fillId="5" borderId="3" xfId="0" applyFont="1" applyFill="1" applyBorder="1" applyAlignment="1">
      <alignment horizontal="center" vertical="center"/>
    </xf>
    <xf numFmtId="0" fontId="7" fillId="5" borderId="1" xfId="0" applyFont="1" applyFill="1" applyBorder="1" applyAlignment="1">
      <alignment horizontal="center" vertical="center" wrapText="1"/>
    </xf>
    <xf numFmtId="0" fontId="7" fillId="0" borderId="1" xfId="0" applyFont="1" applyBorder="1" applyAlignment="1" applyProtection="1">
      <alignment horizontal="center" vertical="center" wrapText="1"/>
      <protection locked="0"/>
    </xf>
    <xf numFmtId="0" fontId="7" fillId="0" borderId="1" xfId="0" applyFont="1" applyBorder="1" applyAlignment="1" applyProtection="1">
      <alignment horizontal="right" vertical="center" wrapText="1" readingOrder="2"/>
      <protection locked="0"/>
    </xf>
    <xf numFmtId="0" fontId="7" fillId="0" borderId="5" xfId="0" applyFont="1" applyBorder="1" applyAlignment="1" applyProtection="1">
      <alignment horizontal="center" vertical="center" wrapText="1"/>
      <protection locked="0"/>
    </xf>
    <xf numFmtId="0" fontId="8" fillId="0" borderId="1" xfId="0" applyFont="1" applyBorder="1" applyAlignment="1" applyProtection="1">
      <alignment vertical="center" wrapText="1"/>
      <protection locked="0"/>
    </xf>
    <xf numFmtId="14" fontId="6" fillId="5" borderId="1" xfId="0" applyNumberFormat="1" applyFont="1" applyFill="1" applyBorder="1" applyAlignment="1" applyProtection="1">
      <alignment horizontal="center" vertical="center" wrapText="1"/>
      <protection locked="0"/>
    </xf>
    <xf numFmtId="0" fontId="8" fillId="5" borderId="1" xfId="0" applyFont="1" applyFill="1" applyBorder="1" applyAlignment="1">
      <alignment horizontal="center" vertical="center" wrapText="1"/>
    </xf>
    <xf numFmtId="0" fontId="8" fillId="5" borderId="3" xfId="0" applyFont="1" applyFill="1" applyBorder="1" applyAlignment="1">
      <alignment horizontal="center" vertical="center"/>
    </xf>
    <xf numFmtId="0" fontId="6" fillId="0" borderId="1" xfId="0" applyFont="1" applyBorder="1" applyAlignment="1">
      <alignment horizontal="center" vertical="center" readingOrder="1"/>
    </xf>
    <xf numFmtId="0" fontId="6" fillId="0" borderId="1" xfId="0" applyFont="1" applyBorder="1" applyAlignment="1">
      <alignment horizontal="center" vertical="center" readingOrder="2"/>
    </xf>
    <xf numFmtId="0" fontId="6" fillId="0" borderId="6" xfId="0" applyFont="1" applyBorder="1" applyAlignment="1">
      <alignment horizontal="center" vertical="center" readingOrder="1"/>
    </xf>
    <xf numFmtId="0" fontId="8" fillId="0" borderId="5" xfId="0" applyFont="1" applyBorder="1" applyAlignment="1" applyProtection="1">
      <alignment horizontal="center" vertical="center" wrapText="1"/>
      <protection locked="0"/>
    </xf>
    <xf numFmtId="0" fontId="6" fillId="0" borderId="1" xfId="0" applyFont="1" applyBorder="1" applyAlignment="1" applyProtection="1">
      <alignment horizontal="center" vertical="center" wrapText="1"/>
      <protection locked="0"/>
    </xf>
    <xf numFmtId="0" fontId="6" fillId="5" borderId="3" xfId="0" applyFont="1" applyFill="1" applyBorder="1" applyAlignment="1">
      <alignment horizontal="center" vertical="center" wrapText="1"/>
    </xf>
    <xf numFmtId="0" fontId="6" fillId="5" borderId="1" xfId="0" applyFont="1" applyFill="1" applyBorder="1" applyAlignment="1">
      <alignment horizontal="right" vertical="center" wrapText="1"/>
    </xf>
    <xf numFmtId="0" fontId="6" fillId="5" borderId="4" xfId="0" applyFont="1" applyFill="1" applyBorder="1" applyAlignment="1">
      <alignment horizontal="center" vertical="center"/>
    </xf>
    <xf numFmtId="0" fontId="6" fillId="5" borderId="5" xfId="0" applyFont="1" applyFill="1" applyBorder="1" applyAlignment="1">
      <alignment horizontal="center" vertical="center" wrapText="1"/>
    </xf>
    <xf numFmtId="0" fontId="8" fillId="5" borderId="4" xfId="0" applyFont="1" applyFill="1" applyBorder="1" applyAlignment="1">
      <alignment horizontal="center" vertical="center"/>
    </xf>
    <xf numFmtId="0" fontId="8" fillId="5" borderId="5" xfId="0" applyFont="1" applyFill="1" applyBorder="1" applyAlignment="1">
      <alignment horizontal="center" vertical="center" wrapText="1"/>
    </xf>
    <xf numFmtId="0" fontId="8" fillId="5" borderId="5" xfId="0" applyFont="1" applyFill="1" applyBorder="1" applyAlignment="1">
      <alignment horizontal="center" vertical="center"/>
    </xf>
    <xf numFmtId="164" fontId="8" fillId="5" borderId="5" xfId="0" applyNumberFormat="1" applyFont="1" applyFill="1" applyBorder="1" applyAlignment="1" applyProtection="1">
      <alignment horizontal="center" vertical="center" wrapText="1"/>
      <protection locked="0"/>
    </xf>
    <xf numFmtId="0" fontId="8" fillId="5" borderId="11" xfId="0" applyFont="1" applyFill="1" applyBorder="1" applyAlignment="1">
      <alignment horizontal="center" vertical="center"/>
    </xf>
    <xf numFmtId="0" fontId="6" fillId="0" borderId="1" xfId="0" applyFont="1" applyBorder="1" applyAlignment="1">
      <alignment horizontal="center" vertical="center" wrapText="1"/>
    </xf>
    <xf numFmtId="0" fontId="6" fillId="0" borderId="1" xfId="0" applyFont="1" applyBorder="1" applyAlignment="1">
      <alignment horizontal="center" vertical="center" wrapText="1" readingOrder="2"/>
    </xf>
    <xf numFmtId="164" fontId="6" fillId="0" borderId="1" xfId="0" applyNumberFormat="1" applyFont="1" applyBorder="1" applyAlignment="1" applyProtection="1">
      <alignment horizontal="center" vertical="center" wrapText="1"/>
      <protection locked="0"/>
    </xf>
    <xf numFmtId="0" fontId="7" fillId="0" borderId="1" xfId="0" applyFont="1" applyBorder="1" applyAlignment="1" applyProtection="1">
      <alignment horizontal="center" vertical="center" wrapText="1" readingOrder="2"/>
      <protection locked="0"/>
    </xf>
    <xf numFmtId="0" fontId="6" fillId="0" borderId="1" xfId="0" applyFont="1" applyBorder="1" applyAlignment="1" applyProtection="1">
      <alignment horizontal="center" vertical="center"/>
      <protection locked="0"/>
    </xf>
    <xf numFmtId="0" fontId="10" fillId="0" borderId="6" xfId="0" applyFont="1" applyBorder="1" applyAlignment="1">
      <alignment horizontal="center" vertical="center" readingOrder="1"/>
    </xf>
    <xf numFmtId="0" fontId="8" fillId="5" borderId="1" xfId="0" applyFont="1" applyFill="1" applyBorder="1" applyAlignment="1">
      <alignment horizontal="center" vertical="center"/>
    </xf>
    <xf numFmtId="164" fontId="8" fillId="5" borderId="1" xfId="0" applyNumberFormat="1" applyFont="1" applyFill="1" applyBorder="1" applyAlignment="1" applyProtection="1">
      <alignment horizontal="center" vertical="center" wrapText="1"/>
      <protection locked="0"/>
    </xf>
    <xf numFmtId="0" fontId="8" fillId="0" borderId="5" xfId="1" applyFont="1" applyBorder="1" applyAlignment="1">
      <alignment horizontal="center" vertical="center" wrapText="1"/>
    </xf>
    <xf numFmtId="0" fontId="8" fillId="0" borderId="1" xfId="0" applyFont="1" applyBorder="1" applyAlignment="1" applyProtection="1">
      <alignment horizontal="center" vertical="center" wrapText="1"/>
      <protection locked="0"/>
    </xf>
    <xf numFmtId="0" fontId="8" fillId="0" borderId="1" xfId="0" applyFont="1" applyBorder="1" applyAlignment="1" applyProtection="1">
      <alignment horizontal="right" vertical="center" wrapText="1" readingOrder="2"/>
      <protection locked="0"/>
    </xf>
    <xf numFmtId="0" fontId="9" fillId="0" borderId="1" xfId="0" applyFont="1" applyBorder="1" applyAlignment="1">
      <alignment vertical="center" wrapText="1"/>
    </xf>
    <xf numFmtId="0" fontId="6" fillId="0" borderId="1" xfId="0" applyFont="1" applyBorder="1" applyAlignment="1" applyProtection="1">
      <alignment horizontal="center" vertical="center" readingOrder="1"/>
      <protection locked="0"/>
    </xf>
    <xf numFmtId="0" fontId="9" fillId="0" borderId="1" xfId="0" applyFont="1" applyBorder="1" applyAlignment="1" applyProtection="1">
      <alignment vertical="center" wrapText="1"/>
      <protection locked="0"/>
    </xf>
    <xf numFmtId="0" fontId="6" fillId="0" borderId="1" xfId="0" applyFont="1" applyBorder="1" applyAlignment="1">
      <alignment horizontal="right" vertical="center" wrapText="1"/>
    </xf>
    <xf numFmtId="0" fontId="9" fillId="0" borderId="1" xfId="0" applyFont="1" applyBorder="1" applyAlignment="1" applyProtection="1">
      <alignment horizontal="right" vertical="center" wrapText="1"/>
      <protection locked="0"/>
    </xf>
    <xf numFmtId="0" fontId="8" fillId="0" borderId="1" xfId="0" applyFont="1" applyBorder="1" applyAlignment="1" applyProtection="1">
      <alignment horizontal="center" vertical="center" wrapText="1" readingOrder="2"/>
      <protection locked="0"/>
    </xf>
    <xf numFmtId="0" fontId="6" fillId="6" borderId="1" xfId="0" applyFont="1" applyFill="1" applyBorder="1" applyAlignment="1">
      <alignment horizontal="center" vertical="center"/>
    </xf>
    <xf numFmtId="0" fontId="7" fillId="0" borderId="1" xfId="0" applyFont="1" applyBorder="1" applyAlignment="1" applyProtection="1">
      <alignment horizontal="right" vertical="center" wrapText="1"/>
      <protection locked="0"/>
    </xf>
    <xf numFmtId="0" fontId="8" fillId="0" borderId="1" xfId="0" applyFont="1" applyBorder="1" applyAlignment="1">
      <alignment horizontal="center" vertical="center" wrapText="1"/>
    </xf>
    <xf numFmtId="0" fontId="8" fillId="0" borderId="1" xfId="0" applyFont="1" applyBorder="1" applyAlignment="1">
      <alignment horizontal="center" vertical="center"/>
    </xf>
    <xf numFmtId="0" fontId="7" fillId="0" borderId="1" xfId="0" applyFont="1" applyBorder="1" applyAlignment="1">
      <alignment horizontal="center" vertical="center"/>
    </xf>
    <xf numFmtId="0" fontId="3" fillId="0" borderId="0" xfId="0" applyFont="1" applyAlignment="1" applyProtection="1">
      <alignment vertical="center"/>
      <protection locked="0"/>
    </xf>
    <xf numFmtId="0" fontId="3" fillId="0" borderId="0" xfId="0" applyFont="1" applyAlignment="1" applyProtection="1">
      <alignment horizontal="center" vertical="center"/>
      <protection locked="0"/>
    </xf>
    <xf numFmtId="0" fontId="3" fillId="0" borderId="0" xfId="0" applyFont="1" applyAlignment="1" applyProtection="1">
      <alignment horizontal="center" vertical="center" wrapText="1"/>
      <protection locked="0"/>
    </xf>
    <xf numFmtId="0" fontId="3" fillId="0" borderId="0" xfId="0" applyFont="1" applyAlignment="1" applyProtection="1">
      <alignment vertical="center" wrapText="1"/>
      <protection locked="0"/>
    </xf>
    <xf numFmtId="0" fontId="7" fillId="0" borderId="1" xfId="0" applyFont="1" applyBorder="1" applyAlignment="1" applyProtection="1">
      <alignment horizontal="center" vertical="center"/>
      <protection locked="0"/>
    </xf>
    <xf numFmtId="0" fontId="7" fillId="0" borderId="1" xfId="0" applyFont="1" applyBorder="1" applyAlignment="1">
      <alignment horizontal="center" vertical="center" wrapText="1" readingOrder="1"/>
    </xf>
    <xf numFmtId="0" fontId="6" fillId="0" borderId="6" xfId="0" applyFont="1" applyBorder="1" applyAlignment="1">
      <alignment horizontal="center" vertical="center" readingOrder="2"/>
    </xf>
    <xf numFmtId="0" fontId="8" fillId="0" borderId="1" xfId="0" applyFont="1" applyBorder="1" applyAlignment="1" applyProtection="1">
      <alignment horizontal="center" vertical="center"/>
      <protection locked="0"/>
    </xf>
    <xf numFmtId="0" fontId="8" fillId="0" borderId="1" xfId="0" applyFont="1" applyBorder="1" applyAlignment="1">
      <alignment horizontal="center" vertical="center" wrapText="1" readingOrder="1"/>
    </xf>
    <xf numFmtId="0" fontId="10" fillId="0" borderId="1" xfId="0" applyFont="1" applyBorder="1" applyAlignment="1">
      <alignment horizontal="center" vertical="center" readingOrder="2"/>
    </xf>
    <xf numFmtId="0" fontId="10" fillId="0" borderId="1" xfId="0" applyFont="1" applyBorder="1" applyAlignment="1">
      <alignment horizontal="center" vertical="center" readingOrder="1"/>
    </xf>
    <xf numFmtId="0" fontId="9" fillId="0" borderId="1" xfId="0" applyFont="1" applyBorder="1" applyAlignment="1" applyProtection="1">
      <alignment horizontal="center" vertical="center" wrapText="1"/>
      <protection locked="0"/>
    </xf>
    <xf numFmtId="0" fontId="8" fillId="0" borderId="1" xfId="0" applyFont="1" applyBorder="1" applyAlignment="1" applyProtection="1">
      <alignment horizontal="right" vertical="center" wrapText="1"/>
      <protection locked="0"/>
    </xf>
    <xf numFmtId="0" fontId="8" fillId="0" borderId="1" xfId="0" applyFont="1" applyBorder="1" applyAlignment="1" applyProtection="1">
      <alignment horizontal="center" vertical="center" wrapText="1" readingOrder="1"/>
      <protection locked="0"/>
    </xf>
    <xf numFmtId="0" fontId="10" fillId="0" borderId="1" xfId="0" applyFont="1" applyBorder="1" applyAlignment="1" applyProtection="1">
      <alignment horizontal="center" vertical="center"/>
      <protection locked="0"/>
    </xf>
    <xf numFmtId="0" fontId="10" fillId="0" borderId="1" xfId="0" applyFont="1" applyBorder="1" applyAlignment="1" applyProtection="1">
      <alignment horizontal="center" vertical="center" readingOrder="1"/>
      <protection locked="0"/>
    </xf>
    <xf numFmtId="0" fontId="6" fillId="5" borderId="0" xfId="0" applyFont="1" applyFill="1" applyAlignment="1">
      <alignment horizontal="center" vertical="center"/>
    </xf>
    <xf numFmtId="0" fontId="6" fillId="0" borderId="4" xfId="0" applyFont="1" applyBorder="1" applyAlignment="1">
      <alignment horizontal="center" vertical="center" wrapText="1" readingOrder="2"/>
    </xf>
    <xf numFmtId="0" fontId="8" fillId="0" borderId="3" xfId="0" applyFont="1" applyBorder="1" applyAlignment="1" applyProtection="1">
      <alignment horizontal="center" vertical="center" wrapText="1"/>
      <protection locked="0"/>
    </xf>
    <xf numFmtId="0" fontId="6" fillId="0" borderId="3" xfId="0" applyFont="1" applyBorder="1" applyAlignment="1">
      <alignment horizontal="center" vertical="center" wrapText="1" readingOrder="2"/>
    </xf>
    <xf numFmtId="0" fontId="6" fillId="0" borderId="4" xfId="0" applyFont="1" applyBorder="1" applyAlignment="1">
      <alignment horizontal="center" vertical="center" wrapText="1"/>
    </xf>
    <xf numFmtId="0" fontId="10" fillId="0" borderId="1" xfId="0" applyFont="1" applyBorder="1" applyAlignment="1">
      <alignment horizontal="center" vertical="center" wrapText="1" readingOrder="2"/>
    </xf>
    <xf numFmtId="0" fontId="10" fillId="0" borderId="6" xfId="0" applyFont="1" applyBorder="1" applyAlignment="1">
      <alignment horizontal="center" vertical="center" wrapText="1" readingOrder="2"/>
    </xf>
    <xf numFmtId="0" fontId="8" fillId="0" borderId="13" xfId="0" applyFont="1" applyBorder="1" applyAlignment="1">
      <alignment horizontal="right" vertical="center" wrapText="1" readingOrder="2"/>
    </xf>
    <xf numFmtId="0" fontId="10" fillId="0" borderId="6" xfId="0" applyFont="1" applyBorder="1" applyAlignment="1">
      <alignment horizontal="center" vertical="center" readingOrder="2"/>
    </xf>
    <xf numFmtId="0" fontId="10" fillId="0" borderId="1" xfId="0" applyFont="1" applyBorder="1" applyAlignment="1" applyProtection="1">
      <alignment horizontal="center" vertical="center" readingOrder="2"/>
      <protection locked="0"/>
    </xf>
    <xf numFmtId="0" fontId="7" fillId="5" borderId="1" xfId="0" applyFont="1" applyFill="1" applyBorder="1" applyAlignment="1" applyProtection="1">
      <alignment horizontal="center" vertical="center" wrapText="1"/>
      <protection locked="0"/>
    </xf>
    <xf numFmtId="0" fontId="6" fillId="0" borderId="1" xfId="0" applyFont="1" applyBorder="1" applyAlignment="1" applyProtection="1">
      <alignment horizontal="right" vertical="center" wrapText="1" readingOrder="2"/>
      <protection locked="0"/>
    </xf>
    <xf numFmtId="0" fontId="18" fillId="0" borderId="0" xfId="0" applyFont="1" applyAlignment="1">
      <alignment vertical="center" wrapText="1"/>
    </xf>
    <xf numFmtId="0" fontId="6" fillId="0" borderId="1" xfId="0" applyFont="1" applyBorder="1" applyAlignment="1">
      <alignment vertical="center" wrapText="1"/>
    </xf>
    <xf numFmtId="0" fontId="6" fillId="0" borderId="0" xfId="0" applyFont="1" applyAlignment="1">
      <alignment horizontal="center" vertical="center"/>
    </xf>
    <xf numFmtId="0" fontId="8" fillId="0" borderId="3" xfId="0" applyFont="1" applyBorder="1" applyAlignment="1">
      <alignment horizontal="center" vertical="center" wrapText="1" readingOrder="1"/>
    </xf>
    <xf numFmtId="0" fontId="10" fillId="0" borderId="3" xfId="0" applyFont="1" applyBorder="1" applyAlignment="1">
      <alignment horizontal="center" vertical="center" readingOrder="1"/>
    </xf>
    <xf numFmtId="0" fontId="6" fillId="0" borderId="0" xfId="0" applyFont="1" applyAlignment="1">
      <alignment horizontal="right" vertical="center" wrapText="1" indent="1" readingOrder="1"/>
    </xf>
    <xf numFmtId="0" fontId="10" fillId="0" borderId="1" xfId="0" applyFont="1" applyBorder="1" applyAlignment="1">
      <alignment horizontal="center" vertical="center" wrapText="1" readingOrder="1"/>
    </xf>
    <xf numFmtId="0" fontId="6" fillId="0" borderId="0" xfId="0" applyFont="1" applyAlignment="1">
      <alignment horizontal="right" vertical="center" wrapText="1" indent="1" readingOrder="2"/>
    </xf>
    <xf numFmtId="0" fontId="6" fillId="0" borderId="0" xfId="0" applyFont="1" applyAlignment="1">
      <alignment horizontal="center" vertical="center" wrapText="1" indent="1" readingOrder="2"/>
    </xf>
    <xf numFmtId="0" fontId="8" fillId="0" borderId="1" xfId="0" applyFont="1" applyBorder="1" applyAlignment="1" applyProtection="1">
      <alignment horizontal="center" vertical="top" wrapText="1"/>
      <protection locked="0"/>
    </xf>
    <xf numFmtId="0" fontId="10" fillId="0" borderId="1" xfId="0" applyFont="1" applyBorder="1" applyAlignment="1">
      <alignment horizontal="center" vertical="top" readingOrder="1"/>
    </xf>
    <xf numFmtId="0" fontId="6" fillId="0" borderId="1" xfId="0" applyFont="1" applyBorder="1" applyAlignment="1">
      <alignment wrapText="1" readingOrder="2"/>
    </xf>
    <xf numFmtId="0" fontId="6" fillId="0" borderId="1" xfId="0" applyFont="1" applyBorder="1" applyAlignment="1">
      <alignment vertical="center" wrapText="1" readingOrder="2"/>
    </xf>
    <xf numFmtId="0" fontId="6" fillId="0" borderId="1" xfId="0" applyFont="1" applyBorder="1" applyAlignment="1">
      <alignment horizontal="right" vertical="center" wrapText="1" readingOrder="2"/>
    </xf>
    <xf numFmtId="0" fontId="6" fillId="0" borderId="6" xfId="0" applyFont="1" applyBorder="1" applyAlignment="1">
      <alignment horizontal="center" vertical="center" wrapText="1" readingOrder="2"/>
    </xf>
    <xf numFmtId="0" fontId="19" fillId="0" borderId="0" xfId="0" applyFont="1" applyAlignment="1">
      <alignment horizontal="center" vertical="center" wrapText="1"/>
    </xf>
    <xf numFmtId="0" fontId="10" fillId="0" borderId="10" xfId="0" applyFont="1" applyBorder="1" applyAlignment="1">
      <alignment horizontal="center" vertical="center" readingOrder="1"/>
    </xf>
    <xf numFmtId="0" fontId="10" fillId="0" borderId="8" xfId="0" applyFont="1" applyBorder="1" applyAlignment="1">
      <alignment horizontal="center" vertical="center" readingOrder="1"/>
    </xf>
    <xf numFmtId="0" fontId="7" fillId="0" borderId="1" xfId="0" applyFont="1" applyBorder="1" applyAlignment="1">
      <alignment vertical="center" wrapText="1"/>
    </xf>
    <xf numFmtId="0" fontId="10" fillId="0" borderId="3" xfId="0" applyFont="1" applyBorder="1" applyAlignment="1">
      <alignment horizontal="center" vertical="center" wrapText="1" readingOrder="1"/>
    </xf>
    <xf numFmtId="0" fontId="9" fillId="0" borderId="5" xfId="0" applyFont="1" applyBorder="1" applyAlignment="1" applyProtection="1">
      <alignment horizontal="center" vertical="center" wrapText="1"/>
      <protection locked="0"/>
    </xf>
    <xf numFmtId="0" fontId="10" fillId="0" borderId="0" xfId="0" applyFont="1" applyAlignment="1">
      <alignment horizontal="center" vertical="center" readingOrder="1"/>
    </xf>
    <xf numFmtId="0" fontId="6" fillId="0" borderId="1" xfId="0" applyFont="1" applyBorder="1" applyAlignment="1" applyProtection="1">
      <alignment horizontal="right" vertical="center" wrapText="1" indent="1" readingOrder="2"/>
      <protection locked="0"/>
    </xf>
    <xf numFmtId="0" fontId="8" fillId="0" borderId="5" xfId="0" applyFont="1" applyBorder="1" applyAlignment="1" applyProtection="1">
      <alignment horizontal="center" vertical="center"/>
      <protection locked="0"/>
    </xf>
    <xf numFmtId="0" fontId="8" fillId="0" borderId="5" xfId="0" applyFont="1" applyBorder="1" applyAlignment="1">
      <alignment horizontal="center" vertical="center"/>
    </xf>
    <xf numFmtId="0" fontId="6" fillId="0" borderId="1" xfId="0" applyFont="1" applyBorder="1" applyAlignment="1">
      <alignment vertical="center"/>
    </xf>
    <xf numFmtId="0" fontId="10" fillId="0" borderId="5" xfId="0" applyFont="1" applyBorder="1" applyAlignment="1">
      <alignment horizontal="center" vertical="center" readingOrder="2"/>
    </xf>
    <xf numFmtId="0" fontId="10" fillId="0" borderId="7" xfId="0" applyFont="1" applyBorder="1" applyAlignment="1">
      <alignment horizontal="center" vertical="center" readingOrder="1"/>
    </xf>
    <xf numFmtId="0" fontId="16" fillId="0" borderId="1" xfId="0" applyFont="1" applyBorder="1" applyAlignment="1">
      <alignment vertical="center"/>
    </xf>
    <xf numFmtId="0" fontId="10" fillId="0" borderId="5" xfId="0" applyFont="1" applyBorder="1" applyAlignment="1">
      <alignment horizontal="center" vertical="center" readingOrder="1"/>
    </xf>
    <xf numFmtId="0" fontId="11" fillId="0" borderId="1" xfId="0" applyFont="1" applyBorder="1" applyAlignment="1">
      <alignment horizontal="center" vertical="center" wrapText="1" readingOrder="2"/>
    </xf>
    <xf numFmtId="0" fontId="11" fillId="0" borderId="5" xfId="0" applyFont="1" applyBorder="1" applyAlignment="1">
      <alignment horizontal="center" vertical="center" wrapText="1" readingOrder="2"/>
    </xf>
    <xf numFmtId="0" fontId="3" fillId="0" borderId="0" xfId="0" applyFont="1" applyAlignment="1">
      <alignment vertical="center"/>
    </xf>
    <xf numFmtId="0" fontId="3" fillId="0" borderId="0" xfId="0" applyFont="1" applyAlignment="1">
      <alignment horizontal="center" vertical="center" wrapText="1"/>
    </xf>
    <xf numFmtId="0" fontId="3" fillId="0" borderId="0" xfId="0" applyFont="1" applyAlignment="1">
      <alignment horizontal="center" vertical="center"/>
    </xf>
    <xf numFmtId="0" fontId="6" fillId="0" borderId="1" xfId="0" applyFont="1" applyBorder="1" applyAlignment="1">
      <alignment horizontal="center" vertical="center"/>
    </xf>
    <xf numFmtId="0" fontId="8" fillId="0" borderId="9" xfId="0" applyFont="1" applyBorder="1" applyAlignment="1" applyProtection="1">
      <alignment horizontal="center" vertical="center"/>
      <protection locked="0"/>
    </xf>
    <xf numFmtId="0" fontId="9" fillId="0" borderId="1" xfId="0" applyFont="1" applyBorder="1" applyAlignment="1" applyProtection="1">
      <alignment horizontal="center" vertical="top" wrapText="1"/>
      <protection locked="0"/>
    </xf>
    <xf numFmtId="0" fontId="8" fillId="0" borderId="0" xfId="0" applyFont="1" applyAlignment="1">
      <alignment vertical="center"/>
    </xf>
    <xf numFmtId="0" fontId="7" fillId="0" borderId="0" xfId="0" applyFont="1" applyAlignment="1">
      <alignment vertical="center"/>
    </xf>
    <xf numFmtId="0" fontId="8" fillId="0" borderId="0" xfId="0" applyFont="1"/>
    <xf numFmtId="0" fontId="8" fillId="0" borderId="5" xfId="0" applyFont="1" applyBorder="1" applyAlignment="1">
      <alignment horizontal="center" vertical="center" wrapText="1" readingOrder="1"/>
    </xf>
    <xf numFmtId="0" fontId="3" fillId="0" borderId="1" xfId="0" applyFont="1" applyBorder="1" applyAlignment="1">
      <alignment horizontal="center" vertical="center" wrapText="1"/>
    </xf>
    <xf numFmtId="0" fontId="3" fillId="5" borderId="1" xfId="0" applyFont="1" applyFill="1" applyBorder="1" applyAlignment="1">
      <alignment horizontal="center" vertical="center" wrapText="1"/>
    </xf>
    <xf numFmtId="0" fontId="6" fillId="0" borderId="5" xfId="0" applyFont="1" applyBorder="1" applyAlignment="1" applyProtection="1">
      <alignment horizontal="center" vertical="center"/>
      <protection locked="0"/>
    </xf>
    <xf numFmtId="0" fontId="6" fillId="0" borderId="5" xfId="0" applyFont="1" applyBorder="1" applyAlignment="1" applyProtection="1">
      <alignment horizontal="center" vertical="center" readingOrder="1"/>
      <protection locked="0"/>
    </xf>
    <xf numFmtId="0" fontId="8" fillId="0" borderId="2" xfId="0" applyFont="1" applyBorder="1" applyAlignment="1">
      <alignment horizontal="right" vertical="center" wrapText="1" readingOrder="2"/>
    </xf>
    <xf numFmtId="0" fontId="8" fillId="0" borderId="5" xfId="0" applyFont="1" applyBorder="1" applyAlignment="1" applyProtection="1">
      <alignment horizontal="center" vertical="center" wrapText="1" readingOrder="2"/>
      <protection locked="0"/>
    </xf>
    <xf numFmtId="14" fontId="3" fillId="5" borderId="1" xfId="0" applyNumberFormat="1" applyFont="1" applyFill="1" applyBorder="1" applyAlignment="1">
      <alignment horizontal="center" vertical="center" wrapText="1"/>
    </xf>
    <xf numFmtId="0" fontId="8" fillId="0" borderId="1" xfId="0" applyFont="1" applyBorder="1" applyAlignment="1" applyProtection="1">
      <alignment horizontal="right" vertical="center" wrapText="1" indent="1" readingOrder="2"/>
      <protection locked="0"/>
    </xf>
    <xf numFmtId="0" fontId="9" fillId="0" borderId="1" xfId="0" applyFont="1" applyBorder="1" applyAlignment="1" applyProtection="1">
      <alignment horizontal="left" vertical="center" wrapText="1" readingOrder="2"/>
      <protection locked="0"/>
    </xf>
    <xf numFmtId="0" fontId="6" fillId="0" borderId="3" xfId="0" applyFont="1" applyBorder="1" applyAlignment="1">
      <alignment horizontal="center" vertical="center"/>
    </xf>
    <xf numFmtId="0" fontId="17" fillId="0" borderId="0" xfId="0" applyFont="1" applyAlignment="1">
      <alignment horizontal="center" vertical="center"/>
    </xf>
    <xf numFmtId="0" fontId="8" fillId="0" borderId="0" xfId="0" applyFont="1" applyAlignment="1">
      <alignment horizontal="center" vertical="center"/>
    </xf>
    <xf numFmtId="3" fontId="8" fillId="0" borderId="1" xfId="0" applyNumberFormat="1" applyFont="1" applyBorder="1" applyAlignment="1">
      <alignment horizontal="center" vertical="center"/>
    </xf>
    <xf numFmtId="0" fontId="9" fillId="0" borderId="1" xfId="0" applyFont="1" applyBorder="1" applyAlignment="1">
      <alignment horizontal="center" vertical="center" wrapText="1"/>
    </xf>
    <xf numFmtId="0" fontId="8" fillId="0" borderId="5" xfId="0" applyFont="1" applyBorder="1" applyAlignment="1">
      <alignment horizontal="center" vertical="center" wrapText="1"/>
    </xf>
    <xf numFmtId="0" fontId="8" fillId="0" borderId="3" xfId="0" applyFont="1" applyBorder="1" applyAlignment="1">
      <alignment horizontal="center" vertical="center" wrapText="1"/>
    </xf>
    <xf numFmtId="0" fontId="8" fillId="0" borderId="10" xfId="0" applyFont="1" applyBorder="1" applyAlignment="1">
      <alignment horizontal="center" vertical="center" wrapText="1"/>
    </xf>
    <xf numFmtId="0" fontId="8" fillId="7" borderId="12" xfId="0" applyFont="1" applyFill="1" applyBorder="1" applyAlignment="1" applyProtection="1">
      <alignment horizontal="center" vertical="center"/>
      <protection locked="0"/>
    </xf>
    <xf numFmtId="0" fontId="14" fillId="0" borderId="5" xfId="0" applyFont="1" applyBorder="1" applyAlignment="1" applyProtection="1">
      <alignment horizontal="center" vertical="center" wrapText="1"/>
      <protection locked="0"/>
    </xf>
    <xf numFmtId="0" fontId="17" fillId="5" borderId="3" xfId="0" applyFont="1" applyFill="1" applyBorder="1" applyAlignment="1">
      <alignment horizontal="center" vertical="center"/>
    </xf>
    <xf numFmtId="0" fontId="25" fillId="0" borderId="1" xfId="0" applyFont="1" applyBorder="1" applyAlignment="1" applyProtection="1">
      <alignment horizontal="center" vertical="center" wrapText="1"/>
      <protection locked="0"/>
    </xf>
    <xf numFmtId="0" fontId="26" fillId="0" borderId="1" xfId="0" applyFont="1" applyBorder="1" applyAlignment="1" applyProtection="1">
      <alignment horizontal="center" vertical="center" wrapText="1"/>
      <protection locked="0"/>
    </xf>
    <xf numFmtId="0" fontId="7" fillId="0" borderId="5" xfId="0" applyFont="1" applyBorder="1" applyAlignment="1" applyProtection="1">
      <alignment horizontal="center" vertical="center" wrapText="1" readingOrder="2"/>
      <protection locked="0"/>
    </xf>
    <xf numFmtId="0" fontId="8" fillId="0" borderId="5" xfId="0" applyFont="1" applyBorder="1" applyAlignment="1" applyProtection="1">
      <alignment horizontal="right" vertical="center" wrapText="1"/>
      <protection locked="0"/>
    </xf>
    <xf numFmtId="0" fontId="3" fillId="0" borderId="1" xfId="0" applyFont="1" applyBorder="1" applyAlignment="1">
      <alignment horizontal="right" vertical="center" wrapText="1"/>
    </xf>
    <xf numFmtId="0" fontId="6" fillId="0" borderId="1" xfId="0" applyFont="1" applyBorder="1" applyAlignment="1">
      <alignment horizontal="right" vertical="center"/>
    </xf>
    <xf numFmtId="0" fontId="6" fillId="0" borderId="4" xfId="0" applyFont="1" applyBorder="1" applyAlignment="1">
      <alignment horizontal="right" vertical="center" wrapText="1" readingOrder="2"/>
    </xf>
    <xf numFmtId="0" fontId="6" fillId="0" borderId="3" xfId="0" applyFont="1" applyBorder="1" applyAlignment="1">
      <alignment horizontal="right" vertical="center" wrapText="1" readingOrder="2"/>
    </xf>
    <xf numFmtId="0" fontId="6" fillId="0" borderId="4" xfId="0" applyFont="1" applyBorder="1" applyAlignment="1">
      <alignment horizontal="right" vertical="center" wrapText="1"/>
    </xf>
    <xf numFmtId="0" fontId="8" fillId="0" borderId="3" xfId="0" applyFont="1" applyBorder="1" applyAlignment="1" applyProtection="1">
      <alignment horizontal="right" vertical="center" wrapText="1"/>
      <protection locked="0"/>
    </xf>
    <xf numFmtId="0" fontId="8" fillId="0" borderId="2" xfId="0" applyFont="1" applyBorder="1" applyAlignment="1" applyProtection="1">
      <alignment horizontal="right" vertical="center" wrapText="1"/>
      <protection locked="0"/>
    </xf>
    <xf numFmtId="0" fontId="8" fillId="0" borderId="1" xfId="0" applyFont="1" applyBorder="1" applyAlignment="1">
      <alignment horizontal="right" vertical="center" wrapText="1"/>
    </xf>
    <xf numFmtId="0" fontId="7" fillId="0" borderId="5" xfId="0" applyFont="1" applyBorder="1" applyAlignment="1" applyProtection="1">
      <alignment horizontal="right" vertical="center" wrapText="1"/>
      <protection locked="0"/>
    </xf>
    <xf numFmtId="0" fontId="7" fillId="0" borderId="5" xfId="0" applyFont="1" applyBorder="1" applyAlignment="1" applyProtection="1">
      <alignment horizontal="right" vertical="center" wrapText="1" readingOrder="2"/>
      <protection locked="0"/>
    </xf>
    <xf numFmtId="0" fontId="6" fillId="0" borderId="1" xfId="0" applyFont="1" applyBorder="1" applyAlignment="1" applyProtection="1">
      <alignment horizontal="right" vertical="center" wrapText="1"/>
      <protection locked="0"/>
    </xf>
    <xf numFmtId="0" fontId="25" fillId="0" borderId="1" xfId="0" applyFont="1" applyBorder="1" applyAlignment="1" applyProtection="1">
      <alignment horizontal="right" vertical="center" wrapText="1"/>
      <protection locked="0"/>
    </xf>
    <xf numFmtId="0" fontId="9" fillId="0" borderId="1" xfId="0" applyFont="1" applyBorder="1" applyAlignment="1">
      <alignment horizontal="right" vertical="center" wrapText="1"/>
    </xf>
    <xf numFmtId="0" fontId="8" fillId="0" borderId="5" xfId="0" applyFont="1" applyBorder="1" applyAlignment="1">
      <alignment horizontal="right" vertical="center" wrapText="1"/>
    </xf>
    <xf numFmtId="0" fontId="8" fillId="0" borderId="3" xfId="0" applyFont="1" applyBorder="1" applyAlignment="1">
      <alignment horizontal="right" vertical="center" wrapText="1"/>
    </xf>
    <xf numFmtId="0" fontId="8" fillId="0" borderId="1" xfId="0" applyFont="1" applyBorder="1" applyAlignment="1" applyProtection="1">
      <alignment horizontal="right" vertical="center" wrapText="1" readingOrder="1"/>
      <protection locked="0"/>
    </xf>
    <xf numFmtId="0" fontId="7" fillId="0" borderId="1" xfId="0" applyFont="1" applyBorder="1" applyAlignment="1">
      <alignment horizontal="right" vertical="center" wrapText="1"/>
    </xf>
    <xf numFmtId="0" fontId="9" fillId="0" borderId="5" xfId="0" applyFont="1" applyBorder="1" applyAlignment="1" applyProtection="1">
      <alignment horizontal="right" vertical="center" wrapText="1"/>
      <protection locked="0"/>
    </xf>
    <xf numFmtId="0" fontId="8" fillId="0" borderId="1" xfId="0" applyFont="1" applyBorder="1" applyAlignment="1" applyProtection="1">
      <alignment horizontal="right" vertical="center"/>
      <protection locked="0"/>
    </xf>
    <xf numFmtId="0" fontId="8" fillId="0" borderId="10" xfId="0" applyFont="1" applyBorder="1" applyAlignment="1">
      <alignment horizontal="right" vertical="center" wrapText="1"/>
    </xf>
    <xf numFmtId="0" fontId="27" fillId="0" borderId="1" xfId="0" applyFont="1" applyBorder="1" applyAlignment="1" applyProtection="1">
      <alignment horizontal="right" vertical="center" wrapText="1"/>
      <protection locked="0"/>
    </xf>
    <xf numFmtId="0" fontId="10" fillId="0" borderId="6" xfId="0" applyFont="1" applyBorder="1" applyAlignment="1">
      <alignment horizontal="center" vertical="center" wrapText="1" readingOrder="1"/>
    </xf>
    <xf numFmtId="3" fontId="8" fillId="0" borderId="5" xfId="0" applyNumberFormat="1" applyFont="1" applyBorder="1" applyAlignment="1">
      <alignment horizontal="center" vertical="center"/>
    </xf>
    <xf numFmtId="0" fontId="8" fillId="0" borderId="9" xfId="0" applyFont="1" applyBorder="1" applyAlignment="1" applyProtection="1">
      <alignment horizontal="right" vertical="center" wrapText="1"/>
      <protection locked="0"/>
    </xf>
    <xf numFmtId="0" fontId="7" fillId="0" borderId="2" xfId="0" applyFont="1" applyBorder="1" applyAlignment="1" applyProtection="1">
      <alignment horizontal="right" vertical="center" wrapText="1"/>
      <protection locked="0"/>
    </xf>
    <xf numFmtId="0" fontId="6" fillId="0" borderId="1" xfId="0" applyFont="1" applyBorder="1" applyAlignment="1">
      <alignment wrapText="1"/>
    </xf>
    <xf numFmtId="0" fontId="27" fillId="0" borderId="0" xfId="0" applyFont="1" applyAlignment="1">
      <alignment vertical="center" wrapText="1"/>
    </xf>
    <xf numFmtId="0" fontId="27" fillId="0" borderId="1" xfId="0" applyFont="1" applyBorder="1" applyAlignment="1">
      <alignment vertical="center" wrapText="1"/>
    </xf>
    <xf numFmtId="0" fontId="3" fillId="0" borderId="1" xfId="0" applyFont="1" applyBorder="1" applyAlignment="1">
      <alignment vertical="center" wrapText="1"/>
    </xf>
    <xf numFmtId="0" fontId="21" fillId="0" borderId="1" xfId="0" applyFont="1" applyBorder="1"/>
    <xf numFmtId="0" fontId="16" fillId="6" borderId="0" xfId="0" applyFont="1" applyFill="1" applyAlignment="1">
      <alignment vertical="center" wrapText="1"/>
    </xf>
    <xf numFmtId="0" fontId="6" fillId="0" borderId="14" xfId="0" applyFont="1" applyBorder="1" applyAlignment="1">
      <alignment horizontal="right" vertical="center" wrapText="1"/>
    </xf>
    <xf numFmtId="0" fontId="6" fillId="0" borderId="15" xfId="0" applyFont="1" applyBorder="1" applyAlignment="1">
      <alignment horizontal="right" vertical="center" wrapText="1"/>
    </xf>
    <xf numFmtId="0" fontId="27" fillId="0" borderId="1" xfId="0" applyFont="1" applyBorder="1" applyAlignment="1">
      <alignment vertical="center" wrapText="1" readingOrder="2"/>
    </xf>
    <xf numFmtId="0" fontId="6" fillId="6" borderId="0" xfId="0" applyFont="1" applyFill="1" applyAlignment="1">
      <alignment vertical="center"/>
    </xf>
    <xf numFmtId="0" fontId="6" fillId="6" borderId="1" xfId="0" applyFont="1" applyFill="1" applyBorder="1" applyAlignment="1">
      <alignment wrapText="1"/>
    </xf>
    <xf numFmtId="0" fontId="3" fillId="0" borderId="2" xfId="0" applyFont="1" applyBorder="1" applyAlignment="1" applyProtection="1">
      <alignment horizontal="center" vertical="center" wrapText="1" readingOrder="2"/>
      <protection locked="0"/>
    </xf>
    <xf numFmtId="0" fontId="12" fillId="0" borderId="1" xfId="0" applyFont="1" applyBorder="1" applyAlignment="1" applyProtection="1">
      <alignment horizontal="right" vertical="center" wrapText="1"/>
      <protection locked="0"/>
    </xf>
    <xf numFmtId="0" fontId="3" fillId="0" borderId="1" xfId="0" applyFont="1" applyBorder="1" applyAlignment="1" applyProtection="1">
      <alignment horizontal="right" vertical="center" wrapText="1" readingOrder="2"/>
      <protection locked="0"/>
    </xf>
    <xf numFmtId="0" fontId="11" fillId="0" borderId="1" xfId="0" applyFont="1" applyBorder="1" applyAlignment="1">
      <alignment horizontal="right" vertical="center" wrapText="1"/>
    </xf>
    <xf numFmtId="0" fontId="3" fillId="0" borderId="1" xfId="0" applyFont="1" applyBorder="1" applyAlignment="1" applyProtection="1">
      <alignment horizontal="right" vertical="center" wrapText="1"/>
      <protection locked="0"/>
    </xf>
    <xf numFmtId="0" fontId="3" fillId="0" borderId="5" xfId="0" applyFont="1" applyBorder="1" applyAlignment="1" applyProtection="1">
      <alignment horizontal="right" vertical="center" wrapText="1"/>
      <protection locked="0"/>
    </xf>
    <xf numFmtId="0" fontId="3" fillId="0" borderId="1" xfId="0" applyFont="1" applyBorder="1" applyAlignment="1" applyProtection="1">
      <alignment horizontal="center" vertical="center" wrapText="1"/>
      <protection locked="0"/>
    </xf>
    <xf numFmtId="0" fontId="11" fillId="0" borderId="1" xfId="0" applyFont="1" applyBorder="1" applyAlignment="1">
      <alignment vertical="center" wrapText="1" readingOrder="2"/>
    </xf>
    <xf numFmtId="0" fontId="11" fillId="0" borderId="4" xfId="0" applyFont="1" applyBorder="1" applyAlignment="1">
      <alignment horizontal="center" vertical="center" wrapText="1" readingOrder="2"/>
    </xf>
    <xf numFmtId="0" fontId="11" fillId="0" borderId="12" xfId="0" applyFont="1" applyBorder="1" applyAlignment="1">
      <alignment horizontal="center" vertical="center" wrapText="1" readingOrder="2"/>
    </xf>
    <xf numFmtId="0" fontId="11" fillId="0" borderId="3" xfId="0" applyFont="1" applyBorder="1" applyAlignment="1">
      <alignment horizontal="right" vertical="center" wrapText="1" readingOrder="2"/>
    </xf>
    <xf numFmtId="0" fontId="3" fillId="0" borderId="2" xfId="0" applyFont="1" applyBorder="1" applyAlignment="1" applyProtection="1">
      <alignment horizontal="right" vertical="center" wrapText="1"/>
      <protection locked="0"/>
    </xf>
    <xf numFmtId="0" fontId="12" fillId="0" borderId="1" xfId="0" applyFont="1" applyBorder="1" applyAlignment="1" applyProtection="1">
      <alignment horizontal="right" vertical="center" wrapText="1" readingOrder="2"/>
      <protection locked="0"/>
    </xf>
    <xf numFmtId="0" fontId="11" fillId="0" borderId="1" xfId="0" applyFont="1" applyBorder="1" applyAlignment="1" applyProtection="1">
      <alignment horizontal="right" vertical="center" wrapText="1" readingOrder="2"/>
      <protection locked="0"/>
    </xf>
    <xf numFmtId="0" fontId="3" fillId="0" borderId="2" xfId="0" applyFont="1" applyBorder="1" applyAlignment="1">
      <alignment horizontal="right" vertical="center" wrapText="1" readingOrder="2"/>
    </xf>
    <xf numFmtId="0" fontId="12" fillId="0" borderId="5" xfId="0" applyFont="1" applyBorder="1" applyAlignment="1" applyProtection="1">
      <alignment horizontal="right" vertical="center" wrapText="1"/>
      <protection locked="0"/>
    </xf>
    <xf numFmtId="0" fontId="12" fillId="0" borderId="5" xfId="0" applyFont="1" applyBorder="1" applyAlignment="1" applyProtection="1">
      <alignment horizontal="right" vertical="center" wrapText="1" readingOrder="2"/>
      <protection locked="0"/>
    </xf>
    <xf numFmtId="0" fontId="27" fillId="0" borderId="1" xfId="0" applyFont="1" applyBorder="1" applyAlignment="1">
      <alignment horizontal="right" vertical="center" wrapText="1"/>
    </xf>
    <xf numFmtId="0" fontId="3" fillId="0" borderId="5" xfId="0" applyFont="1" applyBorder="1" applyAlignment="1">
      <alignment horizontal="right" vertical="center" wrapText="1"/>
    </xf>
    <xf numFmtId="0" fontId="3" fillId="0" borderId="3" xfId="0" applyFont="1" applyBorder="1" applyAlignment="1">
      <alignment horizontal="right" vertical="center" wrapText="1"/>
    </xf>
    <xf numFmtId="0" fontId="3" fillId="0" borderId="1" xfId="0" applyFont="1" applyBorder="1" applyAlignment="1" applyProtection="1">
      <alignment horizontal="right" vertical="center" wrapText="1" readingOrder="1"/>
      <protection locked="0"/>
    </xf>
    <xf numFmtId="0" fontId="11" fillId="0" borderId="1" xfId="0" applyFont="1" applyBorder="1" applyAlignment="1">
      <alignment horizontal="right" vertical="center" wrapText="1" readingOrder="2"/>
    </xf>
    <xf numFmtId="0" fontId="11" fillId="0" borderId="1" xfId="0" applyFont="1" applyBorder="1" applyAlignment="1" applyProtection="1">
      <alignment horizontal="right" vertical="center" wrapText="1"/>
      <protection locked="0"/>
    </xf>
    <xf numFmtId="0" fontId="12" fillId="0" borderId="1" xfId="0" applyFont="1" applyBorder="1" applyAlignment="1">
      <alignment horizontal="right" vertical="center" wrapText="1"/>
    </xf>
    <xf numFmtId="0" fontId="27" fillId="0" borderId="5" xfId="0" applyFont="1" applyBorder="1" applyAlignment="1" applyProtection="1">
      <alignment horizontal="right" vertical="center" wrapText="1"/>
      <protection locked="0"/>
    </xf>
    <xf numFmtId="0" fontId="3" fillId="0" borderId="1" xfId="0" applyFont="1" applyBorder="1" applyAlignment="1" applyProtection="1">
      <alignment horizontal="right" vertical="center"/>
      <protection locked="0"/>
    </xf>
    <xf numFmtId="0" fontId="11" fillId="0" borderId="1" xfId="0" applyFont="1" applyBorder="1" applyAlignment="1" applyProtection="1">
      <alignment horizontal="right" vertical="center" wrapText="1" indent="1" readingOrder="2"/>
      <protection locked="0"/>
    </xf>
    <xf numFmtId="0" fontId="11" fillId="6" borderId="1" xfId="0" applyFont="1" applyFill="1" applyBorder="1" applyAlignment="1">
      <alignment wrapText="1"/>
    </xf>
    <xf numFmtId="0" fontId="22" fillId="7" borderId="1" xfId="0" applyFont="1" applyFill="1" applyBorder="1" applyAlignment="1" applyProtection="1">
      <alignment horizontal="center" vertical="center"/>
      <protection locked="0"/>
    </xf>
    <xf numFmtId="164" fontId="6" fillId="5" borderId="5" xfId="0" applyNumberFormat="1" applyFont="1" applyFill="1" applyBorder="1" applyAlignment="1" applyProtection="1">
      <alignment horizontal="center" vertical="center" wrapText="1"/>
      <protection locked="0"/>
    </xf>
    <xf numFmtId="0" fontId="11" fillId="0" borderId="10" xfId="0" applyFont="1" applyBorder="1" applyAlignment="1">
      <alignment vertical="center" wrapText="1" readingOrder="2"/>
    </xf>
    <xf numFmtId="0" fontId="3" fillId="0" borderId="5" xfId="0" applyFont="1" applyBorder="1" applyAlignment="1" applyProtection="1">
      <alignment horizontal="right" vertical="center" wrapText="1" readingOrder="2"/>
      <protection locked="0"/>
    </xf>
    <xf numFmtId="0" fontId="6" fillId="5" borderId="5" xfId="0" applyFont="1" applyFill="1" applyBorder="1" applyAlignment="1">
      <alignment horizontal="center" vertical="center"/>
    </xf>
  </cellXfs>
  <cellStyles count="2">
    <cellStyle name="Normal" xfId="0" builtinId="0"/>
    <cellStyle name="היפר-קישור" xfId="1" builtinId="8"/>
  </cellStyles>
  <dxfs count="96">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strike val="0"/>
        <outline val="0"/>
        <shadow val="0"/>
        <u val="none"/>
        <vertAlign val="baseline"/>
        <sz val="12"/>
        <color auto="1"/>
      </font>
      <fill>
        <patternFill patternType="none">
          <fgColor rgb="FF000000"/>
          <bgColor auto="1"/>
        </patternFill>
      </fill>
      <alignment horizontal="center" vertical="center" textRotation="0" indent="0" justifyLastLine="0" shrinkToFit="0"/>
    </dxf>
    <dxf>
      <font>
        <strike val="0"/>
        <outline val="0"/>
        <shadow val="0"/>
        <u val="none"/>
        <vertAlign val="baseline"/>
        <sz val="12"/>
        <color auto="1"/>
        <name val="Arial"/>
        <scheme val="minor"/>
      </font>
      <alignment horizontal="center" vertical="center" textRotation="0" wrapText="0" indent="0" justifyLastLine="0" shrinkToFit="0" readingOrder="0"/>
      <border diagonalUp="0" diagonalDown="0" outline="0">
        <left style="thin">
          <color indexed="64"/>
        </left>
        <right style="thin">
          <color indexed="64"/>
        </right>
        <top/>
        <bottom/>
      </border>
      <protection locked="0" hidden="0"/>
    </dxf>
    <dxf>
      <font>
        <strike val="0"/>
        <outline val="0"/>
        <shadow val="0"/>
        <u val="none"/>
        <vertAlign val="baseline"/>
        <sz val="12"/>
        <color auto="1"/>
      </font>
      <fill>
        <patternFill patternType="none">
          <fgColor rgb="FF000000"/>
          <bgColor auto="1"/>
        </patternFill>
      </fill>
      <alignment horizontal="center" vertical="center" textRotation="0" indent="0" justifyLastLine="0" shrinkToFit="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auto="1"/>
      </font>
      <fill>
        <patternFill patternType="none">
          <fgColor rgb="FF000000"/>
          <bgColor auto="1"/>
        </patternFill>
      </fill>
      <alignment horizontal="center" vertical="center" textRotation="0" indent="0" justifyLastLine="0" shrinkToFit="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auto="1"/>
      </font>
      <fill>
        <patternFill patternType="none">
          <fgColor rgb="FF000000"/>
          <bgColor auto="1"/>
        </patternFill>
      </fill>
      <alignment horizontal="center" vertical="center" textRotation="0" indent="0" justifyLastLine="0" shrinkToFit="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auto="1"/>
      </font>
      <fill>
        <patternFill patternType="none">
          <fgColor indexed="64"/>
          <bgColor auto="1"/>
        </patternFill>
      </fill>
      <alignment horizontal="center" vertical="center" textRotation="0" indent="0" justifyLastLine="0" shrinkToFit="0"/>
      <border diagonalUp="0" diagonalDown="0" outline="0">
        <left style="thin">
          <color indexed="64"/>
        </left>
        <right style="thin">
          <color indexed="64"/>
        </right>
        <top style="thin">
          <color indexed="64"/>
        </top>
        <bottom style="thin">
          <color indexed="64"/>
        </bottom>
      </border>
      <protection locked="0" hidden="0"/>
    </dxf>
    <dxf>
      <font>
        <strike val="0"/>
        <outline val="0"/>
        <shadow val="0"/>
        <u val="none"/>
        <vertAlign val="baseline"/>
        <sz val="12"/>
        <color auto="1"/>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strike val="0"/>
        <outline val="0"/>
        <shadow val="0"/>
        <u val="none"/>
        <vertAlign val="baseline"/>
        <sz val="12"/>
        <color auto="1"/>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2"/>
        <color auto="1"/>
        <name val="Arial"/>
        <family val="2"/>
        <charset val="177"/>
        <scheme val="minor"/>
      </font>
      <alignment horizontal="righ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1"/>
        <color auto="1"/>
        <name val="Arial"/>
        <family val="2"/>
        <charset val="177"/>
        <scheme val="minor"/>
      </font>
      <alignment horizontal="righ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2"/>
        <color auto="1"/>
        <name val="Arial"/>
        <family val="2"/>
        <charset val="177"/>
        <scheme val="minor"/>
      </font>
      <alignment horizontal="right" vertical="center" textRotation="0" wrapText="1" indent="0" justifyLastLine="0" shrinkToFit="0" readingOrder="0"/>
      <border diagonalUp="0" diagonalDown="0" outline="0">
        <left style="thin">
          <color indexed="64"/>
        </left>
        <right style="thin">
          <color indexed="64"/>
        </right>
        <top style="thin">
          <color indexed="64"/>
        </top>
        <bottom/>
      </border>
      <protection locked="0" hidden="0"/>
    </dxf>
    <dxf>
      <font>
        <b val="0"/>
        <i val="0"/>
        <strike val="0"/>
        <condense val="0"/>
        <extend val="0"/>
        <outline val="0"/>
        <shadow val="0"/>
        <u val="none"/>
        <vertAlign val="baseline"/>
        <sz val="12"/>
        <color auto="1"/>
        <name val="Arial"/>
        <family val="2"/>
        <charset val="177"/>
        <scheme val="minor"/>
      </font>
      <alignment horizontal="right" vertical="center" textRotation="0" wrapText="1" indent="0" justifyLastLine="0" shrinkToFit="0" readingOrder="0"/>
      <border diagonalUp="0" diagonalDown="0" outline="0">
        <left style="thin">
          <color indexed="64"/>
        </left>
        <right style="thin">
          <color indexed="64"/>
        </right>
        <top style="thin">
          <color indexed="64"/>
        </top>
        <bottom/>
      </border>
      <protection locked="0" hidden="0"/>
    </dxf>
    <dxf>
      <font>
        <b val="0"/>
        <i val="0"/>
        <strike val="0"/>
        <condense val="0"/>
        <extend val="0"/>
        <outline val="0"/>
        <shadow val="0"/>
        <u val="none"/>
        <vertAlign val="baseline"/>
        <sz val="12"/>
        <color auto="1"/>
        <name val="Arial"/>
        <family val="2"/>
        <charset val="177"/>
        <scheme val="minor"/>
      </font>
      <alignment horizontal="right" vertical="center" textRotation="0" wrapText="1" indent="0" justifyLastLine="0" shrinkToFit="0" readingOrder="0"/>
      <border diagonalUp="0" diagonalDown="0" outline="0">
        <left style="thin">
          <color indexed="64"/>
        </left>
        <right style="thin">
          <color indexed="64"/>
        </right>
        <top style="thin">
          <color indexed="64"/>
        </top>
        <bottom/>
      </border>
      <protection locked="0" hidden="0"/>
    </dxf>
    <dxf>
      <font>
        <b val="0"/>
        <i val="0"/>
        <strike val="0"/>
        <condense val="0"/>
        <extend val="0"/>
        <outline val="0"/>
        <shadow val="0"/>
        <u val="none"/>
        <vertAlign val="baseline"/>
        <sz val="12"/>
        <color auto="1"/>
        <name val="Arial"/>
        <family val="2"/>
        <charset val="177"/>
        <scheme val="minor"/>
      </font>
      <alignment horizontal="right" vertical="center" textRotation="0" wrapText="1" indent="0" justifyLastLine="0" shrinkToFit="0" readingOrder="0"/>
      <border diagonalUp="0" diagonalDown="0" outline="0">
        <left style="thin">
          <color indexed="64"/>
        </left>
        <right style="thin">
          <color indexed="64"/>
        </right>
        <top style="thin">
          <color indexed="64"/>
        </top>
        <bottom/>
      </border>
      <protection locked="0" hidden="0"/>
    </dxf>
    <dxf>
      <font>
        <b val="0"/>
        <i val="0"/>
        <strike val="0"/>
        <condense val="0"/>
        <extend val="0"/>
        <outline val="0"/>
        <shadow val="0"/>
        <u val="none"/>
        <vertAlign val="baseline"/>
        <sz val="12"/>
        <color auto="1"/>
        <name val="Arial"/>
        <family val="2"/>
        <charset val="177"/>
        <scheme val="minor"/>
      </font>
      <alignment horizontal="right" vertical="center" textRotation="0" wrapText="1" indent="0" justifyLastLine="0" shrinkToFit="0" readingOrder="0"/>
      <border diagonalUp="0" diagonalDown="0" outline="0">
        <left style="thin">
          <color indexed="64"/>
        </left>
        <right style="thin">
          <color indexed="64"/>
        </right>
        <top style="thin">
          <color indexed="64"/>
        </top>
        <bottom/>
      </border>
      <protection locked="0" hidden="0"/>
    </dxf>
    <dxf>
      <font>
        <b val="0"/>
        <i val="0"/>
        <strike val="0"/>
        <condense val="0"/>
        <extend val="0"/>
        <outline val="0"/>
        <shadow val="0"/>
        <u val="none"/>
        <vertAlign val="baseline"/>
        <sz val="12"/>
        <color auto="1"/>
        <name val="Arial"/>
        <family val="2"/>
        <charset val="177"/>
        <scheme val="minor"/>
      </font>
      <alignment horizontal="right" vertical="center" textRotation="0" wrapText="1" indent="0" justifyLastLine="0" shrinkToFit="0" readingOrder="0"/>
      <border diagonalUp="0" diagonalDown="0" outline="0">
        <left style="thin">
          <color indexed="64"/>
        </left>
        <right style="thin">
          <color indexed="64"/>
        </right>
        <top style="thin">
          <color indexed="64"/>
        </top>
        <bottom/>
      </border>
      <protection locked="0" hidden="0"/>
    </dxf>
    <dxf>
      <font>
        <b val="0"/>
        <i val="0"/>
        <strike val="0"/>
        <condense val="0"/>
        <extend val="0"/>
        <outline val="0"/>
        <shadow val="0"/>
        <u val="none"/>
        <vertAlign val="baseline"/>
        <sz val="12"/>
        <color auto="1"/>
        <name val="Arial"/>
        <family val="2"/>
        <charset val="177"/>
        <scheme val="minor"/>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protection locked="0" hidden="0"/>
    </dxf>
    <dxf>
      <font>
        <b val="0"/>
        <i val="0"/>
        <strike val="0"/>
        <condense val="0"/>
        <extend val="0"/>
        <outline val="0"/>
        <shadow val="0"/>
        <u val="none"/>
        <vertAlign val="baseline"/>
        <sz val="12"/>
        <color auto="1"/>
        <name val="Arial"/>
        <family val="2"/>
        <charset val="177"/>
        <scheme val="minor"/>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protection locked="0" hidden="0"/>
    </dxf>
    <dxf>
      <font>
        <b val="0"/>
        <i val="0"/>
        <strike val="0"/>
        <condense val="0"/>
        <extend val="0"/>
        <outline val="0"/>
        <shadow val="0"/>
        <u val="none"/>
        <vertAlign val="baseline"/>
        <sz val="12"/>
        <color auto="1"/>
        <name val="Arial"/>
        <family val="2"/>
        <charset val="177"/>
        <scheme val="minor"/>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protection locked="0" hidden="0"/>
    </dxf>
    <dxf>
      <font>
        <b val="0"/>
        <i val="0"/>
        <strike val="0"/>
        <condense val="0"/>
        <extend val="0"/>
        <outline val="0"/>
        <shadow val="0"/>
        <u val="none"/>
        <vertAlign val="baseline"/>
        <sz val="12"/>
        <color auto="1"/>
        <name val="Arial"/>
        <family val="2"/>
        <charset val="177"/>
        <scheme val="minor"/>
      </font>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protection locked="0" hidden="0"/>
    </dxf>
    <dxf>
      <font>
        <b val="0"/>
        <i val="0"/>
        <strike val="0"/>
        <condense val="0"/>
        <extend val="0"/>
        <outline val="0"/>
        <shadow val="0"/>
        <u val="none"/>
        <vertAlign val="baseline"/>
        <sz val="12"/>
        <color auto="1"/>
        <name val="Arial"/>
        <family val="2"/>
        <charset val="177"/>
        <scheme val="minor"/>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protection locked="0" hidden="0"/>
    </dxf>
    <dxf>
      <font>
        <b val="0"/>
        <i val="0"/>
        <strike val="0"/>
        <condense val="0"/>
        <extend val="0"/>
        <outline val="0"/>
        <shadow val="0"/>
        <u val="none"/>
        <vertAlign val="baseline"/>
        <sz val="12"/>
        <color auto="1"/>
        <name val="Arial"/>
        <family val="2"/>
        <charset val="177"/>
        <scheme val="minor"/>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protection locked="0" hidden="0"/>
    </dxf>
    <dxf>
      <font>
        <b val="0"/>
        <i val="0"/>
        <strike val="0"/>
        <condense val="0"/>
        <extend val="0"/>
        <outline val="0"/>
        <shadow val="0"/>
        <u val="none"/>
        <vertAlign val="baseline"/>
        <sz val="12"/>
        <color auto="1"/>
        <name val="Arial"/>
        <family val="2"/>
        <charset val="177"/>
        <scheme val="minor"/>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protection locked="0" hidden="0"/>
    </dxf>
    <dxf>
      <font>
        <b val="0"/>
        <i val="0"/>
        <strike val="0"/>
        <condense val="0"/>
        <extend val="0"/>
        <outline val="0"/>
        <shadow val="0"/>
        <u val="none"/>
        <vertAlign val="baseline"/>
        <sz val="12"/>
        <color auto="1"/>
        <name val="Arial"/>
        <family val="2"/>
        <charset val="177"/>
        <scheme val="minor"/>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protection locked="0" hidden="0"/>
    </dxf>
    <dxf>
      <font>
        <strike val="0"/>
        <outline val="0"/>
        <shadow val="0"/>
        <u val="none"/>
        <vertAlign val="baseline"/>
        <sz val="12"/>
        <color auto="1"/>
      </font>
      <numFmt numFmtId="0" formatCode="General"/>
      <fill>
        <patternFill patternType="none">
          <fgColor indexed="64"/>
          <bgColor auto="1"/>
        </patternFill>
      </fill>
      <alignment horizontal="center" vertical="center" textRotation="0" indent="0" justifyLastLine="0" shrinkToFit="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auto="1"/>
      </font>
      <fill>
        <patternFill patternType="none">
          <fgColor indexed="64"/>
          <bgColor auto="1"/>
        </patternFill>
      </fill>
      <alignment horizontal="center" vertical="center" textRotation="0" indent="0" justifyLastLine="0" shrinkToFit="0"/>
      <border diagonalUp="0" diagonalDown="0" outline="0">
        <left style="thin">
          <color indexed="64"/>
        </left>
        <right style="thin">
          <color indexed="64"/>
        </right>
        <top style="thin">
          <color indexed="64"/>
        </top>
        <bottom style="thin">
          <color indexed="64"/>
        </bottom>
      </border>
      <protection locked="0" hidden="0"/>
    </dxf>
    <dxf>
      <font>
        <strike val="0"/>
        <outline val="0"/>
        <shadow val="0"/>
        <u val="none"/>
        <vertAlign val="baseline"/>
        <sz val="12"/>
        <color auto="1"/>
      </font>
      <numFmt numFmtId="164" formatCode="[$-1010000]d/m/yyyy;@"/>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strike val="0"/>
        <outline val="0"/>
        <shadow val="0"/>
        <u val="none"/>
        <vertAlign val="baseline"/>
        <sz val="12"/>
        <color auto="1"/>
      </font>
      <numFmt numFmtId="164" formatCode="[$-1010000]d/m/yyyy;@"/>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strike val="0"/>
        <outline val="0"/>
        <shadow val="0"/>
        <u val="none"/>
        <vertAlign val="baseline"/>
        <sz val="12"/>
        <color auto="1"/>
      </font>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strike val="0"/>
        <outline val="0"/>
        <shadow val="0"/>
        <u val="none"/>
        <vertAlign val="baseline"/>
        <sz val="12"/>
        <color auto="1"/>
      </font>
      <fill>
        <patternFill patternType="none">
          <fgColor indexed="64"/>
          <bgColor auto="1"/>
        </patternFill>
      </fill>
      <alignment horizontal="center" vertical="center" textRotation="0"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strike val="0"/>
        <outline val="0"/>
        <shadow val="0"/>
        <u val="none"/>
        <vertAlign val="baseline"/>
        <sz val="12"/>
        <color auto="1"/>
      </font>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auto="1"/>
      </font>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auto="1"/>
      </font>
      <fill>
        <patternFill patternType="solid">
          <fgColor indexed="64"/>
          <bgColor theme="0"/>
        </patternFill>
      </fill>
      <alignment horizontal="center" vertical="center"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thin">
          <color rgb="FF000000"/>
        </left>
        <right style="thin">
          <color rgb="FF000000"/>
        </right>
        <top style="thin">
          <color rgb="FF000000"/>
        </top>
        <bottom style="thin">
          <color rgb="FF000000"/>
        </bottom>
      </border>
    </dxf>
    <dxf>
      <border>
        <bottom style="thin">
          <color rgb="FF000000"/>
        </bottom>
      </border>
    </dxf>
  </dxfs>
  <tableStyles count="0" defaultTableStyle="TableStyleMedium2" defaultPivotStyle="PivotStyleLight16"/>
  <colors>
    <mruColors>
      <color rgb="FFFF7C8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theme" Target="theme/theme1.xml"/><Relationship Id="rId18" Type="http://schemas.openxmlformats.org/officeDocument/2006/relationships/customXml" Target="../customXml/item1.xml"/><Relationship Id="rId3" Type="http://schemas.openxmlformats.org/officeDocument/2006/relationships/externalLink" Target="externalLinks/externalLink1.xml"/><Relationship Id="rId7" Type="http://schemas.microsoft.com/office/2007/relationships/slicerCache" Target="slicerCaches/slicerCache3.xml"/><Relationship Id="rId12" Type="http://schemas.microsoft.com/office/2007/relationships/slicerCache" Target="slicerCaches/slicerCache8.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10/relationships/person" Target="persons/person.xml"/><Relationship Id="rId20" Type="http://schemas.openxmlformats.org/officeDocument/2006/relationships/customXml" Target="../customXml/item3.xml"/><Relationship Id="rId1" Type="http://schemas.openxmlformats.org/officeDocument/2006/relationships/worksheet" Target="worksheets/sheet1.xml"/><Relationship Id="rId6" Type="http://schemas.microsoft.com/office/2007/relationships/slicerCache" Target="slicerCaches/slicerCache2.xml"/><Relationship Id="rId11" Type="http://schemas.microsoft.com/office/2007/relationships/slicerCache" Target="slicerCaches/slicerCache7.xml"/><Relationship Id="rId5" Type="http://schemas.microsoft.com/office/2007/relationships/slicerCache" Target="slicerCaches/slicerCache1.xml"/><Relationship Id="rId15" Type="http://schemas.openxmlformats.org/officeDocument/2006/relationships/sharedStrings" Target="sharedStrings.xml"/><Relationship Id="rId10" Type="http://schemas.microsoft.com/office/2007/relationships/slicerCache" Target="slicerCaches/slicerCache6.xml"/><Relationship Id="rId19" Type="http://schemas.openxmlformats.org/officeDocument/2006/relationships/customXml" Target="../customXml/item2.xml"/><Relationship Id="rId4" Type="http://schemas.openxmlformats.org/officeDocument/2006/relationships/externalLink" Target="externalLinks/externalLink2.xml"/><Relationship Id="rId9" Type="http://schemas.microsoft.com/office/2007/relationships/slicerCache" Target="slicerCaches/slicerCache5.xml"/><Relationship Id="rId1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editAs="absolute">
    <xdr:from>
      <xdr:col>24</xdr:col>
      <xdr:colOff>6077667</xdr:colOff>
      <xdr:row>0</xdr:row>
      <xdr:rowOff>22679</xdr:rowOff>
    </xdr:from>
    <xdr:to>
      <xdr:col>26</xdr:col>
      <xdr:colOff>1010782</xdr:colOff>
      <xdr:row>0</xdr:row>
      <xdr:rowOff>1641019</xdr:rowOff>
    </xdr:to>
    <mc:AlternateContent xmlns:mc="http://schemas.openxmlformats.org/markup-compatibility/2006" xmlns:sle15="http://schemas.microsoft.com/office/drawing/2012/slicer">
      <mc:Choice Requires="sle15">
        <xdr:graphicFrame macro="">
          <xdr:nvGraphicFramePr>
            <xdr:cNvPr id="11" name="חסם 1">
              <a:extLst>
                <a:ext uri="{FF2B5EF4-FFF2-40B4-BE49-F238E27FC236}">
                  <a16:creationId xmlns:a16="http://schemas.microsoft.com/office/drawing/2014/main" id="{8245C517-DF9B-4A2C-B6BE-64EBFAB26884}"/>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חסם 1"/>
            </a:graphicData>
          </a:graphic>
        </xdr:graphicFrame>
      </mc:Choice>
      <mc:Fallback xmlns="">
        <xdr:sp macro="" textlink="">
          <xdr:nvSpPr>
            <xdr:cNvPr id="0" name=""/>
            <xdr:cNvSpPr>
              <a:spLocks noTextEdit="1"/>
            </xdr:cNvSpPr>
          </xdr:nvSpPr>
          <xdr:spPr>
            <a:xfrm>
              <a:off x="11181948183" y="18869"/>
              <a:ext cx="4808635" cy="1622150"/>
            </a:xfrm>
            <a:prstGeom prst="rect">
              <a:avLst/>
            </a:prstGeom>
            <a:solidFill>
              <a:prstClr val="white"/>
            </a:solidFill>
            <a:ln w="1">
              <a:solidFill>
                <a:prstClr val="green"/>
              </a:solidFill>
            </a:ln>
          </xdr:spPr>
          <xdr:txBody>
            <a:bodyPr vertOverflow="clip" horzOverflow="clip"/>
            <a:lstStyle/>
            <a:p>
              <a:r>
                <a:rPr lang="he-IL" sz="1100"/>
                <a:t>צורה זו מייצגת כלי פריסה של טבלה. כלי פריסה של טבלה אינם נתמכים בגירסה זו של Excel.
אם הצורה השתנתה בגירסה קודמת של Excel, או אם חוברת העבודה נשמרה ב- Excel 2007 או בגירסה קודמת, לא ניתן להשתמש בכלי הפריסה.</a:t>
              </a:r>
            </a:p>
          </xdr:txBody>
        </xdr:sp>
      </mc:Fallback>
    </mc:AlternateContent>
    <xdr:clientData fLocksWithSheet="0"/>
  </xdr:twoCellAnchor>
  <xdr:twoCellAnchor editAs="absolute">
    <xdr:from>
      <xdr:col>0</xdr:col>
      <xdr:colOff>58305</xdr:colOff>
      <xdr:row>0</xdr:row>
      <xdr:rowOff>58420</xdr:rowOff>
    </xdr:from>
    <xdr:to>
      <xdr:col>1</xdr:col>
      <xdr:colOff>96539</xdr:colOff>
      <xdr:row>0</xdr:row>
      <xdr:rowOff>1582664</xdr:rowOff>
    </xdr:to>
    <mc:AlternateContent xmlns:mc="http://schemas.openxmlformats.org/markup-compatibility/2006" xmlns:sle15="http://schemas.microsoft.com/office/drawing/2012/slicer">
      <mc:Choice Requires="sle15">
        <xdr:graphicFrame macro="">
          <xdr:nvGraphicFramePr>
            <xdr:cNvPr id="6" name="סוג תחנה 1">
              <a:extLst>
                <a:ext uri="{FF2B5EF4-FFF2-40B4-BE49-F238E27FC236}">
                  <a16:creationId xmlns:a16="http://schemas.microsoft.com/office/drawing/2014/main" id="{1D95BFD0-2ABA-13A9-C7BE-450593EA3FF7}"/>
                </a:ext>
                <a:ext uri="{147F2762-F138-4A5C-976F-8EAC2B608ADB}">
                  <a16:predDERef xmlns:a16="http://schemas.microsoft.com/office/drawing/2014/main" pred="{ED86FF1A-207F-B2DC-4EE1-8D31FAE911F0}"/>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סוג תחנה 1"/>
            </a:graphicData>
          </a:graphic>
        </xdr:graphicFrame>
      </mc:Choice>
      <mc:Fallback xmlns="">
        <xdr:sp macro="" textlink="">
          <xdr:nvSpPr>
            <xdr:cNvPr id="0" name=""/>
            <xdr:cNvSpPr>
              <a:spLocks noTextEdit="1"/>
            </xdr:cNvSpPr>
          </xdr:nvSpPr>
          <xdr:spPr>
            <a:xfrm>
              <a:off x="11199207961" y="58420"/>
              <a:ext cx="1911484" cy="1524244"/>
            </a:xfrm>
            <a:prstGeom prst="rect">
              <a:avLst/>
            </a:prstGeom>
            <a:solidFill>
              <a:prstClr val="white"/>
            </a:solidFill>
            <a:ln w="1">
              <a:solidFill>
                <a:prstClr val="green"/>
              </a:solidFill>
            </a:ln>
          </xdr:spPr>
          <xdr:txBody>
            <a:bodyPr vertOverflow="clip" horzOverflow="clip"/>
            <a:lstStyle/>
            <a:p>
              <a:r>
                <a:rPr lang="he-IL" sz="1100"/>
                <a:t>צורה זו מייצגת כלי פריסה של טבלה. כלי פריסה של טבלה אינם נתמכים בגירסה זו של Excel.
אם הצורה השתנתה בגירסה קודמת של Excel, או אם חוברת העבודה נשמרה ב- Excel 2007 או בגירסה קודמת, לא ניתן להשתמש בכלי הפריסה.</a:t>
              </a:r>
            </a:p>
          </xdr:txBody>
        </xdr:sp>
      </mc:Fallback>
    </mc:AlternateContent>
    <xdr:clientData/>
  </xdr:twoCellAnchor>
  <xdr:twoCellAnchor editAs="absolute">
    <xdr:from>
      <xdr:col>0</xdr:col>
      <xdr:colOff>15240</xdr:colOff>
      <xdr:row>0</xdr:row>
      <xdr:rowOff>15875</xdr:rowOff>
    </xdr:from>
    <xdr:to>
      <xdr:col>4</xdr:col>
      <xdr:colOff>207100</xdr:colOff>
      <xdr:row>0</xdr:row>
      <xdr:rowOff>1603375</xdr:rowOff>
    </xdr:to>
    <mc:AlternateContent xmlns:mc="http://schemas.openxmlformats.org/markup-compatibility/2006" xmlns:sle15="http://schemas.microsoft.com/office/drawing/2012/slicer">
      <mc:Choice Requires="sle15">
        <xdr:graphicFrame macro="">
          <xdr:nvGraphicFramePr>
            <xdr:cNvPr id="5" name="מנה&quot;פ 1">
              <a:extLst>
                <a:ext uri="{FF2B5EF4-FFF2-40B4-BE49-F238E27FC236}">
                  <a16:creationId xmlns:a16="http://schemas.microsoft.com/office/drawing/2014/main" id="{B8E357A0-D4AF-0C99-7EB2-29EA51493D89}"/>
                </a:ext>
                <a:ext uri="{147F2762-F138-4A5C-976F-8EAC2B608ADB}">
                  <a16:predDERef xmlns:a16="http://schemas.microsoft.com/office/drawing/2014/main" pred="{1D95BFD0-2ABA-13A9-C7BE-450593EA3FF7}"/>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מנה&quot;פ 1"/>
            </a:graphicData>
          </a:graphic>
        </xdr:graphicFrame>
      </mc:Choice>
      <mc:Fallback xmlns="">
        <xdr:sp macro="" textlink="">
          <xdr:nvSpPr>
            <xdr:cNvPr id="0" name=""/>
            <xdr:cNvSpPr>
              <a:spLocks noTextEdit="1"/>
            </xdr:cNvSpPr>
          </xdr:nvSpPr>
          <xdr:spPr>
            <a:xfrm>
              <a:off x="11199129150" y="15875"/>
              <a:ext cx="8018235" cy="1587500"/>
            </a:xfrm>
            <a:prstGeom prst="rect">
              <a:avLst/>
            </a:prstGeom>
            <a:solidFill>
              <a:prstClr val="white"/>
            </a:solidFill>
            <a:ln w="1">
              <a:solidFill>
                <a:prstClr val="green"/>
              </a:solidFill>
            </a:ln>
          </xdr:spPr>
          <xdr:txBody>
            <a:bodyPr vertOverflow="clip" horzOverflow="clip"/>
            <a:lstStyle/>
            <a:p>
              <a:r>
                <a:rPr lang="he-IL" sz="1100"/>
                <a:t>צורה זו מייצגת כלי פריסה של טבלה. כלי פריסה של טבלה אינם נתמכים בגירסה זו של Excel.
אם הצורה השתנתה בגירסה קודמת של Excel, או אם חוברת העבודה נשמרה ב- Excel 2007 או בגירסה קודמת, לא ניתן להשתמש בכלי הפריסה.</a:t>
              </a:r>
            </a:p>
          </xdr:txBody>
        </xdr:sp>
      </mc:Fallback>
    </mc:AlternateContent>
    <xdr:clientData/>
  </xdr:twoCellAnchor>
  <xdr:twoCellAnchor editAs="absolute">
    <xdr:from>
      <xdr:col>4</xdr:col>
      <xdr:colOff>267167</xdr:colOff>
      <xdr:row>0</xdr:row>
      <xdr:rowOff>15875</xdr:rowOff>
    </xdr:from>
    <xdr:to>
      <xdr:col>6</xdr:col>
      <xdr:colOff>612914</xdr:colOff>
      <xdr:row>0</xdr:row>
      <xdr:rowOff>1658655</xdr:rowOff>
    </xdr:to>
    <mc:AlternateContent xmlns:mc="http://schemas.openxmlformats.org/markup-compatibility/2006" xmlns:sle15="http://schemas.microsoft.com/office/drawing/2012/slicer">
      <mc:Choice Requires="sle15">
        <xdr:graphicFrame macro="">
          <xdr:nvGraphicFramePr>
            <xdr:cNvPr id="8" name="תו&quot;ב">
              <a:extLst>
                <a:ext uri="{FF2B5EF4-FFF2-40B4-BE49-F238E27FC236}">
                  <a16:creationId xmlns:a16="http://schemas.microsoft.com/office/drawing/2014/main" id="{22DD0FD0-E65C-316F-54ED-32F2D0A87301}"/>
                </a:ext>
                <a:ext uri="{147F2762-F138-4A5C-976F-8EAC2B608ADB}">
                  <a16:predDERef xmlns:a16="http://schemas.microsoft.com/office/drawing/2014/main" pred="{B8E357A0-D4AF-0C99-7EB2-29EA51493D89}"/>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תו&quot;ב"/>
            </a:graphicData>
          </a:graphic>
        </xdr:graphicFrame>
      </mc:Choice>
      <mc:Fallback xmlns="">
        <xdr:sp macro="" textlink="">
          <xdr:nvSpPr>
            <xdr:cNvPr id="0" name=""/>
            <xdr:cNvSpPr>
              <a:spLocks noTextEdit="1"/>
            </xdr:cNvSpPr>
          </xdr:nvSpPr>
          <xdr:spPr>
            <a:xfrm>
              <a:off x="11195300686" y="19685"/>
              <a:ext cx="3133397" cy="1635160"/>
            </a:xfrm>
            <a:prstGeom prst="rect">
              <a:avLst/>
            </a:prstGeom>
            <a:solidFill>
              <a:prstClr val="white"/>
            </a:solidFill>
            <a:ln w="1">
              <a:solidFill>
                <a:prstClr val="green"/>
              </a:solidFill>
            </a:ln>
          </xdr:spPr>
          <xdr:txBody>
            <a:bodyPr vertOverflow="clip" horzOverflow="clip"/>
            <a:lstStyle/>
            <a:p>
              <a:r>
                <a:rPr lang="he-IL" sz="1100"/>
                <a:t>צורה זו מייצגת כלי פריסה של טבלה. כלי פריסה של טבלה אינם נתמכים בגירסה זו של Excel.
אם הצורה השתנתה בגירסה קודמת של Excel, או אם חוברת העבודה נשמרה ב- Excel 2007 או בגירסה קודמת, לא ניתן להשתמש בכלי הפריסה.</a:t>
              </a:r>
            </a:p>
          </xdr:txBody>
        </xdr:sp>
      </mc:Fallback>
    </mc:AlternateContent>
    <xdr:clientData/>
  </xdr:twoCellAnchor>
  <xdr:twoCellAnchor editAs="absolute">
    <xdr:from>
      <xdr:col>6</xdr:col>
      <xdr:colOff>745667</xdr:colOff>
      <xdr:row>0</xdr:row>
      <xdr:rowOff>56560</xdr:rowOff>
    </xdr:from>
    <xdr:to>
      <xdr:col>24</xdr:col>
      <xdr:colOff>1717441</xdr:colOff>
      <xdr:row>0</xdr:row>
      <xdr:rowOff>1711004</xdr:rowOff>
    </xdr:to>
    <mc:AlternateContent xmlns:mc="http://schemas.openxmlformats.org/markup-compatibility/2006" xmlns:sle15="http://schemas.microsoft.com/office/drawing/2012/slicer">
      <mc:Choice Requires="sle15">
        <xdr:graphicFrame macro="">
          <xdr:nvGraphicFramePr>
            <xdr:cNvPr id="3" name="סטטוס הפרויקט על ציר הזמן 1">
              <a:extLst>
                <a:ext uri="{FF2B5EF4-FFF2-40B4-BE49-F238E27FC236}">
                  <a16:creationId xmlns:a16="http://schemas.microsoft.com/office/drawing/2014/main" id="{C11C1E72-D482-517E-B9AE-D595D42D918E}"/>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סטטוס הפרויקט על ציר הזמן 1"/>
            </a:graphicData>
          </a:graphic>
        </xdr:graphicFrame>
      </mc:Choice>
      <mc:Fallback xmlns="">
        <xdr:sp macro="" textlink="">
          <xdr:nvSpPr>
            <xdr:cNvPr id="0" name=""/>
            <xdr:cNvSpPr>
              <a:spLocks noTextEdit="1"/>
            </xdr:cNvSpPr>
          </xdr:nvSpPr>
          <xdr:spPr>
            <a:xfrm>
              <a:off x="11191106884" y="43225"/>
              <a:ext cx="4074384" cy="1661429"/>
            </a:xfrm>
            <a:prstGeom prst="rect">
              <a:avLst/>
            </a:prstGeom>
            <a:solidFill>
              <a:prstClr val="white"/>
            </a:solidFill>
            <a:ln w="1">
              <a:solidFill>
                <a:prstClr val="green"/>
              </a:solidFill>
            </a:ln>
          </xdr:spPr>
          <xdr:txBody>
            <a:bodyPr vertOverflow="clip" horzOverflow="clip"/>
            <a:lstStyle/>
            <a:p>
              <a:r>
                <a:rPr lang="he-IL" sz="1100"/>
                <a:t>צורה זו מייצגת כלי פריסה של טבלה. כלי פריסה של טבלה אינם נתמכים בגירסה זו של Excel.
אם הצורה השתנתה בגירסה קודמת של Excel, או אם חוברת העבודה נשמרה ב- Excel 2007 או בגירסה קודמת, לא ניתן להשתמש בכלי הפריסה.</a:t>
              </a:r>
            </a:p>
          </xdr:txBody>
        </xdr:sp>
      </mc:Fallback>
    </mc:AlternateContent>
    <xdr:clientData/>
  </xdr:twoCellAnchor>
  <xdr:twoCellAnchor editAs="absolute">
    <xdr:from>
      <xdr:col>24</xdr:col>
      <xdr:colOff>1829980</xdr:colOff>
      <xdr:row>0</xdr:row>
      <xdr:rowOff>56425</xdr:rowOff>
    </xdr:from>
    <xdr:to>
      <xdr:col>24</xdr:col>
      <xdr:colOff>6040318</xdr:colOff>
      <xdr:row>0</xdr:row>
      <xdr:rowOff>1656442</xdr:rowOff>
    </xdr:to>
    <mc:AlternateContent xmlns:mc="http://schemas.openxmlformats.org/markup-compatibility/2006" xmlns:sle15="http://schemas.microsoft.com/office/drawing/2012/slicer">
      <mc:Choice Requires="sle15">
        <xdr:graphicFrame macro="">
          <xdr:nvGraphicFramePr>
            <xdr:cNvPr id="10" name="לטיפול">
              <a:extLst>
                <a:ext uri="{FF2B5EF4-FFF2-40B4-BE49-F238E27FC236}">
                  <a16:creationId xmlns:a16="http://schemas.microsoft.com/office/drawing/2014/main" id="{9CACBF3F-A58A-A762-1E91-BAB39A5486C4}"/>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לטיפול"/>
            </a:graphicData>
          </a:graphic>
        </xdr:graphicFrame>
      </mc:Choice>
      <mc:Fallback xmlns="">
        <xdr:sp macro="" textlink="">
          <xdr:nvSpPr>
            <xdr:cNvPr id="0" name=""/>
            <xdr:cNvSpPr>
              <a:spLocks noTextEdit="1"/>
            </xdr:cNvSpPr>
          </xdr:nvSpPr>
          <xdr:spPr>
            <a:xfrm>
              <a:off x="11186797342" y="43090"/>
              <a:ext cx="4197003" cy="1600017"/>
            </a:xfrm>
            <a:prstGeom prst="rect">
              <a:avLst/>
            </a:prstGeom>
            <a:solidFill>
              <a:prstClr val="white"/>
            </a:solidFill>
            <a:ln w="1">
              <a:solidFill>
                <a:prstClr val="green"/>
              </a:solidFill>
            </a:ln>
          </xdr:spPr>
          <xdr:txBody>
            <a:bodyPr vertOverflow="clip" horzOverflow="clip"/>
            <a:lstStyle/>
            <a:p>
              <a:r>
                <a:rPr lang="he-IL" sz="1100"/>
                <a:t>צורה זו מייצגת כלי פריסה של טבלה. כלי פריסה של טבלה אינם נתמכים בגירסה זו של Excel.
אם הצורה השתנתה בגירסה קודמת של Excel, או אם חוברת העבודה נשמרה ב- Excel 2007 או בגירסה קודמת, לא ניתן להשתמש בכלי הפריסה.</a:t>
              </a:r>
            </a:p>
          </xdr:txBody>
        </xdr:sp>
      </mc:Fallback>
    </mc:AlternateContent>
    <xdr:clientData/>
  </xdr:twoCellAnchor>
  <xdr:twoCellAnchor editAs="absolute">
    <xdr:from>
      <xdr:col>26</xdr:col>
      <xdr:colOff>1048276</xdr:colOff>
      <xdr:row>0</xdr:row>
      <xdr:rowOff>41094</xdr:rowOff>
    </xdr:from>
    <xdr:to>
      <xdr:col>26</xdr:col>
      <xdr:colOff>2799715</xdr:colOff>
      <xdr:row>0</xdr:row>
      <xdr:rowOff>1200785</xdr:rowOff>
    </xdr:to>
    <mc:AlternateContent xmlns:mc="http://schemas.openxmlformats.org/markup-compatibility/2006" xmlns:sle15="http://schemas.microsoft.com/office/drawing/2012/slicer">
      <mc:Choice Requires="sle15">
        <xdr:graphicFrame macro="">
          <xdr:nvGraphicFramePr>
            <xdr:cNvPr id="7" name="חוסר במשגיחים ">
              <a:extLst>
                <a:ext uri="{FF2B5EF4-FFF2-40B4-BE49-F238E27FC236}">
                  <a16:creationId xmlns:a16="http://schemas.microsoft.com/office/drawing/2014/main" id="{8BB8F4B3-11FE-6FD2-5F7B-B0C312A6095F}"/>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חוסר במשגיחים "/>
            </a:graphicData>
          </a:graphic>
        </xdr:graphicFrame>
      </mc:Choice>
      <mc:Fallback xmlns="">
        <xdr:sp macro="" textlink="">
          <xdr:nvSpPr>
            <xdr:cNvPr id="0" name=""/>
            <xdr:cNvSpPr>
              <a:spLocks noTextEdit="1"/>
            </xdr:cNvSpPr>
          </xdr:nvSpPr>
          <xdr:spPr>
            <a:xfrm>
              <a:off x="11173809250" y="41094"/>
              <a:ext cx="1751439" cy="1149531"/>
            </a:xfrm>
            <a:prstGeom prst="rect">
              <a:avLst/>
            </a:prstGeom>
            <a:solidFill>
              <a:prstClr val="white"/>
            </a:solidFill>
            <a:ln w="1">
              <a:solidFill>
                <a:prstClr val="green"/>
              </a:solidFill>
            </a:ln>
          </xdr:spPr>
          <xdr:txBody>
            <a:bodyPr vertOverflow="clip" horzOverflow="clip"/>
            <a:lstStyle/>
            <a:p>
              <a:r>
                <a:rPr lang="he-IL" sz="1100"/>
                <a:t>צורה זו מייצגת כלי פריסה של טבלה. כלי פריסה של טבלה אינם נתמכים בגירסה זו של Excel.
אם הצורה השתנתה בגירסה קודמת של Excel, או אם חוברת העבודה נשמרה ב- Excel 2007 או בגירסה קודמת, לא ניתן להשתמש בכלי הפריסה.</a:t>
              </a:r>
            </a:p>
          </xdr:txBody>
        </xdr:sp>
      </mc:Fallback>
    </mc:AlternateContent>
    <xdr:clientData/>
  </xdr:twoCellAnchor>
  <xdr:twoCellAnchor editAs="absolute">
    <xdr:from>
      <xdr:col>26</xdr:col>
      <xdr:colOff>2858135</xdr:colOff>
      <xdr:row>0</xdr:row>
      <xdr:rowOff>56696</xdr:rowOff>
    </xdr:from>
    <xdr:to>
      <xdr:col>27</xdr:col>
      <xdr:colOff>1162685</xdr:colOff>
      <xdr:row>0</xdr:row>
      <xdr:rowOff>1200785</xdr:rowOff>
    </xdr:to>
    <mc:AlternateContent xmlns:mc="http://schemas.openxmlformats.org/markup-compatibility/2006" xmlns:sle15="http://schemas.microsoft.com/office/drawing/2012/slicer">
      <mc:Choice Requires="sle15">
        <xdr:graphicFrame macro="">
          <xdr:nvGraphicFramePr>
            <xdr:cNvPr id="9" name="חוסר בבודקים ">
              <a:extLst>
                <a:ext uri="{FF2B5EF4-FFF2-40B4-BE49-F238E27FC236}">
                  <a16:creationId xmlns:a16="http://schemas.microsoft.com/office/drawing/2014/main" id="{4EDE3AB1-C200-A9E1-DCD3-C45111BA0C31}"/>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חוסר בבודקים "/>
            </a:graphicData>
          </a:graphic>
        </xdr:graphicFrame>
      </mc:Choice>
      <mc:Fallback xmlns="">
        <xdr:sp macro="" textlink="">
          <xdr:nvSpPr>
            <xdr:cNvPr id="0" name=""/>
            <xdr:cNvSpPr>
              <a:spLocks noTextEdit="1"/>
            </xdr:cNvSpPr>
          </xdr:nvSpPr>
          <xdr:spPr>
            <a:xfrm>
              <a:off x="11172015375" y="46536"/>
              <a:ext cx="1745615" cy="1144089"/>
            </a:xfrm>
            <a:prstGeom prst="rect">
              <a:avLst/>
            </a:prstGeom>
            <a:solidFill>
              <a:prstClr val="white"/>
            </a:solidFill>
            <a:ln w="1">
              <a:solidFill>
                <a:prstClr val="green"/>
              </a:solidFill>
            </a:ln>
          </xdr:spPr>
          <xdr:txBody>
            <a:bodyPr vertOverflow="clip" horzOverflow="clip"/>
            <a:lstStyle/>
            <a:p>
              <a:r>
                <a:rPr lang="he-IL" sz="1100"/>
                <a:t>צורה זו מייצגת כלי פריסה של טבלה. כלי פריסה של טבלה אינם נתמכים בגירסה זו של Excel.
אם הצורה השתנתה בגירסה קודמת של Excel, או אם חוברת העבודה נשמרה ב- Excel 2007 או בגירסה קודמת, לא ניתן להשתמש בכלי הפריסה.</a:t>
              </a:r>
            </a:p>
          </xdr:txBody>
        </xdr:sp>
      </mc:Fallback>
    </mc:AlternateContent>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uuh1l\Downloads\Unsaved_15008758%20(1).csv" TargetMode="External"/><Relationship Id="rId1" Type="http://schemas.openxmlformats.org/officeDocument/2006/relationships/externalLinkPath" Target="file:///C:\Users\uuh1l\Downloads\Unsaved_15008758%20(1).csv"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ieconline.sharepoint.com/iec/a04.substations/H/668/&#1514;&#1493;&#1489;%20&#1512;&#1489;%20&#1508;&#1512;&#1493;&#1497;&#1511;&#1496;&#1500;&#1497;/&#1513;&#1497;&#1512;&#1503;%20&#1513;&#1500;&#1492;&#1489;&#1514;/&#1504;&#1497;&#1514;&#1493;&#1495;%20&#1512;&#1489;%20&#1508;&#1512;&#1493;&#1497;&#1511;&#1496;&#1500;&#1497;/22.12.2025%20&#1504;&#1497;&#1514;&#1493;&#1495;%20&#1512;&#1489;%20&#1508;&#1512;&#1493;&#1497;&#1511;&#1496;&#1500;&#1497;%20&#1491;&#1510;&#1502;&#1489;&#151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Unsaved_15008758 (1)"/>
    </sheetNames>
    <sheetDataSet>
      <sheetData sheetId="0">
        <row r="1">
          <cell r="A1" t="str">
            <v>זיהוי</v>
          </cell>
          <cell r="B1" t="str">
            <v>אתר</v>
          </cell>
          <cell r="C1" t="str">
            <v>Subject</v>
          </cell>
          <cell r="D1" t="str">
            <v>תאריך סיום</v>
          </cell>
        </row>
        <row r="2">
          <cell r="A2" t="str">
            <v>WEC-003</v>
          </cell>
          <cell r="B2" t="str">
            <v>תרקומיא פרטית</v>
          </cell>
          <cell r="C2" t="str">
            <v>תרקומיא- הקמת תחמ"ש חיצונית 161/36 ק"ו</v>
          </cell>
          <cell r="D2">
            <v>44090</v>
          </cell>
        </row>
        <row r="3">
          <cell r="A3" t="str">
            <v>WBJ-018</v>
          </cell>
          <cell r="B3" t="str">
            <v>תקומה(שקמה)</v>
          </cell>
          <cell r="C3" t="str">
            <v>תקומה(שקמה)-הקמת תחמ"ג 400/161 ק"ו, 2*650 מגוו"א</v>
          </cell>
          <cell r="D3">
            <v>48699</v>
          </cell>
        </row>
        <row r="4">
          <cell r="A4" t="str">
            <v>WBM-10381</v>
          </cell>
          <cell r="B4" t="str">
            <v>תקומה(שקמה)</v>
          </cell>
          <cell r="C4" t="str">
            <v>תקומה(שקמה)-הת' תיילים-מהדקים-פורט'wbo-838</v>
          </cell>
          <cell r="D4">
            <v>48699</v>
          </cell>
        </row>
        <row r="5">
          <cell r="A5" t="str">
            <v>HIS-045</v>
          </cell>
          <cell r="B5" t="str">
            <v>תפן</v>
          </cell>
          <cell r="C5" t="str">
            <v>תפן</v>
          </cell>
          <cell r="D5">
            <v>40908</v>
          </cell>
        </row>
        <row r="6">
          <cell r="A6" t="str">
            <v>WBM-00988</v>
          </cell>
          <cell r="B6" t="str">
            <v>תפן</v>
          </cell>
          <cell r="C6" t="str">
            <v>תפן-התקנת סליל כיבוי 24 ק"ו,300 א'</v>
          </cell>
          <cell r="D6">
            <v>46265</v>
          </cell>
        </row>
        <row r="7">
          <cell r="A7" t="str">
            <v>WBM-00641</v>
          </cell>
          <cell r="B7" t="str">
            <v>תפן</v>
          </cell>
          <cell r="C7" t="str">
            <v>תפן-הזנת תאורת חירום ז"י.</v>
          </cell>
          <cell r="D7">
            <v>46194</v>
          </cell>
        </row>
        <row r="8">
          <cell r="A8" t="str">
            <v>WBM-60069</v>
          </cell>
          <cell r="B8" t="str">
            <v>תפן</v>
          </cell>
          <cell r="C8" t="str">
            <v>תפן - עיגון ארונות פיקוד ושנאים</v>
          </cell>
          <cell r="D8">
            <v>46996</v>
          </cell>
        </row>
        <row r="9">
          <cell r="A9" t="str">
            <v>WBM-00601</v>
          </cell>
          <cell r="B9" t="str">
            <v>תפן</v>
          </cell>
          <cell r="C9" t="str">
            <v>תפן-התקנת 2 הגנת פ"צ 161 ק"ו.</v>
          </cell>
          <cell r="D9">
            <v>46568</v>
          </cell>
        </row>
        <row r="10">
          <cell r="A10" t="str">
            <v>WBM-40021</v>
          </cell>
          <cell r="B10" t="str">
            <v>תפן</v>
          </cell>
          <cell r="C10" t="str">
            <v>תפן - החלפת הגנות מ"ג 7SJ512</v>
          </cell>
          <cell r="D10">
            <v>46477</v>
          </cell>
        </row>
        <row r="11">
          <cell r="A11" t="str">
            <v>WBG-121-011</v>
          </cell>
          <cell r="B11" t="str">
            <v>תפן</v>
          </cell>
          <cell r="C11" t="str">
            <v>תפן-הקמת טבעת om 30</v>
          </cell>
          <cell r="D11">
            <v>41270</v>
          </cell>
        </row>
        <row r="12">
          <cell r="A12" t="str">
            <v>WBG-121-004</v>
          </cell>
          <cell r="B12" t="str">
            <v>תפן</v>
          </cell>
          <cell r="C12" t="str">
            <v>תפן-התקנת רושם הפרעות</v>
          </cell>
          <cell r="D12">
            <v>41149</v>
          </cell>
        </row>
        <row r="13">
          <cell r="A13" t="str">
            <v>WBG-121-012</v>
          </cell>
          <cell r="B13" t="str">
            <v>תפן</v>
          </cell>
          <cell r="C13" t="str">
            <v>תפן-פתרון בעיית חיבור לא מבוקר של ממסרים</v>
          </cell>
          <cell r="D13">
            <v>41119</v>
          </cell>
        </row>
        <row r="14">
          <cell r="A14" t="str">
            <v>WBM-40022</v>
          </cell>
          <cell r="B14" t="str">
            <v>תפן</v>
          </cell>
          <cell r="C14" t="str">
            <v>תפן - בוטלהחלפת טרפו בשדות 6,10</v>
          </cell>
          <cell r="D14">
            <v>43110</v>
          </cell>
        </row>
        <row r="15">
          <cell r="A15" t="str">
            <v>WBM-00148</v>
          </cell>
          <cell r="B15" t="str">
            <v>תפן</v>
          </cell>
          <cell r="C15" t="str">
            <v>תפן - בוטל- התקנת מערכת טמ"ס</v>
          </cell>
          <cell r="D15">
            <v>41396</v>
          </cell>
        </row>
        <row r="16">
          <cell r="A16">
            <v>526710</v>
          </cell>
          <cell r="B16" t="str">
            <v>תפן</v>
          </cell>
          <cell r="C16" t="str">
            <v>תפן-החלפת רכזת התראה בטחונית</v>
          </cell>
          <cell r="D16">
            <v>39782</v>
          </cell>
        </row>
        <row r="17">
          <cell r="A17" t="str">
            <v>WBM-00593</v>
          </cell>
          <cell r="B17" t="str">
            <v>תפן</v>
          </cell>
          <cell r="C17" t="str">
            <v>תפן-בוטל שיפור מערכת הארקת בתחמ"ש.</v>
          </cell>
          <cell r="D17">
            <v>39798</v>
          </cell>
        </row>
        <row r="18">
          <cell r="A18">
            <v>526722</v>
          </cell>
          <cell r="B18" t="str">
            <v>תפן</v>
          </cell>
          <cell r="C18" t="str">
            <v>תפן-התקנת מאווררים בארונות פיקוד והגנה</v>
          </cell>
          <cell r="D18">
            <v>40311</v>
          </cell>
        </row>
        <row r="19">
          <cell r="A19" t="str">
            <v>WBM-00560</v>
          </cell>
          <cell r="B19" t="str">
            <v>תפן</v>
          </cell>
          <cell r="C19" t="str">
            <v>תפן-בוטל-שדרוג מערכת פיקוד ובקרה</v>
          </cell>
          <cell r="D19">
            <v>40207</v>
          </cell>
        </row>
        <row r="20">
          <cell r="A20" t="str">
            <v>WBM-10575</v>
          </cell>
          <cell r="B20" t="str">
            <v>תפן</v>
          </cell>
          <cell r="C20" t="str">
            <v>תפן-משיק לאר"ן-התקנת הגנה דיפרנציאלית שדה 9 ,משיק לתחמ"ש כרמיאל שדה 11</v>
          </cell>
          <cell r="D20">
            <v>46295</v>
          </cell>
        </row>
        <row r="21">
          <cell r="A21" t="str">
            <v>WBM-00236-007</v>
          </cell>
          <cell r="B21" t="str">
            <v>תפן</v>
          </cell>
          <cell r="C21" t="str">
            <v>תפן- הפרדת התראות מימן מהתראות כיבוי</v>
          </cell>
          <cell r="D21">
            <v>46387</v>
          </cell>
        </row>
        <row r="22">
          <cell r="A22" t="str">
            <v>WBM-00885-105</v>
          </cell>
          <cell r="B22" t="str">
            <v>תפן</v>
          </cell>
          <cell r="C22" t="str">
            <v>תפן - שדרוג מערכת המים לכיבוי אש</v>
          </cell>
          <cell r="D22">
            <v>46386</v>
          </cell>
        </row>
        <row r="23">
          <cell r="A23" t="str">
            <v>WBM-00885-115</v>
          </cell>
          <cell r="B23" t="str">
            <v>תפן</v>
          </cell>
          <cell r="C23" t="str">
            <v>תפן - הפרדת התראת אש מהתראת מימן</v>
          </cell>
          <cell r="D23">
            <v>46387</v>
          </cell>
        </row>
        <row r="24">
          <cell r="A24" t="str">
            <v>WBM-10101-009</v>
          </cell>
          <cell r="B24" t="str">
            <v>תפן</v>
          </cell>
          <cell r="C24" t="str">
            <v>תפן -   ביטול סוללה V60</v>
          </cell>
          <cell r="D24">
            <v>46721</v>
          </cell>
        </row>
        <row r="25">
          <cell r="A25" t="str">
            <v>WBM-40479-047</v>
          </cell>
          <cell r="B25" t="str">
            <v>תפן</v>
          </cell>
          <cell r="C25" t="str">
            <v>תפן- החלפת 2 בקרי טמפ' וגובה שמן בשנאי</v>
          </cell>
          <cell r="D25">
            <v>47206</v>
          </cell>
        </row>
        <row r="26">
          <cell r="A26" t="str">
            <v>WBM-60008-048</v>
          </cell>
          <cell r="B26" t="str">
            <v>תפן</v>
          </cell>
          <cell r="C26" t="str">
            <v>תפן -  התקנת מערכת מיגון בתחמ"ש</v>
          </cell>
          <cell r="D26">
            <v>45482</v>
          </cell>
        </row>
        <row r="27">
          <cell r="A27" t="str">
            <v>WBM-60092-008</v>
          </cell>
          <cell r="B27" t="str">
            <v>תפן</v>
          </cell>
          <cell r="C27" t="str">
            <v>תפן- בדיקות/טיפול/פינוי מכלי אש בגז</v>
          </cell>
          <cell r="D27">
            <v>46387</v>
          </cell>
        </row>
        <row r="28">
          <cell r="A28" t="str">
            <v>WBM-60118-023</v>
          </cell>
          <cell r="B28" t="str">
            <v>תפן</v>
          </cell>
          <cell r="C28" t="str">
            <v>תפן - שיפור מערכת הארקה</v>
          </cell>
          <cell r="D28">
            <v>46751</v>
          </cell>
        </row>
        <row r="29">
          <cell r="A29" t="str">
            <v>WBM-60130-050</v>
          </cell>
          <cell r="B29" t="str">
            <v>תפן</v>
          </cell>
          <cell r="C29" t="str">
            <v>תפן - התקנת מפסק פטריה להפסקת מערכת החשמל בחירום</v>
          </cell>
          <cell r="D29">
            <v>46568</v>
          </cell>
        </row>
        <row r="30">
          <cell r="A30" t="str">
            <v>WBM-60205-036</v>
          </cell>
          <cell r="B30" t="str">
            <v>תפן</v>
          </cell>
          <cell r="C30" t="str">
            <v>תפן - ניטור הצפות</v>
          </cell>
          <cell r="D30">
            <v>46175</v>
          </cell>
        </row>
        <row r="31">
          <cell r="A31" t="str">
            <v>WBM-60116-063</v>
          </cell>
          <cell r="B31" t="str">
            <v>תפן</v>
          </cell>
          <cell r="C31" t="str">
            <v>תפן - מערכת גילוי וכיבוי אש אוטומטית CERBERUS</v>
          </cell>
          <cell r="D31">
            <v>46387</v>
          </cell>
        </row>
        <row r="32">
          <cell r="A32" t="str">
            <v>WBM-10771</v>
          </cell>
          <cell r="B32" t="str">
            <v>תפן</v>
          </cell>
          <cell r="C32" t="str">
            <v>תפן- משיק לכרמיאל שדה 13, יישום דרך קשר אופטית זמנית  בין הגנות בשדה 9</v>
          </cell>
          <cell r="D32">
            <v>46326</v>
          </cell>
        </row>
        <row r="33">
          <cell r="A33" t="str">
            <v>WBM-40637-018</v>
          </cell>
          <cell r="B33" t="str">
            <v>תפן</v>
          </cell>
          <cell r="C33" t="str">
            <v>תפן -  החלפת רושמי הפרעות קיימים מדגם IDM-T3 לרושמים חדשים מדגם IDM+</v>
          </cell>
          <cell r="D33">
            <v>46995</v>
          </cell>
        </row>
        <row r="34">
          <cell r="A34" t="str">
            <v>WBD-120</v>
          </cell>
          <cell r="B34" t="str">
            <v>תפוח</v>
          </cell>
          <cell r="C34" t="str">
            <v>תפוח- הצבת תחמ"ש ניידת 30</v>
          </cell>
          <cell r="D34">
            <v>46173</v>
          </cell>
        </row>
        <row r="35">
          <cell r="A35" t="str">
            <v>WBD-120-ST2</v>
          </cell>
          <cell r="B35" t="str">
            <v>תפוח</v>
          </cell>
          <cell r="C35" t="str">
            <v>תפוח- פירוק תחמ"ש ניידת 30</v>
          </cell>
          <cell r="D35">
            <v>50071</v>
          </cell>
        </row>
        <row r="36">
          <cell r="A36" t="str">
            <v>HIS-049</v>
          </cell>
          <cell r="B36" t="str">
            <v>תעשיה אדומים</v>
          </cell>
          <cell r="C36" t="str">
            <v>תעשיה אדומים</v>
          </cell>
          <cell r="D36">
            <v>40908</v>
          </cell>
        </row>
        <row r="37">
          <cell r="A37" t="str">
            <v>99999-OUT2</v>
          </cell>
          <cell r="B37" t="str">
            <v>תעשיה אדומים</v>
          </cell>
          <cell r="C37" t="str">
            <v>תעשיה אדומים ארעית-פירוק מכולת פיקוד</v>
          </cell>
          <cell r="D37">
            <v>44693</v>
          </cell>
        </row>
        <row r="38">
          <cell r="A38" t="str">
            <v>99999-OUT1</v>
          </cell>
          <cell r="B38" t="str">
            <v>תעשיה אדומים</v>
          </cell>
          <cell r="C38" t="str">
            <v>תעשיה אדומים ארעית-פירוק מכולת פיקוד</v>
          </cell>
          <cell r="D38">
            <v>44273</v>
          </cell>
        </row>
        <row r="39">
          <cell r="A39" t="str">
            <v>WBC-063</v>
          </cell>
          <cell r="B39" t="str">
            <v>תעשיה אדומים</v>
          </cell>
          <cell r="C39" t="str">
            <v>תעשיה אדומים-הרחבת התחמ"ש לקבועה-4 שלבים</v>
          </cell>
          <cell r="D39">
            <v>45199</v>
          </cell>
        </row>
        <row r="40">
          <cell r="A40" t="str">
            <v>WBC-063-ST5</v>
          </cell>
          <cell r="B40" t="str">
            <v>תעשיה אדומים</v>
          </cell>
          <cell r="C40" t="str">
            <v>תעשיה אדומים-שלב 4– שדרוג ארעית לקבועה</v>
          </cell>
          <cell r="D40">
            <v>45199</v>
          </cell>
        </row>
        <row r="41">
          <cell r="A41" t="str">
            <v>WBC-063-ST4</v>
          </cell>
          <cell r="B41" t="str">
            <v>תעשיה אדומים</v>
          </cell>
          <cell r="C41" t="str">
            <v>תעשיה אדומים-שלב 3– שדרוג תחנה ארעית</v>
          </cell>
          <cell r="D41">
            <v>44864</v>
          </cell>
        </row>
        <row r="42">
          <cell r="A42" t="str">
            <v>WBC-063-ST3</v>
          </cell>
          <cell r="B42" t="str">
            <v>תעשיה אדומים</v>
          </cell>
          <cell r="C42" t="str">
            <v>תעשיה אדומים-שלב2–הקמת התחנה באתר חדש</v>
          </cell>
          <cell r="D42">
            <v>44273</v>
          </cell>
        </row>
        <row r="43">
          <cell r="A43" t="str">
            <v>WDA-1-02-15-15</v>
          </cell>
          <cell r="B43" t="str">
            <v>תעשיה אדומים</v>
          </cell>
          <cell r="C43" t="str">
            <v>תעשיה אדומים-החלפת יחידת קצה פיקוח ארצי</v>
          </cell>
          <cell r="D43">
            <v>43033</v>
          </cell>
        </row>
        <row r="44">
          <cell r="A44" t="str">
            <v>WBM-70040</v>
          </cell>
          <cell r="B44" t="str">
            <v>תעשיה אדומים</v>
          </cell>
          <cell r="C44" t="str">
            <v>תעשיה אדומים – התקנת  12 מודולים של סק</v>
          </cell>
          <cell r="D44">
            <v>46203</v>
          </cell>
        </row>
        <row r="45">
          <cell r="A45" t="str">
            <v>WBM-10440</v>
          </cell>
          <cell r="B45" t="str">
            <v>תעשיה אדומים</v>
          </cell>
          <cell r="C45" t="str">
            <v>ת. אדומים-משיק נ.צופים4-יישום ד.קשר.ש3</v>
          </cell>
          <cell r="D45">
            <v>46326</v>
          </cell>
        </row>
        <row r="46">
          <cell r="A46" t="str">
            <v>WBM-10025</v>
          </cell>
          <cell r="B46" t="str">
            <v>תעשיה אדומים</v>
          </cell>
          <cell r="C46" t="str">
            <v>תעשיה אדומים-התקנת רושם הפרעות</v>
          </cell>
          <cell r="D46">
            <v>46418</v>
          </cell>
        </row>
        <row r="47">
          <cell r="A47" t="str">
            <v>WBM-10319</v>
          </cell>
          <cell r="B47" t="str">
            <v>תעשיה אדומים</v>
          </cell>
          <cell r="C47" t="str">
            <v>תעשיה אדומים-פירוק ציוד הצמדה בשד.3,7</v>
          </cell>
          <cell r="D47">
            <v>46203</v>
          </cell>
        </row>
        <row r="48">
          <cell r="A48" t="str">
            <v>WBM-10202</v>
          </cell>
          <cell r="B48" t="str">
            <v>תעשיה אדומים</v>
          </cell>
          <cell r="C48" t="str">
            <v>תעשיה אדומים - מע' בקרת טמפ' בחדר מצברים</v>
          </cell>
          <cell r="D48">
            <v>44745</v>
          </cell>
        </row>
        <row r="49">
          <cell r="A49">
            <v>548116</v>
          </cell>
          <cell r="B49" t="str">
            <v>תעשיה אדומים</v>
          </cell>
          <cell r="C49" t="str">
            <v>תעשיה אדומים ארעית-התקנת מערכת טמ"ס</v>
          </cell>
          <cell r="D49">
            <v>41120</v>
          </cell>
        </row>
        <row r="50">
          <cell r="A50" t="str">
            <v>WBM-00998</v>
          </cell>
          <cell r="B50" t="str">
            <v>תעשיה אדומים</v>
          </cell>
          <cell r="C50" t="str">
            <v>תעשייה אדומים-בוטל- הת.הגנה דיפרנציאלית</v>
          </cell>
          <cell r="D50">
            <v>42171</v>
          </cell>
        </row>
        <row r="51">
          <cell r="A51" t="str">
            <v>WBM-01246</v>
          </cell>
          <cell r="B51" t="str">
            <v>תעשיה אדומים</v>
          </cell>
          <cell r="C51" t="str">
            <v>תעשייה אדומים - בוטל-מאצרות שמן קבועות</v>
          </cell>
          <cell r="D51">
            <v>42902</v>
          </cell>
        </row>
        <row r="52">
          <cell r="A52">
            <v>548107</v>
          </cell>
          <cell r="B52" t="str">
            <v>תעשיה אדומים</v>
          </cell>
          <cell r="C52" t="str">
            <v>תעשיה אדומים ארעית-החלפת מערכת התראה</v>
          </cell>
          <cell r="D52">
            <v>40086</v>
          </cell>
        </row>
        <row r="53">
          <cell r="A53" t="str">
            <v>WBC-063-ST1</v>
          </cell>
          <cell r="B53" t="str">
            <v>תעשיה אדומים</v>
          </cell>
          <cell r="C53" t="str">
            <v>תעשיה אדומים-הרחבת התחמ"ש למת.קבועה</v>
          </cell>
          <cell r="D53">
            <v>43108</v>
          </cell>
        </row>
        <row r="54">
          <cell r="A54" t="str">
            <v>WBC-063-ST2</v>
          </cell>
          <cell r="B54" t="str">
            <v>תעשיה אדומים</v>
          </cell>
          <cell r="C54" t="str">
            <v>תעשיה אדומים – בנית מיכל איסוף שמן</v>
          </cell>
          <cell r="D54">
            <v>43115</v>
          </cell>
        </row>
        <row r="55">
          <cell r="A55" t="str">
            <v>WBG-120-002</v>
          </cell>
          <cell r="B55" t="str">
            <v>תעשיה אדומים</v>
          </cell>
          <cell r="C55" t="str">
            <v>תעשיה אדומים ארעית-החלפת מכולה קטנה</v>
          </cell>
          <cell r="D55">
            <v>41210</v>
          </cell>
        </row>
        <row r="56">
          <cell r="A56" t="str">
            <v>WBM-00863</v>
          </cell>
          <cell r="B56" t="str">
            <v>תעשיה אדומים</v>
          </cell>
          <cell r="C56" t="str">
            <v>תעשיה אדומים-בוטל-התקנת 3 סלילי כיבוי</v>
          </cell>
          <cell r="D56">
            <v>41828</v>
          </cell>
        </row>
        <row r="57">
          <cell r="A57" t="str">
            <v>WBM-00273</v>
          </cell>
          <cell r="B57" t="str">
            <v>תעשיה אדומים</v>
          </cell>
          <cell r="C57" t="str">
            <v>תעשיה אדומים- בוטל-התקנת 3 ס"ק 5*1</v>
          </cell>
          <cell r="D57">
            <v>41249</v>
          </cell>
        </row>
        <row r="58">
          <cell r="A58" t="str">
            <v>WBM-40479-044</v>
          </cell>
          <cell r="B58" t="str">
            <v>תעשיה אדומים</v>
          </cell>
          <cell r="C58" t="str">
            <v>תעשיה אדומים- בוטל- החלפת 2 בקרי טמפ' וגובה שמ</v>
          </cell>
        </row>
        <row r="59">
          <cell r="A59" t="str">
            <v>WBM-00885-126</v>
          </cell>
          <cell r="B59" t="str">
            <v>תעשיה אדומים</v>
          </cell>
          <cell r="C59" t="str">
            <v>מעלה אדומים - בוטל- הסדרת דרישות כבאות</v>
          </cell>
        </row>
        <row r="60">
          <cell r="A60" t="str">
            <v>WBM-10597-010</v>
          </cell>
          <cell r="B60" t="str">
            <v>תעשיה אדומים</v>
          </cell>
          <cell r="C60" t="str">
            <v>תעשיה אדומים- בוטל דמי</v>
          </cell>
        </row>
        <row r="61">
          <cell r="A61" t="str">
            <v>WBM-10597-013</v>
          </cell>
          <cell r="B61" t="str">
            <v>תעשיה אדומים</v>
          </cell>
          <cell r="C61" t="str">
            <v>תעשיה אדומים -משיק ירושלים ד שדה 13- פיילוט יישום תקשורת הגנות בשדה 3</v>
          </cell>
          <cell r="D61">
            <v>46181</v>
          </cell>
        </row>
        <row r="62">
          <cell r="A62" t="str">
            <v>WBE-278</v>
          </cell>
          <cell r="B62" t="str">
            <v>תעשיה אדומים</v>
          </cell>
          <cell r="C62" t="str">
            <v>תעשיה אדומים-משיק ל-wbn-103-הוספת שני שדות מעגלים 161 ק"ו</v>
          </cell>
          <cell r="D62">
            <v>47483</v>
          </cell>
        </row>
        <row r="63">
          <cell r="A63" t="str">
            <v>WBM-60204</v>
          </cell>
          <cell r="B63" t="str">
            <v>תעשיה אדומים</v>
          </cell>
          <cell r="C63" t="str">
            <v>תעשיה אדומים- עיגון שנאים</v>
          </cell>
          <cell r="D63">
            <v>46386</v>
          </cell>
        </row>
        <row r="64">
          <cell r="A64" t="str">
            <v>WBM-60092-058</v>
          </cell>
          <cell r="B64" t="str">
            <v>תעשיה אדומים</v>
          </cell>
          <cell r="C64" t="str">
            <v>תעשיה אדומים - בדיקות/טיפול/פינוי מכלי אש בגז</v>
          </cell>
          <cell r="D64">
            <v>46062</v>
          </cell>
        </row>
        <row r="65">
          <cell r="A65" t="str">
            <v>WBC-117</v>
          </cell>
          <cell r="B65" t="str">
            <v>תנובות (שער אפריים)</v>
          </cell>
          <cell r="C65" t="str">
            <v>תנובות - הקמת תחמ"ש חיצונית 161/24 ק"ו</v>
          </cell>
          <cell r="D65">
            <v>44654</v>
          </cell>
        </row>
        <row r="66">
          <cell r="A66" t="str">
            <v>WBE-123</v>
          </cell>
          <cell r="B66" t="str">
            <v>תנובות (שער אפריים)</v>
          </cell>
          <cell r="C66" t="str">
            <v>תנובות-התקנת שנאי רביעי -524-50 מגוו"א</v>
          </cell>
          <cell r="D66">
            <v>44654</v>
          </cell>
        </row>
        <row r="67">
          <cell r="A67" t="str">
            <v>WBE-136</v>
          </cell>
          <cell r="B67" t="str">
            <v>תנובות (שער אפריים)</v>
          </cell>
          <cell r="C67" t="str">
            <v>תנובות -מוקפא הוספת שנאי 5, מסדר אפסומ"ג</v>
          </cell>
          <cell r="D67">
            <v>44203</v>
          </cell>
        </row>
        <row r="68">
          <cell r="A68" t="str">
            <v>WBM-00720</v>
          </cell>
          <cell r="B68" t="str">
            <v>תנובות (שער אפריים)</v>
          </cell>
          <cell r="C68" t="str">
            <v>תנובות -התקנת 4 ס"ק 5*2 מגווא"ר כ"א</v>
          </cell>
          <cell r="D68">
            <v>47118</v>
          </cell>
        </row>
        <row r="69">
          <cell r="A69" t="str">
            <v>WBM-00885-102</v>
          </cell>
          <cell r="B69" t="str">
            <v>תנובות (שער אפריים)</v>
          </cell>
          <cell r="C69" t="str">
            <v>תנובות - שדרוג מערכת המים לכיבוי אש</v>
          </cell>
          <cell r="D69">
            <v>46196</v>
          </cell>
        </row>
        <row r="70">
          <cell r="A70" t="str">
            <v>WBM-40521-013</v>
          </cell>
          <cell r="B70" t="str">
            <v>תנובות (שער אפריים)</v>
          </cell>
          <cell r="C70" t="str">
            <v>תנובות - החלפת 4 שנאי הארקה</v>
          </cell>
          <cell r="D70">
            <v>46721</v>
          </cell>
        </row>
        <row r="71">
          <cell r="A71" t="str">
            <v>WBM-10597-004</v>
          </cell>
          <cell r="B71" t="str">
            <v>תנובות (שער אפריים)</v>
          </cell>
          <cell r="C71" t="str">
            <v>תנובות - משיק אייל שדה 3, פיילוט יישום תקשורת הגנות בשדה 3</v>
          </cell>
          <cell r="D71">
            <v>46181</v>
          </cell>
        </row>
        <row r="72">
          <cell r="A72" t="str">
            <v>HIS-044</v>
          </cell>
          <cell r="B72" t="str">
            <v>תמנע</v>
          </cell>
          <cell r="C72" t="str">
            <v>תמנע</v>
          </cell>
          <cell r="D72">
            <v>40908</v>
          </cell>
        </row>
        <row r="73">
          <cell r="A73" t="str">
            <v>WBE-200</v>
          </cell>
          <cell r="B73" t="str">
            <v>תמנע</v>
          </cell>
          <cell r="C73" t="str">
            <v>תמנע-הוספת שנאי שני 50 מגוו"א</v>
          </cell>
          <cell r="D73">
            <v>46691</v>
          </cell>
        </row>
        <row r="74">
          <cell r="A74" t="str">
            <v>WBE-125</v>
          </cell>
          <cell r="B74" t="str">
            <v>תמנע</v>
          </cell>
          <cell r="C74" t="str">
            <v>תמנע-רב-שלבי,שדרוג מסדר 161 ק"ו מע' עזר</v>
          </cell>
          <cell r="D74">
            <v>46690</v>
          </cell>
        </row>
        <row r="75">
          <cell r="A75" t="str">
            <v>WBE-125-ST2</v>
          </cell>
          <cell r="B75" t="str">
            <v>תמנע</v>
          </cell>
          <cell r="C75" t="str">
            <v>תמנע-שלב 2-שדרוג מסדר 161 ק"ו מע' עזר ומ</v>
          </cell>
          <cell r="D75">
            <v>46690</v>
          </cell>
        </row>
        <row r="76">
          <cell r="A76" t="str">
            <v>WBE-125-ST1</v>
          </cell>
          <cell r="B76" t="str">
            <v>תמנע</v>
          </cell>
          <cell r="C76" t="str">
            <v>תמנע-שלב 1-שדרוג מסדר 161 ק"ו מע' עזר ומ</v>
          </cell>
          <cell r="D76">
            <v>46538</v>
          </cell>
        </row>
        <row r="77">
          <cell r="A77" t="str">
            <v>0287871</v>
          </cell>
          <cell r="B77" t="str">
            <v>תמנע</v>
          </cell>
          <cell r="C77" t="str">
            <v>תמנע-שלב 2-בוטל-שדרוג מסדר 161 ק"ו מע'</v>
          </cell>
        </row>
        <row r="78">
          <cell r="A78" t="str">
            <v>WBE-045</v>
          </cell>
          <cell r="B78" t="str">
            <v>תמנע</v>
          </cell>
          <cell r="C78" t="str">
            <v>תמנע-מוקפא-התקנת שנאי שני 33 מגוו"א</v>
          </cell>
          <cell r="D78">
            <v>36676</v>
          </cell>
        </row>
        <row r="79">
          <cell r="A79" t="str">
            <v>WDB-04COM41</v>
          </cell>
          <cell r="B79" t="str">
            <v>תמנע</v>
          </cell>
          <cell r="C79" t="str">
            <v>תמנע-הנחת כבל אופטי מכיוון נחל שחורת קב.</v>
          </cell>
          <cell r="D79">
            <v>44742</v>
          </cell>
        </row>
        <row r="80">
          <cell r="A80" t="str">
            <v>WDB-04COM42</v>
          </cell>
          <cell r="B80" t="str">
            <v>תמנע</v>
          </cell>
          <cell r="C80" t="str">
            <v>תמנע-הנחת כבל סיב אופטי מכיוון יוטבתה</v>
          </cell>
          <cell r="D80">
            <v>43156</v>
          </cell>
        </row>
        <row r="81">
          <cell r="A81" t="str">
            <v>WBM-70015</v>
          </cell>
          <cell r="B81" t="str">
            <v>תמנע</v>
          </cell>
          <cell r="C81" t="str">
            <v>תמנע-בוטל- התאמת שדות 6 ו 10, פ"צ ומקשר</v>
          </cell>
          <cell r="D81">
            <v>43865</v>
          </cell>
        </row>
        <row r="82">
          <cell r="A82" t="str">
            <v>WBM-70016</v>
          </cell>
          <cell r="B82" t="str">
            <v>תמנע</v>
          </cell>
          <cell r="C82" t="str">
            <v>תמנע -שדה 10 משנק - בוטל (שולב ב 70015)</v>
          </cell>
          <cell r="D82">
            <v>36164</v>
          </cell>
        </row>
        <row r="83">
          <cell r="A83" t="str">
            <v>WBM-40217</v>
          </cell>
          <cell r="B83" t="str">
            <v>תמנע</v>
          </cell>
          <cell r="C83" t="str">
            <v>תמנע-בוטל - החל' ציוד מ"ג מש"מ פ"צ והגנות</v>
          </cell>
          <cell r="D83">
            <v>43861</v>
          </cell>
        </row>
        <row r="84">
          <cell r="A84" t="str">
            <v>WBM-00636</v>
          </cell>
          <cell r="B84" t="str">
            <v>תמנע</v>
          </cell>
          <cell r="C84" t="str">
            <v>תמנע-הזנת תאורת חירום ז"י.</v>
          </cell>
          <cell r="D84">
            <v>46749</v>
          </cell>
        </row>
        <row r="85">
          <cell r="A85" t="str">
            <v>WBM-60055</v>
          </cell>
          <cell r="B85" t="str">
            <v>תמנע</v>
          </cell>
          <cell r="C85" t="str">
            <v>תמנע - עיגון ארונות פיקוד ושנאים</v>
          </cell>
          <cell r="D85">
            <v>45973</v>
          </cell>
        </row>
        <row r="86">
          <cell r="A86" t="str">
            <v>WBM-00639</v>
          </cell>
          <cell r="B86" t="str">
            <v>תמנע</v>
          </cell>
          <cell r="C86" t="str">
            <v>תמנע-בוטל-החלפת 3 מג.ברק 132 ק"ו ישנים(531).</v>
          </cell>
          <cell r="D86">
            <v>43861</v>
          </cell>
        </row>
        <row r="87">
          <cell r="A87" t="str">
            <v>WBM-00147</v>
          </cell>
          <cell r="B87" t="str">
            <v>תמנע</v>
          </cell>
          <cell r="C87" t="str">
            <v>תמנע – שדרוג מערך כיבוי אש במים</v>
          </cell>
          <cell r="D87">
            <v>46476</v>
          </cell>
        </row>
        <row r="88">
          <cell r="A88" t="str">
            <v>0243454</v>
          </cell>
          <cell r="B88" t="str">
            <v>תמנע</v>
          </cell>
          <cell r="C88" t="str">
            <v>תמנע-בוטל -  החל' ציוד בשד' 5</v>
          </cell>
        </row>
        <row r="89">
          <cell r="A89" t="str">
            <v>WBM-40218</v>
          </cell>
          <cell r="B89" t="str">
            <v>תמנע</v>
          </cell>
          <cell r="C89" t="str">
            <v>תמנע-בוטל - החל' מנתקים בשדות 6, 7-8, 10,11</v>
          </cell>
          <cell r="D89">
            <v>43861</v>
          </cell>
        </row>
        <row r="90">
          <cell r="A90" t="str">
            <v>WBM-10024</v>
          </cell>
          <cell r="B90" t="str">
            <v>תמנע</v>
          </cell>
          <cell r="C90" t="str">
            <v>תמנע -התקנת רושם הפרעות 161 ק"ו</v>
          </cell>
          <cell r="D90">
            <v>46418</v>
          </cell>
        </row>
        <row r="91">
          <cell r="A91" t="str">
            <v>WBM-00635</v>
          </cell>
          <cell r="B91" t="str">
            <v>תמנע</v>
          </cell>
          <cell r="C91" t="str">
            <v>תמנע-התקנת 2 הגנות פ"צ 161 והשלמת פ"צ</v>
          </cell>
          <cell r="D91">
            <v>46660</v>
          </cell>
        </row>
        <row r="92">
          <cell r="A92" t="str">
            <v>WBM-10151</v>
          </cell>
          <cell r="B92" t="str">
            <v>תמנע</v>
          </cell>
          <cell r="C92" t="str">
            <v>תמנע - התקנת מתמרים ב-1 פ"צ</v>
          </cell>
          <cell r="D92">
            <v>46660</v>
          </cell>
        </row>
        <row r="93">
          <cell r="A93" t="str">
            <v>WBM-00637</v>
          </cell>
          <cell r="B93" t="str">
            <v>תמנע</v>
          </cell>
          <cell r="C93" t="str">
            <v>תמנע-התקנת תקשורת מנהלתית.</v>
          </cell>
          <cell r="D93">
            <v>44609</v>
          </cell>
        </row>
        <row r="94">
          <cell r="A94" t="str">
            <v>WBM-50002</v>
          </cell>
          <cell r="B94" t="str">
            <v>תמנע</v>
          </cell>
          <cell r="C94" t="str">
            <v>תמנע-הוס' הגנה הפרשית ויישום 2 ד תק (ש6)</v>
          </cell>
          <cell r="D94">
            <v>44216</v>
          </cell>
        </row>
        <row r="95">
          <cell r="A95" t="str">
            <v>WBM-01026</v>
          </cell>
          <cell r="B95" t="str">
            <v>תמנע</v>
          </cell>
          <cell r="C95" t="str">
            <v>תמנע-התקנת קשר בין הגנות מרחק ליוטבתה</v>
          </cell>
          <cell r="D95">
            <v>44216</v>
          </cell>
        </row>
        <row r="96">
          <cell r="A96" t="str">
            <v>WBM-10037</v>
          </cell>
          <cell r="B96" t="str">
            <v>תמנע</v>
          </cell>
          <cell r="C96" t="str">
            <v>תמנע - החלפת שרשראות מבודדים</v>
          </cell>
          <cell r="D96">
            <v>43556</v>
          </cell>
        </row>
        <row r="97">
          <cell r="A97" t="str">
            <v>WBG-119-024</v>
          </cell>
          <cell r="B97" t="str">
            <v>תמנע</v>
          </cell>
          <cell r="C97" t="str">
            <v>תמנע-החלפת הגנות צד161 ק"ו להגנות חדשות</v>
          </cell>
          <cell r="D97">
            <v>41942</v>
          </cell>
        </row>
        <row r="98">
          <cell r="A98" t="str">
            <v>WBG-119-021</v>
          </cell>
          <cell r="B98" t="str">
            <v>תמנע</v>
          </cell>
          <cell r="C98" t="str">
            <v>תמנע-החלפת מערכת גילוי וכיבוי אש</v>
          </cell>
          <cell r="D98">
            <v>41175</v>
          </cell>
        </row>
        <row r="99">
          <cell r="A99" t="str">
            <v>WBM-01253</v>
          </cell>
          <cell r="B99" t="str">
            <v>תמנע</v>
          </cell>
          <cell r="C99" t="str">
            <v>תמנע - בוטל -התקנת מאצרת שמן קבועה לשנאי</v>
          </cell>
          <cell r="D99">
            <v>44712</v>
          </cell>
        </row>
        <row r="100">
          <cell r="A100" t="str">
            <v>WBM-60019</v>
          </cell>
          <cell r="B100" t="str">
            <v>תמנע</v>
          </cell>
          <cell r="C100" t="str">
            <v>תמנע - בוטל-בניית תשתית לאיסוף שפכים</v>
          </cell>
          <cell r="D100">
            <v>43788</v>
          </cell>
        </row>
        <row r="101">
          <cell r="A101" t="str">
            <v>WBM-01114</v>
          </cell>
          <cell r="B101" t="str">
            <v>תמנע</v>
          </cell>
          <cell r="C101" t="str">
            <v>תמנע-בוטל - התקנת מאצרת שמן זמנית לשנאי</v>
          </cell>
          <cell r="D101">
            <v>42684</v>
          </cell>
        </row>
        <row r="102">
          <cell r="A102">
            <v>535323</v>
          </cell>
          <cell r="B102" t="str">
            <v>תמנע</v>
          </cell>
          <cell r="C102" t="str">
            <v>תמנע-בוטל-שדרוג מערכת התראה ביטחונית</v>
          </cell>
          <cell r="D102">
            <v>39963</v>
          </cell>
        </row>
        <row r="103">
          <cell r="A103">
            <v>535330</v>
          </cell>
          <cell r="B103" t="str">
            <v>תמנע</v>
          </cell>
          <cell r="C103" t="str">
            <v>תמנע-הקמת רשת מחשבים תפעולית</v>
          </cell>
          <cell r="D103">
            <v>40907</v>
          </cell>
        </row>
        <row r="104">
          <cell r="A104" t="str">
            <v>WBM-00339</v>
          </cell>
          <cell r="B104" t="str">
            <v>תמנע</v>
          </cell>
          <cell r="C104" t="str">
            <v>תמנע-בוטל-התקנת ארון ז"י 48 וולט</v>
          </cell>
          <cell r="D104">
            <v>39808</v>
          </cell>
        </row>
        <row r="105">
          <cell r="A105">
            <v>535338</v>
          </cell>
          <cell r="B105" t="str">
            <v>תמנע</v>
          </cell>
          <cell r="C105" t="str">
            <v>תמנע-בוטל-התקנת מאווררים בארונות פיקוד</v>
          </cell>
          <cell r="D105">
            <v>40311</v>
          </cell>
        </row>
        <row r="106">
          <cell r="A106" t="str">
            <v>WBM-00638</v>
          </cell>
          <cell r="B106" t="str">
            <v>תמנע</v>
          </cell>
          <cell r="C106" t="str">
            <v>תמנע-בוטל- החלפת הגנות לסוללת קבלים 161</v>
          </cell>
          <cell r="D106">
            <v>40283</v>
          </cell>
        </row>
        <row r="107">
          <cell r="A107" t="str">
            <v>WBE-161</v>
          </cell>
          <cell r="B107" t="str">
            <v>תמנע</v>
          </cell>
          <cell r="C107" t="str">
            <v>תמנע - בוטל - מאצרת שמן ותשתית ביוב</v>
          </cell>
          <cell r="D107">
            <v>44538</v>
          </cell>
        </row>
        <row r="108">
          <cell r="A108" t="str">
            <v>WBM-00272</v>
          </cell>
          <cell r="B108" t="str">
            <v>תמנע</v>
          </cell>
          <cell r="C108" t="str">
            <v>תמנע-בוטל-הוספת 3 יחידות ראקטורים</v>
          </cell>
          <cell r="D108">
            <v>41249</v>
          </cell>
        </row>
        <row r="109">
          <cell r="A109">
            <v>212745</v>
          </cell>
          <cell r="B109" t="str">
            <v>תמנע</v>
          </cell>
          <cell r="C109" t="str">
            <v>תמנע-התקנת ס.כיבוי 36 ק"ו, 531,532</v>
          </cell>
          <cell r="D109">
            <v>41828</v>
          </cell>
        </row>
        <row r="110">
          <cell r="A110" t="str">
            <v>WBM-10463</v>
          </cell>
          <cell r="B110" t="str">
            <v>תמנע</v>
          </cell>
          <cell r="C110" t="str">
            <v>תמנע -משיק לנחל שחורת שדה  9, התקנת הגנה דיפרנציאלית בשדה 10</v>
          </cell>
          <cell r="D110">
            <v>46326</v>
          </cell>
        </row>
        <row r="111">
          <cell r="A111" t="str">
            <v>WBE-266</v>
          </cell>
          <cell r="B111" t="str">
            <v>תמנע</v>
          </cell>
          <cell r="C111" t="str">
            <v>תמנע- בוטל - מתקן אגירת אנרגיה בסוללות</v>
          </cell>
          <cell r="D111">
            <v>45336</v>
          </cell>
        </row>
        <row r="112">
          <cell r="A112" t="str">
            <v>WBM-60008-019</v>
          </cell>
          <cell r="B112" t="str">
            <v>תמנע</v>
          </cell>
          <cell r="C112" t="str">
            <v>תמנע - התקנת מערכת מיגון בתחמ"ש</v>
          </cell>
          <cell r="D112">
            <v>46752</v>
          </cell>
        </row>
        <row r="113">
          <cell r="A113" t="str">
            <v>WBM-60088-040</v>
          </cell>
          <cell r="B113" t="str">
            <v>תמנע</v>
          </cell>
          <cell r="C113" t="str">
            <v>תמנע - בוטל- התקנת תשתית ביוב</v>
          </cell>
        </row>
        <row r="114">
          <cell r="A114" t="str">
            <v>WBM-60092-057</v>
          </cell>
          <cell r="B114" t="str">
            <v>תמנע</v>
          </cell>
          <cell r="C114" t="str">
            <v>תמנע - בדיקות/טיפול/פינוי מכלי אש בגז</v>
          </cell>
          <cell r="D114">
            <v>46387</v>
          </cell>
        </row>
        <row r="115">
          <cell r="A115" t="str">
            <v>WBM-00350-072</v>
          </cell>
          <cell r="B115" t="str">
            <v>תמנע</v>
          </cell>
          <cell r="C115" t="str">
            <v>תמנע - שיפוץ שנאי עקב תקלה</v>
          </cell>
          <cell r="D115">
            <v>46387</v>
          </cell>
        </row>
        <row r="116">
          <cell r="A116" t="str">
            <v>WBC-126</v>
          </cell>
          <cell r="B116" t="str">
            <v>תמל 3006</v>
          </cell>
          <cell r="C116" t="str">
            <v>תמל 3006 -הקמת תחנת משנה פנימית 161/24 ק"ו</v>
          </cell>
          <cell r="D116">
            <v>49247</v>
          </cell>
        </row>
        <row r="117">
          <cell r="A117" t="str">
            <v>WBD-064-ST2</v>
          </cell>
          <cell r="B117" t="str">
            <v>תל שוקת ניידת</v>
          </cell>
          <cell r="C117" t="str">
            <v>תל שוקת ניידת-פירוק תחמ"ש ניידת</v>
          </cell>
          <cell r="D117">
            <v>46476</v>
          </cell>
        </row>
        <row r="118">
          <cell r="A118" t="str">
            <v>WBD-064</v>
          </cell>
          <cell r="B118" t="str">
            <v>תל שוקת ניידת</v>
          </cell>
          <cell r="C118" t="str">
            <v>תל שוקת ניידת-הצבת ניידת 161/24 ק"ו</v>
          </cell>
          <cell r="D118">
            <v>42769</v>
          </cell>
        </row>
        <row r="119">
          <cell r="A119" t="str">
            <v>WBM-01080</v>
          </cell>
          <cell r="B119" t="str">
            <v>תל שוקת ניידת</v>
          </cell>
          <cell r="C119" t="str">
            <v>תל שוקת ניידת-בוטל-שיפוץ ניידת</v>
          </cell>
          <cell r="D119">
            <v>42625</v>
          </cell>
        </row>
        <row r="120">
          <cell r="A120" t="str">
            <v>WBM-10147</v>
          </cell>
          <cell r="B120" t="str">
            <v>תל שוקת ניידת</v>
          </cell>
          <cell r="C120" t="str">
            <v>תל שוקת ניידת - התקנת מתמרים ב-1 פ"צ</v>
          </cell>
          <cell r="D120">
            <v>46386</v>
          </cell>
        </row>
        <row r="121">
          <cell r="A121" t="str">
            <v>WBM-10282</v>
          </cell>
          <cell r="B121" t="str">
            <v>תל שוקת ניידת</v>
          </cell>
          <cell r="C121" t="str">
            <v>תל שוקת ניידת-בוטל- התא' תייל' WBO-483</v>
          </cell>
          <cell r="D121">
            <v>44592</v>
          </cell>
        </row>
        <row r="122">
          <cell r="A122" t="str">
            <v>WBM-60116-017</v>
          </cell>
          <cell r="B122" t="str">
            <v>תל שוקת ניידת</v>
          </cell>
          <cell r="C122" t="str">
            <v>ניידת תל שוקת - שידרוג גלאים בתחנות משנה</v>
          </cell>
          <cell r="D122">
            <v>46538</v>
          </cell>
        </row>
        <row r="123">
          <cell r="A123" t="str">
            <v>WBM-60116-062</v>
          </cell>
          <cell r="B123" t="str">
            <v>תל שוקת ניידת</v>
          </cell>
          <cell r="C123" t="str">
            <v>תל שוקת - מערכת גילוי וכיבוי אש אוטומטית CERBERUS</v>
          </cell>
          <cell r="D123">
            <v>46752</v>
          </cell>
        </row>
        <row r="124">
          <cell r="A124" t="str">
            <v>WBC-078</v>
          </cell>
          <cell r="B124" t="str">
            <v>תל השומר</v>
          </cell>
          <cell r="C124" t="str">
            <v>תל השומר- הקמת תחמ"ש פנימית 161/24 ק"ו</v>
          </cell>
          <cell r="D124">
            <v>46538</v>
          </cell>
        </row>
        <row r="125">
          <cell r="A125" t="str">
            <v>HIS-042</v>
          </cell>
          <cell r="B125" t="str">
            <v>תל גיבורים</v>
          </cell>
          <cell r="C125" t="str">
            <v>תל גיבורים</v>
          </cell>
          <cell r="D125">
            <v>40908</v>
          </cell>
        </row>
        <row r="126">
          <cell r="A126" t="str">
            <v>WDA-1-PA15</v>
          </cell>
          <cell r="B126" t="str">
            <v>תל גיבורים</v>
          </cell>
          <cell r="C126" t="str">
            <v>תל גיבורים-בוטל-התקנת ציוד תקשורת DPLC</v>
          </cell>
          <cell r="D126">
            <v>41337</v>
          </cell>
        </row>
        <row r="127">
          <cell r="A127" t="str">
            <v>WDA-1</v>
          </cell>
          <cell r="B127" t="str">
            <v>תל גיבורים</v>
          </cell>
          <cell r="C127" t="str">
            <v>תל גיבורים-החלפה של יחידת קצה של פ"א</v>
          </cell>
          <cell r="D127">
            <v>41274</v>
          </cell>
        </row>
        <row r="128">
          <cell r="A128" t="str">
            <v>WBM-40335</v>
          </cell>
          <cell r="B128" t="str">
            <v>תל גיבורים</v>
          </cell>
          <cell r="C128" t="str">
            <v>תל גיבורים-התאמת שדות 3,9 ליכולת 1600 א'</v>
          </cell>
          <cell r="D128">
            <v>47118</v>
          </cell>
        </row>
        <row r="129">
          <cell r="A129" t="str">
            <v>WBG-118-023</v>
          </cell>
          <cell r="B129" t="str">
            <v>תל גיבורים</v>
          </cell>
          <cell r="C129" t="str">
            <v>תל גיבורים-החלפת מפס"ז ומש"ז בשדות 4,10</v>
          </cell>
          <cell r="D129">
            <v>40353</v>
          </cell>
        </row>
        <row r="130">
          <cell r="A130">
            <v>542239</v>
          </cell>
          <cell r="B130" t="str">
            <v>תל גיבורים</v>
          </cell>
          <cell r="C130" t="str">
            <v>תל גיבורים-בוטל-התקנת מאווררים באר.פיקוד</v>
          </cell>
          <cell r="D130">
            <v>40311</v>
          </cell>
        </row>
        <row r="131">
          <cell r="A131" t="str">
            <v>WBM-00632</v>
          </cell>
          <cell r="B131" t="str">
            <v>תל גיבורים</v>
          </cell>
          <cell r="C131" t="str">
            <v>תל גיבורים-בוטל-הקמת גדר שקופה</v>
          </cell>
          <cell r="D131">
            <v>41249</v>
          </cell>
        </row>
        <row r="132">
          <cell r="A132" t="str">
            <v>WBM-00146</v>
          </cell>
          <cell r="B132" t="str">
            <v>תל גיבורים</v>
          </cell>
          <cell r="C132" t="str">
            <v>תל גיבורים- החלפת הגנות לה' דיפרנציאליות</v>
          </cell>
          <cell r="D132">
            <v>42442</v>
          </cell>
        </row>
        <row r="133">
          <cell r="A133" t="str">
            <v>WBM-01165</v>
          </cell>
          <cell r="B133" t="str">
            <v>תל גיבורים</v>
          </cell>
          <cell r="C133" t="str">
            <v>תל גיבורים-בוטלהוספת פיקוד מרחוק לש.האר.</v>
          </cell>
          <cell r="D133">
            <v>42871</v>
          </cell>
        </row>
        <row r="134">
          <cell r="A134" t="str">
            <v>WBM-01061</v>
          </cell>
          <cell r="B134" t="str">
            <v>תל גיבורים</v>
          </cell>
          <cell r="C134" t="str">
            <v>תל גיבורים-בוטל-תוספת/עדכון של 20 התראו</v>
          </cell>
          <cell r="D134">
            <v>40714</v>
          </cell>
        </row>
        <row r="135">
          <cell r="A135" t="str">
            <v>WBM-01424</v>
          </cell>
          <cell r="B135" t="str">
            <v>תל גיבורים</v>
          </cell>
          <cell r="C135" t="str">
            <v>תל גיבורים- יישום בממסרים בזרם שדות 3,9</v>
          </cell>
          <cell r="D135">
            <v>43565</v>
          </cell>
        </row>
        <row r="136">
          <cell r="A136" t="str">
            <v>WBM-00828</v>
          </cell>
          <cell r="B136" t="str">
            <v>תל גיבורים</v>
          </cell>
          <cell r="C136" t="str">
            <v>תל גיבורים - התקנת מערכת טמ"ס</v>
          </cell>
          <cell r="D136">
            <v>42824</v>
          </cell>
        </row>
        <row r="137">
          <cell r="A137">
            <v>542247</v>
          </cell>
          <cell r="B137" t="str">
            <v>תל גיבורים</v>
          </cell>
          <cell r="C137" t="str">
            <v>תל גיבורים- שידרוג מע' אזעקה</v>
          </cell>
          <cell r="D137">
            <v>41379</v>
          </cell>
        </row>
        <row r="138">
          <cell r="A138">
            <v>542229</v>
          </cell>
          <cell r="B138" t="str">
            <v>תל גיבורים</v>
          </cell>
          <cell r="C138" t="str">
            <v>תל גיבורים-בוטל-החלפת רכזת התראה בטחונית</v>
          </cell>
          <cell r="D138">
            <v>39659</v>
          </cell>
        </row>
        <row r="139">
          <cell r="A139" t="str">
            <v>WBM-01262</v>
          </cell>
          <cell r="B139" t="str">
            <v>תל גיבורים</v>
          </cell>
          <cell r="C139" t="str">
            <v>תל גיבורים -התקנת ארונות הגנה למסדרי מ"ג</v>
          </cell>
          <cell r="D139">
            <v>43311</v>
          </cell>
        </row>
        <row r="140">
          <cell r="A140" t="str">
            <v>WBM-40145</v>
          </cell>
          <cell r="B140" t="str">
            <v>תל גיבורים</v>
          </cell>
          <cell r="C140" t="str">
            <v>תל גיבורים-החלפת רושם הפרעות</v>
          </cell>
          <cell r="D140">
            <v>46598</v>
          </cell>
        </row>
        <row r="141">
          <cell r="A141" t="str">
            <v>WBM-40144</v>
          </cell>
          <cell r="B141" t="str">
            <v>תל גיבורים</v>
          </cell>
          <cell r="C141" t="str">
            <v>תל גיבורים -ציוד בשד' 3,4,6,7,9,10,12</v>
          </cell>
          <cell r="D141">
            <v>46477</v>
          </cell>
        </row>
        <row r="142">
          <cell r="A142" t="str">
            <v>WBM-40135</v>
          </cell>
          <cell r="B142" t="str">
            <v>תל גיבורים</v>
          </cell>
          <cell r="C142" t="str">
            <v>תל גיבורים -החלפת מ"ב ב-3 שנאים</v>
          </cell>
          <cell r="D142">
            <v>46418</v>
          </cell>
        </row>
        <row r="143">
          <cell r="A143" t="str">
            <v>WBM-01187</v>
          </cell>
          <cell r="B143" t="str">
            <v>תל גיבורים</v>
          </cell>
          <cell r="C143" t="str">
            <v>תל גיבורים - החלפת 4 מסדרי מ"ג</v>
          </cell>
          <cell r="D143">
            <v>44346</v>
          </cell>
        </row>
        <row r="144">
          <cell r="A144" t="str">
            <v>WBM-01352</v>
          </cell>
          <cell r="B144" t="str">
            <v>תל גיבורים</v>
          </cell>
          <cell r="C144" t="str">
            <v>תל גיבורים - החלפת רכזת גילוי וכיבוי אש</v>
          </cell>
          <cell r="D144">
            <v>44084</v>
          </cell>
        </row>
        <row r="145">
          <cell r="A145" t="str">
            <v>WBM-00634</v>
          </cell>
          <cell r="B145" t="str">
            <v>תל גיבורים</v>
          </cell>
          <cell r="C145" t="str">
            <v>תל גיבורים-התקנת עמדת כיבוי אש שנייה</v>
          </cell>
          <cell r="D145">
            <v>43922</v>
          </cell>
        </row>
        <row r="146">
          <cell r="A146" t="str">
            <v>WBM-00144</v>
          </cell>
          <cell r="B146" t="str">
            <v>תל גיבורים</v>
          </cell>
          <cell r="C146" t="str">
            <v>תל גיבורים-החלפת 6 מגיני ברק מע(522,524)</v>
          </cell>
          <cell r="D146">
            <v>43677</v>
          </cell>
        </row>
        <row r="147">
          <cell r="A147" t="str">
            <v>WBM-00633</v>
          </cell>
          <cell r="B147" t="str">
            <v>תל גיבורים</v>
          </cell>
          <cell r="C147" t="str">
            <v>תל גיבורים-החלפת מ.ברק מ"ג בשנאים,במ.אפס</v>
          </cell>
          <cell r="D147">
            <v>43629</v>
          </cell>
        </row>
        <row r="148">
          <cell r="A148" t="str">
            <v>WBM-00145</v>
          </cell>
          <cell r="B148" t="str">
            <v>תל גיבורים</v>
          </cell>
          <cell r="C148" t="str">
            <v>תל גיבורים-שידרוג מפסקי זרם מ"ג</v>
          </cell>
          <cell r="D148">
            <v>42830</v>
          </cell>
        </row>
        <row r="149">
          <cell r="A149" t="str">
            <v>WBG-118-021</v>
          </cell>
          <cell r="B149" t="str">
            <v>תל גיבורים</v>
          </cell>
          <cell r="C149" t="str">
            <v>תל גיבורים-החלפת הגנת מרחק בשדה 3</v>
          </cell>
          <cell r="D149">
            <v>41486</v>
          </cell>
        </row>
        <row r="150">
          <cell r="A150" t="str">
            <v>WBG-118-022</v>
          </cell>
          <cell r="B150" t="str">
            <v>תל גיבורים</v>
          </cell>
          <cell r="C150" t="str">
            <v>תל גיבורים-החלפת הגנת מרחק בשדה 9</v>
          </cell>
          <cell r="D150">
            <v>41486</v>
          </cell>
        </row>
        <row r="151">
          <cell r="A151" t="str">
            <v>WBG-118-017</v>
          </cell>
          <cell r="B151" t="str">
            <v>תל גיבורים</v>
          </cell>
          <cell r="C151" t="str">
            <v>תל גיבורים-הקמת רשת מחשבים תפעולית</v>
          </cell>
          <cell r="D151">
            <v>41243</v>
          </cell>
        </row>
        <row r="152">
          <cell r="A152" t="str">
            <v>WBM-60078</v>
          </cell>
          <cell r="B152" t="str">
            <v>תל גיבורים</v>
          </cell>
          <cell r="C152" t="str">
            <v>תל גיבורים- בוטל-מאצרות שמן לשנאים</v>
          </cell>
          <cell r="D152">
            <v>44148</v>
          </cell>
        </row>
        <row r="153">
          <cell r="A153" t="str">
            <v>WBM-30014</v>
          </cell>
          <cell r="B153" t="str">
            <v>תל גיבורים</v>
          </cell>
          <cell r="C153" t="str">
            <v>תל גיבורים-בוטל-גדר אלקטרונית (ביטחון)</v>
          </cell>
          <cell r="D153">
            <v>43830</v>
          </cell>
        </row>
        <row r="154">
          <cell r="A154">
            <v>542213</v>
          </cell>
          <cell r="B154" t="str">
            <v>תל גיבורים</v>
          </cell>
          <cell r="C154" t="str">
            <v>תל גיבורים-התקנת יחידת ממסר מהיר במקשר</v>
          </cell>
          <cell r="D154">
            <v>38168</v>
          </cell>
        </row>
        <row r="155">
          <cell r="A155" t="str">
            <v>WBM-00714</v>
          </cell>
          <cell r="B155" t="str">
            <v>תל גיבורים</v>
          </cell>
          <cell r="C155" t="str">
            <v>תל גיבורים-בווטל-הוספת וסתים לס.כיבוי</v>
          </cell>
          <cell r="D155">
            <v>41249</v>
          </cell>
        </row>
        <row r="156">
          <cell r="A156" t="str">
            <v>WBG-118-020-ST2</v>
          </cell>
          <cell r="B156" t="str">
            <v>תל גיבורים</v>
          </cell>
          <cell r="C156" t="str">
            <v>תל גיבורים-הפרדת אתראת פליטת מימן מצברים</v>
          </cell>
          <cell r="D156">
            <v>40632</v>
          </cell>
        </row>
        <row r="157">
          <cell r="A157" t="str">
            <v>WBM-00934</v>
          </cell>
          <cell r="B157" t="str">
            <v>תל גיבורים</v>
          </cell>
          <cell r="C157" t="str">
            <v>תל גיבורים-שידרוג ציוד הצמדה בשדה 3</v>
          </cell>
          <cell r="D157">
            <v>42732</v>
          </cell>
        </row>
        <row r="158">
          <cell r="A158" t="str">
            <v>WBM-00672</v>
          </cell>
          <cell r="B158" t="str">
            <v>תל גיבורים</v>
          </cell>
          <cell r="C158" t="str">
            <v>תל גיבורים-החלפת הגנת מרחק בשדה 9</v>
          </cell>
          <cell r="D158">
            <v>41608</v>
          </cell>
        </row>
        <row r="159">
          <cell r="A159" t="str">
            <v>WBM-00671</v>
          </cell>
          <cell r="B159" t="str">
            <v>תל גיבורים</v>
          </cell>
          <cell r="C159" t="str">
            <v>תל גיבורים-החלפת הגנת מרחק בשדה 3</v>
          </cell>
          <cell r="D159">
            <v>41606</v>
          </cell>
        </row>
        <row r="160">
          <cell r="A160" t="str">
            <v>WBM-01082-016</v>
          </cell>
          <cell r="B160" t="str">
            <v>תל גיבורים</v>
          </cell>
          <cell r="C160" t="str">
            <v>שפוץ ניידות</v>
          </cell>
          <cell r="D160">
            <v>46387</v>
          </cell>
        </row>
        <row r="161">
          <cell r="A161" t="str">
            <v>WBM-60008-052</v>
          </cell>
          <cell r="B161" t="str">
            <v>תל גיבורים</v>
          </cell>
          <cell r="C161" t="str">
            <v>תל גיבורים -  התקנת מערכת מיגון בתחמ"ש</v>
          </cell>
          <cell r="D161">
            <v>45580</v>
          </cell>
        </row>
        <row r="162">
          <cell r="A162" t="str">
            <v>WBM-60088-017</v>
          </cell>
          <cell r="B162" t="str">
            <v>תל גיבורים</v>
          </cell>
          <cell r="C162" t="str">
            <v>תל גיבורים - מאצרות שמן</v>
          </cell>
          <cell r="D162">
            <v>46387</v>
          </cell>
        </row>
        <row r="163">
          <cell r="A163" t="str">
            <v>WBM-60107-029</v>
          </cell>
          <cell r="B163" t="str">
            <v>תל גיבורים</v>
          </cell>
          <cell r="C163" t="str">
            <v>תל גיבורים - החלפת מנעולים אלק.מגנטיים ב</v>
          </cell>
          <cell r="D163">
            <v>45627</v>
          </cell>
        </row>
        <row r="164">
          <cell r="A164" t="str">
            <v>WBM-60130-062</v>
          </cell>
          <cell r="B164" t="str">
            <v>תל גיבורים</v>
          </cell>
          <cell r="C164" t="str">
            <v>תל גיבורים - התקנת מפסק פטריה להפסקת מערכת החשמל בחירום</v>
          </cell>
          <cell r="D164">
            <v>46568</v>
          </cell>
        </row>
        <row r="165">
          <cell r="A165" t="str">
            <v>WBM-00885-130</v>
          </cell>
          <cell r="B165" t="str">
            <v>תל גיבורים</v>
          </cell>
          <cell r="C165" t="str">
            <v>תל גיבורים - אפיון מים</v>
          </cell>
          <cell r="D165">
            <v>45607</v>
          </cell>
        </row>
        <row r="166">
          <cell r="A166" t="str">
            <v>WBM-00902-002</v>
          </cell>
          <cell r="B166" t="str">
            <v>תל גיבורים</v>
          </cell>
          <cell r="C166" t="str">
            <v>תחמ"ש תל גיבורים- בוטל- לגליזציה</v>
          </cell>
        </row>
        <row r="167">
          <cell r="A167" t="str">
            <v>WBM-40629-009</v>
          </cell>
          <cell r="B167" t="str">
            <v>תל גיבורים</v>
          </cell>
          <cell r="C167" t="str">
            <v>תל גיבורים- החלפת מבדדי 161 ק"ו של שנאי הספק</v>
          </cell>
          <cell r="D167">
            <v>45728</v>
          </cell>
        </row>
        <row r="168">
          <cell r="A168" t="str">
            <v>WBM-10315-084</v>
          </cell>
          <cell r="B168" t="str">
            <v>תל גיבורים</v>
          </cell>
          <cell r="C168" t="str">
            <v>תל גיבורים- התקנת מזגנים</v>
          </cell>
          <cell r="D168">
            <v>45900</v>
          </cell>
        </row>
        <row r="169">
          <cell r="A169" t="str">
            <v>WBM-40637-013</v>
          </cell>
          <cell r="B169" t="str">
            <v>תל גיבורים</v>
          </cell>
          <cell r="C169" t="str">
            <v>תל גיבורים-החלפת רושמי הפרעות קיימים מדגם IDM-T3 לרושמים חדשים מדגם IDM+</v>
          </cell>
          <cell r="D169">
            <v>46477</v>
          </cell>
        </row>
        <row r="170">
          <cell r="A170" t="str">
            <v>HIS-041</v>
          </cell>
          <cell r="B170" t="str">
            <v>תל אור</v>
          </cell>
          <cell r="C170" t="str">
            <v>תל אור</v>
          </cell>
          <cell r="D170">
            <v>40908</v>
          </cell>
        </row>
        <row r="171">
          <cell r="A171" t="str">
            <v>WBE-245</v>
          </cell>
          <cell r="B171" t="str">
            <v>תל אור</v>
          </cell>
          <cell r="C171" t="str">
            <v>תל אור-הקמת 2 שדות קו 161 ק"ו חדשים יכולת 2800 א' (מקשר 2500 א')</v>
          </cell>
          <cell r="D171">
            <v>47483</v>
          </cell>
        </row>
        <row r="172">
          <cell r="A172" t="str">
            <v>WBE-225</v>
          </cell>
          <cell r="B172" t="str">
            <v>תל אור</v>
          </cell>
          <cell r="C172" t="str">
            <v>תל אור-התקנת שנאי שלישי 161/24 ק"ו , 50 מגוו"א וסוללת קבלים</v>
          </cell>
          <cell r="D172">
            <v>47118</v>
          </cell>
        </row>
        <row r="173">
          <cell r="A173" t="str">
            <v>WDA-1-PA07</v>
          </cell>
          <cell r="B173" t="str">
            <v>תל אור</v>
          </cell>
          <cell r="C173" t="str">
            <v>תל אור-החלפה של יחידת קצה של פיקוח ארצי</v>
          </cell>
          <cell r="D173">
            <v>41942</v>
          </cell>
        </row>
        <row r="174">
          <cell r="A174" t="str">
            <v>WBM-40331</v>
          </cell>
          <cell r="B174" t="str">
            <v>תל אור</v>
          </cell>
          <cell r="C174" t="str">
            <v>תל אור-התאמה שדה 9 ליכולת 2000 א'</v>
          </cell>
          <cell r="D174">
            <v>47118</v>
          </cell>
        </row>
        <row r="175">
          <cell r="A175" t="str">
            <v>WBM-40318</v>
          </cell>
          <cell r="B175" t="str">
            <v>תל אור</v>
          </cell>
          <cell r="C175" t="str">
            <v>תל אור - התאמת שדה 7 ליכולת מינימלית של 1440 א'.</v>
          </cell>
          <cell r="D175">
            <v>46387</v>
          </cell>
        </row>
        <row r="176">
          <cell r="A176" t="str">
            <v>WBM-00297</v>
          </cell>
          <cell r="B176" t="str">
            <v>תל אור</v>
          </cell>
          <cell r="C176" t="str">
            <v>תל אור-החלפת 2 סלילי כיבוי ל-150 א</v>
          </cell>
          <cell r="D176">
            <v>46752</v>
          </cell>
        </row>
        <row r="177">
          <cell r="A177" t="str">
            <v>WBM-01157</v>
          </cell>
          <cell r="B177" t="str">
            <v>תל אור</v>
          </cell>
          <cell r="C177" t="str">
            <v>תל אור-בוטל-הוספת פקוד מרחוק לשנאי הארקה</v>
          </cell>
          <cell r="D177">
            <v>42815</v>
          </cell>
        </row>
        <row r="178">
          <cell r="A178" t="str">
            <v>WBM-00628</v>
          </cell>
          <cell r="B178" t="str">
            <v>תל אור</v>
          </cell>
          <cell r="C178" t="str">
            <v>תל אור-הזנת תאורת חירום ז"י.</v>
          </cell>
          <cell r="D178">
            <v>46202</v>
          </cell>
        </row>
        <row r="179">
          <cell r="A179" t="str">
            <v>WBM-40024</v>
          </cell>
          <cell r="B179" t="str">
            <v>תל אור</v>
          </cell>
          <cell r="C179" t="str">
            <v>תל אור - החלפת 19 הגנות מ"ג</v>
          </cell>
          <cell r="D179">
            <v>46751</v>
          </cell>
        </row>
        <row r="180">
          <cell r="A180" t="str">
            <v>WBM-40019</v>
          </cell>
          <cell r="B180" t="str">
            <v>תל אור</v>
          </cell>
          <cell r="C180" t="str">
            <v>תל אור - החלפת ציוד בשדות 1,2,7,10</v>
          </cell>
          <cell r="D180">
            <v>46752</v>
          </cell>
        </row>
        <row r="181">
          <cell r="A181" t="str">
            <v>WBM-00627</v>
          </cell>
          <cell r="B181" t="str">
            <v>תל אור</v>
          </cell>
          <cell r="C181" t="str">
            <v>תל אור-החלפת מגיני ברק מ"ג  של השנאים.</v>
          </cell>
          <cell r="D181">
            <v>46568</v>
          </cell>
        </row>
        <row r="182">
          <cell r="A182" t="str">
            <v>WBM-10367</v>
          </cell>
          <cell r="B182" t="str">
            <v>תל אור</v>
          </cell>
          <cell r="C182" t="str">
            <v>תל אור-הת' תיילים-מהדקים-פורט'wbo-083</v>
          </cell>
          <cell r="D182">
            <v>46061</v>
          </cell>
        </row>
        <row r="183">
          <cell r="A183" t="str">
            <v>WBM-00943</v>
          </cell>
          <cell r="B183" t="str">
            <v>תל אור</v>
          </cell>
          <cell r="C183" t="str">
            <v>תל אור-בוטל - הוספת ה.מרחק שנייה בשד':1,3,7,9</v>
          </cell>
          <cell r="D183">
            <v>41248</v>
          </cell>
        </row>
        <row r="184">
          <cell r="A184" t="str">
            <v>WBM-10023</v>
          </cell>
          <cell r="B184" t="str">
            <v>תל אור</v>
          </cell>
          <cell r="C184" t="str">
            <v>תל אור -התקנת רושם הפרעות 161 ק"ו</v>
          </cell>
          <cell r="D184">
            <v>46477</v>
          </cell>
        </row>
        <row r="185">
          <cell r="A185" t="str">
            <v>WBM-00629</v>
          </cell>
          <cell r="B185" t="str">
            <v>תל אור</v>
          </cell>
          <cell r="C185" t="str">
            <v>תל אור-עיגון ארונות מערכת ז"י,פיקוד והגנ</v>
          </cell>
          <cell r="D185">
            <v>46418</v>
          </cell>
        </row>
        <row r="186">
          <cell r="A186" t="str">
            <v>WBM-00630</v>
          </cell>
          <cell r="B186" t="str">
            <v>תל אור</v>
          </cell>
          <cell r="C186" t="str">
            <v>תל אור-החלפת גדר רשת רגילה בהיקף התחמ"ש</v>
          </cell>
          <cell r="D186">
            <v>45908</v>
          </cell>
        </row>
        <row r="187">
          <cell r="A187" t="str">
            <v>WBM-10093</v>
          </cell>
          <cell r="B187" t="str">
            <v>תל אור</v>
          </cell>
          <cell r="C187" t="str">
            <v>תל אור-התקנת הגנות  בשדות 1 ו-7</v>
          </cell>
          <cell r="D187">
            <v>45214</v>
          </cell>
        </row>
        <row r="188">
          <cell r="A188" t="str">
            <v>WBM-10234</v>
          </cell>
          <cell r="B188" t="str">
            <v>תל אור</v>
          </cell>
          <cell r="C188" t="str">
            <v>תל אור- משיק א.תבור 19, הוס ה. דיפ. ש 3</v>
          </cell>
          <cell r="D188">
            <v>44956</v>
          </cell>
        </row>
        <row r="189">
          <cell r="A189" t="str">
            <v>WBM-00143</v>
          </cell>
          <cell r="B189" t="str">
            <v>תל אור</v>
          </cell>
          <cell r="C189" t="str">
            <v>תל אור-התאמת מערכת גילוי אש אוטמטית.</v>
          </cell>
          <cell r="D189">
            <v>42029</v>
          </cell>
        </row>
        <row r="190">
          <cell r="A190" t="str">
            <v>WBG-117-003-ST2</v>
          </cell>
          <cell r="B190" t="str">
            <v>תל אור</v>
          </cell>
          <cell r="C190" t="str">
            <v>תל אור-התקנת צ.קשר ה.מרחק קו לב.שאן-ירוק</v>
          </cell>
          <cell r="D190">
            <v>41297</v>
          </cell>
        </row>
        <row r="191">
          <cell r="A191" t="str">
            <v>WBG-117-003</v>
          </cell>
          <cell r="B191" t="str">
            <v>תל אור</v>
          </cell>
          <cell r="C191" t="str">
            <v>תל אור-התקנת צ.קשר ה.מרחק קו לב.שאן-לבן</v>
          </cell>
          <cell r="D191">
            <v>41295</v>
          </cell>
        </row>
        <row r="192">
          <cell r="A192" t="str">
            <v>WBG-117-009</v>
          </cell>
          <cell r="B192" t="str">
            <v>תל אור</v>
          </cell>
          <cell r="C192" t="str">
            <v>תל אור-החלפת מפס"ז מ"ג ב-2 שד' של ס"ק</v>
          </cell>
          <cell r="D192">
            <v>41071</v>
          </cell>
        </row>
        <row r="193">
          <cell r="A193" t="str">
            <v>WBM-30017</v>
          </cell>
          <cell r="B193" t="str">
            <v>תל אור</v>
          </cell>
          <cell r="C193" t="str">
            <v>תל אור-בוטל -גדר אלקטרונית(ביטחון)</v>
          </cell>
          <cell r="D193">
            <v>43467</v>
          </cell>
        </row>
        <row r="194">
          <cell r="A194">
            <v>524317</v>
          </cell>
          <cell r="B194" t="str">
            <v>תל אור</v>
          </cell>
          <cell r="C194" t="str">
            <v>תל אור-החלפת רכזת התראה בטחונית</v>
          </cell>
          <cell r="D194">
            <v>39782</v>
          </cell>
        </row>
        <row r="195">
          <cell r="A195" t="str">
            <v>WBM-00631</v>
          </cell>
          <cell r="B195" t="str">
            <v>תל אור</v>
          </cell>
          <cell r="C195" t="str">
            <v>תל אור-בוטל שיפור מערכת הארקת בתחמ"ש.</v>
          </cell>
          <cell r="D195">
            <v>39798</v>
          </cell>
        </row>
        <row r="196">
          <cell r="A196">
            <v>524330</v>
          </cell>
          <cell r="B196" t="str">
            <v>תל אור</v>
          </cell>
          <cell r="C196" t="str">
            <v>תל אור-התקנת מאווררים בארונות פיקוד והגנ</v>
          </cell>
          <cell r="D196">
            <v>40311</v>
          </cell>
        </row>
        <row r="197">
          <cell r="A197" t="str">
            <v>WBM-00885-064</v>
          </cell>
          <cell r="B197" t="str">
            <v>תל אור</v>
          </cell>
          <cell r="C197" t="str">
            <v>תל אור - תיקון מערכת מיים</v>
          </cell>
          <cell r="D197">
            <v>45475</v>
          </cell>
        </row>
        <row r="198">
          <cell r="A198" t="str">
            <v>WBM-10456-021</v>
          </cell>
          <cell r="B198" t="str">
            <v>תל אור</v>
          </cell>
          <cell r="C198" t="str">
            <v>תל אור- הוספת מתמרים ב-2 פ"צ</v>
          </cell>
          <cell r="D198">
            <v>46752</v>
          </cell>
        </row>
        <row r="199">
          <cell r="A199" t="str">
            <v>WBM-20004-014</v>
          </cell>
          <cell r="B199" t="str">
            <v>תל אור</v>
          </cell>
          <cell r="C199" t="str">
            <v>תל אור - שיפור מערכת תאורה</v>
          </cell>
          <cell r="D199">
            <v>45442</v>
          </cell>
        </row>
        <row r="200">
          <cell r="A200" t="str">
            <v>WBM-60008-003</v>
          </cell>
          <cell r="B200" t="str">
            <v>תל אור</v>
          </cell>
          <cell r="C200" t="str">
            <v>תל אור - התקנת מערכת מיגון בתחמ"ש</v>
          </cell>
          <cell r="D200">
            <v>46477</v>
          </cell>
        </row>
        <row r="201">
          <cell r="A201" t="str">
            <v>WBM-60118-029</v>
          </cell>
          <cell r="B201" t="str">
            <v>תל אור</v>
          </cell>
          <cell r="C201" t="str">
            <v>תל אור - שיפור מערכת הארקה</v>
          </cell>
          <cell r="D201">
            <v>46387</v>
          </cell>
        </row>
        <row r="202">
          <cell r="A202" t="str">
            <v>WBM-60130-049</v>
          </cell>
          <cell r="B202" t="str">
            <v>תל אור</v>
          </cell>
          <cell r="C202" t="str">
            <v>תל אור - התקנת מפסק פטריה להפסקת מערכת החשמל בחירום</v>
          </cell>
          <cell r="D202">
            <v>46568</v>
          </cell>
        </row>
        <row r="203">
          <cell r="A203" t="str">
            <v>WBE-274</v>
          </cell>
          <cell r="B203" t="str">
            <v>תל אור</v>
          </cell>
          <cell r="C203" t="str">
            <v>תל אור - 2 מתקני אגירת אנרגיה בסוללות</v>
          </cell>
          <cell r="D203">
            <v>46387</v>
          </cell>
        </row>
        <row r="204">
          <cell r="A204" t="str">
            <v>WBM-20004-039</v>
          </cell>
          <cell r="B204" t="str">
            <v>תל אור</v>
          </cell>
          <cell r="C204" t="str">
            <v>תל אור- תיקון פירצות בגדר</v>
          </cell>
          <cell r="D204">
            <v>45908</v>
          </cell>
        </row>
        <row r="205">
          <cell r="A205" t="str">
            <v>WBM-10660</v>
          </cell>
          <cell r="B205" t="str">
            <v>תל אור</v>
          </cell>
          <cell r="C205" t="str">
            <v>תל אור- התקנת מגן ברק בנקודות כוכב בשנאים 521,524</v>
          </cell>
          <cell r="D205">
            <v>47118</v>
          </cell>
        </row>
        <row r="206">
          <cell r="A206" t="str">
            <v>WBM-00885-142</v>
          </cell>
          <cell r="B206" t="str">
            <v>תל אור</v>
          </cell>
          <cell r="C206" t="str">
            <v>תל אור - תיקון ברז פרפר 4"</v>
          </cell>
          <cell r="D206">
            <v>46387</v>
          </cell>
        </row>
        <row r="207">
          <cell r="A207" t="str">
            <v>WBM-10676</v>
          </cell>
          <cell r="B207" t="str">
            <v>תל אור</v>
          </cell>
          <cell r="C207" t="str">
            <v>תל אור -התאמת שדה 1 ליכולת מינימלית של 1440 א'.</v>
          </cell>
          <cell r="D207">
            <v>46387</v>
          </cell>
        </row>
        <row r="208">
          <cell r="A208" t="str">
            <v>WBM-00350-065</v>
          </cell>
          <cell r="B208" t="str">
            <v>תל אור</v>
          </cell>
          <cell r="C208" t="str">
            <v>תל אור - שיפוץ שנאי עקב תקלה</v>
          </cell>
          <cell r="D208">
            <v>46022</v>
          </cell>
        </row>
        <row r="209">
          <cell r="A209" t="str">
            <v>WBM-70056</v>
          </cell>
          <cell r="B209" t="str">
            <v>תל אור</v>
          </cell>
          <cell r="C209" t="str">
            <v>תל אור - הת' תיילים-מהדקים-פורט'wbo-358</v>
          </cell>
          <cell r="D209">
            <v>47848</v>
          </cell>
        </row>
        <row r="210">
          <cell r="A210" t="str">
            <v>WBM-70056-ST1</v>
          </cell>
          <cell r="B210" t="str">
            <v>תל אור</v>
          </cell>
          <cell r="C210" t="str">
            <v>תל אור - בחינת הפורטל לכוחות החדשים של תיילים בחתך 593*2 הנובעים מפרויקט הולכה WBO-358</v>
          </cell>
          <cell r="D210">
            <v>47299</v>
          </cell>
        </row>
        <row r="211">
          <cell r="A211" t="str">
            <v>WBM-70056-ST2</v>
          </cell>
          <cell r="B211" t="str">
            <v>תל אור</v>
          </cell>
          <cell r="C211" t="str">
            <v>תל אור - התאמת הירידות, התיילים והמהדקים מקו ההולכה לפורטל בשדה 9 לחתך 593*2</v>
          </cell>
          <cell r="D211">
            <v>47848</v>
          </cell>
        </row>
        <row r="212">
          <cell r="A212" t="str">
            <v>WBC-211</v>
          </cell>
          <cell r="B212" t="str">
            <v>תל אביטל</v>
          </cell>
          <cell r="C212" t="str">
            <v>תל אביטל-הקמת תחנת משנה חיצונית 161/24 ק"ו, 50*2 מגוו"א</v>
          </cell>
          <cell r="D212">
            <v>47483</v>
          </cell>
        </row>
        <row r="213">
          <cell r="A213" t="str">
            <v>WBC-211-ST2</v>
          </cell>
          <cell r="B213" t="str">
            <v>תל אביטל</v>
          </cell>
          <cell r="C213" t="str">
            <v>תל אביטל-שולב- אישור תוכנית סטטוטורית</v>
          </cell>
        </row>
        <row r="214">
          <cell r="A214" t="str">
            <v>WBD-128</v>
          </cell>
          <cell r="B214" t="str">
            <v>תימורים ניידת</v>
          </cell>
          <cell r="C214" t="str">
            <v>תימורים-הצבת 2 תחמ"ש ניידות,30 מגוו"א כ"א</v>
          </cell>
          <cell r="D214">
            <v>46356</v>
          </cell>
        </row>
        <row r="215">
          <cell r="A215" t="str">
            <v>WBC-075</v>
          </cell>
          <cell r="B215" t="str">
            <v>תימורים</v>
          </cell>
          <cell r="C215" t="str">
            <v>תימורים-הקמת תחמ"ש חיצונית 161/24 ק"ו</v>
          </cell>
          <cell r="D215">
            <v>46691</v>
          </cell>
        </row>
        <row r="216">
          <cell r="A216" t="str">
            <v>3546-ST1</v>
          </cell>
          <cell r="B216" t="str">
            <v>תחמ''ש דימונה</v>
          </cell>
          <cell r="C216" t="str">
            <v>מעקפים לדימונה-גישור מ.מאיתן עם מ.מרותם</v>
          </cell>
          <cell r="D216">
            <v>43831</v>
          </cell>
        </row>
        <row r="217">
          <cell r="A217" t="str">
            <v>3546-ST2</v>
          </cell>
          <cell r="B217" t="str">
            <v>תחמ''ש דימונה</v>
          </cell>
          <cell r="C217" t="str">
            <v>מעקפים לדימונה-גישור 2 מעגלים מר.חובב</v>
          </cell>
          <cell r="D217">
            <v>43831</v>
          </cell>
        </row>
        <row r="218">
          <cell r="A218" t="str">
            <v>MAK-6-1</v>
          </cell>
          <cell r="B218" t="str">
            <v>תחמ''ג אבן ספיר- 161 ק''ו</v>
          </cell>
          <cell r="C218" t="str">
            <v>מעקפים לאבן ספיר 161 ק"ו-גישור 2 מ.סתריה</v>
          </cell>
          <cell r="D218">
            <v>44196</v>
          </cell>
        </row>
        <row r="219">
          <cell r="A219" t="str">
            <v>MAK-6-2</v>
          </cell>
          <cell r="B219" t="str">
            <v>תחמ''ג אבן ספיר- 161 ק''ו</v>
          </cell>
          <cell r="C219" t="str">
            <v>מעקפים לאבן ספיר 161 ק"ו-גישור 2 מ.מצפית</v>
          </cell>
          <cell r="D219">
            <v>44196</v>
          </cell>
        </row>
        <row r="220">
          <cell r="A220" t="str">
            <v>MAK-6-3</v>
          </cell>
          <cell r="B220" t="str">
            <v>תחמ''ג אבן ספיר- 161 ק''ו</v>
          </cell>
          <cell r="C220" t="str">
            <v>מעקפים לאבן ספיר 161 ק"ו-גישור2 מ.א.ספיר</v>
          </cell>
          <cell r="D220">
            <v>44196</v>
          </cell>
        </row>
        <row r="221">
          <cell r="A221">
            <v>378626</v>
          </cell>
          <cell r="B221" t="str">
            <v>תה''ר רשפון</v>
          </cell>
          <cell r="C221" t="str">
            <v>תה"ר רשפון-הקמת תחמ"ש פרטית</v>
          </cell>
          <cell r="D221">
            <v>44477</v>
          </cell>
        </row>
        <row r="222">
          <cell r="A222" t="str">
            <v>0260501-ST2</v>
          </cell>
          <cell r="B222" t="str">
            <v>תה''ר פלשת</v>
          </cell>
          <cell r="C222" t="str">
            <v>תה"ר פלשת- פירוק תחמ"ש פרטית ניידת</v>
          </cell>
          <cell r="D222">
            <v>44987</v>
          </cell>
        </row>
        <row r="223">
          <cell r="A223">
            <v>438022</v>
          </cell>
          <cell r="B223" t="str">
            <v>תה''ר פלשת</v>
          </cell>
          <cell r="C223" t="str">
            <v>תה"ר פלשת-הקמת תחמ"ש פרטית</v>
          </cell>
          <cell r="D223">
            <v>44987</v>
          </cell>
        </row>
        <row r="224">
          <cell r="A224" t="str">
            <v>0260501</v>
          </cell>
          <cell r="B224" t="str">
            <v>תה''ר פלשת</v>
          </cell>
          <cell r="C224" t="str">
            <v>תה"ר פלשת ניידת-הקמת תחמ"ש פרטית</v>
          </cell>
          <cell r="D224">
            <v>44197</v>
          </cell>
        </row>
        <row r="225">
          <cell r="A225" t="str">
            <v>WBM-10490</v>
          </cell>
          <cell r="B225" t="str">
            <v>תה''ר פלשת</v>
          </cell>
          <cell r="C225" t="str">
            <v>תה"ר פלשת  -  משיק לתחמ"ש קרית משה שדה 1. יישום דרך קשר אופטית בין הגנות בשדה 5</v>
          </cell>
          <cell r="D225">
            <v>45597</v>
          </cell>
        </row>
        <row r="226">
          <cell r="A226" t="str">
            <v>WBM-10777</v>
          </cell>
          <cell r="B226" t="str">
            <v>תה''ר פלשת</v>
          </cell>
          <cell r="C226" t="str">
            <v>תה"ר פלשת - משיק לצפית שדה 1, יישום דרך קשר בין הגנות (מעגל זמני) באמצעות PLC בשדה 5</v>
          </cell>
          <cell r="D226">
            <v>46326</v>
          </cell>
        </row>
        <row r="227">
          <cell r="A227" t="str">
            <v>WBM-832</v>
          </cell>
          <cell r="B227" t="str">
            <v>תה''ר פלשת</v>
          </cell>
          <cell r="C227" t="str">
            <v>תה"ר פלשת, ש' 1- בוטל- משיק לתחמ"ש תימורים שדה 3, יישום תקשורת אופטית בין הגנות במעגל (מרחק+דיפ).</v>
          </cell>
        </row>
        <row r="228">
          <cell r="A228" t="str">
            <v>WBM-10832</v>
          </cell>
          <cell r="B228" t="str">
            <v>תה''ר פלשת</v>
          </cell>
          <cell r="C228" t="str">
            <v>תה"ר פלשת, ש' 1- משיק לתחמ"ש תימורים שדה 3, יישוםתקשורת אופטית בין הגנות במעגל (מרחק+דיפ)</v>
          </cell>
          <cell r="D228">
            <v>46691</v>
          </cell>
        </row>
        <row r="229">
          <cell r="A229">
            <v>900008</v>
          </cell>
          <cell r="B229" t="str">
            <v>תה''ר עכו</v>
          </cell>
          <cell r="C229" t="str">
            <v>תה"ר עכו-בוטל-הקמת תחמ"ש פרטית ניידת</v>
          </cell>
        </row>
        <row r="230">
          <cell r="A230">
            <v>294720</v>
          </cell>
          <cell r="B230" t="str">
            <v>תה''ר עכו</v>
          </cell>
          <cell r="C230" t="str">
            <v>תה"ר עכו-בוטל-הקמת תחמ"ש פרטית</v>
          </cell>
          <cell r="D230">
            <v>41829</v>
          </cell>
        </row>
        <row r="231">
          <cell r="A231">
            <v>334607</v>
          </cell>
          <cell r="B231" t="str">
            <v>תה''ר נען</v>
          </cell>
          <cell r="C231" t="str">
            <v>תה"ר נען-הקמת תחמ"ש פרטית</v>
          </cell>
          <cell r="D231">
            <v>46752</v>
          </cell>
        </row>
        <row r="232">
          <cell r="A232">
            <v>345807</v>
          </cell>
          <cell r="B232" t="str">
            <v>תה''ר לכיש</v>
          </cell>
          <cell r="C232" t="str">
            <v>תה"ר לכיש-הקמת תחמ"ש פרטית</v>
          </cell>
          <cell r="D232">
            <v>46295</v>
          </cell>
        </row>
        <row r="233">
          <cell r="A233">
            <v>286880</v>
          </cell>
          <cell r="B233" t="str">
            <v>תה''ר לבון</v>
          </cell>
          <cell r="C233" t="str">
            <v>תה"ר לבון-הקמת תחמ"ש פרטית</v>
          </cell>
          <cell r="D233">
            <v>46418</v>
          </cell>
        </row>
        <row r="234">
          <cell r="A234">
            <v>225459</v>
          </cell>
          <cell r="B234" t="str">
            <v>תה''ר חופית</v>
          </cell>
          <cell r="C234" t="str">
            <v>תה"ר חופית-הקמת תחמ"ש פרטית</v>
          </cell>
          <cell r="D234">
            <v>46027</v>
          </cell>
        </row>
        <row r="235">
          <cell r="A235" t="str">
            <v>WBM-10782</v>
          </cell>
          <cell r="B235" t="str">
            <v>תה''ר חופית</v>
          </cell>
          <cell r="C235" t="str">
            <v>תה"ר חופית – משיק לארעית חפר שדה1, יישום דרך קשר אופטית בין הגנות (מרחק ודיפרנציאלית) בשדה 1</v>
          </cell>
          <cell r="D235">
            <v>46265</v>
          </cell>
        </row>
        <row r="236">
          <cell r="A236" t="str">
            <v>WBM-10828</v>
          </cell>
          <cell r="B236" t="str">
            <v>תה''ר חופית</v>
          </cell>
          <cell r="C236" t="str">
            <v>חופית - משיק לחפר שדה 26, יישום תקשורת אופטית בין הגנות  בשדה 1</v>
          </cell>
          <cell r="D236">
            <v>46387</v>
          </cell>
        </row>
        <row r="237">
          <cell r="A237" t="str">
            <v>0260775</v>
          </cell>
          <cell r="B237" t="str">
            <v>תה''ר השפלה</v>
          </cell>
          <cell r="C237" t="str">
            <v>תה"ר השפלה ניידת-פירוק תחמ"ש פרטית ניידת</v>
          </cell>
          <cell r="D237">
            <v>44032</v>
          </cell>
        </row>
        <row r="238">
          <cell r="A238" t="str">
            <v>0239501</v>
          </cell>
          <cell r="B238" t="str">
            <v>תה''ר השפלה</v>
          </cell>
          <cell r="C238" t="str">
            <v>תה"ר השפלה ניידת-הקמת תחמ"ש פרטית</v>
          </cell>
          <cell r="D238">
            <v>43487</v>
          </cell>
        </row>
        <row r="239">
          <cell r="A239">
            <v>325072</v>
          </cell>
          <cell r="B239" t="str">
            <v>תה''ר השפלה</v>
          </cell>
          <cell r="C239" t="str">
            <v>תה"ר השפלה-הקמת תחמ"ש פרטית</v>
          </cell>
          <cell r="D239">
            <v>44138</v>
          </cell>
        </row>
        <row r="240">
          <cell r="A240" t="str">
            <v>WBM-10546</v>
          </cell>
          <cell r="B240" t="str">
            <v>תה''ר השפלה</v>
          </cell>
          <cell r="C240" t="str">
            <v>תה"ר שפלה - משיק לתחמ"ש לוד שדה 9, יישום דרך קשר בין הגנות בשדה 5</v>
          </cell>
          <cell r="D240">
            <v>45808</v>
          </cell>
        </row>
        <row r="241">
          <cell r="A241">
            <v>611876</v>
          </cell>
          <cell r="B241" t="str">
            <v>תה''ר הראל</v>
          </cell>
          <cell r="C241" t="str">
            <v>תה"ר הראל-הקמת תחמ"ש פרטית</v>
          </cell>
          <cell r="D241">
            <v>44321</v>
          </cell>
        </row>
        <row r="242">
          <cell r="A242">
            <v>203245</v>
          </cell>
          <cell r="B242" t="str">
            <v>תה''ר הקיטור (המפרץ)</v>
          </cell>
          <cell r="C242" t="str">
            <v>תה"ר הקיטור (המפרץ)-הקמת תחמ"ש פרטית</v>
          </cell>
          <cell r="D242">
            <v>46721</v>
          </cell>
        </row>
        <row r="243">
          <cell r="A243">
            <v>3502112</v>
          </cell>
          <cell r="B243" t="str">
            <v>תה''ר הנגב</v>
          </cell>
          <cell r="C243" t="str">
            <v>תה"ר הנגב-הקמת תחמ"ש פרטית</v>
          </cell>
          <cell r="D243">
            <v>46811</v>
          </cell>
        </row>
        <row r="244">
          <cell r="A244">
            <v>830795</v>
          </cell>
          <cell r="B244" t="str">
            <v>תה''ר הולץ</v>
          </cell>
          <cell r="C244" t="str">
            <v>תה"ר הולץ-הקמת תחמ"ש פרטית</v>
          </cell>
          <cell r="D244">
            <v>46721</v>
          </cell>
        </row>
        <row r="245">
          <cell r="A245" t="str">
            <v>0239502</v>
          </cell>
          <cell r="B245" t="str">
            <v>תה''ר הולץ</v>
          </cell>
          <cell r="C245" t="str">
            <v>תה"ר הולץ ניידת-הקמת תחמ"ש פרטית</v>
          </cell>
          <cell r="D245">
            <v>44017</v>
          </cell>
        </row>
        <row r="246">
          <cell r="A246">
            <v>225460</v>
          </cell>
          <cell r="B246" t="str">
            <v>תה''ר דור</v>
          </cell>
          <cell r="C246" t="str">
            <v>תה"ר דור-הקמת תחמ"ש פרטית</v>
          </cell>
          <cell r="D246">
            <v>46295</v>
          </cell>
        </row>
        <row r="247">
          <cell r="A247" t="str">
            <v>WBM-10581</v>
          </cell>
          <cell r="B247" t="str">
            <v>תה''ר דור</v>
          </cell>
          <cell r="C247" t="str">
            <v>תה"ר דור - משיק לתחמ"ש זיכרון יעקב שדה 1, יישום תקשורת אופטית בין הגנות בשדה 1</v>
          </cell>
          <cell r="D247">
            <v>46295</v>
          </cell>
        </row>
        <row r="248">
          <cell r="A248" t="str">
            <v>WBM-10589</v>
          </cell>
          <cell r="B248" t="str">
            <v>תה''ר דור</v>
          </cell>
          <cell r="C248" t="str">
            <v>תה"ר דור  - משיק לתחמ"ש זמיר שדה 9, יישום תקשורת אופטית בין הגנות בשדה 5</v>
          </cell>
          <cell r="D248">
            <v>46295</v>
          </cell>
        </row>
        <row r="249">
          <cell r="A249">
            <v>360547</v>
          </cell>
          <cell r="B249" t="str">
            <v>תה''ר אלישמע</v>
          </cell>
          <cell r="C249" t="str">
            <v>תה"ר אלישמע-הקמת תחמ"ש פרטית</v>
          </cell>
          <cell r="D249">
            <v>45170</v>
          </cell>
        </row>
        <row r="250">
          <cell r="A250" t="str">
            <v>WBM-10501</v>
          </cell>
          <cell r="B250" t="str">
            <v>תה''ר אלישמע</v>
          </cell>
          <cell r="C250" t="str">
            <v>תה"ר אלישמע - משיק אריאל שדה 7,  יישום דרך קשר אופטית בין הגנות בשדה 5</v>
          </cell>
          <cell r="D250">
            <v>45371</v>
          </cell>
        </row>
        <row r="251">
          <cell r="A251" t="str">
            <v>WBM-10715</v>
          </cell>
          <cell r="B251" t="str">
            <v>תה''ר אלישמע</v>
          </cell>
          <cell r="C251" t="str">
            <v>אלישמע- שדה 5, משיק לכפר סבא שדה 9. יישום דרך קשר אופטית בין הגנות</v>
          </cell>
          <cell r="D251">
            <v>46387</v>
          </cell>
        </row>
        <row r="252">
          <cell r="A252">
            <v>900037</v>
          </cell>
          <cell r="B252" t="str">
            <v>תה"ר פטיש</v>
          </cell>
          <cell r="C252" t="str">
            <v>תה"ר פטיש-הקמת תחמ"ש פרטית</v>
          </cell>
          <cell r="D252">
            <v>46843</v>
          </cell>
        </row>
        <row r="253">
          <cell r="A253" t="str">
            <v>HIS-040</v>
          </cell>
          <cell r="B253" t="str">
            <v>ת''א צפון</v>
          </cell>
          <cell r="C253" t="str">
            <v>ת"א צפון</v>
          </cell>
          <cell r="D253">
            <v>40908</v>
          </cell>
        </row>
        <row r="254">
          <cell r="A254" t="str">
            <v>0212727</v>
          </cell>
          <cell r="B254" t="str">
            <v>ת''א צפון</v>
          </cell>
          <cell r="C254" t="str">
            <v>uoe6a-תל אביב צפון-עיבוי ושדרוג עמוד שדר</v>
          </cell>
          <cell r="D254">
            <v>42308</v>
          </cell>
        </row>
        <row r="255">
          <cell r="A255" t="str">
            <v>WBE-018-ST2</v>
          </cell>
          <cell r="B255" t="str">
            <v>ת''א צפון</v>
          </cell>
          <cell r="C255" t="str">
            <v>ת"א צפון-החלפת שנאי שני 50 מגוו"א בשנאי 75 מגוו"א</v>
          </cell>
          <cell r="D255">
            <v>46688</v>
          </cell>
        </row>
        <row r="256">
          <cell r="A256" t="str">
            <v>WBE-018</v>
          </cell>
          <cell r="B256" t="str">
            <v>ת''א צפון</v>
          </cell>
          <cell r="C256" t="str">
            <v>ת"א צפון-החלפת 2 שנאים 50  ל- 75 מגוו"א</v>
          </cell>
          <cell r="D256">
            <v>46688</v>
          </cell>
        </row>
        <row r="257">
          <cell r="A257" t="str">
            <v>WBE-018-ST1</v>
          </cell>
          <cell r="B257" t="str">
            <v>ת''א צפון</v>
          </cell>
          <cell r="C257" t="str">
            <v>ת"א צפון-החלפת שנאי ראשון 50   ל- 75 מגוו"א</v>
          </cell>
          <cell r="D257">
            <v>46568</v>
          </cell>
        </row>
        <row r="258">
          <cell r="A258" t="str">
            <v>WDB-04COM43</v>
          </cell>
          <cell r="B258" t="str">
            <v>ת''א צפון</v>
          </cell>
          <cell r="C258" t="str">
            <v>ת"א צפון-הנחת כבל סיב אופטי OPGW (דן)</v>
          </cell>
          <cell r="D258">
            <v>42735</v>
          </cell>
        </row>
        <row r="259">
          <cell r="A259" t="str">
            <v>WBM-01381</v>
          </cell>
          <cell r="B259" t="str">
            <v>ת''א צפון</v>
          </cell>
          <cell r="C259" t="str">
            <v>ת"א צפון - התקנת סוללות קבלים</v>
          </cell>
          <cell r="D259">
            <v>47391</v>
          </cell>
        </row>
        <row r="260">
          <cell r="A260" t="str">
            <v>WBM-01278</v>
          </cell>
          <cell r="B260" t="str">
            <v>ת''א צפון</v>
          </cell>
          <cell r="C260" t="str">
            <v>ת"א צפון - שיפור לוגיקת סליל כיבוי ב-4 ש</v>
          </cell>
          <cell r="D260">
            <v>46568</v>
          </cell>
        </row>
        <row r="261">
          <cell r="A261">
            <v>541622</v>
          </cell>
          <cell r="B261" t="str">
            <v>ת''א צפון</v>
          </cell>
          <cell r="C261" t="str">
            <v>ת"א צפון-בוטל-התקנת מאווררים באר. פיקוד</v>
          </cell>
          <cell r="D261">
            <v>40311</v>
          </cell>
        </row>
        <row r="262">
          <cell r="A262" t="str">
            <v>WBM-00779</v>
          </cell>
          <cell r="B262" t="str">
            <v>ת''א צפון</v>
          </cell>
          <cell r="C262" t="str">
            <v>ת"א צפון-בוטל-השלמת גדר אטומה</v>
          </cell>
          <cell r="D262">
            <v>39794</v>
          </cell>
        </row>
        <row r="263">
          <cell r="A263" t="str">
            <v>WBM-10064</v>
          </cell>
          <cell r="B263" t="str">
            <v>ת''א צפון</v>
          </cell>
          <cell r="C263" t="str">
            <v>ת"א צפון - בוטל-החלפת גשרי דיודות</v>
          </cell>
          <cell r="D263">
            <v>43769</v>
          </cell>
        </row>
        <row r="264">
          <cell r="A264">
            <v>541624</v>
          </cell>
          <cell r="B264" t="str">
            <v>ת''א צפון</v>
          </cell>
          <cell r="C264" t="str">
            <v>ת"א צפון-החלפת גשרי דיודות</v>
          </cell>
          <cell r="D264">
            <v>42277</v>
          </cell>
        </row>
        <row r="265">
          <cell r="A265" t="str">
            <v>WBM-00142</v>
          </cell>
          <cell r="B265" t="str">
            <v>ת''א צפון</v>
          </cell>
          <cell r="C265" t="str">
            <v>ת"א צפון-התקנת 2 ממירים 220/60 וולט</v>
          </cell>
          <cell r="D265">
            <v>43068</v>
          </cell>
        </row>
        <row r="266">
          <cell r="A266">
            <v>541609</v>
          </cell>
          <cell r="B266" t="str">
            <v>ת''א צפון</v>
          </cell>
          <cell r="C266" t="str">
            <v>ת"א צפון-בוטל-החלפת רכזת התראה בטחונית</v>
          </cell>
          <cell r="D266">
            <v>39051</v>
          </cell>
        </row>
        <row r="267">
          <cell r="A267" t="str">
            <v>WBM-00625</v>
          </cell>
          <cell r="B267" t="str">
            <v>ת''א צפון</v>
          </cell>
          <cell r="C267" t="str">
            <v>ת"א צפון-בוטל-הזנת תאורת חירום ז"י</v>
          </cell>
          <cell r="D267">
            <v>41249</v>
          </cell>
        </row>
        <row r="268">
          <cell r="A268" t="str">
            <v>WBM-00626</v>
          </cell>
          <cell r="B268" t="str">
            <v>ת''א צפון</v>
          </cell>
          <cell r="C268" t="str">
            <v>ת"א צפון-בוטל-הקמת רשת מחשבים תפעולית</v>
          </cell>
          <cell r="D268">
            <v>39872</v>
          </cell>
        </row>
        <row r="269">
          <cell r="A269" t="str">
            <v>WBM-10022</v>
          </cell>
          <cell r="B269" t="str">
            <v>ת''א צפון</v>
          </cell>
          <cell r="C269" t="str">
            <v>תל אביב צפון-החלפת רושם הפרעות 161 ק"ו</v>
          </cell>
          <cell r="D269">
            <v>46752</v>
          </cell>
        </row>
        <row r="270">
          <cell r="A270" t="str">
            <v>WBM-00624</v>
          </cell>
          <cell r="B270" t="str">
            <v>ת''א צפון</v>
          </cell>
          <cell r="C270" t="str">
            <v>ת"א צפון--הוספת וסתים לס.כיבוי(521, 522)</v>
          </cell>
          <cell r="D270">
            <v>46752</v>
          </cell>
        </row>
        <row r="271">
          <cell r="A271" t="str">
            <v>WBM-10239</v>
          </cell>
          <cell r="B271" t="str">
            <v>ת''א צפון</v>
          </cell>
          <cell r="C271" t="str">
            <v>ת"א צפון -משיק לעתידים, החלפת הג.דיפ.ש8</v>
          </cell>
          <cell r="D271">
            <v>45900</v>
          </cell>
        </row>
        <row r="272">
          <cell r="A272" t="str">
            <v>WBM-40143</v>
          </cell>
          <cell r="B272" t="str">
            <v>ת''א צפון</v>
          </cell>
          <cell r="C272" t="str">
            <v>ת"א צפון - החלפת SCS</v>
          </cell>
          <cell r="D272">
            <v>44315</v>
          </cell>
        </row>
        <row r="273">
          <cell r="A273" t="str">
            <v>0252332</v>
          </cell>
          <cell r="B273" t="str">
            <v>ת''א צפון</v>
          </cell>
          <cell r="C273" t="str">
            <v>uoe6a - ביטול - רק ללימודים</v>
          </cell>
          <cell r="D273">
            <v>43670</v>
          </cell>
        </row>
        <row r="274">
          <cell r="A274">
            <v>541623</v>
          </cell>
          <cell r="B274" t="str">
            <v>ת''א צפון</v>
          </cell>
          <cell r="C274" t="str">
            <v>ת"א צפון-הקמת מערכת טמ"ס</v>
          </cell>
          <cell r="D274">
            <v>41243</v>
          </cell>
        </row>
        <row r="275">
          <cell r="A275" t="str">
            <v>WBG-116-009</v>
          </cell>
          <cell r="B275" t="str">
            <v>ת''א צפון</v>
          </cell>
          <cell r="C275" t="str">
            <v>ת"א צפון-הפרדת אתראת "פליטת מימן ממצברים</v>
          </cell>
          <cell r="D275">
            <v>41136</v>
          </cell>
        </row>
        <row r="276">
          <cell r="A276" t="str">
            <v>WBG-116-012</v>
          </cell>
          <cell r="B276" t="str">
            <v>ת''א צפון</v>
          </cell>
          <cell r="C276" t="str">
            <v>ת"א צפון-שדרוג הגנת מרחק</v>
          </cell>
          <cell r="D276">
            <v>40633</v>
          </cell>
        </row>
        <row r="277">
          <cell r="A277" t="str">
            <v>WBM-60082</v>
          </cell>
          <cell r="B277" t="str">
            <v>ת''א צפון</v>
          </cell>
          <cell r="C277" t="str">
            <v>ת"א צפון - בוטל-מאצרות שמן למסדרי אפס</v>
          </cell>
          <cell r="D277">
            <v>44148</v>
          </cell>
        </row>
        <row r="278">
          <cell r="A278" t="str">
            <v>WBM-00325</v>
          </cell>
          <cell r="B278" t="str">
            <v>ת''א צפון</v>
          </cell>
          <cell r="C278" t="str">
            <v>ת"א צפון-הפעלת שדות מס' 2,3</v>
          </cell>
          <cell r="D278">
            <v>42516</v>
          </cell>
        </row>
        <row r="279">
          <cell r="A279" t="str">
            <v>WBE-043</v>
          </cell>
          <cell r="B279" t="str">
            <v>ת''א צפון</v>
          </cell>
          <cell r="C279" t="str">
            <v>ת"א צפון-התקנת שנאים  56*2 מגוו"א.</v>
          </cell>
          <cell r="D279">
            <v>43159</v>
          </cell>
        </row>
        <row r="280">
          <cell r="A280" t="str">
            <v>WBM-10477</v>
          </cell>
          <cell r="B280" t="str">
            <v>ת''א צפון</v>
          </cell>
          <cell r="C280" t="str">
            <v>ת"א צפון - בוטל - משיק לאוני' ת"א ש' 9, התקנת הגנה דיפ. ש'2</v>
          </cell>
          <cell r="D280">
            <v>45169</v>
          </cell>
        </row>
        <row r="281">
          <cell r="A281" t="str">
            <v>WBM-40608</v>
          </cell>
          <cell r="B281" t="str">
            <v>ת''א צפון</v>
          </cell>
          <cell r="C281" t="str">
            <v>ת"א צפון- החלפת 2 מסדרי מג</v>
          </cell>
          <cell r="D281">
            <v>46446</v>
          </cell>
        </row>
        <row r="282">
          <cell r="A282" t="str">
            <v>WBM-00885-100</v>
          </cell>
          <cell r="B282" t="str">
            <v>ת''א צפון</v>
          </cell>
          <cell r="C282" t="str">
            <v>ת"א צפון - שדרוג מערכת המים לכיבוי אש</v>
          </cell>
          <cell r="D282">
            <v>46568</v>
          </cell>
        </row>
        <row r="283">
          <cell r="A283" t="str">
            <v>WBM-10315-030</v>
          </cell>
          <cell r="B283" t="str">
            <v>ת''א צפון</v>
          </cell>
          <cell r="C283" t="str">
            <v>תא צפון - החלפת מזגנים</v>
          </cell>
          <cell r="D283">
            <v>45838</v>
          </cell>
        </row>
        <row r="284">
          <cell r="A284" t="str">
            <v>WBM-10316-048</v>
          </cell>
          <cell r="B284" t="str">
            <v>ת''א צפון</v>
          </cell>
          <cell r="C284" t="str">
            <v>ת"א צפון - בוטל- חבור רשומי הפרעות למתג מנהלת</v>
          </cell>
        </row>
        <row r="285">
          <cell r="A285" t="str">
            <v>WBM-40479-017</v>
          </cell>
          <cell r="B285" t="str">
            <v>ת''א צפון</v>
          </cell>
          <cell r="C285" t="str">
            <v>ת"א צפון - החלפת 2 בקרי טמפ' וגובה שמן ב</v>
          </cell>
          <cell r="D285">
            <v>48182</v>
          </cell>
        </row>
        <row r="286">
          <cell r="A286" t="str">
            <v>WBM-60008-075</v>
          </cell>
          <cell r="B286" t="str">
            <v>ת''א צפון</v>
          </cell>
          <cell r="C286" t="str">
            <v>ת"א צפון - מערכת טמ"ס וגדר אלקטרונית</v>
          </cell>
          <cell r="D286">
            <v>46013</v>
          </cell>
        </row>
        <row r="287">
          <cell r="A287" t="str">
            <v>WBM-60107-022</v>
          </cell>
          <cell r="B287" t="str">
            <v>ת''א צפון</v>
          </cell>
          <cell r="C287" t="str">
            <v>ת"א צפון - החלפת מנעולים אלק.מגנטיים באל</v>
          </cell>
          <cell r="D287">
            <v>45657</v>
          </cell>
        </row>
        <row r="288">
          <cell r="A288" t="str">
            <v>WBM-10606</v>
          </cell>
          <cell r="B288" t="str">
            <v>ת''א צפון</v>
          </cell>
          <cell r="C288" t="str">
            <v>ת"א צפון – משיק לרמת גן שדה 1, החלפת הגנות ויישום דרך קשר אופטית בשדה 12</v>
          </cell>
          <cell r="D288">
            <v>45900</v>
          </cell>
        </row>
        <row r="289">
          <cell r="A289" t="str">
            <v>WBM-10607</v>
          </cell>
          <cell r="B289" t="str">
            <v>ת''א צפון</v>
          </cell>
          <cell r="C289" t="str">
            <v>ת"א צפון – משיק לרמת גן שדה 1, החלפת הגנת מרחק ויישום דרך קשר אופטית בשדה 12</v>
          </cell>
          <cell r="D289">
            <v>46079</v>
          </cell>
        </row>
        <row r="290">
          <cell r="A290" t="str">
            <v>WBM-10608</v>
          </cell>
          <cell r="B290" t="str">
            <v>ת''א צפון</v>
          </cell>
          <cell r="C290" t="str">
            <v>ת"א צפון – משיק עתידים שדה 17, החלפת הגנת מרחק ויישום דרך קשר אופטית בין הגנות בשדה 8</v>
          </cell>
          <cell r="D290">
            <v>46079</v>
          </cell>
        </row>
        <row r="291">
          <cell r="A291" t="str">
            <v>WBM-10614</v>
          </cell>
          <cell r="B291" t="str">
            <v>ת''א צפון</v>
          </cell>
          <cell r="C291" t="str">
            <v>ת"א צפון- משיק רמת אביב שדה A1, יישום דרך קשר בין הגנות בשדה 2</v>
          </cell>
          <cell r="D291">
            <v>45838</v>
          </cell>
        </row>
        <row r="292">
          <cell r="A292" t="str">
            <v>WBM-40616</v>
          </cell>
          <cell r="B292" t="str">
            <v>ת''א צפון</v>
          </cell>
          <cell r="C292" t="str">
            <v>ת"א צפון - בוטל-התקנת סף הגבהה ותשתית ניקוז במסדרי האפס של שנאים 521 ו-522</v>
          </cell>
        </row>
        <row r="293">
          <cell r="A293" t="str">
            <v>WBM-60130-075</v>
          </cell>
          <cell r="B293" t="str">
            <v>ת''א צפון</v>
          </cell>
          <cell r="C293" t="str">
            <v>תל אביב צפון - התקנת מפסק פטריה להפסקת מערכת החשמל בחירום</v>
          </cell>
          <cell r="D293">
            <v>46568</v>
          </cell>
        </row>
        <row r="294">
          <cell r="A294" t="str">
            <v>WBM-60205-006</v>
          </cell>
          <cell r="B294" t="str">
            <v>ת''א צפון</v>
          </cell>
          <cell r="C294" t="str">
            <v>ת"א צפון - ניטור הצפות</v>
          </cell>
          <cell r="D294">
            <v>46175</v>
          </cell>
        </row>
        <row r="295">
          <cell r="A295" t="str">
            <v>WBM-60131-011</v>
          </cell>
          <cell r="B295" t="str">
            <v>ת''א צפון</v>
          </cell>
          <cell r="C295" t="str">
            <v>תל אביב צפון - טיפול באופיין מים</v>
          </cell>
          <cell r="D295">
            <v>46180</v>
          </cell>
        </row>
        <row r="296">
          <cell r="A296" t="str">
            <v>HIS-039</v>
          </cell>
          <cell r="B296" t="str">
            <v>ת''א מרכז</v>
          </cell>
          <cell r="C296" t="str">
            <v>ת"א מרכז</v>
          </cell>
          <cell r="D296">
            <v>40908</v>
          </cell>
        </row>
        <row r="297">
          <cell r="A297" t="str">
            <v>WDA-1-02-45-02</v>
          </cell>
          <cell r="B297" t="str">
            <v>ת''א מרכז</v>
          </cell>
          <cell r="C297" t="str">
            <v>ת"א מרכז בוטל-החלפת יחידת קצה פיקוח ארצ</v>
          </cell>
          <cell r="D297">
            <v>43373</v>
          </cell>
        </row>
        <row r="298">
          <cell r="A298" t="str">
            <v>WBM-00141</v>
          </cell>
          <cell r="B298" t="str">
            <v>ת''א מרכז</v>
          </cell>
          <cell r="C298" t="str">
            <v>ת"א מרכז-בוטל-התקנת עמדת כיבוי אש שנייה</v>
          </cell>
          <cell r="D298">
            <v>41249</v>
          </cell>
        </row>
        <row r="299">
          <cell r="A299">
            <v>546911</v>
          </cell>
          <cell r="B299" t="str">
            <v>ת''א מרכז</v>
          </cell>
          <cell r="C299" t="str">
            <v>ת"א מרכז-בוטל-התקנת רכזת התראה בטחונית</v>
          </cell>
          <cell r="D299">
            <v>39051</v>
          </cell>
        </row>
        <row r="300">
          <cell r="A300" t="str">
            <v>WBM-00622</v>
          </cell>
          <cell r="B300" t="str">
            <v>ת''א מרכז</v>
          </cell>
          <cell r="C300" t="str">
            <v>ת"א מרכז-הזנת תאורת חירום ז"י באמ. ממיר</v>
          </cell>
          <cell r="D300">
            <v>46751</v>
          </cell>
        </row>
        <row r="301">
          <cell r="A301" t="str">
            <v>WBM-10045</v>
          </cell>
          <cell r="B301" t="str">
            <v>ת''א מרכז</v>
          </cell>
          <cell r="C301" t="str">
            <v>ת"א מרכז - התקנת  רושם הפרעות 161 ק"ו</v>
          </cell>
          <cell r="D301">
            <v>46568</v>
          </cell>
        </row>
        <row r="302">
          <cell r="A302" t="str">
            <v>WBM-01215</v>
          </cell>
          <cell r="B302" t="str">
            <v>ת''א מרכז</v>
          </cell>
          <cell r="C302" t="str">
            <v>ת"א מרכז -הוספת הגנות פ"צ וכשל המפסק</v>
          </cell>
          <cell r="D302">
            <v>46934</v>
          </cell>
        </row>
        <row r="303">
          <cell r="A303" t="str">
            <v>WBM-00623</v>
          </cell>
          <cell r="B303" t="str">
            <v>ת''א מרכז</v>
          </cell>
          <cell r="C303" t="str">
            <v>ת"א מרכז- בוטל - התקנת הגנת BFP ב-8 מסדרי מ"ג</v>
          </cell>
        </row>
        <row r="304">
          <cell r="A304" t="str">
            <v>WBM-60077</v>
          </cell>
          <cell r="B304" t="str">
            <v>ת''א מרכז</v>
          </cell>
          <cell r="C304" t="str">
            <v>ת"א מרכז-בוטל - פתיחת פתח תקני למאגר מים תת  קר</v>
          </cell>
        </row>
        <row r="305">
          <cell r="A305" t="str">
            <v>WBM-00781</v>
          </cell>
          <cell r="B305" t="str">
            <v>ת''א מרכז</v>
          </cell>
          <cell r="C305" t="str">
            <v>ת"א מרכז-השלמת סידורי בטיחות נגד אש</v>
          </cell>
          <cell r="D305">
            <v>43997</v>
          </cell>
        </row>
        <row r="306">
          <cell r="A306" t="str">
            <v>WBG-115-006</v>
          </cell>
          <cell r="B306" t="str">
            <v>ת''א מרכז</v>
          </cell>
          <cell r="C306" t="str">
            <v>ת"א מרכז-הקמת רשת מחשבים תפעולית</v>
          </cell>
          <cell r="D306">
            <v>40979</v>
          </cell>
        </row>
        <row r="307">
          <cell r="A307" t="str">
            <v>WBM-00621</v>
          </cell>
          <cell r="B307" t="str">
            <v>ת''א מרכז</v>
          </cell>
          <cell r="C307" t="str">
            <v>ת"א מרכז-בוטל-התקנת מערכת ניטור מקוונת</v>
          </cell>
          <cell r="D307">
            <v>41249</v>
          </cell>
        </row>
        <row r="308">
          <cell r="A308" t="str">
            <v>WBE-183</v>
          </cell>
          <cell r="B308" t="str">
            <v>ת''א מרכז</v>
          </cell>
          <cell r="C308" t="str">
            <v>ת"א מרכז-התקנת שנאי רביעי 161/13.8/13.8 ק"ו 56 מגוו"א</v>
          </cell>
          <cell r="D308">
            <v>47118</v>
          </cell>
        </row>
        <row r="309">
          <cell r="A309" t="str">
            <v>WBM-00885-099</v>
          </cell>
          <cell r="B309" t="str">
            <v>ת''א מרכז</v>
          </cell>
          <cell r="C309" t="str">
            <v>ת"א מרכז - מאגר מים וצנרת היקפית</v>
          </cell>
          <cell r="D309">
            <v>46387</v>
          </cell>
        </row>
        <row r="310">
          <cell r="A310" t="str">
            <v>WBM-60092-020</v>
          </cell>
          <cell r="B310" t="str">
            <v>ת''א מרכז</v>
          </cell>
          <cell r="C310" t="str">
            <v>ת"א מרכז -בדיקות/טיפול/פינוי מכלי אש בגז</v>
          </cell>
          <cell r="D310">
            <v>46387</v>
          </cell>
        </row>
        <row r="311">
          <cell r="A311" t="str">
            <v>WBM-60100-011</v>
          </cell>
          <cell r="B311" t="str">
            <v>ת''א מרכז</v>
          </cell>
          <cell r="C311" t="str">
            <v>ת"א מרכז -  החלפת ברזי זרימה של מע' כבוי</v>
          </cell>
          <cell r="D311">
            <v>45540</v>
          </cell>
        </row>
        <row r="312">
          <cell r="A312" t="str">
            <v>WBM-60119-004</v>
          </cell>
          <cell r="B312" t="str">
            <v>ת''א מרכז</v>
          </cell>
          <cell r="C312" t="str">
            <v>ת"א מרכז - בוטל - החלפת גלאי קרן בגלאים</v>
          </cell>
          <cell r="D312">
            <v>46196</v>
          </cell>
        </row>
        <row r="313">
          <cell r="A313" t="str">
            <v>WBM-60205-001</v>
          </cell>
          <cell r="B313" t="str">
            <v>ת''א מרכז</v>
          </cell>
          <cell r="C313" t="str">
            <v>ת"א מרכז - ניטור הצפות</v>
          </cell>
          <cell r="D313">
            <v>46196</v>
          </cell>
        </row>
        <row r="314">
          <cell r="A314" t="str">
            <v>0242982</v>
          </cell>
          <cell r="B314" t="str">
            <v>ת''א מזרח</v>
          </cell>
          <cell r="C314" t="str">
            <v>ת"א מזרח</v>
          </cell>
          <cell r="D314">
            <v>42916</v>
          </cell>
        </row>
        <row r="315">
          <cell r="A315" t="str">
            <v>HIS-038</v>
          </cell>
          <cell r="B315" t="str">
            <v>ת''א מזרח</v>
          </cell>
          <cell r="C315" t="str">
            <v>ת"א מזרח</v>
          </cell>
          <cell r="D315">
            <v>40908</v>
          </cell>
        </row>
        <row r="316">
          <cell r="A316" t="str">
            <v>824205-ST2</v>
          </cell>
          <cell r="B316" t="str">
            <v>ת''א מזרח</v>
          </cell>
          <cell r="C316" t="str">
            <v>ת"א מזרח-פירוק הגנת מרחק שניה בשדה 8</v>
          </cell>
          <cell r="D316">
            <v>41364</v>
          </cell>
        </row>
        <row r="317">
          <cell r="A317" t="str">
            <v>WDA-1-02-15-24</v>
          </cell>
          <cell r="B317" t="str">
            <v>ת''א מזרח</v>
          </cell>
          <cell r="C317" t="str">
            <v>ת"א מזרח-החלפת יחידת קצה של פיקוח ארצי</v>
          </cell>
          <cell r="D317">
            <v>42894</v>
          </cell>
        </row>
        <row r="318">
          <cell r="A318" t="str">
            <v>WBE-102-ST3</v>
          </cell>
          <cell r="B318" t="str">
            <v>ת''א מזרח</v>
          </cell>
          <cell r="C318" t="str">
            <v>ת"א מזרח--הוצאה מניצול של  התחמ"ש</v>
          </cell>
          <cell r="D318">
            <v>44349</v>
          </cell>
        </row>
        <row r="319">
          <cell r="A319" t="str">
            <v>WBM-00618</v>
          </cell>
          <cell r="B319" t="str">
            <v>ת''א מזרח</v>
          </cell>
          <cell r="C319" t="str">
            <v>ת"א מזרח--בוטל-שולב-פירוק התחמ"ש</v>
          </cell>
          <cell r="D319">
            <v>43665</v>
          </cell>
        </row>
        <row r="320">
          <cell r="A320">
            <v>542130</v>
          </cell>
          <cell r="B320" t="str">
            <v>ת''א מזרח</v>
          </cell>
          <cell r="C320" t="str">
            <v>ת"א מזרח-התקנת מאווררים בארונות פיקוד</v>
          </cell>
          <cell r="D320">
            <v>40311</v>
          </cell>
        </row>
        <row r="321">
          <cell r="A321" t="str">
            <v>WBM-01070</v>
          </cell>
          <cell r="B321" t="str">
            <v>ת''א מזרח</v>
          </cell>
          <cell r="C321" t="str">
            <v>ת"א מזרח-יישום נגד ראשוני בשנאי 521</v>
          </cell>
          <cell r="D321">
            <v>43222</v>
          </cell>
        </row>
        <row r="322">
          <cell r="A322" t="str">
            <v>WBM-01125</v>
          </cell>
          <cell r="B322" t="str">
            <v>ת''א מזרח</v>
          </cell>
          <cell r="C322" t="str">
            <v>ת"א מזרח-יישום נגד ראשוני במקום ס.כיבוי</v>
          </cell>
          <cell r="D322">
            <v>43222</v>
          </cell>
        </row>
        <row r="323">
          <cell r="A323" t="str">
            <v>WBM-10065</v>
          </cell>
          <cell r="B323" t="str">
            <v>ת''א מזרח</v>
          </cell>
          <cell r="C323" t="str">
            <v>ת"א מזרח - בוטל-החלפת גשרי דיודות</v>
          </cell>
          <cell r="D323">
            <v>43769</v>
          </cell>
        </row>
        <row r="324">
          <cell r="A324">
            <v>542134</v>
          </cell>
          <cell r="B324" t="str">
            <v>ת''א מזרח</v>
          </cell>
          <cell r="C324" t="str">
            <v>ת"א מזרח-החלפת גשרי דיודות</v>
          </cell>
          <cell r="D324">
            <v>42277</v>
          </cell>
        </row>
        <row r="325">
          <cell r="A325">
            <v>542108</v>
          </cell>
          <cell r="B325" t="str">
            <v>ת''א מזרח</v>
          </cell>
          <cell r="C325" t="str">
            <v>ת"א מזרח-התקנת יחידת ממסר מהיר במקשר 161</v>
          </cell>
          <cell r="D325">
            <v>38137</v>
          </cell>
        </row>
        <row r="326">
          <cell r="A326" t="str">
            <v>WBM-00776</v>
          </cell>
          <cell r="B326" t="str">
            <v>ת''א מזרח</v>
          </cell>
          <cell r="C326" t="str">
            <v>ת"א מזרח-פיילוט-התקנת מערכת גדר אלקטרוני</v>
          </cell>
          <cell r="D326">
            <v>41835</v>
          </cell>
        </row>
        <row r="327">
          <cell r="A327">
            <v>542120</v>
          </cell>
          <cell r="B327" t="str">
            <v>ת''א מזרח</v>
          </cell>
          <cell r="C327" t="str">
            <v>ת"א מזרח-התקנת רכזת התראה בטחונית</v>
          </cell>
          <cell r="D327">
            <v>39051</v>
          </cell>
        </row>
        <row r="328">
          <cell r="A328" t="str">
            <v>WBM-00652</v>
          </cell>
          <cell r="B328" t="str">
            <v>ת''א מזרח</v>
          </cell>
          <cell r="C328" t="str">
            <v>ת"א מזרח - קשר בין הגנות לאיילון</v>
          </cell>
          <cell r="D328">
            <v>42180</v>
          </cell>
        </row>
        <row r="329">
          <cell r="A329" t="str">
            <v>WBM-01216</v>
          </cell>
          <cell r="B329" t="str">
            <v>ת''א מזרח</v>
          </cell>
          <cell r="C329" t="str">
            <v>ת"א מזרח-החלפת רושמי הפרעות INDACTIC</v>
          </cell>
          <cell r="D329">
            <v>43345</v>
          </cell>
        </row>
        <row r="330">
          <cell r="A330" t="str">
            <v>WBM-01288</v>
          </cell>
          <cell r="B330" t="str">
            <v>ת''א מזרח</v>
          </cell>
          <cell r="C330" t="str">
            <v>ת"א מזרח-בוטל-חיבור ישיר של שנאי הארקה</v>
          </cell>
          <cell r="D330">
            <v>42915</v>
          </cell>
        </row>
        <row r="331">
          <cell r="A331" t="str">
            <v>WBM-00898</v>
          </cell>
          <cell r="B331" t="str">
            <v>ת''א מזרח</v>
          </cell>
          <cell r="C331" t="str">
            <v>ת"א מזרח - קשר בין הגנות לגן שורק</v>
          </cell>
          <cell r="D331">
            <v>42704</v>
          </cell>
        </row>
        <row r="332">
          <cell r="A332" t="str">
            <v>WBM-00956</v>
          </cell>
          <cell r="B332" t="str">
            <v>ת''א מזרח</v>
          </cell>
          <cell r="C332" t="str">
            <v>ת"א מזרח-יצירת קשר ביון הגנות לאיילון</v>
          </cell>
          <cell r="D332">
            <v>42366</v>
          </cell>
        </row>
        <row r="333">
          <cell r="A333" t="str">
            <v>WBG-114-027</v>
          </cell>
          <cell r="B333" t="str">
            <v>ת''א מזרח</v>
          </cell>
          <cell r="C333" t="str">
            <v>ת"א מזרח-התקנת הגנה הפרשית בשדה 22</v>
          </cell>
          <cell r="D333">
            <v>41338</v>
          </cell>
        </row>
        <row r="334">
          <cell r="A334" t="str">
            <v>WBG-114-021</v>
          </cell>
          <cell r="B334" t="str">
            <v>ת''א מזרח</v>
          </cell>
          <cell r="C334" t="str">
            <v>ת"א מזרח-החלפת מערכת גילוי וכיבוי אש</v>
          </cell>
          <cell r="D334">
            <v>41274</v>
          </cell>
        </row>
        <row r="335">
          <cell r="A335" t="str">
            <v>WBG-114-019</v>
          </cell>
          <cell r="B335" t="str">
            <v>ת''א מזרח</v>
          </cell>
          <cell r="C335" t="str">
            <v>ת"א מזרח-הקמת רשת מחשבים תפעולית</v>
          </cell>
          <cell r="D335">
            <v>41198</v>
          </cell>
        </row>
        <row r="336">
          <cell r="A336" t="str">
            <v>WBM-40269</v>
          </cell>
          <cell r="B336" t="str">
            <v>ת''א מזרח</v>
          </cell>
          <cell r="C336" t="str">
            <v>ת"א מזרח-בוטל-הוספת הגנות פ"צ וכשל המפסק</v>
          </cell>
          <cell r="D336">
            <v>43405</v>
          </cell>
        </row>
        <row r="337">
          <cell r="A337" t="str">
            <v>WBM-00620</v>
          </cell>
          <cell r="B337" t="str">
            <v>ת''א מזרח</v>
          </cell>
          <cell r="C337" t="str">
            <v>ת"א מזרח--בוטל-ביטול ח"ח מרחוק  בפ"צ 5</v>
          </cell>
          <cell r="D337">
            <v>39647</v>
          </cell>
        </row>
        <row r="338">
          <cell r="A338" t="str">
            <v>WBM-00619</v>
          </cell>
          <cell r="B338" t="str">
            <v>ת''א מזרח</v>
          </cell>
          <cell r="C338" t="str">
            <v>ת"א מזרח-בוטל-הזנת תאורת חירום ז"י</v>
          </cell>
          <cell r="D338">
            <v>41249</v>
          </cell>
        </row>
        <row r="339">
          <cell r="A339" t="str">
            <v>WBM-40479-059</v>
          </cell>
          <cell r="B339" t="str">
            <v>ת''א מזרח</v>
          </cell>
          <cell r="C339" t="str">
            <v>ת"א מזרח- בוטל- החלפת 4 בקרי טמפ' וגובה שמן</v>
          </cell>
        </row>
        <row r="340">
          <cell r="A340" t="str">
            <v>HIS-037</v>
          </cell>
          <cell r="B340" t="str">
            <v>ת''א דרום</v>
          </cell>
          <cell r="C340" t="str">
            <v>ת"א דרום</v>
          </cell>
          <cell r="D340">
            <v>40908</v>
          </cell>
        </row>
        <row r="341">
          <cell r="A341">
            <v>541817</v>
          </cell>
          <cell r="B341" t="str">
            <v>ת''א דרום</v>
          </cell>
          <cell r="C341" t="str">
            <v>ת"א דרום-התקנת מאווררים בארונות פיקוד</v>
          </cell>
          <cell r="D341">
            <v>40311</v>
          </cell>
        </row>
        <row r="342">
          <cell r="A342" t="str">
            <v>WBM-10098</v>
          </cell>
          <cell r="B342" t="str">
            <v>ת''א דרום</v>
          </cell>
          <cell r="C342" t="str">
            <v>ת"א דרום -בוטל- התקנת מערכת ממירים ז"י</v>
          </cell>
          <cell r="D342">
            <v>43555</v>
          </cell>
        </row>
        <row r="343">
          <cell r="A343">
            <v>541811</v>
          </cell>
          <cell r="B343" t="str">
            <v>ת''א דרום</v>
          </cell>
          <cell r="C343" t="str">
            <v>ת"א דרום-החלפת רכזת התראה בטחונית</v>
          </cell>
          <cell r="D343">
            <v>39659</v>
          </cell>
        </row>
        <row r="344">
          <cell r="A344" t="str">
            <v>WBM-00617</v>
          </cell>
          <cell r="B344" t="str">
            <v>ת''א דרום</v>
          </cell>
          <cell r="C344" t="str">
            <v>ת"א דרום-הזנת תאורת חירום ז"י.</v>
          </cell>
          <cell r="D344">
            <v>46751</v>
          </cell>
        </row>
        <row r="345">
          <cell r="A345" t="str">
            <v>WBM-40194</v>
          </cell>
          <cell r="B345" t="str">
            <v>ת''א דרום</v>
          </cell>
          <cell r="C345" t="str">
            <v>ת"א דרום-החלפת שנאי 512, 56 מגוו"א</v>
          </cell>
          <cell r="D345">
            <v>46843</v>
          </cell>
        </row>
        <row r="346">
          <cell r="A346">
            <v>51040015</v>
          </cell>
          <cell r="B346" t="str">
            <v>ת''א דרום</v>
          </cell>
          <cell r="C346" t="str">
            <v>ת"א דרום-שדרוג מערכת פיקוד ובקרה</v>
          </cell>
          <cell r="D346">
            <v>42916</v>
          </cell>
        </row>
        <row r="347">
          <cell r="A347" t="str">
            <v>WBM-40482</v>
          </cell>
          <cell r="B347" t="str">
            <v>ת''א דרום</v>
          </cell>
          <cell r="C347" t="str">
            <v>ת"א דרום - בוטל- החלפת שרשרות מבודדים</v>
          </cell>
          <cell r="D347">
            <v>44168</v>
          </cell>
        </row>
        <row r="348">
          <cell r="A348" t="str">
            <v>WBM-00885-098</v>
          </cell>
          <cell r="B348" t="str">
            <v>ת''א דרום</v>
          </cell>
          <cell r="C348" t="str">
            <v>תא דרום תיקון מערכת המים</v>
          </cell>
          <cell r="D348">
            <v>45678</v>
          </cell>
        </row>
        <row r="349">
          <cell r="A349" t="str">
            <v>WBM-10315-026</v>
          </cell>
          <cell r="B349" t="str">
            <v>ת''א דרום</v>
          </cell>
          <cell r="C349" t="str">
            <v>תל אביב דרום - החלפת מזגנים</v>
          </cell>
          <cell r="D349">
            <v>45740</v>
          </cell>
        </row>
        <row r="350">
          <cell r="A350" t="str">
            <v>WBM-60107-020</v>
          </cell>
          <cell r="B350" t="str">
            <v>ת''א דרום</v>
          </cell>
          <cell r="C350" t="str">
            <v>ת"א דרום - החלפת מנעולים אלק.מגנטיים באל</v>
          </cell>
          <cell r="D350">
            <v>45627</v>
          </cell>
        </row>
        <row r="351">
          <cell r="A351" t="str">
            <v>WBM-60130-074</v>
          </cell>
          <cell r="B351" t="str">
            <v>ת''א דרום</v>
          </cell>
          <cell r="C351" t="str">
            <v>תל אביב דרום - התקנת מפסק פטריה להפסקת מערכת החשמל בחירום</v>
          </cell>
          <cell r="D351">
            <v>46568</v>
          </cell>
        </row>
        <row r="352">
          <cell r="A352" t="str">
            <v>WBM-40629-007</v>
          </cell>
          <cell r="B352" t="str">
            <v>ת''א דרום</v>
          </cell>
          <cell r="C352" t="str">
            <v>ת"א דרום-  החלפת מבדדי 161 ק"ו של שנאי הספק</v>
          </cell>
          <cell r="D352">
            <v>46387</v>
          </cell>
        </row>
        <row r="353">
          <cell r="A353" t="str">
            <v>WBM-60205-007</v>
          </cell>
          <cell r="B353" t="str">
            <v>ת''א דרום</v>
          </cell>
          <cell r="C353" t="str">
            <v>ת"א דרום - ניטור הצפות</v>
          </cell>
          <cell r="D353">
            <v>46175</v>
          </cell>
        </row>
        <row r="354">
          <cell r="A354" t="str">
            <v>WBM-10747</v>
          </cell>
          <cell r="B354" t="str">
            <v>ת''א דרום</v>
          </cell>
          <cell r="C354" t="str">
            <v>ת"א דרום - משיק לבת ים שדה 1, התקנת הגנת מרחק  בשדה 9  ויישום דרך קשר אופטית בין הגנות</v>
          </cell>
          <cell r="D354">
            <v>46326</v>
          </cell>
        </row>
        <row r="355">
          <cell r="A355" t="str">
            <v>WBM-10749</v>
          </cell>
          <cell r="B355" t="str">
            <v>ת''א דרום</v>
          </cell>
          <cell r="C355" t="str">
            <v>ת"א דרום- משיק לבת ים שדה 1, התקנת הגנה דיפרנציאלית ויישום דרך קשר אופטית בין הגנות</v>
          </cell>
          <cell r="D355">
            <v>46190</v>
          </cell>
        </row>
        <row r="356">
          <cell r="A356" t="str">
            <v>WBD-092</v>
          </cell>
          <cell r="B356" t="str">
            <v>שרון ניידת</v>
          </cell>
          <cell r="C356" t="str">
            <v>שרון ניידת-הצבת תחמ"ש ניידת</v>
          </cell>
          <cell r="D356">
            <v>46078</v>
          </cell>
        </row>
        <row r="357">
          <cell r="B357" t="str">
            <v>שרון ניידת</v>
          </cell>
          <cell r="C357" t="str">
            <v>שרון ניידת - בוטל - פירוק תחמ"ש ניידת</v>
          </cell>
        </row>
        <row r="358">
          <cell r="A358" t="str">
            <v>WBD-092-ST2</v>
          </cell>
          <cell r="B358" t="str">
            <v>שרון ניידת</v>
          </cell>
          <cell r="C358" t="str">
            <v>שרון ניידת-פירוק תחמ"ש ניידת</v>
          </cell>
          <cell r="D358">
            <v>47664</v>
          </cell>
        </row>
        <row r="359">
          <cell r="A359" t="str">
            <v>WCQ-8-00-01215</v>
          </cell>
          <cell r="B359" t="str">
            <v>שרון 2802</v>
          </cell>
          <cell r="C359" t="str">
            <v>יציאות מתחמ"ש איל</v>
          </cell>
          <cell r="D359">
            <v>45412</v>
          </cell>
        </row>
        <row r="360">
          <cell r="A360" t="str">
            <v>WCQ-8-00-01216</v>
          </cell>
          <cell r="B360" t="str">
            <v>שרון 2802</v>
          </cell>
          <cell r="C360" t="str">
            <v>יציאות מתחמ"ש הוד-השרון</v>
          </cell>
          <cell r="D360">
            <v>46376</v>
          </cell>
        </row>
        <row r="361">
          <cell r="A361" t="str">
            <v>WCQ-8-00-01217</v>
          </cell>
          <cell r="B361" t="str">
            <v>שרון 2802</v>
          </cell>
          <cell r="C361" t="str">
            <v>יציאות מתחמ"ש שפיים</v>
          </cell>
          <cell r="D361">
            <v>46326</v>
          </cell>
        </row>
        <row r="362">
          <cell r="A362" t="str">
            <v>WCQ-8-00-01218</v>
          </cell>
          <cell r="B362" t="str">
            <v>שרון 2802</v>
          </cell>
          <cell r="C362" t="str">
            <v>יציאות מתחמ"ש תנובות</v>
          </cell>
          <cell r="D362">
            <v>46091</v>
          </cell>
        </row>
        <row r="363">
          <cell r="A363" t="str">
            <v>WCQ-8-00-01257</v>
          </cell>
          <cell r="B363" t="str">
            <v>שרון 2802</v>
          </cell>
          <cell r="C363" t="str">
            <v>יציאות מתחמ"ש הרצליה - נפת שרון</v>
          </cell>
          <cell r="D363">
            <v>45808</v>
          </cell>
        </row>
        <row r="364">
          <cell r="A364" t="str">
            <v>WCU-8-00-01179</v>
          </cell>
          <cell r="B364" t="str">
            <v>שרון 2802</v>
          </cell>
          <cell r="C364" t="str">
            <v>עע"א הטמנת רשת מ"ג בכביש 2</v>
          </cell>
          <cell r="D364">
            <v>45565</v>
          </cell>
        </row>
        <row r="365">
          <cell r="A365" t="str">
            <v>WCU-8-00-01220</v>
          </cell>
          <cell r="B365" t="str">
            <v>שרון 2802</v>
          </cell>
          <cell r="C365" t="str">
            <v>עע"א הטמנת קוי מ"ג בכביש 4</v>
          </cell>
          <cell r="D365">
            <v>46574</v>
          </cell>
        </row>
        <row r="366">
          <cell r="A366" t="str">
            <v>WHP-8-00-01183</v>
          </cell>
          <cell r="B366" t="str">
            <v>שרון 2802</v>
          </cell>
          <cell r="C366" t="str">
            <v>ייצור מבוזר; מ"ב שרון</v>
          </cell>
          <cell r="D366">
            <v>49340</v>
          </cell>
        </row>
        <row r="367">
          <cell r="A367" t="str">
            <v>WHP-8-00-01260</v>
          </cell>
          <cell r="B367" t="str">
            <v>שרון 2802</v>
          </cell>
          <cell r="C367" t="str">
            <v>רכבת קלה קו ירוק - נפת שרון</v>
          </cell>
          <cell r="D367">
            <v>45596</v>
          </cell>
        </row>
        <row r="368">
          <cell r="A368" t="str">
            <v>WHP-8-00-01269</v>
          </cell>
          <cell r="B368" t="str">
            <v>שרון 2802</v>
          </cell>
          <cell r="C368" t="str">
            <v>שכונת גליל ים מתחם ב הרצליה</v>
          </cell>
          <cell r="D368">
            <v>44924</v>
          </cell>
        </row>
        <row r="369">
          <cell r="A369" t="str">
            <v>WHP-8-00-01273</v>
          </cell>
          <cell r="B369" t="str">
            <v>שרון 2802</v>
          </cell>
          <cell r="C369" t="str">
            <v>שכונת הרי גרינטל נתניה</v>
          </cell>
          <cell r="D369">
            <v>46752</v>
          </cell>
        </row>
        <row r="370">
          <cell r="A370" t="str">
            <v>WHP-8-00-01275</v>
          </cell>
          <cell r="B370" t="str">
            <v>שרון 2802</v>
          </cell>
          <cell r="C370" t="str">
            <v>המע"ר החדש נת 542 א - נתניה</v>
          </cell>
          <cell r="D370">
            <v>49674</v>
          </cell>
        </row>
        <row r="371">
          <cell r="A371" t="str">
            <v>WHP-8-00-01283</v>
          </cell>
          <cell r="B371" t="str">
            <v>שרון 2802</v>
          </cell>
          <cell r="C371" t="str">
            <v>שכונת קריית המדע- נתניה</v>
          </cell>
          <cell r="D371">
            <v>46752</v>
          </cell>
        </row>
        <row r="372">
          <cell r="A372" t="str">
            <v>WHT-8-00-01184</v>
          </cell>
          <cell r="B372" t="str">
            <v>שרון 2802</v>
          </cell>
          <cell r="C372" t="str">
            <v>בטיחות; שרון</v>
          </cell>
          <cell r="D372">
            <v>48579</v>
          </cell>
        </row>
        <row r="373">
          <cell r="A373" t="str">
            <v>WCS-8-00-00807</v>
          </cell>
          <cell r="B373" t="str">
            <v>שרון 2802</v>
          </cell>
          <cell r="C373" t="str">
            <v>חידוש רשת-אמינות; מ"ב שרון</v>
          </cell>
          <cell r="D373">
            <v>49310</v>
          </cell>
        </row>
        <row r="374">
          <cell r="A374" t="str">
            <v>WHP-8-00-01244</v>
          </cell>
          <cell r="B374" t="str">
            <v>שרון 2802</v>
          </cell>
          <cell r="C374" t="str">
            <v>אספקה וחיבור חשמל לרכב חשמלי - נפת שרון</v>
          </cell>
          <cell r="D374">
            <v>49674</v>
          </cell>
        </row>
        <row r="375">
          <cell r="A375" t="str">
            <v>WHP-8-00-01354</v>
          </cell>
          <cell r="B375" t="str">
            <v>שרון 2802</v>
          </cell>
          <cell r="C375" t="str">
            <v>שכונת המאה רעננה; שרון</v>
          </cell>
          <cell r="D375">
            <v>46778</v>
          </cell>
        </row>
        <row r="376">
          <cell r="A376" t="str">
            <v>WHP-8-00-01360</v>
          </cell>
          <cell r="B376" t="str">
            <v>שרון 2802</v>
          </cell>
          <cell r="C376" t="str">
            <v>שערי גודש - נפת שרון</v>
          </cell>
          <cell r="D376">
            <v>45838</v>
          </cell>
        </row>
        <row r="377">
          <cell r="A377" t="str">
            <v>WHP-8-00-01391</v>
          </cell>
          <cell r="B377" t="str">
            <v>שרון 2802</v>
          </cell>
          <cell r="C377" t="str">
            <v>מטרו M1- מרכז ביצוע שרון</v>
          </cell>
          <cell r="D377">
            <v>49309</v>
          </cell>
        </row>
        <row r="378">
          <cell r="A378" t="str">
            <v>WCS-8-00-01333</v>
          </cell>
          <cell r="B378" t="str">
            <v>שרון 2802</v>
          </cell>
          <cell r="C378" t="str">
            <v>מיגון רכיבי רשת להגנה על הציפורים- שרון</v>
          </cell>
          <cell r="D378">
            <v>46387</v>
          </cell>
        </row>
        <row r="379">
          <cell r="A379" t="str">
            <v>WHP-8-00-01374</v>
          </cell>
          <cell r="B379" t="str">
            <v>שרון 2802</v>
          </cell>
          <cell r="C379" t="str">
            <v>שכונת חוף הזהב נתניה</v>
          </cell>
          <cell r="D379">
            <v>47514</v>
          </cell>
        </row>
        <row r="380">
          <cell r="A380" t="str">
            <v>WCS-8-00-01400</v>
          </cell>
          <cell r="B380" t="str">
            <v>שרון 2802</v>
          </cell>
          <cell r="C380" t="str">
            <v>אמינות תוספתי - שרון</v>
          </cell>
          <cell r="D380">
            <v>48579</v>
          </cell>
        </row>
        <row r="381">
          <cell r="A381" t="str">
            <v>WCS-8-00-01406</v>
          </cell>
          <cell r="B381" t="str">
            <v>שרון 2802</v>
          </cell>
          <cell r="C381" t="str">
            <v>אמינות חידוש - שרון</v>
          </cell>
          <cell r="D381">
            <v>48579</v>
          </cell>
        </row>
        <row r="382">
          <cell r="A382" t="str">
            <v>WCQ-8-00-01418</v>
          </cell>
          <cell r="B382" t="str">
            <v>שרון 2802</v>
          </cell>
          <cell r="C382" t="str">
            <v>יציאות מתחמ"ש יהלום</v>
          </cell>
          <cell r="D382">
            <v>46324</v>
          </cell>
        </row>
        <row r="383">
          <cell r="A383" t="str">
            <v>WHP-8-00-01420</v>
          </cell>
          <cell r="B383" t="str">
            <v>שרון 2802</v>
          </cell>
          <cell r="C383" t="str">
            <v>מתחם הבננה -נתניה</v>
          </cell>
          <cell r="D383">
            <v>46783</v>
          </cell>
        </row>
        <row r="384">
          <cell r="A384" t="str">
            <v>WHP-8-00-01424</v>
          </cell>
          <cell r="B384" t="str">
            <v>שרון 2802</v>
          </cell>
          <cell r="C384" t="str">
            <v>העתקת תשתיות להכפלת מסילת החוף- שרון</v>
          </cell>
          <cell r="D384">
            <v>46752</v>
          </cell>
        </row>
        <row r="385">
          <cell r="A385" t="str">
            <v>WHP-8-00-01454</v>
          </cell>
          <cell r="B385" t="str">
            <v>שרון 2802</v>
          </cell>
          <cell r="C385" t="str">
            <v>שכונת קריית הצעירים כפר סבא</v>
          </cell>
          <cell r="D385">
            <v>47483</v>
          </cell>
        </row>
        <row r="386">
          <cell r="A386" t="str">
            <v>WCQ-8-00-01470</v>
          </cell>
          <cell r="B386" t="str">
            <v>שרון 2802</v>
          </cell>
          <cell r="C386" t="str">
            <v>יציאות מתחמ"ש עמק חפר</v>
          </cell>
          <cell r="D386">
            <v>46532</v>
          </cell>
        </row>
        <row r="387">
          <cell r="A387" t="str">
            <v>WCQ-8-00-01471</v>
          </cell>
          <cell r="B387" t="str">
            <v>שרון 2802</v>
          </cell>
          <cell r="C387" t="str">
            <v>יציאות מתחמ"ש אייל (תוספת)</v>
          </cell>
          <cell r="D387">
            <v>46376</v>
          </cell>
        </row>
        <row r="388">
          <cell r="A388" t="str">
            <v>WCQ-8-00-01472</v>
          </cell>
          <cell r="B388" t="str">
            <v>שרון 2802</v>
          </cell>
          <cell r="C388" t="str">
            <v>יציאות מתחמ"ש כפר סבא</v>
          </cell>
          <cell r="D388">
            <v>46474</v>
          </cell>
        </row>
        <row r="389">
          <cell r="A389" t="str">
            <v>WHP-8-00-01489</v>
          </cell>
          <cell r="B389" t="str">
            <v>שרון 2802</v>
          </cell>
          <cell r="C389" t="str">
            <v>מטרו M3- מרכז ביצוע שרון</v>
          </cell>
          <cell r="D389">
            <v>47848</v>
          </cell>
        </row>
        <row r="390">
          <cell r="A390" t="str">
            <v>WHU-8-00-01491</v>
          </cell>
          <cell r="B390" t="str">
            <v>שרון 2802</v>
          </cell>
          <cell r="C390" t="str">
            <v>כביש 4 בצרה-גבעת חן</v>
          </cell>
          <cell r="D390">
            <v>46752</v>
          </cell>
        </row>
        <row r="391">
          <cell r="A391" t="str">
            <v>WCU-8-00-01492</v>
          </cell>
          <cell r="B391" t="str">
            <v>שרון 2802</v>
          </cell>
          <cell r="C391" t="str">
            <v>כביש 4 בצרה-גבעת חן</v>
          </cell>
          <cell r="D391">
            <v>46771</v>
          </cell>
        </row>
        <row r="392">
          <cell r="A392" t="str">
            <v>WHP-8-00-99004</v>
          </cell>
          <cell r="B392" t="str">
            <v>שרון 2802</v>
          </cell>
          <cell r="C392" t="str">
            <v>מטרו M1 - מרחב שרון</v>
          </cell>
          <cell r="D392">
            <v>47118</v>
          </cell>
        </row>
        <row r="393">
          <cell r="A393" t="str">
            <v>WHP-8-00-99005</v>
          </cell>
          <cell r="B393" t="str">
            <v>שרון 2802</v>
          </cell>
          <cell r="C393" t="str">
            <v>מטרו M3 - מרחב שרון</v>
          </cell>
          <cell r="D393">
            <v>47118</v>
          </cell>
        </row>
        <row r="394">
          <cell r="A394" t="str">
            <v>WHP-8-00-01501</v>
          </cell>
          <cell r="B394" t="str">
            <v>שרון 2802</v>
          </cell>
          <cell r="C394" t="str">
            <v>הגרלה ייצור מבוזר שרון</v>
          </cell>
          <cell r="D394">
            <v>46752</v>
          </cell>
        </row>
        <row r="395">
          <cell r="A395" t="str">
            <v>WHP-8-00-01511</v>
          </cell>
          <cell r="B395" t="str">
            <v>שרון 2802</v>
          </cell>
          <cell r="C395" t="str">
            <v>שכונת שירת מרים נתניה</v>
          </cell>
          <cell r="D395">
            <v>46739</v>
          </cell>
        </row>
        <row r="396">
          <cell r="A396" t="str">
            <v>WHP-8-00-01528</v>
          </cell>
          <cell r="B396" t="str">
            <v>שרון 2802</v>
          </cell>
          <cell r="C396" t="str">
            <v>שכונת קדימה צורן מתחם A</v>
          </cell>
          <cell r="D396">
            <v>46995</v>
          </cell>
        </row>
        <row r="397">
          <cell r="A397" t="str">
            <v>WHP-8-00-01529</v>
          </cell>
          <cell r="B397" t="str">
            <v>שרון 2802</v>
          </cell>
          <cell r="C397" t="str">
            <v>שכונת קריית שחקים הרצליה</v>
          </cell>
          <cell r="D397">
            <v>46995</v>
          </cell>
        </row>
        <row r="398">
          <cell r="B398" t="str">
            <v>שרון 2802</v>
          </cell>
          <cell r="C398" t="str">
            <v>שכונת כוכב הים נתניה</v>
          </cell>
          <cell r="D398">
            <v>47117</v>
          </cell>
        </row>
        <row r="399">
          <cell r="A399" t="str">
            <v>WHP-8-00-01543</v>
          </cell>
          <cell r="B399" t="str">
            <v>שרון 2802</v>
          </cell>
          <cell r="C399" t="str">
            <v>שכונת אופק הים נתניה</v>
          </cell>
          <cell r="D399">
            <v>47118</v>
          </cell>
        </row>
        <row r="400">
          <cell r="A400" t="str">
            <v>WHP-8-00-01544</v>
          </cell>
          <cell r="B400" t="str">
            <v>שרון 2802</v>
          </cell>
          <cell r="C400" t="str">
            <v>שכונת גליל ים ג' הרצליה</v>
          </cell>
          <cell r="D400">
            <v>47118</v>
          </cell>
        </row>
        <row r="401">
          <cell r="A401" t="str">
            <v>WHP-8-00-01545</v>
          </cell>
          <cell r="B401" t="str">
            <v>שרון 2802</v>
          </cell>
          <cell r="C401" t="str">
            <v>שכונת פינוי בינוי אאורה נתניה</v>
          </cell>
          <cell r="D401">
            <v>47481</v>
          </cell>
        </row>
        <row r="402">
          <cell r="A402" t="str">
            <v>WHP-8-00-01546</v>
          </cell>
          <cell r="B402" t="str">
            <v>שרון 2802</v>
          </cell>
          <cell r="C402" t="str">
            <v>שכונת פינוי בינוי נורדאו נתניה</v>
          </cell>
          <cell r="D402">
            <v>47118</v>
          </cell>
        </row>
        <row r="403">
          <cell r="A403" t="str">
            <v>WCS-8-00-01558</v>
          </cell>
          <cell r="B403" t="str">
            <v>שרון 2802</v>
          </cell>
          <cell r="C403" t="str">
            <v>החלפת מופות מ"ג - מרחב שרון</v>
          </cell>
          <cell r="D403">
            <v>49674</v>
          </cell>
        </row>
        <row r="404">
          <cell r="A404" t="str">
            <v>WHP-8-00-01577</v>
          </cell>
          <cell r="B404" t="str">
            <v>שרון 2802</v>
          </cell>
          <cell r="C404" t="str">
            <v>שיפור שאינו תמריצים- שרון - בוטל. נפתח תקין 1583</v>
          </cell>
          <cell r="D404">
            <v>49670</v>
          </cell>
        </row>
        <row r="405">
          <cell r="A405" t="str">
            <v>WHP-8-00-01583</v>
          </cell>
          <cell r="B405" t="str">
            <v>שרון 2802</v>
          </cell>
          <cell r="C405" t="str">
            <v>שיפור שאינו תמריצים- שרון</v>
          </cell>
          <cell r="D405">
            <v>50040</v>
          </cell>
        </row>
        <row r="406">
          <cell r="A406" t="str">
            <v>WCQ-8-00-01598</v>
          </cell>
          <cell r="B406" t="str">
            <v>שרון 2802</v>
          </cell>
          <cell r="C406" t="str">
            <v>יציאות מתחמ"ש נתניה דרום</v>
          </cell>
          <cell r="D406">
            <v>46934</v>
          </cell>
        </row>
        <row r="407">
          <cell r="A407" t="str">
            <v>HIS-036</v>
          </cell>
          <cell r="B407" t="str">
            <v>שרון</v>
          </cell>
          <cell r="C407" t="str">
            <v>שרון</v>
          </cell>
          <cell r="D407">
            <v>40908</v>
          </cell>
        </row>
        <row r="408">
          <cell r="A408" t="str">
            <v>WBM-00736</v>
          </cell>
          <cell r="B408" t="str">
            <v>שרון</v>
          </cell>
          <cell r="C408" t="str">
            <v>שרון-התקנת 4 ס"ק מודלריות, 2*5 מגווא"ר</v>
          </cell>
          <cell r="D408">
            <v>46476</v>
          </cell>
        </row>
        <row r="409">
          <cell r="A409" t="str">
            <v>WBM-00323</v>
          </cell>
          <cell r="B409" t="str">
            <v>שרון</v>
          </cell>
          <cell r="C409" t="str">
            <v>שרון-בוטל-התקנת ס"ק 24 ק"ו  5*2 מגווא"ר</v>
          </cell>
          <cell r="D409">
            <v>41248</v>
          </cell>
        </row>
        <row r="410">
          <cell r="A410" t="str">
            <v>WBM-00140</v>
          </cell>
          <cell r="B410" t="str">
            <v>שרון</v>
          </cell>
          <cell r="C410" t="str">
            <v>שרון-התקנת מיכל מים ומשאבה למע.כיבוי אש.</v>
          </cell>
          <cell r="D410">
            <v>47117</v>
          </cell>
        </row>
        <row r="411">
          <cell r="A411" t="str">
            <v>WBM-40025</v>
          </cell>
          <cell r="B411" t="str">
            <v>שרון</v>
          </cell>
          <cell r="C411" t="str">
            <v>שרון - החלפת ציוד בשדות 1,2,5,6,8,9</v>
          </cell>
          <cell r="D411">
            <v>46721</v>
          </cell>
        </row>
        <row r="412">
          <cell r="A412" t="str">
            <v>WBM-00231</v>
          </cell>
          <cell r="B412" t="str">
            <v>שרון</v>
          </cell>
          <cell r="C412" t="str">
            <v>שרון-החלפת מגיני ברק מ"ג  של השנאים</v>
          </cell>
          <cell r="D412">
            <v>46691</v>
          </cell>
        </row>
        <row r="413">
          <cell r="A413" t="str">
            <v>WBM-00138</v>
          </cell>
          <cell r="B413" t="str">
            <v>שרון</v>
          </cell>
          <cell r="C413" t="str">
            <v>שרון-התקנת רושם הפרעות</v>
          </cell>
          <cell r="D413">
            <v>46477</v>
          </cell>
        </row>
        <row r="414">
          <cell r="A414" t="str">
            <v>WBM-40249</v>
          </cell>
          <cell r="B414" t="str">
            <v>שרון</v>
          </cell>
          <cell r="C414" t="str">
            <v>שרון - החלפת שרשראות מבודדים</v>
          </cell>
          <cell r="D414">
            <v>46326</v>
          </cell>
        </row>
        <row r="415">
          <cell r="A415" t="str">
            <v>WBM-10307</v>
          </cell>
          <cell r="B415" t="str">
            <v>שרון</v>
          </cell>
          <cell r="C415" t="str">
            <v>שרון-משיק לתה"ר חופית-התקנת הג.דיפ.</v>
          </cell>
          <cell r="D415">
            <v>46028</v>
          </cell>
        </row>
        <row r="416">
          <cell r="A416" t="str">
            <v>WBM-10100</v>
          </cell>
          <cell r="B416" t="str">
            <v>שרון</v>
          </cell>
          <cell r="C416" t="str">
            <v>שרון - התקנת 2 ממירים 220/60 וולט</v>
          </cell>
          <cell r="D416">
            <v>45089</v>
          </cell>
        </row>
        <row r="417">
          <cell r="A417" t="str">
            <v>WBM-01418</v>
          </cell>
          <cell r="B417" t="str">
            <v>שרון</v>
          </cell>
          <cell r="C417" t="str">
            <v>שרון -החלפת ממסר להשלת עומס</v>
          </cell>
          <cell r="D417">
            <v>44620</v>
          </cell>
        </row>
        <row r="418">
          <cell r="A418" t="str">
            <v>WBM-10124</v>
          </cell>
          <cell r="B418" t="str">
            <v>שרון</v>
          </cell>
          <cell r="C418" t="str">
            <v>שרון - כיוון אנרגיה להשלת עומס בתדר מ"ג</v>
          </cell>
          <cell r="D418">
            <v>44255</v>
          </cell>
        </row>
        <row r="419">
          <cell r="A419" t="str">
            <v>WBM-01362</v>
          </cell>
          <cell r="B419" t="str">
            <v>שרון</v>
          </cell>
          <cell r="C419" t="str">
            <v>שרון-שיפור אוטומטיקת סלילי כיבוי בתחמ"ש</v>
          </cell>
          <cell r="D419">
            <v>44200</v>
          </cell>
        </row>
        <row r="420">
          <cell r="A420" t="str">
            <v>WBM-00616</v>
          </cell>
          <cell r="B420" t="str">
            <v>שרון</v>
          </cell>
          <cell r="C420" t="str">
            <v>שרון - דרך קשר אופטי להגנת מרחק (שדה 9)</v>
          </cell>
          <cell r="D420">
            <v>42932</v>
          </cell>
        </row>
        <row r="421">
          <cell r="A421" t="str">
            <v>WBM-00701</v>
          </cell>
          <cell r="B421" t="str">
            <v>שרון</v>
          </cell>
          <cell r="C421" t="str">
            <v>שרון-הרחבת מערכת  SCS.</v>
          </cell>
          <cell r="D421">
            <v>41905</v>
          </cell>
        </row>
        <row r="422">
          <cell r="A422" t="str">
            <v>WBM-00139</v>
          </cell>
          <cell r="B422" t="str">
            <v>שרון</v>
          </cell>
          <cell r="C422" t="str">
            <v>שרון-העתקת  הגנות קווים מ"ע מלוח פיקוד.</v>
          </cell>
          <cell r="D422">
            <v>41905</v>
          </cell>
        </row>
        <row r="423">
          <cell r="A423" t="str">
            <v>WBM-00614</v>
          </cell>
          <cell r="B423" t="str">
            <v>שרון</v>
          </cell>
          <cell r="C423" t="str">
            <v>שרון-התקנת מערכת מניה.</v>
          </cell>
          <cell r="D423">
            <v>41885</v>
          </cell>
        </row>
        <row r="424">
          <cell r="A424" t="str">
            <v>WBG-112-016</v>
          </cell>
          <cell r="B424" t="str">
            <v>שרון</v>
          </cell>
          <cell r="C424" t="str">
            <v>שרון-החלפת מערכת גילוי וכיבוי אש</v>
          </cell>
          <cell r="D424">
            <v>41212</v>
          </cell>
        </row>
        <row r="425">
          <cell r="A425" t="str">
            <v>WBM-10084</v>
          </cell>
          <cell r="B425" t="str">
            <v>שרון</v>
          </cell>
          <cell r="C425" t="str">
            <v>שרון-בוטל--החלפת גשרי דיודות</v>
          </cell>
          <cell r="D425">
            <v>43768</v>
          </cell>
        </row>
        <row r="426">
          <cell r="A426">
            <v>523931</v>
          </cell>
          <cell r="B426" t="str">
            <v>שרון</v>
          </cell>
          <cell r="C426" t="str">
            <v>שרון-החלפת 2 גשרי דיודות</v>
          </cell>
          <cell r="D426">
            <v>42277</v>
          </cell>
        </row>
        <row r="427">
          <cell r="A427">
            <v>523929</v>
          </cell>
          <cell r="B427" t="str">
            <v>שרון</v>
          </cell>
          <cell r="C427" t="str">
            <v>שרון - מיגון חדר מצב לשעת חירום</v>
          </cell>
          <cell r="D427">
            <v>41229</v>
          </cell>
        </row>
        <row r="428">
          <cell r="A428">
            <v>523916</v>
          </cell>
          <cell r="B428" t="str">
            <v>שרון</v>
          </cell>
          <cell r="C428" t="str">
            <v>שרון-החלפת רכזת התראה בטחונית</v>
          </cell>
          <cell r="D428">
            <v>39782</v>
          </cell>
        </row>
        <row r="429">
          <cell r="A429" t="str">
            <v>WBM-00615</v>
          </cell>
          <cell r="B429" t="str">
            <v>שרון</v>
          </cell>
          <cell r="C429" t="str">
            <v>שרון-בוטל שיפור מערכת הארקה בתחמ"ש</v>
          </cell>
          <cell r="D429">
            <v>39798</v>
          </cell>
        </row>
        <row r="430">
          <cell r="A430">
            <v>523926</v>
          </cell>
          <cell r="B430" t="str">
            <v>שרון</v>
          </cell>
          <cell r="C430" t="str">
            <v>שרון-בוטל-התקנת מאווררים בארונות פיקוד</v>
          </cell>
          <cell r="D430">
            <v>40311</v>
          </cell>
        </row>
        <row r="431">
          <cell r="A431" t="str">
            <v>WBM-00763</v>
          </cell>
          <cell r="B431" t="str">
            <v>שרון</v>
          </cell>
          <cell r="C431" t="str">
            <v>שרון-בוטל-הקמת רשת מחשבים תפעולית</v>
          </cell>
          <cell r="D431">
            <v>40420</v>
          </cell>
        </row>
        <row r="432">
          <cell r="A432" t="str">
            <v>WBM-10406</v>
          </cell>
          <cell r="B432" t="str">
            <v>שרון</v>
          </cell>
          <cell r="C432" t="str">
            <v>שרון - החל.הגנת מרחק בדיפ.,ש.9+תקש.</v>
          </cell>
          <cell r="D432">
            <v>46027</v>
          </cell>
        </row>
        <row r="433">
          <cell r="A433" t="str">
            <v>WBM-00324</v>
          </cell>
          <cell r="B433" t="str">
            <v>שרון</v>
          </cell>
          <cell r="C433" t="str">
            <v>שרון-החלפת מנתקים והתאמת חיבורים</v>
          </cell>
          <cell r="D433">
            <v>43241</v>
          </cell>
        </row>
        <row r="434">
          <cell r="A434" t="str">
            <v>WBM-00350-053</v>
          </cell>
          <cell r="B434" t="str">
            <v>שרון</v>
          </cell>
          <cell r="C434" t="str">
            <v>שרון -  החלפת מבודד מתח גבוה תקול</v>
          </cell>
          <cell r="D434">
            <v>46203</v>
          </cell>
        </row>
        <row r="435">
          <cell r="A435" t="str">
            <v>WBM-00885-072</v>
          </cell>
          <cell r="B435" t="str">
            <v>שרון</v>
          </cell>
          <cell r="C435" t="str">
            <v>שרון - התאמת מע המים לכיבוי אש</v>
          </cell>
          <cell r="D435">
            <v>45785</v>
          </cell>
        </row>
        <row r="436">
          <cell r="A436" t="str">
            <v>WBM-01190-003</v>
          </cell>
          <cell r="B436" t="str">
            <v>שרון</v>
          </cell>
          <cell r="C436" t="str">
            <v>שרון - החלפת טבעת 92 ל- RAD</v>
          </cell>
          <cell r="D436">
            <v>46568</v>
          </cell>
        </row>
        <row r="437">
          <cell r="A437" t="str">
            <v>WBM-10456-034</v>
          </cell>
          <cell r="B437" t="str">
            <v>שרון</v>
          </cell>
          <cell r="C437" t="str">
            <v>שרון- הוספת מתמרים ב-4 פ"צ</v>
          </cell>
          <cell r="D437">
            <v>46752</v>
          </cell>
        </row>
        <row r="438">
          <cell r="A438" t="str">
            <v>WBM-40295-062</v>
          </cell>
          <cell r="B438" t="str">
            <v>שרון</v>
          </cell>
          <cell r="C438" t="str">
            <v>שרון  - החלפת סוללות מצברים</v>
          </cell>
          <cell r="D438">
            <v>46721</v>
          </cell>
        </row>
        <row r="439">
          <cell r="A439" t="str">
            <v>WBM-40479-046</v>
          </cell>
          <cell r="B439" t="str">
            <v>שרון</v>
          </cell>
          <cell r="C439" t="str">
            <v>שרון- החלפת 3 בקרי טמפ' וגובה שמן בשנאי</v>
          </cell>
          <cell r="D439">
            <v>47149</v>
          </cell>
        </row>
        <row r="440">
          <cell r="A440" t="str">
            <v>WBM-60008-065</v>
          </cell>
          <cell r="B440" t="str">
            <v>שרון</v>
          </cell>
          <cell r="C440" t="str">
            <v>שרון - מערכת טמ"ס וגדר אלקטרונית</v>
          </cell>
          <cell r="D440">
            <v>45727</v>
          </cell>
        </row>
        <row r="441">
          <cell r="A441" t="str">
            <v>WBM-60107-049</v>
          </cell>
          <cell r="B441" t="str">
            <v>שרון</v>
          </cell>
          <cell r="C441" t="str">
            <v>שרון - החלפת מנעולים אלק.מגנטיים באלק.מכ</v>
          </cell>
          <cell r="D441">
            <v>45482</v>
          </cell>
        </row>
        <row r="442">
          <cell r="A442" t="str">
            <v>WBM-60118-028</v>
          </cell>
          <cell r="B442" t="str">
            <v>שרון</v>
          </cell>
          <cell r="C442" t="str">
            <v>שרון - שיפור מערכת הארקה</v>
          </cell>
          <cell r="D442">
            <v>47118</v>
          </cell>
        </row>
        <row r="443">
          <cell r="A443" t="str">
            <v>WBM-00902-001</v>
          </cell>
          <cell r="B443" t="str">
            <v>שרון</v>
          </cell>
          <cell r="C443" t="str">
            <v>תחמש שרון- בוטל- לגליזציה</v>
          </cell>
        </row>
        <row r="444">
          <cell r="A444" t="str">
            <v>WBM-60205-032</v>
          </cell>
          <cell r="B444" t="str">
            <v>שרון</v>
          </cell>
          <cell r="C444" t="str">
            <v>שרון - ניטור הצפות</v>
          </cell>
          <cell r="D444">
            <v>46175</v>
          </cell>
        </row>
        <row r="445">
          <cell r="A445" t="str">
            <v>HIS-035</v>
          </cell>
          <cell r="B445" t="str">
            <v>שקמונה</v>
          </cell>
          <cell r="C445" t="str">
            <v>שקמונה</v>
          </cell>
          <cell r="D445">
            <v>40908</v>
          </cell>
        </row>
        <row r="446">
          <cell r="A446" t="str">
            <v>WDA-1-02-15-09</v>
          </cell>
          <cell r="B446" t="str">
            <v>שקמונה</v>
          </cell>
          <cell r="C446" t="str">
            <v>שקמונה-החלפה של יחידת קצה של פיקוח ארצי</v>
          </cell>
          <cell r="D446">
            <v>42730</v>
          </cell>
        </row>
        <row r="447">
          <cell r="A447" t="str">
            <v>WBM-01154</v>
          </cell>
          <cell r="B447" t="str">
            <v>שקמונה</v>
          </cell>
          <cell r="C447" t="str">
            <v>שקמונה -בוטל- הוספת פיקוד מרחוק לשנאי הארקה</v>
          </cell>
          <cell r="D447">
            <v>43861</v>
          </cell>
        </row>
        <row r="448">
          <cell r="A448">
            <v>522433</v>
          </cell>
          <cell r="B448" t="str">
            <v>שקמונה</v>
          </cell>
          <cell r="C448" t="str">
            <v>שקמונה-בוטל-התקנת מאווררים בארונות פיקוד</v>
          </cell>
          <cell r="D448">
            <v>40311</v>
          </cell>
        </row>
        <row r="449">
          <cell r="A449" t="str">
            <v>WBM-00134</v>
          </cell>
          <cell r="B449" t="str">
            <v>שקמונה</v>
          </cell>
          <cell r="C449" t="str">
            <v>שקמונה-בוטל-התקנת מע' מים טבעתית סגורה</v>
          </cell>
          <cell r="D449">
            <v>41249</v>
          </cell>
        </row>
        <row r="450">
          <cell r="A450" t="str">
            <v>WBM-00133</v>
          </cell>
          <cell r="B450" t="str">
            <v>שקמונה</v>
          </cell>
          <cell r="C450" t="str">
            <v>שקמונה-בוטל-השלמת מערכת כיבוי אש בשנאים</v>
          </cell>
          <cell r="D450">
            <v>41249</v>
          </cell>
        </row>
        <row r="451">
          <cell r="A451" t="str">
            <v>WBM-00611</v>
          </cell>
          <cell r="B451" t="str">
            <v>שקמונה</v>
          </cell>
          <cell r="C451" t="str">
            <v>שקמונה-בוטל-התק.הגנת BFP ב-4 מסדרי מ"ג.</v>
          </cell>
          <cell r="D451">
            <v>41249</v>
          </cell>
        </row>
        <row r="452">
          <cell r="A452" t="str">
            <v>WBM-00136</v>
          </cell>
          <cell r="B452" t="str">
            <v>שקמונה</v>
          </cell>
          <cell r="C452" t="str">
            <v>שקמונה -החלפת 4 הגנות שנאים</v>
          </cell>
          <cell r="D452">
            <v>41956</v>
          </cell>
        </row>
        <row r="453">
          <cell r="A453" t="str">
            <v>WBM-00613</v>
          </cell>
          <cell r="B453" t="str">
            <v>שקמונה</v>
          </cell>
          <cell r="C453" t="str">
            <v>שקמונה--בוטל-התקנת מע' להוצאת עשן בב.הפי</v>
          </cell>
          <cell r="D453">
            <v>40529</v>
          </cell>
        </row>
        <row r="454">
          <cell r="A454" t="str">
            <v>WBM-00806</v>
          </cell>
          <cell r="B454" t="str">
            <v>שקמונה</v>
          </cell>
          <cell r="C454" t="str">
            <v>שקמונה-בוטל-החלפת רכזת התראה בטחונית</v>
          </cell>
          <cell r="D454">
            <v>39568</v>
          </cell>
        </row>
        <row r="455">
          <cell r="A455" t="str">
            <v>WBM-40028</v>
          </cell>
          <cell r="B455" t="str">
            <v>שקמונה</v>
          </cell>
          <cell r="C455" t="str">
            <v>שקמונה -החלפת 4 מסדרי מ"ג רב שלבי</v>
          </cell>
          <cell r="D455">
            <v>46386</v>
          </cell>
        </row>
        <row r="456">
          <cell r="A456" t="str">
            <v>WBM-60072</v>
          </cell>
          <cell r="B456" t="str">
            <v>שקמונה</v>
          </cell>
          <cell r="C456" t="str">
            <v>שקמונה - עיגון ארונות פיקוד ושנאים</v>
          </cell>
          <cell r="D456">
            <v>46691</v>
          </cell>
        </row>
        <row r="457">
          <cell r="A457" t="str">
            <v>WBM-00135</v>
          </cell>
          <cell r="B457" t="str">
            <v>שקמונה</v>
          </cell>
          <cell r="C457" t="str">
            <v>שקמונה-התקנת חדר מצברים תקני</v>
          </cell>
          <cell r="D457">
            <v>46386</v>
          </cell>
        </row>
        <row r="458">
          <cell r="A458" t="str">
            <v>WBM-00697</v>
          </cell>
          <cell r="B458" t="str">
            <v>שקמונה</v>
          </cell>
          <cell r="C458" t="str">
            <v>שקמונה-בוטל- יישום הפרדת הפסקת השנאים</v>
          </cell>
          <cell r="D458">
            <v>43861</v>
          </cell>
        </row>
        <row r="459">
          <cell r="A459" t="str">
            <v>WBM-00696</v>
          </cell>
          <cell r="B459" t="str">
            <v>שקמונה</v>
          </cell>
          <cell r="C459" t="str">
            <v>בוטל-שקמונה-יישום הפסקת כבלים 161 ק"ו</v>
          </cell>
          <cell r="D459">
            <v>41248</v>
          </cell>
        </row>
        <row r="460">
          <cell r="A460" t="str">
            <v>WBM-40519</v>
          </cell>
          <cell r="B460" t="str">
            <v>שקמונה</v>
          </cell>
          <cell r="C460" t="str">
            <v>שיקמונה - שדרוג מערכת חלוקות</v>
          </cell>
          <cell r="D460">
            <v>46295</v>
          </cell>
        </row>
        <row r="461">
          <cell r="A461" t="str">
            <v>WBM-60042</v>
          </cell>
          <cell r="B461" t="str">
            <v>שקמונה</v>
          </cell>
          <cell r="C461" t="str">
            <v>שקמונה - שדרוג מערכות סרברוס לגילוי אש</v>
          </cell>
          <cell r="D461">
            <v>44054</v>
          </cell>
        </row>
        <row r="462">
          <cell r="A462" t="str">
            <v>WBG-111-010</v>
          </cell>
          <cell r="B462" t="str">
            <v>שקמונה</v>
          </cell>
          <cell r="C462" t="str">
            <v>שקמונה-התקנת רושם הפרעות</v>
          </cell>
          <cell r="D462">
            <v>41274</v>
          </cell>
        </row>
        <row r="463">
          <cell r="A463" t="str">
            <v>WBM-00910</v>
          </cell>
          <cell r="B463" t="str">
            <v>שקמונה</v>
          </cell>
          <cell r="C463" t="str">
            <v>שקמונה -בוטל-שינוי משטר נקודת האפס</v>
          </cell>
          <cell r="D463">
            <v>42031</v>
          </cell>
        </row>
        <row r="464">
          <cell r="A464" t="str">
            <v>WBM-01221</v>
          </cell>
          <cell r="B464" t="str">
            <v>שקמונה</v>
          </cell>
          <cell r="C464" t="str">
            <v>שקמונה-בוטל-החלפת שני מסדרי מ"ג</v>
          </cell>
          <cell r="D464">
            <v>42888</v>
          </cell>
        </row>
        <row r="465">
          <cell r="A465" t="str">
            <v>WBM-00137</v>
          </cell>
          <cell r="B465" t="str">
            <v>שקמונה</v>
          </cell>
          <cell r="C465" t="str">
            <v>שקמונה - בוטל- התקנת מערכת טמ"ס</v>
          </cell>
          <cell r="D465">
            <v>41789</v>
          </cell>
        </row>
        <row r="466">
          <cell r="A466" t="str">
            <v>WBM-00230</v>
          </cell>
          <cell r="B466" t="str">
            <v>שקמונה</v>
          </cell>
          <cell r="C466" t="str">
            <v>שקמונה-בוטל-התקנת מערכות ניטור גז לשנאי</v>
          </cell>
          <cell r="D466">
            <v>41155</v>
          </cell>
        </row>
        <row r="467">
          <cell r="A467" t="str">
            <v>WBG-111-020</v>
          </cell>
          <cell r="B467" t="str">
            <v>שקמונה</v>
          </cell>
          <cell r="C467" t="str">
            <v>שקמונה-השלמת הארקות לגדר רשת</v>
          </cell>
          <cell r="D467">
            <v>39902</v>
          </cell>
        </row>
        <row r="468">
          <cell r="A468" t="str">
            <v>WBM-00612</v>
          </cell>
          <cell r="B468" t="str">
            <v>שקמונה</v>
          </cell>
          <cell r="C468" t="str">
            <v>שקמונה-בוטל שיפור מערכת הארקה בתחמ"ש</v>
          </cell>
          <cell r="D468">
            <v>39798</v>
          </cell>
        </row>
        <row r="469">
          <cell r="A469" t="str">
            <v>WBG-111-004</v>
          </cell>
          <cell r="B469" t="str">
            <v>שקמונה</v>
          </cell>
          <cell r="C469" t="str">
            <v>שקמונה-התקנת מערכת ניטור מקוונת לשנאי</v>
          </cell>
          <cell r="D469">
            <v>38806</v>
          </cell>
        </row>
        <row r="470">
          <cell r="A470" t="str">
            <v>WBG-111-016</v>
          </cell>
          <cell r="B470" t="str">
            <v>שקמונה</v>
          </cell>
          <cell r="C470" t="str">
            <v>שקמונה-התקנת עגלת קצף לכיבוי אש</v>
          </cell>
          <cell r="D470">
            <v>40252</v>
          </cell>
        </row>
        <row r="471">
          <cell r="A471" t="str">
            <v>WBM-00350-033</v>
          </cell>
          <cell r="B471" t="str">
            <v>שקמונה</v>
          </cell>
          <cell r="C471" t="str">
            <v>שקמונה - תיקון שנאי 522</v>
          </cell>
          <cell r="D471">
            <v>45565</v>
          </cell>
        </row>
        <row r="472">
          <cell r="A472" t="str">
            <v>WBM-00884-020</v>
          </cell>
          <cell r="B472" t="str">
            <v>שקמונה</v>
          </cell>
          <cell r="C472" t="str">
            <v>שקמונה - החלפת מערכת גילוי וכיבוי אש כולל רכזת</v>
          </cell>
          <cell r="D472">
            <v>46386</v>
          </cell>
        </row>
        <row r="473">
          <cell r="A473" t="str">
            <v>WBM-00885-015</v>
          </cell>
          <cell r="B473" t="str">
            <v>שקמונה</v>
          </cell>
          <cell r="C473" t="str">
            <v>שקמונה - בוטל- התכולה תקבע בהתאם לבדיקת מת"י</v>
          </cell>
        </row>
        <row r="474">
          <cell r="A474" t="str">
            <v>WBM-01341-007</v>
          </cell>
          <cell r="B474" t="str">
            <v>שקמונה</v>
          </cell>
          <cell r="C474" t="str">
            <v>שקמונה - שיפוץ מסדרי GIS</v>
          </cell>
          <cell r="D474">
            <v>47664</v>
          </cell>
        </row>
        <row r="475">
          <cell r="A475" t="str">
            <v>WBM-01341-032</v>
          </cell>
          <cell r="B475" t="str">
            <v>שקמונה</v>
          </cell>
          <cell r="C475" t="str">
            <v>GIS - שקמונה</v>
          </cell>
          <cell r="D475">
            <v>47483</v>
          </cell>
        </row>
        <row r="476">
          <cell r="A476" t="str">
            <v>WBM-10101-006</v>
          </cell>
          <cell r="B476" t="str">
            <v>שקמונה</v>
          </cell>
          <cell r="C476" t="str">
            <v>שקמונה - הוספת סוללת מצברים V220  הו</v>
          </cell>
          <cell r="D476">
            <v>46721</v>
          </cell>
        </row>
        <row r="477">
          <cell r="A477" t="str">
            <v>WBM-20004-021</v>
          </cell>
          <cell r="B477" t="str">
            <v>שקמונה</v>
          </cell>
          <cell r="C477" t="str">
            <v>שקמונה - שיפור מערכת תאורה</v>
          </cell>
          <cell r="D477">
            <v>45657</v>
          </cell>
        </row>
        <row r="478">
          <cell r="A478" t="str">
            <v>WBM-40295-014</v>
          </cell>
          <cell r="B478" t="str">
            <v>שקמונה</v>
          </cell>
          <cell r="C478" t="str">
            <v>שקמונה -החלפת  2 סוללות מצברים 2021</v>
          </cell>
          <cell r="D478">
            <v>46721</v>
          </cell>
        </row>
        <row r="479">
          <cell r="A479" t="str">
            <v>WBM-60008-074</v>
          </cell>
          <cell r="B479" t="str">
            <v>שקמונה</v>
          </cell>
          <cell r="C479" t="str">
            <v>שקמונה - מערכת טמ"ס וגדר אלקטרונית</v>
          </cell>
          <cell r="D479">
            <v>46477</v>
          </cell>
        </row>
        <row r="480">
          <cell r="A480" t="str">
            <v>WBM-60118-007</v>
          </cell>
          <cell r="B480" t="str">
            <v>שקמונה</v>
          </cell>
          <cell r="C480" t="str">
            <v>שקמונה - שיפור מערכת הארקה</v>
          </cell>
          <cell r="D480">
            <v>46721</v>
          </cell>
        </row>
        <row r="481">
          <cell r="A481" t="str">
            <v>WBM-60130-048</v>
          </cell>
          <cell r="B481" t="str">
            <v>שקמונה</v>
          </cell>
          <cell r="C481" t="str">
            <v>שקמונה - התקנת מפסק פטריה להפסקת מערכת החשמל בחירום</v>
          </cell>
          <cell r="D481">
            <v>46568</v>
          </cell>
        </row>
        <row r="482">
          <cell r="A482" t="str">
            <v>WBM-40028-ST1</v>
          </cell>
          <cell r="B482" t="str">
            <v>שקמונה</v>
          </cell>
          <cell r="C482" t="str">
            <v>שקמונה - התקנת 2 מכולות והוצאה מניצול פ"צ 4 ופ"צ 1</v>
          </cell>
          <cell r="D482">
            <v>46203</v>
          </cell>
        </row>
        <row r="483">
          <cell r="A483" t="str">
            <v>WBM-40028-ST2</v>
          </cell>
          <cell r="B483" t="str">
            <v>שקמונה</v>
          </cell>
          <cell r="C483" t="str">
            <v>שקמונה - התקנת 4 מסדרי מ"ג , החלפת הגנות והוצאה מניצול פ"צ 2 ופ"צ 3</v>
          </cell>
          <cell r="D483">
            <v>46386</v>
          </cell>
        </row>
        <row r="484">
          <cell r="A484" t="str">
            <v>WBM-10620</v>
          </cell>
          <cell r="B484" t="str">
            <v>שקמונה</v>
          </cell>
          <cell r="C484" t="str">
            <v>שקמונה – התקנת הגנת פ"צ 1 חדשה</v>
          </cell>
          <cell r="D484">
            <v>46751</v>
          </cell>
        </row>
        <row r="485">
          <cell r="A485" t="str">
            <v>WBM-10621</v>
          </cell>
          <cell r="B485" t="str">
            <v>שקמונה</v>
          </cell>
          <cell r="C485" t="str">
            <v>שקמונה – התקנת הגנת פ"צ 2 חדשה</v>
          </cell>
          <cell r="D485">
            <v>47483</v>
          </cell>
        </row>
        <row r="486">
          <cell r="A486" t="str">
            <v>WBM-60202-005</v>
          </cell>
          <cell r="B486" t="str">
            <v>שקמונה</v>
          </cell>
          <cell r="C486" t="str">
            <v>שקמונה - החלפת לוח פיקוד משאבות ולוח גוקי בתחמשים</v>
          </cell>
          <cell r="D486">
            <v>46173</v>
          </cell>
        </row>
        <row r="487">
          <cell r="A487" t="str">
            <v>WBM-01063-004</v>
          </cell>
          <cell r="B487" t="str">
            <v>שקמונה</v>
          </cell>
          <cell r="C487" t="str">
            <v>שיקום מבנה תחמ"ש שיקמונה - פנים וח</v>
          </cell>
          <cell r="D487">
            <v>46387</v>
          </cell>
        </row>
        <row r="488">
          <cell r="A488" t="str">
            <v>WBM-60092-056</v>
          </cell>
          <cell r="B488" t="str">
            <v>שקמונה</v>
          </cell>
          <cell r="C488" t="str">
            <v>שיקמונה - בדיקות/טיפול/פינוי מכלי אש בגז</v>
          </cell>
          <cell r="D488">
            <v>46387</v>
          </cell>
        </row>
        <row r="489">
          <cell r="A489" t="str">
            <v>WBM-10756</v>
          </cell>
          <cell r="B489" t="str">
            <v>שקמונה</v>
          </cell>
          <cell r="C489" t="str">
            <v>שקמונה- התקנת 4 מסדרי אפס, משיק ל- WBM-40028</v>
          </cell>
          <cell r="D489">
            <v>46387</v>
          </cell>
        </row>
        <row r="490">
          <cell r="A490" t="str">
            <v>WBM-00885-156</v>
          </cell>
          <cell r="B490" t="str">
            <v>שקמונה</v>
          </cell>
          <cell r="C490" t="str">
            <v>שקמונה - תיקון מערכת מיים</v>
          </cell>
          <cell r="D490">
            <v>46092</v>
          </cell>
        </row>
        <row r="491">
          <cell r="A491" t="str">
            <v>WBM-40637-029</v>
          </cell>
          <cell r="B491" t="str">
            <v>שקמונה</v>
          </cell>
          <cell r="C491" t="str">
            <v>שקמונה - החלפת רושמי הפרעות קיימים מדגם IDM-T3 לרושמים חדשים מדגם IDM+</v>
          </cell>
          <cell r="D491">
            <v>46630</v>
          </cell>
        </row>
        <row r="492">
          <cell r="A492" t="str">
            <v>HIS-145</v>
          </cell>
          <cell r="B492" t="str">
            <v>שפרעם (ניידת)</v>
          </cell>
          <cell r="C492" t="str">
            <v>שפרעם (ניידת)</v>
          </cell>
          <cell r="D492">
            <v>40908</v>
          </cell>
        </row>
        <row r="493">
          <cell r="A493" t="str">
            <v>WBD-044</v>
          </cell>
          <cell r="B493" t="str">
            <v>שפרעם (ניידת)</v>
          </cell>
          <cell r="C493" t="str">
            <v>שפרעם ניידת - בוטל -פירוק תחמ"ש ניידת</v>
          </cell>
          <cell r="D493">
            <v>36526</v>
          </cell>
        </row>
        <row r="494">
          <cell r="A494" t="str">
            <v>WBD-001</v>
          </cell>
          <cell r="B494" t="str">
            <v>שפרעם (ניידת)</v>
          </cell>
          <cell r="C494" t="str">
            <v>שפרעם ניידת-פירוק התחמ"ש הניידת</v>
          </cell>
          <cell r="D494">
            <v>46506</v>
          </cell>
        </row>
        <row r="495">
          <cell r="A495" t="str">
            <v>WBG-144-003</v>
          </cell>
          <cell r="B495" t="str">
            <v>שפרעם (ניידת)</v>
          </cell>
          <cell r="C495" t="str">
            <v>שפרעם ניידת-התקנת מערכת מניה</v>
          </cell>
          <cell r="D495">
            <v>40755</v>
          </cell>
        </row>
        <row r="496">
          <cell r="A496" t="str">
            <v>WBM-01108</v>
          </cell>
          <cell r="B496" t="str">
            <v>שפרעם (ניידת)</v>
          </cell>
          <cell r="C496" t="str">
            <v>ניידת שפרעם-התקנת מאצרת שמן זמנית בניידת</v>
          </cell>
          <cell r="D496">
            <v>43867</v>
          </cell>
        </row>
        <row r="497">
          <cell r="A497" t="str">
            <v>WBM-00347</v>
          </cell>
          <cell r="B497" t="str">
            <v>שפרעם (ניידת)</v>
          </cell>
          <cell r="C497" t="str">
            <v>שפרעם ניידת-בוטל-התקנת מערכת להשלת עומס</v>
          </cell>
          <cell r="D497">
            <v>40340</v>
          </cell>
        </row>
        <row r="498">
          <cell r="A498" t="str">
            <v>WBD-037</v>
          </cell>
          <cell r="B498" t="str">
            <v>שפרעם (ניידת)</v>
          </cell>
          <cell r="C498" t="str">
            <v>שפרעם ניידת-התקנת מערכת להשלת עומס בתדר</v>
          </cell>
          <cell r="D498">
            <v>40340</v>
          </cell>
        </row>
        <row r="499">
          <cell r="A499" t="str">
            <v>HIS-034</v>
          </cell>
          <cell r="B499" t="str">
            <v>שפרינצק</v>
          </cell>
          <cell r="C499" t="str">
            <v>שפרינצק</v>
          </cell>
          <cell r="D499">
            <v>40908</v>
          </cell>
        </row>
        <row r="500">
          <cell r="A500" t="str">
            <v>WDA-1-02-15-21</v>
          </cell>
          <cell r="B500" t="str">
            <v>שפרינצק</v>
          </cell>
          <cell r="C500" t="str">
            <v>שפרינצק-החלפת יחידת קצה של פיקוח ארצי</v>
          </cell>
          <cell r="D500">
            <v>43966</v>
          </cell>
        </row>
        <row r="501">
          <cell r="A501">
            <v>524131</v>
          </cell>
          <cell r="B501" t="str">
            <v>שפרינצק</v>
          </cell>
          <cell r="C501" t="str">
            <v>שפרינצק-התקנת מאווררים בארונות פיקוד</v>
          </cell>
          <cell r="D501">
            <v>40311</v>
          </cell>
        </row>
        <row r="502">
          <cell r="A502" t="str">
            <v>WBM-30001</v>
          </cell>
          <cell r="B502" t="str">
            <v>שפרינצק</v>
          </cell>
          <cell r="C502" t="str">
            <v>שפרינצק-בוטל-גדר אלקטרונית (ביטחון)</v>
          </cell>
          <cell r="D502">
            <v>43094</v>
          </cell>
        </row>
        <row r="503">
          <cell r="A503" t="str">
            <v>WBG-110-011</v>
          </cell>
          <cell r="B503" t="str">
            <v>שפרינצק</v>
          </cell>
          <cell r="C503" t="str">
            <v>שפרינצק-התאמת מערכת מים לכיבוי אש למכ"ר</v>
          </cell>
          <cell r="D503">
            <v>41577</v>
          </cell>
        </row>
        <row r="504">
          <cell r="A504" t="str">
            <v>WBM-01122</v>
          </cell>
          <cell r="B504" t="str">
            <v>שפרינצק</v>
          </cell>
          <cell r="C504" t="str">
            <v>שפרינצק- יישום נגד ראשוני במקום ס.כיבוי</v>
          </cell>
          <cell r="D504">
            <v>43041</v>
          </cell>
        </row>
        <row r="505">
          <cell r="A505" t="str">
            <v>WBG-110-012</v>
          </cell>
          <cell r="B505" t="str">
            <v>שפרינצק</v>
          </cell>
          <cell r="C505" t="str">
            <v>שפרינצק-הפרדת אתראת "פליטת מימן ממצברים"</v>
          </cell>
          <cell r="D505">
            <v>40512</v>
          </cell>
        </row>
        <row r="506">
          <cell r="A506" t="str">
            <v>WBM-00766</v>
          </cell>
          <cell r="B506" t="str">
            <v>שפרינצק</v>
          </cell>
          <cell r="C506" t="str">
            <v>שפרינצק-בוטל-התקנת מערכת התראה בטחונית</v>
          </cell>
          <cell r="D506">
            <v>38928</v>
          </cell>
        </row>
        <row r="507">
          <cell r="A507" t="str">
            <v>WBM-40016</v>
          </cell>
          <cell r="B507" t="str">
            <v>שפרינצק</v>
          </cell>
          <cell r="C507" t="str">
            <v>שפרינצק - הוספת הגנות פ"צ וכשל המפסק</v>
          </cell>
          <cell r="D507">
            <v>47087</v>
          </cell>
        </row>
        <row r="508">
          <cell r="A508" t="str">
            <v>WBM-00940</v>
          </cell>
          <cell r="B508" t="str">
            <v>שפרינצק</v>
          </cell>
          <cell r="C508" t="str">
            <v>שפרינצק-עיגון 2 שנאים 45 מגוו"א.</v>
          </cell>
          <cell r="D508">
            <v>46870</v>
          </cell>
        </row>
        <row r="509">
          <cell r="A509" t="str">
            <v>WBM-00609</v>
          </cell>
          <cell r="B509" t="str">
            <v>שפרינצק</v>
          </cell>
          <cell r="C509" t="str">
            <v>שפרינצק-עיגון רצפה צפה</v>
          </cell>
          <cell r="D509">
            <v>46842</v>
          </cell>
        </row>
        <row r="510">
          <cell r="A510" t="str">
            <v>WBM-00131</v>
          </cell>
          <cell r="B510" t="str">
            <v>שפרינצק</v>
          </cell>
          <cell r="C510" t="str">
            <v>שפרינצק-התקנת רושם הפרעות</v>
          </cell>
          <cell r="D510">
            <v>46752</v>
          </cell>
        </row>
        <row r="511">
          <cell r="A511" t="str">
            <v>WBM-40014</v>
          </cell>
          <cell r="B511" t="str">
            <v>שפרינצק</v>
          </cell>
          <cell r="C511" t="str">
            <v>שפרינצק -הח הגנות שנאי DT92 בשד' 6,10</v>
          </cell>
          <cell r="D511">
            <v>46691</v>
          </cell>
        </row>
        <row r="512">
          <cell r="A512" t="str">
            <v>WBM-10223</v>
          </cell>
          <cell r="B512" t="str">
            <v>שפרינצק</v>
          </cell>
          <cell r="C512" t="str">
            <v>שפרינצק-החלפת הגנה דיפ. שדה 2</v>
          </cell>
          <cell r="D512">
            <v>44614</v>
          </cell>
        </row>
        <row r="513">
          <cell r="A513" t="str">
            <v>WBM-10126</v>
          </cell>
          <cell r="B513" t="str">
            <v>שפרינצק</v>
          </cell>
          <cell r="C513" t="str">
            <v>שפרינצק -הוספת מדידת מתח משולש פתוח לפיק</v>
          </cell>
          <cell r="D513">
            <v>44586</v>
          </cell>
        </row>
        <row r="514">
          <cell r="A514" t="str">
            <v>WBM-00132</v>
          </cell>
          <cell r="B514" t="str">
            <v>שפרינצק</v>
          </cell>
          <cell r="C514" t="str">
            <v>שפרינצק - בוטל-התקנת מערכת טמ"ס</v>
          </cell>
          <cell r="D514">
            <v>41789</v>
          </cell>
        </row>
        <row r="515">
          <cell r="A515" t="str">
            <v>WBM-00610</v>
          </cell>
          <cell r="B515" t="str">
            <v>שפרינצק</v>
          </cell>
          <cell r="C515" t="str">
            <v>שפרינצק-בוטל-שיפור מערכת הארקה בתחמ"ש</v>
          </cell>
          <cell r="D515">
            <v>39798</v>
          </cell>
        </row>
        <row r="516">
          <cell r="A516" t="str">
            <v>WBM-20004-009</v>
          </cell>
          <cell r="B516" t="str">
            <v>שפרינצק</v>
          </cell>
          <cell r="C516" t="str">
            <v>שפרינצק -  התקנת רשת ניסקו והחלפת תאורה</v>
          </cell>
          <cell r="D516">
            <v>46721</v>
          </cell>
        </row>
        <row r="517">
          <cell r="A517" t="str">
            <v>WBM-60100-006</v>
          </cell>
          <cell r="B517" t="str">
            <v>שפרינצק</v>
          </cell>
          <cell r="C517" t="str">
            <v>שפרינצק-החלפת ברזי זרימה של מע' כבוי במי</v>
          </cell>
          <cell r="D517">
            <v>45475</v>
          </cell>
        </row>
        <row r="518">
          <cell r="A518" t="str">
            <v>WBM-60107-044</v>
          </cell>
          <cell r="B518" t="str">
            <v>שפרינצק</v>
          </cell>
          <cell r="C518" t="str">
            <v>שפרינצק - החלפת מנעולים אלק.מגנטיים באלק</v>
          </cell>
          <cell r="D518">
            <v>45607</v>
          </cell>
        </row>
        <row r="519">
          <cell r="A519" t="str">
            <v>WBM-60118-001</v>
          </cell>
          <cell r="B519" t="str">
            <v>שפרינצק</v>
          </cell>
          <cell r="C519" t="str">
            <v>שפרינצק - שיפור מערכת הארקה</v>
          </cell>
          <cell r="D519">
            <v>46387</v>
          </cell>
        </row>
        <row r="520">
          <cell r="A520" t="str">
            <v>WBM-00885-128</v>
          </cell>
          <cell r="B520" t="str">
            <v>שפרינצק</v>
          </cell>
          <cell r="C520" t="str">
            <v>שפרינצק - בוטל- הסדרת דרישות כבאות</v>
          </cell>
        </row>
        <row r="521">
          <cell r="A521" t="str">
            <v>WBM-60130-047</v>
          </cell>
          <cell r="B521" t="str">
            <v>שפרינצק</v>
          </cell>
          <cell r="C521" t="str">
            <v>שפרינצק - התקנת מפסק פטריה להפסקת מערכת החשמל בחירום</v>
          </cell>
          <cell r="D521">
            <v>46568</v>
          </cell>
        </row>
        <row r="522">
          <cell r="A522" t="str">
            <v>WBM-60202-006</v>
          </cell>
          <cell r="B522" t="str">
            <v>שפרינצק</v>
          </cell>
          <cell r="C522" t="str">
            <v>שפרינצק - החלפת לוח פיקוד משאבות ולוח גוקי בתחמשים</v>
          </cell>
          <cell r="D522">
            <v>46721</v>
          </cell>
        </row>
        <row r="523">
          <cell r="A523" t="str">
            <v>WBM-60205-048</v>
          </cell>
          <cell r="B523" t="str">
            <v>שפרינצק</v>
          </cell>
          <cell r="C523" t="str">
            <v>שפרינצק - ניטור הצפות</v>
          </cell>
          <cell r="D523">
            <v>46175</v>
          </cell>
        </row>
        <row r="524">
          <cell r="A524" t="str">
            <v>WBM-60131-005</v>
          </cell>
          <cell r="B524" t="str">
            <v>שפרינצק</v>
          </cell>
          <cell r="C524" t="str">
            <v>שפרינצק- טיפול באופיין  מים</v>
          </cell>
          <cell r="D524">
            <v>46076</v>
          </cell>
        </row>
        <row r="525">
          <cell r="A525" t="str">
            <v>WBE-288</v>
          </cell>
          <cell r="B525" t="str">
            <v>שפרינצק</v>
          </cell>
          <cell r="C525" t="str">
            <v>שפרינצק-התקנת שנאי רביעי 161/24 ק"ו, 50 מגוו"א, בשדה מס' 10</v>
          </cell>
          <cell r="D525">
            <v>47118</v>
          </cell>
        </row>
        <row r="526">
          <cell r="A526" t="str">
            <v>WBM-40640</v>
          </cell>
          <cell r="B526" t="str">
            <v>שפרינצק</v>
          </cell>
          <cell r="C526" t="str">
            <v>שפרינצק-החלפת מסדר מ"ג של שנאי 523</v>
          </cell>
          <cell r="D526">
            <v>46477</v>
          </cell>
        </row>
        <row r="527">
          <cell r="A527" t="str">
            <v>WBM-60211</v>
          </cell>
          <cell r="B527" t="str">
            <v>שפרינצק</v>
          </cell>
          <cell r="C527" t="str">
            <v>שפרינצק-עדכון מערכת כיבוי אש ומיכל מים בתחנה</v>
          </cell>
          <cell r="D527">
            <v>46568</v>
          </cell>
        </row>
        <row r="528">
          <cell r="A528" t="str">
            <v>WCQ-5-00-01040</v>
          </cell>
          <cell r="B528" t="str">
            <v>שפלה 2803</v>
          </cell>
          <cell r="C528" t="str">
            <v>יציאות מתחמ"ש קניונים</v>
          </cell>
          <cell r="D528">
            <v>46022</v>
          </cell>
        </row>
        <row r="529">
          <cell r="A529" t="str">
            <v>WCQ-5-00-01099</v>
          </cell>
          <cell r="B529" t="str">
            <v>שפלה 2803</v>
          </cell>
          <cell r="C529" t="str">
            <v>יציאות מתחמ"ש אשקלון</v>
          </cell>
          <cell r="D529">
            <v>43921</v>
          </cell>
        </row>
        <row r="530">
          <cell r="A530" t="str">
            <v>WCQ-5-00-01106</v>
          </cell>
          <cell r="B530" t="str">
            <v>שפלה 2803</v>
          </cell>
          <cell r="C530" t="str">
            <v>יציאות מתחמ"ש ניר גלים לאשדוד</v>
          </cell>
          <cell r="D530">
            <v>45412</v>
          </cell>
        </row>
        <row r="531">
          <cell r="A531" t="str">
            <v>WCQ-5-00-01140</v>
          </cell>
          <cell r="B531" t="str">
            <v>שפלה 2803</v>
          </cell>
          <cell r="C531" t="str">
            <v>יציאות מתחמ"ש נס ציונה</v>
          </cell>
          <cell r="D531">
            <v>45473</v>
          </cell>
        </row>
        <row r="532">
          <cell r="A532" t="str">
            <v>WCQ-5-00-01299</v>
          </cell>
          <cell r="B532" t="str">
            <v>שפלה 2803</v>
          </cell>
          <cell r="C532" t="str">
            <v>יציאות מתחמ"ש גן רווה</v>
          </cell>
          <cell r="D532">
            <v>45886</v>
          </cell>
        </row>
        <row r="533">
          <cell r="A533" t="str">
            <v>WCU-5-00-01190</v>
          </cell>
          <cell r="B533" t="str">
            <v>שפלה 2803</v>
          </cell>
          <cell r="C533" t="str">
            <v>עע"א הנחת קוי מ"ג בכביש 41</v>
          </cell>
          <cell r="D533">
            <v>46170</v>
          </cell>
        </row>
        <row r="534">
          <cell r="A534" t="str">
            <v>WHP-5-00-01105</v>
          </cell>
          <cell r="B534" t="str">
            <v>שפלה 2803</v>
          </cell>
          <cell r="C534" t="str">
            <v>אספקת חשמל לעיר היין אשקלון</v>
          </cell>
          <cell r="D534">
            <v>47483</v>
          </cell>
        </row>
        <row r="535">
          <cell r="A535" t="str">
            <v>WHP-5-00-01120</v>
          </cell>
          <cell r="B535" t="str">
            <v>שפלה 2803</v>
          </cell>
          <cell r="C535" t="str">
            <v>ייצור מבוזר נפת שפלה</v>
          </cell>
          <cell r="D535">
            <v>49674</v>
          </cell>
        </row>
        <row r="536">
          <cell r="A536" t="str">
            <v>WHP-5-00-01276</v>
          </cell>
          <cell r="B536" t="str">
            <v>שפלה 2803</v>
          </cell>
          <cell r="C536" t="str">
            <v>שכונת נרקיסים- ראשל"צ</v>
          </cell>
          <cell r="D536">
            <v>46721</v>
          </cell>
        </row>
        <row r="537">
          <cell r="A537" t="str">
            <v>WHP-5-00-01278</v>
          </cell>
          <cell r="B537" t="str">
            <v>שפלה 2803</v>
          </cell>
          <cell r="C537" t="str">
            <v>שכונת שדרות בפארק- שדרות</v>
          </cell>
          <cell r="D537">
            <v>44924</v>
          </cell>
        </row>
        <row r="538">
          <cell r="A538" t="str">
            <v>WHP-5-00-01279</v>
          </cell>
          <cell r="B538" t="str">
            <v>שפלה 2803</v>
          </cell>
          <cell r="C538" t="str">
            <v>שכונת הבוסתנים - שדרות</v>
          </cell>
          <cell r="D538">
            <v>47483</v>
          </cell>
        </row>
        <row r="539">
          <cell r="A539" t="str">
            <v>WHP-5-00-01280</v>
          </cell>
          <cell r="B539" t="str">
            <v>שפלה 2803</v>
          </cell>
          <cell r="C539" t="str">
            <v>שכונת עיר ימים -אשקלון</v>
          </cell>
          <cell r="D539">
            <v>46203</v>
          </cell>
        </row>
        <row r="540">
          <cell r="A540" t="str">
            <v>WHP-5-00-01298</v>
          </cell>
          <cell r="B540" t="str">
            <v>שפלה 2803</v>
          </cell>
          <cell r="C540" t="str">
            <v>שכונת אגמים מזרח באשקלון</v>
          </cell>
          <cell r="D540">
            <v>47483</v>
          </cell>
        </row>
        <row r="541">
          <cell r="A541" t="str">
            <v>WCS-5-00-00507</v>
          </cell>
          <cell r="B541" t="str">
            <v>שפלה 2803</v>
          </cell>
          <cell r="C541" t="str">
            <v>חידוש רשת-אמינות; מ"ב שפלה</v>
          </cell>
          <cell r="D541">
            <v>49674</v>
          </cell>
        </row>
        <row r="542">
          <cell r="A542" t="str">
            <v>WCQ-5-00-01091</v>
          </cell>
          <cell r="B542" t="str">
            <v>שפלה 2803</v>
          </cell>
          <cell r="C542" t="str">
            <v>יציאות מתחמ"ש שדרות</v>
          </cell>
          <cell r="D542">
            <v>44280</v>
          </cell>
        </row>
        <row r="543">
          <cell r="A543" t="str">
            <v>WCT-5-00-01042</v>
          </cell>
          <cell r="B543" t="str">
            <v>שפלה 2803</v>
          </cell>
          <cell r="C543" t="str">
            <v>בטיחות - סילוק מפגעים; מ"ב שפלה</v>
          </cell>
          <cell r="D543">
            <v>48579</v>
          </cell>
        </row>
        <row r="544">
          <cell r="A544" t="str">
            <v>WHP-5-00-01029</v>
          </cell>
          <cell r="B544" t="str">
            <v>שפלה 2803</v>
          </cell>
          <cell r="C544" t="str">
            <v>אספקת חשמל לשכונת כרמי גת</v>
          </cell>
          <cell r="D544">
            <v>46751</v>
          </cell>
        </row>
        <row r="545">
          <cell r="A545" t="str">
            <v>WHP-5-00-01093</v>
          </cell>
          <cell r="B545" t="str">
            <v>שפלה 2803</v>
          </cell>
          <cell r="C545" t="str">
            <v>אספקת חשמל לשכונת הרקפות בראשל"צ</v>
          </cell>
          <cell r="D545">
            <v>44560</v>
          </cell>
        </row>
        <row r="546">
          <cell r="A546" t="str">
            <v>WHP-5-00-01145</v>
          </cell>
          <cell r="B546" t="str">
            <v>שפלה 2803</v>
          </cell>
          <cell r="C546" t="str">
            <v>רכבת קלה - קו ירוק - נפת שפלה</v>
          </cell>
          <cell r="D546">
            <v>46387</v>
          </cell>
        </row>
        <row r="547">
          <cell r="A547" t="str">
            <v>WHP-5-00-01243</v>
          </cell>
          <cell r="B547" t="str">
            <v>שפלה 2803</v>
          </cell>
          <cell r="C547" t="str">
            <v>אספקה וחיבור חשמל לרכב חשמלי - נפת שפלה</v>
          </cell>
          <cell r="D547">
            <v>49674</v>
          </cell>
        </row>
        <row r="548">
          <cell r="A548" t="str">
            <v>WHP-5-00-01277</v>
          </cell>
          <cell r="B548" t="str">
            <v>שפלה 2803</v>
          </cell>
          <cell r="C548" t="str">
            <v>שכונת אקליפטוס  - באר יעקב</v>
          </cell>
          <cell r="D548">
            <v>46022</v>
          </cell>
        </row>
        <row r="549">
          <cell r="A549" t="str">
            <v>WCQ-5-00-01344</v>
          </cell>
          <cell r="B549" t="str">
            <v>שפלה 2803</v>
          </cell>
          <cell r="C549" t="str">
            <v>יציאות מתחמ"ש כרמיה</v>
          </cell>
          <cell r="D549">
            <v>45747</v>
          </cell>
        </row>
        <row r="550">
          <cell r="A550" t="str">
            <v>WHP-5-00-01359</v>
          </cell>
          <cell r="B550" t="str">
            <v>שפלה 2803</v>
          </cell>
          <cell r="C550" t="str">
            <v>שערי גודש - נפת שפלה</v>
          </cell>
          <cell r="D550">
            <v>45838</v>
          </cell>
        </row>
        <row r="551">
          <cell r="A551" t="str">
            <v>WCQ-5-00-01372</v>
          </cell>
          <cell r="B551" t="str">
            <v>שפלה 2803</v>
          </cell>
          <cell r="C551" t="str">
            <v>יציאות מתחמ"ש איתן</v>
          </cell>
          <cell r="D551">
            <v>45869</v>
          </cell>
        </row>
        <row r="552">
          <cell r="A552" t="str">
            <v>WCQ-5-00-01385</v>
          </cell>
          <cell r="B552" t="str">
            <v>שפלה 2803</v>
          </cell>
          <cell r="C552" t="str">
            <v>יציאות מתחמ"ש ראשון התעשייה</v>
          </cell>
          <cell r="D552">
            <v>46842</v>
          </cell>
        </row>
        <row r="553">
          <cell r="A553" t="str">
            <v>WCQ-5-00-01384</v>
          </cell>
          <cell r="B553" t="str">
            <v>שפלה 2803</v>
          </cell>
          <cell r="C553" t="str">
            <v>יציאות מתחמ"ש תימורים</v>
          </cell>
          <cell r="D553">
            <v>46356</v>
          </cell>
        </row>
        <row r="554">
          <cell r="A554" t="str">
            <v>WHP-5-00-01393</v>
          </cell>
          <cell r="B554" t="str">
            <v>שפלה 2803</v>
          </cell>
          <cell r="C554" t="str">
            <v>מטרו M1- מרכז ביצוע שפלה</v>
          </cell>
          <cell r="D554">
            <v>49309</v>
          </cell>
        </row>
        <row r="555">
          <cell r="A555" t="str">
            <v>WCQ-5-00-01417</v>
          </cell>
          <cell r="B555" t="str">
            <v>שפלה 2803</v>
          </cell>
          <cell r="C555" t="str">
            <v>יציאות מתחמ"ש  ניידת אשקלון צפון + תחמ"ש אשקלון צפון קבועה</v>
          </cell>
          <cell r="D555">
            <v>46842</v>
          </cell>
        </row>
        <row r="556">
          <cell r="A556" t="str">
            <v>WCS-5-00-01334</v>
          </cell>
          <cell r="B556" t="str">
            <v>שפלה 2803</v>
          </cell>
          <cell r="C556" t="str">
            <v>מיגון רכיבי רשת להגנה על הציפורים - שפלה</v>
          </cell>
          <cell r="D556">
            <v>46387</v>
          </cell>
        </row>
        <row r="557">
          <cell r="A557" t="str">
            <v>WHP-5-00-01370</v>
          </cell>
          <cell r="B557" t="str">
            <v>שפלה 2803</v>
          </cell>
          <cell r="C557" t="str">
            <v>אספקה וחשמול שכונה פארק לכיש אשדוד</v>
          </cell>
          <cell r="D557">
            <v>47483</v>
          </cell>
        </row>
        <row r="558">
          <cell r="A558" t="str">
            <v>WHP-5-00-01371</v>
          </cell>
          <cell r="B558" t="str">
            <v>שפלה 2803</v>
          </cell>
          <cell r="C558" t="str">
            <v>אספקה וחשמל - שכונת נוריות רשל"צ</v>
          </cell>
          <cell r="D558">
            <v>46752</v>
          </cell>
        </row>
        <row r="559">
          <cell r="A559" t="str">
            <v>WCQ-5-00-01373</v>
          </cell>
          <cell r="B559" t="str">
            <v>שפלה 2803</v>
          </cell>
          <cell r="C559" t="str">
            <v>יציאות מתחמ"ש קריית משה</v>
          </cell>
          <cell r="D559">
            <v>46568</v>
          </cell>
        </row>
        <row r="560">
          <cell r="A560" t="str">
            <v>WCS-5-00-01398</v>
          </cell>
          <cell r="B560" t="str">
            <v>שפלה 2803</v>
          </cell>
          <cell r="C560" t="str">
            <v>אמינות תוספתי - שפלה</v>
          </cell>
          <cell r="D560">
            <v>48579</v>
          </cell>
        </row>
        <row r="561">
          <cell r="A561" t="str">
            <v>WCS-5-00-01405</v>
          </cell>
          <cell r="B561" t="str">
            <v>שפלה 2803</v>
          </cell>
          <cell r="C561" t="str">
            <v>אמינות חידוש - שפלה</v>
          </cell>
          <cell r="D561">
            <v>48579</v>
          </cell>
        </row>
        <row r="562">
          <cell r="A562" t="str">
            <v>WCQ-5-00-01421</v>
          </cell>
          <cell r="B562" t="str">
            <v>שפלה 2803</v>
          </cell>
          <cell r="C562" t="str">
            <v>יציאות מתחמ"ש רחובות צפון</v>
          </cell>
          <cell r="D562">
            <v>47118</v>
          </cell>
        </row>
        <row r="563">
          <cell r="A563" t="str">
            <v>WHP-5-00-01230</v>
          </cell>
          <cell r="B563" t="str">
            <v>שפלה 2803</v>
          </cell>
          <cell r="C563" t="str">
            <v>שכונת קריית משה ברחובות</v>
          </cell>
          <cell r="D563">
            <v>47663</v>
          </cell>
        </row>
        <row r="564">
          <cell r="A564" t="str">
            <v>WCQ-5-00-01433</v>
          </cell>
          <cell r="B564" t="str">
            <v>שפלה 2803</v>
          </cell>
          <cell r="C564" t="str">
            <v>יציאות מתחמ"ש זמורות</v>
          </cell>
          <cell r="D564">
            <v>46387</v>
          </cell>
        </row>
        <row r="565">
          <cell r="A565" t="str">
            <v>WHP-5-00-01434</v>
          </cell>
          <cell r="B565" t="str">
            <v>שפלה 2803</v>
          </cell>
          <cell r="C565" t="str">
            <v>חשמול מתחם פארק הייטק אשדוד</v>
          </cell>
          <cell r="D565">
            <v>47483</v>
          </cell>
        </row>
        <row r="566">
          <cell r="A566" t="str">
            <v>WHP-5-00-01453</v>
          </cell>
          <cell r="B566" t="str">
            <v>שפלה 2803</v>
          </cell>
          <cell r="C566" t="str">
            <v>שכונת כרמי גת צפון</v>
          </cell>
          <cell r="D566">
            <v>47479</v>
          </cell>
        </row>
        <row r="567">
          <cell r="A567" t="str">
            <v>WCS-5-00-01455</v>
          </cell>
          <cell r="B567" t="str">
            <v>שפלה 2803</v>
          </cell>
          <cell r="C567" t="str">
            <v>קווי העימות חידוש - מרחב שפלה</v>
          </cell>
          <cell r="D567">
            <v>48579</v>
          </cell>
        </row>
        <row r="568">
          <cell r="A568" t="str">
            <v>WHP-5-00-01459</v>
          </cell>
          <cell r="B568" t="str">
            <v>שפלה 2803</v>
          </cell>
          <cell r="C568" t="str">
            <v>אספקה חשמל שכונת תלמים באר יעקב</v>
          </cell>
          <cell r="D568">
            <v>47452</v>
          </cell>
        </row>
        <row r="569">
          <cell r="A569" t="str">
            <v>WHP-5-00-01461</v>
          </cell>
          <cell r="B569" t="str">
            <v>שפלה 2803</v>
          </cell>
          <cell r="C569" t="str">
            <v>אספקה וחיבור חשמל לשכונת אבן עזרא, אשקלון</v>
          </cell>
          <cell r="D569">
            <v>47483</v>
          </cell>
        </row>
        <row r="570">
          <cell r="A570" t="str">
            <v>WHP-5-00-01462</v>
          </cell>
          <cell r="B570" t="str">
            <v>שפלה 2803</v>
          </cell>
          <cell r="C570" t="str">
            <v>אספקה וחיבור חשמל למתחם ה-1000, ראשון לציון</v>
          </cell>
          <cell r="D570">
            <v>47483</v>
          </cell>
        </row>
        <row r="571">
          <cell r="A571" t="str">
            <v>WHP-5-00-01463</v>
          </cell>
          <cell r="B571" t="str">
            <v>שפלה 2803</v>
          </cell>
          <cell r="C571" t="str">
            <v>אספקה וחיבור חשמל לשכונת שיקמים - מתחם 1, באר יעקב</v>
          </cell>
          <cell r="D571">
            <v>47483</v>
          </cell>
        </row>
        <row r="572">
          <cell r="A572" t="str">
            <v>WHP-5-00-01464</v>
          </cell>
          <cell r="B572" t="str">
            <v>שפלה 2803</v>
          </cell>
          <cell r="C572" t="str">
            <v>אספקת חשמל לשכונת תמ"ל 1049, יבנה</v>
          </cell>
          <cell r="D572">
            <v>47483</v>
          </cell>
        </row>
        <row r="573">
          <cell r="A573" t="str">
            <v>WHP-5-00-01465</v>
          </cell>
          <cell r="B573" t="str">
            <v>שפלה 2803</v>
          </cell>
          <cell r="C573" t="str">
            <v>אספקה וחיבור חשמל לשכונת נחלת עילית, ראשל"צ</v>
          </cell>
          <cell r="D573">
            <v>47483</v>
          </cell>
        </row>
        <row r="574">
          <cell r="A574" t="str">
            <v>WHP-5-00-01466</v>
          </cell>
          <cell r="B574" t="str">
            <v>שפלה 2803</v>
          </cell>
          <cell r="C574" t="str">
            <v>אספקה וחיבור חשמל לשכונת חצבים, ראשון לציון</v>
          </cell>
          <cell r="D574">
            <v>47117</v>
          </cell>
        </row>
        <row r="575">
          <cell r="A575" t="str">
            <v>WHP-5-00-01467</v>
          </cell>
          <cell r="B575" t="str">
            <v>שפלה 2803</v>
          </cell>
          <cell r="C575" t="str">
            <v>נת"צ קו כחול - העתקת רשת עבור נתיב תחבורה ציבורי קו כחול בשטח מרחב שפלה</v>
          </cell>
          <cell r="D575">
            <v>46752</v>
          </cell>
        </row>
        <row r="576">
          <cell r="A576" t="str">
            <v>WHP-5-00-01468</v>
          </cell>
          <cell r="B576" t="str">
            <v>שפלה 2803</v>
          </cell>
          <cell r="C576" t="str">
            <v>נת"צ קו חום - העתקת רשת עבור נתיב תחבורה ציבורי קו חום בשטח מרחב שפלה</v>
          </cell>
          <cell r="D576">
            <v>46752</v>
          </cell>
        </row>
        <row r="577">
          <cell r="A577" t="str">
            <v>WCS-5-00-01480</v>
          </cell>
          <cell r="B577" t="str">
            <v>שפלה 2803</v>
          </cell>
          <cell r="C577" t="str">
            <v>קווי העימות תוספתי - מרחב שפלה</v>
          </cell>
          <cell r="D577">
            <v>48579</v>
          </cell>
        </row>
        <row r="578">
          <cell r="B578" t="str">
            <v>שפלה 2803</v>
          </cell>
          <cell r="C578" t="str">
            <v>חשמול שכונת בני עייש</v>
          </cell>
          <cell r="D578">
            <v>47848</v>
          </cell>
        </row>
        <row r="579">
          <cell r="A579" t="str">
            <v>WHP-5-00-01488</v>
          </cell>
          <cell r="B579" t="str">
            <v>שפלה 2803</v>
          </cell>
          <cell r="C579" t="str">
            <v>חשמול שכונת שדות בבני עייש</v>
          </cell>
          <cell r="D579">
            <v>47848</v>
          </cell>
        </row>
        <row r="580">
          <cell r="A580" t="str">
            <v>WHP-5-00-01490</v>
          </cell>
          <cell r="B580" t="str">
            <v>שפלה 2803</v>
          </cell>
          <cell r="C580" t="str">
            <v>חשמול שכונת הרובע המיוחד, אשדוד</v>
          </cell>
          <cell r="D580">
            <v>47848</v>
          </cell>
        </row>
        <row r="581">
          <cell r="A581" t="str">
            <v>WHP-5-00-99003</v>
          </cell>
          <cell r="B581" t="str">
            <v>שפלה 2803</v>
          </cell>
          <cell r="C581" t="str">
            <v>מטרו M1 - מרחב שפלה</v>
          </cell>
          <cell r="D581">
            <v>47118</v>
          </cell>
        </row>
        <row r="582">
          <cell r="A582" t="str">
            <v>WCQ-5-00-01497</v>
          </cell>
          <cell r="B582" t="str">
            <v>שפלה 2803</v>
          </cell>
          <cell r="C582" t="str">
            <v>יציאות מתחמ"ש ראשון מזרח</v>
          </cell>
          <cell r="D582">
            <v>46295</v>
          </cell>
        </row>
        <row r="583">
          <cell r="A583" t="str">
            <v>WHP-5-00-01500</v>
          </cell>
          <cell r="B583" t="str">
            <v>שפלה 2803</v>
          </cell>
          <cell r="C583" t="str">
            <v>הגרלה ייצור מבוזר שפלה</v>
          </cell>
          <cell r="D583">
            <v>46752</v>
          </cell>
        </row>
        <row r="584">
          <cell r="B584" t="str">
            <v>שפלה 2803</v>
          </cell>
          <cell r="C584" t="str">
            <v>חשמול שכונת ההסתדרות נס ציונה</v>
          </cell>
          <cell r="D584">
            <v>47206</v>
          </cell>
        </row>
        <row r="585">
          <cell r="B585" t="str">
            <v>שפלה 2803</v>
          </cell>
          <cell r="C585" t="str">
            <v>חשמול שכונת ההסתדרות נס ציונה</v>
          </cell>
          <cell r="D585">
            <v>47206</v>
          </cell>
        </row>
        <row r="586">
          <cell r="B586" t="str">
            <v>שפלה 2803</v>
          </cell>
          <cell r="C586" t="str">
            <v>חשמול שכונת ההסתדרות נס ציונה</v>
          </cell>
          <cell r="D586">
            <v>47206</v>
          </cell>
        </row>
        <row r="587">
          <cell r="A587" t="str">
            <v>WHP-5-00-01522</v>
          </cell>
          <cell r="B587" t="str">
            <v>שפלה 2803</v>
          </cell>
          <cell r="C587" t="str">
            <v>חשמול שכונת ההסתדרות נס ציונה</v>
          </cell>
          <cell r="D587">
            <v>47483</v>
          </cell>
        </row>
        <row r="588">
          <cell r="A588" t="str">
            <v>WHP-5-00-01523</v>
          </cell>
          <cell r="B588" t="str">
            <v>שפלה 2803</v>
          </cell>
          <cell r="C588" t="str">
            <v>אספקת חשמל למתחם 5 פסגות המושבה באר יעקב</v>
          </cell>
          <cell r="D588">
            <v>47483</v>
          </cell>
        </row>
        <row r="589">
          <cell r="A589" t="str">
            <v>WHP-5-00-01527</v>
          </cell>
          <cell r="B589" t="str">
            <v>שפלה 2803</v>
          </cell>
          <cell r="C589" t="str">
            <v>אספקת חשמל לשכונה פלח 11 שדרות</v>
          </cell>
          <cell r="D589">
            <v>47483</v>
          </cell>
        </row>
        <row r="590">
          <cell r="A590" t="str">
            <v>WHP-5-00-01531</v>
          </cell>
          <cell r="B590" t="str">
            <v>שפלה 2803</v>
          </cell>
          <cell r="C590" t="str">
            <v>שכונת כרמי גת מערב</v>
          </cell>
          <cell r="D590">
            <v>47746</v>
          </cell>
        </row>
        <row r="591">
          <cell r="A591" t="str">
            <v>WCQ-5-00-01547</v>
          </cell>
          <cell r="B591" t="str">
            <v>שפלה 2803</v>
          </cell>
          <cell r="C591" t="str">
            <v>יציאות מתחמ"ש לילאנד</v>
          </cell>
          <cell r="D591">
            <v>46751</v>
          </cell>
        </row>
        <row r="592">
          <cell r="A592" t="str">
            <v>WCQ-5-00-01549</v>
          </cell>
          <cell r="B592" t="str">
            <v>שפלה 2803</v>
          </cell>
          <cell r="C592" t="str">
            <v>יציאות מתחמ"ש שחר (כוכב מיכאל)</v>
          </cell>
          <cell r="D592">
            <v>46751</v>
          </cell>
        </row>
        <row r="593">
          <cell r="B593" t="str">
            <v>שפלה 2803</v>
          </cell>
          <cell r="C593" t="str">
            <v>החלפת מופות מ"ג - מרחב שפלה</v>
          </cell>
          <cell r="D593">
            <v>49674</v>
          </cell>
        </row>
        <row r="594">
          <cell r="A594" t="str">
            <v>WCS-5-00-01557</v>
          </cell>
          <cell r="B594" t="str">
            <v>שפלה 2803</v>
          </cell>
          <cell r="C594" t="str">
            <v>החלפת מופות מ"ג - מרחב שפלה</v>
          </cell>
          <cell r="D594">
            <v>49674</v>
          </cell>
        </row>
        <row r="595">
          <cell r="A595" t="str">
            <v>WHP-5-00-01565</v>
          </cell>
          <cell r="B595" t="str">
            <v>שפלה 2803</v>
          </cell>
          <cell r="C595" t="str">
            <v>רק"ל - קו אדום הרחבה, שפלה</v>
          </cell>
          <cell r="D595">
            <v>46387</v>
          </cell>
        </row>
        <row r="596">
          <cell r="A596" t="str">
            <v>WHP-5-00-01578</v>
          </cell>
          <cell r="B596" t="str">
            <v>שפלה 2803</v>
          </cell>
          <cell r="C596" t="str">
            <v>שיפור שאינו תמריצים- שפלה</v>
          </cell>
          <cell r="D596">
            <v>49943</v>
          </cell>
        </row>
        <row r="597">
          <cell r="A597" t="str">
            <v>WHP-5-00-01591</v>
          </cell>
          <cell r="B597" t="str">
            <v>שפלה 2803</v>
          </cell>
          <cell r="C597" t="str">
            <v>שכונה תמ"ל 3003 - רחובות מזרח</v>
          </cell>
          <cell r="D597">
            <v>48213</v>
          </cell>
        </row>
        <row r="598">
          <cell r="A598" t="str">
            <v>WCQ-5-00-01597</v>
          </cell>
          <cell r="B598" t="str">
            <v>שפלה 2803</v>
          </cell>
          <cell r="C598" t="str">
            <v>תחמ"ש כרמיה - יציאות לכיוון קריית קרלסברג א.ת דרומי של אשקלון</v>
          </cell>
          <cell r="D598">
            <v>47297</v>
          </cell>
        </row>
        <row r="599">
          <cell r="A599" t="str">
            <v>WHP-5-00-99009</v>
          </cell>
          <cell r="B599" t="str">
            <v>שפלה 2803</v>
          </cell>
          <cell r="C599" t="str">
            <v>מטרו M3 - מרחב שפלה</v>
          </cell>
          <cell r="D599">
            <v>47118</v>
          </cell>
        </row>
        <row r="600">
          <cell r="A600" t="str">
            <v>WBC-036</v>
          </cell>
          <cell r="B600" t="str">
            <v>שפיים</v>
          </cell>
          <cell r="C600" t="str">
            <v>שפיים-הקמת תחמ"ש חיצונית 161/24 ק"ו</v>
          </cell>
          <cell r="D600">
            <v>44792</v>
          </cell>
        </row>
        <row r="601">
          <cell r="A601" t="str">
            <v>WBD-053-ST2</v>
          </cell>
          <cell r="B601" t="str">
            <v>שפיים</v>
          </cell>
          <cell r="C601" t="str">
            <v>שפיים ניידת-הוקפא-פירוק תחמ"ש ניידת</v>
          </cell>
          <cell r="D601">
            <v>43799</v>
          </cell>
        </row>
        <row r="602">
          <cell r="A602" t="str">
            <v>WBD-053</v>
          </cell>
          <cell r="B602" t="str">
            <v>שפיים</v>
          </cell>
          <cell r="C602" t="str">
            <v>שפיים ניידת-מוקפאה-צבת ניידת בשטח התחמש</v>
          </cell>
          <cell r="D602">
            <v>42004</v>
          </cell>
        </row>
        <row r="603">
          <cell r="A603" t="str">
            <v>WBE-150</v>
          </cell>
          <cell r="B603" t="str">
            <v>שפיים</v>
          </cell>
          <cell r="C603" t="str">
            <v>שפיים-בוטל-הוספת שנאי שלישי 50 מגוו"א</v>
          </cell>
          <cell r="D603">
            <v>44358</v>
          </cell>
        </row>
        <row r="604">
          <cell r="A604" t="str">
            <v>WBM-00722</v>
          </cell>
          <cell r="B604" t="str">
            <v>שפיים</v>
          </cell>
          <cell r="C604" t="str">
            <v>שפיים - בוטל - התקנת 3 ס"ק 5*2 מגווא"ר כ"א</v>
          </cell>
          <cell r="D604">
            <v>43861</v>
          </cell>
        </row>
        <row r="605">
          <cell r="A605" t="str">
            <v>WBM-10527</v>
          </cell>
          <cell r="B605" t="str">
            <v>שפיים</v>
          </cell>
          <cell r="C605" t="str">
            <v>בוטל-שפיים -משיק לקיסריה שדה 6, יישום דרך קשר בין הגנות בשדה 3</v>
          </cell>
          <cell r="D605">
            <v>45321</v>
          </cell>
        </row>
        <row r="606">
          <cell r="A606" t="str">
            <v>WBM-40521-014</v>
          </cell>
          <cell r="B606" t="str">
            <v>שפיים</v>
          </cell>
          <cell r="C606" t="str">
            <v>שפיים - החלפת 3 שנאי הארקה</v>
          </cell>
          <cell r="D606">
            <v>46721</v>
          </cell>
        </row>
        <row r="607">
          <cell r="A607" t="str">
            <v>WBM-10597-016</v>
          </cell>
          <cell r="B607" t="str">
            <v>שפיים</v>
          </cell>
          <cell r="C607" t="str">
            <v>שפיים - פיילוט יישום תקשורת הגנות בשדה 3</v>
          </cell>
          <cell r="D607">
            <v>46295</v>
          </cell>
        </row>
        <row r="608">
          <cell r="A608" t="str">
            <v>WBD-119</v>
          </cell>
          <cell r="B608" t="str">
            <v>שערי עכו</v>
          </cell>
          <cell r="C608" t="str">
            <v>שערי עכו- הצבת 2 תחמ"ש ניידות, 30 מגוו"ט כ"א</v>
          </cell>
          <cell r="D608">
            <v>46752</v>
          </cell>
        </row>
        <row r="609">
          <cell r="A609" t="str">
            <v>WBD-119-ST1</v>
          </cell>
          <cell r="B609" t="str">
            <v>שערי עכו</v>
          </cell>
          <cell r="C609" t="str">
            <v>שערי עכו- הצבת תחמ"ש ניידת ראשונה, 30 מגוו"ט.</v>
          </cell>
          <cell r="D609">
            <v>46507</v>
          </cell>
        </row>
        <row r="610">
          <cell r="A610" t="str">
            <v>WBD-119-ST2</v>
          </cell>
          <cell r="B610" t="str">
            <v>שערי עכו</v>
          </cell>
          <cell r="C610" t="str">
            <v>שערי עכו- הצבת תחמ"ש ניידת שניה, 30 מגוו"א</v>
          </cell>
          <cell r="D610">
            <v>46752</v>
          </cell>
        </row>
        <row r="611">
          <cell r="A611" t="str">
            <v>WBD-087-ST2</v>
          </cell>
          <cell r="B611" t="str">
            <v>שער השומרון ניידת</v>
          </cell>
          <cell r="C611" t="str">
            <v>ברקן –פירוק תחמ"ש ניידת 20 מגוו"א</v>
          </cell>
          <cell r="D611">
            <v>48244</v>
          </cell>
        </row>
        <row r="612">
          <cell r="A612" t="str">
            <v>WBD-087</v>
          </cell>
          <cell r="B612" t="str">
            <v>שער השומרון ניידת</v>
          </cell>
          <cell r="C612" t="str">
            <v>ברקן – התקנת תחמ"ש ניידת 20 מגוו"א</v>
          </cell>
          <cell r="D612">
            <v>46091</v>
          </cell>
        </row>
        <row r="613">
          <cell r="A613" t="str">
            <v>WBC-118</v>
          </cell>
          <cell r="B613" t="str">
            <v>שער השומרון</v>
          </cell>
          <cell r="C613" t="str">
            <v>שער השומרון-בוטל-הקמת תחמ"ש חיצונית 161/36 ק"ו</v>
          </cell>
          <cell r="D613">
            <v>43921</v>
          </cell>
        </row>
        <row r="614">
          <cell r="A614" t="str">
            <v>WBT-035</v>
          </cell>
          <cell r="B614" t="str">
            <v>שער השומרון</v>
          </cell>
          <cell r="C614" t="str">
            <v>בוטל - שער השומרון-קידום תוכנית מתאר-מקודם ע"י אחרים</v>
          </cell>
        </row>
        <row r="615">
          <cell r="A615" t="str">
            <v>HIS-000</v>
          </cell>
          <cell r="B615" t="str">
            <v>שער הגיא</v>
          </cell>
          <cell r="C615" t="str">
            <v>שער הגיא</v>
          </cell>
          <cell r="D615">
            <v>43079</v>
          </cell>
        </row>
        <row r="616">
          <cell r="A616" t="str">
            <v>HIS-033</v>
          </cell>
          <cell r="B616" t="str">
            <v>שער הגיא</v>
          </cell>
          <cell r="C616" t="str">
            <v>שער הגיא</v>
          </cell>
          <cell r="D616">
            <v>40908</v>
          </cell>
        </row>
        <row r="617">
          <cell r="A617" t="str">
            <v>HIS-191-ST2</v>
          </cell>
          <cell r="B617" t="str">
            <v>שער הגיא</v>
          </cell>
          <cell r="C617" t="str">
            <v>שער הגיא-פירוק שנאי</v>
          </cell>
          <cell r="D617">
            <v>44213</v>
          </cell>
        </row>
        <row r="618">
          <cell r="A618" t="str">
            <v>HIS-191</v>
          </cell>
          <cell r="B618" t="str">
            <v>שער הגיא</v>
          </cell>
          <cell r="C618" t="str">
            <v>שער הגיא</v>
          </cell>
          <cell r="D618">
            <v>43039</v>
          </cell>
        </row>
        <row r="619">
          <cell r="A619" t="str">
            <v>WBE-080</v>
          </cell>
          <cell r="B619" t="str">
            <v>שער הגיא</v>
          </cell>
          <cell r="C619" t="str">
            <v>שער הגיא-בוטל-התקנת שנאי (533) 50 מגוו"א</v>
          </cell>
          <cell r="D619">
            <v>40714</v>
          </cell>
        </row>
        <row r="620">
          <cell r="A620" t="str">
            <v>WBM-40210</v>
          </cell>
          <cell r="B620" t="str">
            <v>שער הגיא</v>
          </cell>
          <cell r="C620" t="str">
            <v>שער הגיא-בוטל - החלפת הגנות מרחק בשדות 1 ו-3</v>
          </cell>
          <cell r="D620">
            <v>43151</v>
          </cell>
        </row>
        <row r="621">
          <cell r="A621" t="str">
            <v>WBM-00129</v>
          </cell>
          <cell r="B621" t="str">
            <v>שער הגיא</v>
          </cell>
          <cell r="C621" t="str">
            <v>שער הגיא-התקנת רושם הפרעות</v>
          </cell>
          <cell r="D621">
            <v>46203</v>
          </cell>
        </row>
        <row r="622">
          <cell r="A622" t="str">
            <v>WBM-00127</v>
          </cell>
          <cell r="B622" t="str">
            <v>שער הגיא</v>
          </cell>
          <cell r="C622" t="str">
            <v>שער הגיא-התקנת 2 הגנת פ"צ 161 ק"ו</v>
          </cell>
          <cell r="D622">
            <v>46203</v>
          </cell>
        </row>
        <row r="623">
          <cell r="A623" t="str">
            <v>WBM-00851</v>
          </cell>
          <cell r="B623" t="str">
            <v>שער הגיא</v>
          </cell>
          <cell r="C623" t="str">
            <v>שער הגיא - התקנת הגנה דיפרנציאלית בשדות 3 ו-5</v>
          </cell>
          <cell r="D623">
            <v>46203</v>
          </cell>
        </row>
        <row r="624">
          <cell r="A624" t="str">
            <v>WBM-60101</v>
          </cell>
          <cell r="B624" t="str">
            <v>שער הגיא</v>
          </cell>
          <cell r="C624" t="str">
            <v>שער הגיא-הוקפא- מערכת המטרות למניעת התפש. שריפה</v>
          </cell>
          <cell r="D624">
            <v>44592</v>
          </cell>
        </row>
        <row r="625">
          <cell r="A625" t="str">
            <v>WBM-01059</v>
          </cell>
          <cell r="B625" t="str">
            <v>שער הגיא</v>
          </cell>
          <cell r="C625" t="str">
            <v>שער הגיא-הוספת הגנה דיפרנציאלית בשדה 9</v>
          </cell>
          <cell r="D625">
            <v>44321</v>
          </cell>
        </row>
        <row r="626">
          <cell r="A626" t="str">
            <v>WBM-01422</v>
          </cell>
          <cell r="B626" t="str">
            <v>שער הגיא</v>
          </cell>
          <cell r="C626" t="str">
            <v>שער הגיא-הח' ממסר למרחק להשלת עומס בזרם</v>
          </cell>
          <cell r="D626">
            <v>44321</v>
          </cell>
        </row>
        <row r="627">
          <cell r="A627" t="str">
            <v>WBM-01175</v>
          </cell>
          <cell r="B627" t="str">
            <v>שער הגיא</v>
          </cell>
          <cell r="C627" t="str">
            <v>שער הגיא-שדרוג מערכות SCS סוג UNIX - LON</v>
          </cell>
          <cell r="D627">
            <v>44159</v>
          </cell>
        </row>
        <row r="628">
          <cell r="A628" t="str">
            <v>WBM-00113</v>
          </cell>
          <cell r="B628" t="str">
            <v>שער הגיא</v>
          </cell>
          <cell r="C628" t="str">
            <v>שער הגיא- התקנת מערכת טמ"ס</v>
          </cell>
          <cell r="D628">
            <v>43388</v>
          </cell>
        </row>
        <row r="629">
          <cell r="A629" t="str">
            <v>WBM-00888</v>
          </cell>
          <cell r="B629" t="str">
            <v>שער הגיא</v>
          </cell>
          <cell r="C629" t="str">
            <v>שער הגיא-איטום מעברי כבלים</v>
          </cell>
          <cell r="D629">
            <v>43130</v>
          </cell>
        </row>
        <row r="630">
          <cell r="A630" t="str">
            <v>WBM-00128</v>
          </cell>
          <cell r="B630" t="str">
            <v>שער הגיא</v>
          </cell>
          <cell r="C630" t="str">
            <v>שער הגיא-התאמת מערכת המים לכיבוי אש</v>
          </cell>
          <cell r="D630">
            <v>42856</v>
          </cell>
        </row>
        <row r="631">
          <cell r="A631" t="str">
            <v>WBG-109-016</v>
          </cell>
          <cell r="B631" t="str">
            <v>שער הגיא</v>
          </cell>
          <cell r="C631" t="str">
            <v>שער הגיא-שדרוג הגנת מרחק REL316*4 בשדה9</v>
          </cell>
          <cell r="D631">
            <v>41425</v>
          </cell>
        </row>
        <row r="632">
          <cell r="A632" t="str">
            <v>WBG-109-015</v>
          </cell>
          <cell r="B632" t="str">
            <v>שער הגיא</v>
          </cell>
          <cell r="C632" t="str">
            <v>שער הגיא-החלפת מע' גילוי וכיבוי אש אוט'</v>
          </cell>
          <cell r="D632">
            <v>41330</v>
          </cell>
        </row>
        <row r="633">
          <cell r="A633" t="str">
            <v>WBG-109-011</v>
          </cell>
          <cell r="B633" t="str">
            <v>שער הגיא</v>
          </cell>
          <cell r="C633" t="str">
            <v>שער הגיא-הוספת סוללת מצברים 220 וולט</v>
          </cell>
          <cell r="D633">
            <v>41329</v>
          </cell>
        </row>
        <row r="634">
          <cell r="A634" t="str">
            <v>WBM-40147</v>
          </cell>
          <cell r="B634" t="str">
            <v>שער הגיא</v>
          </cell>
          <cell r="C634" t="str">
            <v>שער הגיא -בוטל- החלפת מערכת SCS</v>
          </cell>
          <cell r="D634">
            <v>44074</v>
          </cell>
        </row>
        <row r="635">
          <cell r="A635" t="str">
            <v>WBM-10071</v>
          </cell>
          <cell r="B635" t="str">
            <v>שער הגיא</v>
          </cell>
          <cell r="C635" t="str">
            <v>שער הגיא-בוטל-החלפת גשרי דיודות</v>
          </cell>
          <cell r="D635">
            <v>43768</v>
          </cell>
        </row>
        <row r="636">
          <cell r="A636">
            <v>549029</v>
          </cell>
          <cell r="B636" t="str">
            <v>שער הגיא</v>
          </cell>
          <cell r="C636" t="str">
            <v>שער הגיא-החלפת גשרי דיודות</v>
          </cell>
          <cell r="D636">
            <v>42247</v>
          </cell>
        </row>
        <row r="637">
          <cell r="A637">
            <v>549010</v>
          </cell>
          <cell r="B637" t="str">
            <v>שער הגיא</v>
          </cell>
          <cell r="C637" t="str">
            <v>שער הגיא-בוטל-החלפת מערכת התראה ביטחונית</v>
          </cell>
          <cell r="D637">
            <v>40055</v>
          </cell>
        </row>
        <row r="638">
          <cell r="A638">
            <v>549026</v>
          </cell>
          <cell r="B638" t="str">
            <v>שער הגיא</v>
          </cell>
          <cell r="C638" t="str">
            <v>שער הגיא-בוטל-התקנת מאווררים בארונות פי</v>
          </cell>
          <cell r="D638">
            <v>40311</v>
          </cell>
        </row>
        <row r="639">
          <cell r="A639" t="str">
            <v>WBM-01083</v>
          </cell>
          <cell r="B639" t="str">
            <v>שער הגיא</v>
          </cell>
          <cell r="C639" t="str">
            <v>שער הגיא - הקמת גדר הפרדה לרכבת</v>
          </cell>
          <cell r="D639">
            <v>42814</v>
          </cell>
        </row>
        <row r="640">
          <cell r="A640" t="str">
            <v>WBG-109-019</v>
          </cell>
          <cell r="B640" t="str">
            <v>שער הגיא</v>
          </cell>
          <cell r="C640" t="str">
            <v>שער הגיא-שדרוג הגנת מרחק REL316*4 בשדה9</v>
          </cell>
          <cell r="D640">
            <v>41234</v>
          </cell>
        </row>
        <row r="641">
          <cell r="A641" t="str">
            <v>WBM-70043</v>
          </cell>
          <cell r="B641" t="str">
            <v>שער הגיא</v>
          </cell>
          <cell r="C641" t="str">
            <v>שער הגיא-החלפת סוללת קבלים קיימת בסוללה מודולארית 2X5 מגוו"אר</v>
          </cell>
          <cell r="D641">
            <v>46203</v>
          </cell>
        </row>
        <row r="642">
          <cell r="A642" t="str">
            <v>WBE-189</v>
          </cell>
          <cell r="B642" t="str">
            <v>שער הגיא</v>
          </cell>
          <cell r="C642" t="str">
            <v>שער הגיא- הוספת שנאי שלישי 161/24 ק"ו, 50 מגוו"א מס' 524</v>
          </cell>
          <cell r="D642">
            <v>46568</v>
          </cell>
        </row>
        <row r="643">
          <cell r="A643" t="str">
            <v>WBM-10315-063</v>
          </cell>
          <cell r="B643" t="str">
            <v>שער הגיא</v>
          </cell>
          <cell r="C643" t="str">
            <v>שער הגיא- התקנת מזגנים</v>
          </cell>
          <cell r="D643">
            <v>46133</v>
          </cell>
        </row>
        <row r="644">
          <cell r="A644" t="str">
            <v>WBM-20004-004</v>
          </cell>
          <cell r="B644" t="str">
            <v>שער הגיא</v>
          </cell>
          <cell r="C644" t="str">
            <v>שער הגיא- התקנת רשת ניסקו והחלפת תאורה</v>
          </cell>
          <cell r="D644">
            <v>46203</v>
          </cell>
        </row>
        <row r="645">
          <cell r="A645" t="str">
            <v>WBM-20004-016</v>
          </cell>
          <cell r="B645" t="str">
            <v>שער הגיא</v>
          </cell>
          <cell r="C645" t="str">
            <v>שער הגיא- בד.יסודות שנאי מסדרי אפס מאצרת</v>
          </cell>
          <cell r="D645">
            <v>46417</v>
          </cell>
        </row>
        <row r="646">
          <cell r="A646" t="str">
            <v>WBM-40295-060</v>
          </cell>
          <cell r="B646" t="str">
            <v>שער הגיא</v>
          </cell>
          <cell r="C646" t="str">
            <v>שער הגיא - החלפת סוללות מצברים</v>
          </cell>
          <cell r="D646">
            <v>46721</v>
          </cell>
        </row>
        <row r="647">
          <cell r="A647" t="str">
            <v>WBM-60010-147</v>
          </cell>
          <cell r="B647" t="str">
            <v>שער הגיא</v>
          </cell>
          <cell r="C647" t="str">
            <v>שער הגיא - החלפת מוני ION למוני SATEC</v>
          </cell>
          <cell r="D647">
            <v>45474</v>
          </cell>
        </row>
        <row r="648">
          <cell r="A648" t="str">
            <v>WBM-60092-040</v>
          </cell>
          <cell r="B648" t="str">
            <v>שער הגיא</v>
          </cell>
          <cell r="C648" t="str">
            <v>שער הגיא -בדיקות/טיפול/פינוי מכלי אש בגז</v>
          </cell>
          <cell r="D648">
            <v>46096</v>
          </cell>
        </row>
        <row r="649">
          <cell r="A649" t="str">
            <v>WBM-60107-033</v>
          </cell>
          <cell r="B649" t="str">
            <v>שער הגיא</v>
          </cell>
          <cell r="C649" t="str">
            <v>שער הגיא - החלפת מנעולים אלק.מגנטיים באל</v>
          </cell>
          <cell r="D649">
            <v>45627</v>
          </cell>
        </row>
        <row r="650">
          <cell r="A650" t="str">
            <v>WBM-40611</v>
          </cell>
          <cell r="B650" t="str">
            <v>שער הגיא</v>
          </cell>
          <cell r="C650" t="str">
            <v>שער הגיא- פירוק מסדר מ"ג מסוג BEU3  והתקנת מסדר מ"ג חדש</v>
          </cell>
          <cell r="D650">
            <v>46477</v>
          </cell>
        </row>
        <row r="651">
          <cell r="A651" t="str">
            <v>WBM-60205-020</v>
          </cell>
          <cell r="B651" t="str">
            <v>שער הגיא</v>
          </cell>
          <cell r="C651" t="str">
            <v>שער הגיא - ניטור הצפות</v>
          </cell>
          <cell r="D651">
            <v>46175</v>
          </cell>
        </row>
        <row r="652">
          <cell r="A652" t="str">
            <v>WBM-60207</v>
          </cell>
          <cell r="B652" t="str">
            <v>שער הגיא</v>
          </cell>
          <cell r="C652" t="str">
            <v>שער הגיא-התקנת מאצרת שמן מרכזית</v>
          </cell>
          <cell r="D652">
            <v>46568</v>
          </cell>
        </row>
        <row r="653">
          <cell r="A653" t="str">
            <v>WBM-10725</v>
          </cell>
          <cell r="B653" t="str">
            <v>שער הגיא</v>
          </cell>
          <cell r="C653" t="str">
            <v>שער הגיא-רכישת SCS לקליטת שנאי חדש, משיק ל- WBE-189</v>
          </cell>
          <cell r="D653">
            <v>46203</v>
          </cell>
        </row>
        <row r="654">
          <cell r="A654" t="str">
            <v>WBM-00350-070</v>
          </cell>
          <cell r="B654" t="str">
            <v>שער הגיא</v>
          </cell>
          <cell r="C654" t="str">
            <v>שער הגיא - החלפת שנאי כתוצאה מתקלה</v>
          </cell>
          <cell r="D654">
            <v>46079</v>
          </cell>
        </row>
        <row r="655">
          <cell r="A655" t="str">
            <v>HIS-048</v>
          </cell>
          <cell r="B655" t="str">
            <v>שער אפריים ארעית</v>
          </cell>
          <cell r="C655" t="str">
            <v>שער אפריים ארעית</v>
          </cell>
          <cell r="D655">
            <v>40908</v>
          </cell>
        </row>
        <row r="656">
          <cell r="A656" t="str">
            <v>WBD-069-ST2</v>
          </cell>
          <cell r="B656" t="str">
            <v>שער אפריים ארעית</v>
          </cell>
          <cell r="C656" t="str">
            <v>שער אפרים ניידת- פירוק תחמ"ש ניידת</v>
          </cell>
          <cell r="D656">
            <v>44804</v>
          </cell>
        </row>
        <row r="657">
          <cell r="A657" t="str">
            <v>WDB-04COM40</v>
          </cell>
          <cell r="B657" t="str">
            <v>שער אפריים ארעית</v>
          </cell>
          <cell r="C657" t="str">
            <v>שער אפריים ארעית-הנחת כבל סיב אופטי מפ"ת</v>
          </cell>
          <cell r="D657">
            <v>42735</v>
          </cell>
        </row>
        <row r="658">
          <cell r="A658" t="str">
            <v>WBM-00608</v>
          </cell>
          <cell r="B658" t="str">
            <v>שער אפריים ארעית</v>
          </cell>
          <cell r="C658" t="str">
            <v>שער אפריים ארעית-פירוק תחמ"ש ארעית</v>
          </cell>
          <cell r="D658">
            <v>44804</v>
          </cell>
        </row>
        <row r="659">
          <cell r="A659" t="str">
            <v>WBM-01433</v>
          </cell>
          <cell r="B659" t="str">
            <v>שער אפריים ארעית</v>
          </cell>
          <cell r="C659" t="str">
            <v>שער אפריים ארעית-הוספת הגנה דיפרנציאלית</v>
          </cell>
          <cell r="D659">
            <v>43829</v>
          </cell>
        </row>
        <row r="660">
          <cell r="A660" t="str">
            <v>WBG-139-004</v>
          </cell>
          <cell r="B660" t="str">
            <v>שער אפריים ארעית</v>
          </cell>
          <cell r="C660" t="str">
            <v>שער אפריים ארעית-התקנת מערכת מניה</v>
          </cell>
          <cell r="D660">
            <v>41235</v>
          </cell>
        </row>
        <row r="661">
          <cell r="A661" t="str">
            <v>WBM-30003</v>
          </cell>
          <cell r="B661" t="str">
            <v>שער אפריים ארעית</v>
          </cell>
          <cell r="C661" t="str">
            <v>שער אפרים-בוטל- גדר אקטרונית (ביטחון)</v>
          </cell>
          <cell r="D661">
            <v>43102</v>
          </cell>
        </row>
        <row r="662">
          <cell r="A662" t="str">
            <v>WBM-60014</v>
          </cell>
          <cell r="B662" t="str">
            <v>שער אפריים ארעית</v>
          </cell>
          <cell r="C662" t="str">
            <v>שער אפרים ארעית-בוטל-הסדרת דרך גישה</v>
          </cell>
          <cell r="D662">
            <v>43556</v>
          </cell>
        </row>
        <row r="663">
          <cell r="A663" t="str">
            <v>0243384</v>
          </cell>
          <cell r="B663" t="str">
            <v>שער אפריים ארעית</v>
          </cell>
          <cell r="C663" t="str">
            <v>שער אפרים - התקנת  רושם הפרעות</v>
          </cell>
          <cell r="D663">
            <v>36164</v>
          </cell>
        </row>
        <row r="664">
          <cell r="A664">
            <v>531605</v>
          </cell>
          <cell r="B664" t="str">
            <v>שער אפריים ארעית</v>
          </cell>
          <cell r="C664" t="str">
            <v>שער אפריים ארעית-החלפת מערכת התראה בטחונ</v>
          </cell>
          <cell r="D664">
            <v>40116</v>
          </cell>
        </row>
        <row r="665">
          <cell r="A665" t="str">
            <v>WBG-139-001</v>
          </cell>
          <cell r="B665" t="str">
            <v>שער אפריים ארעית</v>
          </cell>
          <cell r="C665" t="str">
            <v>שער אפריים ארעית-התקנת שעון נוכחות</v>
          </cell>
          <cell r="D665">
            <v>39933</v>
          </cell>
        </row>
        <row r="666">
          <cell r="A666" t="str">
            <v>WBG-139-005</v>
          </cell>
          <cell r="B666" t="str">
            <v>שער אפריים ארעית</v>
          </cell>
          <cell r="C666" t="str">
            <v>שער אפריים ארעית-התקנת תקשורת מנהלתית</v>
          </cell>
          <cell r="D666">
            <v>40754</v>
          </cell>
        </row>
        <row r="667">
          <cell r="A667" t="str">
            <v>WBM-00126</v>
          </cell>
          <cell r="B667" t="str">
            <v>שער אפריים ארעית</v>
          </cell>
          <cell r="C667" t="str">
            <v>שער אפריים ארעית-התקנת ארון ז"י 48 וולט</v>
          </cell>
          <cell r="D667">
            <v>40332</v>
          </cell>
        </row>
        <row r="668">
          <cell r="A668" t="str">
            <v>WBD-069</v>
          </cell>
          <cell r="B668" t="str">
            <v>שער אפריים ארעית</v>
          </cell>
          <cell r="C668" t="str">
            <v>שער אפריים ניידת-הצבת תחמ"ש ניידת</v>
          </cell>
          <cell r="D668">
            <v>43647</v>
          </cell>
        </row>
        <row r="669">
          <cell r="A669" t="str">
            <v>WBM-60010-112</v>
          </cell>
          <cell r="B669" t="str">
            <v>שער אפריים</v>
          </cell>
          <cell r="C669" t="str">
            <v>שער-אפרים- בוטל- החלפת מוני ION למוני SATEC</v>
          </cell>
        </row>
        <row r="670">
          <cell r="A670">
            <v>9915090</v>
          </cell>
          <cell r="B670" t="str">
            <v>שניאור(צאלים)</v>
          </cell>
          <cell r="C670" t="str">
            <v>שניאור(צאלים)-קליטת תח"כ בהספק 120 מגוו"</v>
          </cell>
          <cell r="D670">
            <v>43636</v>
          </cell>
        </row>
        <row r="671">
          <cell r="A671" t="str">
            <v>WBE-208</v>
          </cell>
          <cell r="B671" t="str">
            <v>שניאור(צאלים)</v>
          </cell>
          <cell r="C671" t="str">
            <v>שניאור-בוטל-התקנת שנאי 50עבור המחלק בת' פרטית</v>
          </cell>
        </row>
        <row r="672">
          <cell r="A672" t="str">
            <v>WBE-208-ST2</v>
          </cell>
          <cell r="B672" t="str">
            <v>שניאור(צאלים)</v>
          </cell>
          <cell r="C672" t="str">
            <v>שניאור(צאלים)- בוטל-הסדרה ניכסית וסטטוטורית</v>
          </cell>
        </row>
        <row r="673">
          <cell r="A673" t="str">
            <v>WBM-60128-005</v>
          </cell>
          <cell r="B673" t="str">
            <v>שניאור(צאלים)</v>
          </cell>
          <cell r="C673" t="str">
            <v>צאלים - שדרוג ותוספות מיגון בתחמשים פרטיים</v>
          </cell>
          <cell r="D673">
            <v>46721</v>
          </cell>
        </row>
        <row r="674">
          <cell r="A674" t="str">
            <v>HIS-031</v>
          </cell>
          <cell r="B674" t="str">
            <v>שלום</v>
          </cell>
          <cell r="C674" t="str">
            <v>שלום</v>
          </cell>
          <cell r="D674">
            <v>40908</v>
          </cell>
        </row>
        <row r="675">
          <cell r="A675">
            <v>547810</v>
          </cell>
          <cell r="B675" t="str">
            <v>שלום</v>
          </cell>
          <cell r="C675" t="str">
            <v>שלום-התקנת רכזת התראה בטחונית</v>
          </cell>
          <cell r="D675">
            <v>39659</v>
          </cell>
        </row>
        <row r="676">
          <cell r="A676" t="str">
            <v>WBM-00775</v>
          </cell>
          <cell r="B676" t="str">
            <v>שלום</v>
          </cell>
          <cell r="C676" t="str">
            <v>שלום-סימון רחבת התארגנות לכבאים.</v>
          </cell>
          <cell r="D676">
            <v>42187</v>
          </cell>
        </row>
        <row r="677">
          <cell r="A677" t="str">
            <v>WBM-00606</v>
          </cell>
          <cell r="B677" t="str">
            <v>שלום</v>
          </cell>
          <cell r="C677" t="str">
            <v>שלום-הזנת תאורת חירום ז"י באמצעות ממיר.</v>
          </cell>
          <cell r="D677">
            <v>46751</v>
          </cell>
        </row>
        <row r="678">
          <cell r="A678" t="str">
            <v>WBM-40278</v>
          </cell>
          <cell r="B678" t="str">
            <v>שלום</v>
          </cell>
          <cell r="C678" t="str">
            <v>שלום-שדרוג מערכות בקרה ופיקוד</v>
          </cell>
          <cell r="D678">
            <v>46843</v>
          </cell>
        </row>
        <row r="679">
          <cell r="A679" t="str">
            <v>WBG-108-010</v>
          </cell>
          <cell r="B679" t="str">
            <v>שלום</v>
          </cell>
          <cell r="C679" t="str">
            <v>שלום-הקמת רשת מחשבים תפעולית</v>
          </cell>
          <cell r="D679">
            <v>41227</v>
          </cell>
        </row>
        <row r="680">
          <cell r="A680" t="str">
            <v>WBG-108-008</v>
          </cell>
          <cell r="B680" t="str">
            <v>שלום</v>
          </cell>
          <cell r="C680" t="str">
            <v>שלום-הוספת מערכת חדשה של התזת מים</v>
          </cell>
          <cell r="D680">
            <v>41121</v>
          </cell>
        </row>
        <row r="681">
          <cell r="A681" t="str">
            <v>WBM-01220</v>
          </cell>
          <cell r="B681" t="str">
            <v>שלום</v>
          </cell>
          <cell r="C681" t="str">
            <v>שלום-בוטל- שידרוג מערכת הבקרה במסדר 161</v>
          </cell>
          <cell r="D681">
            <v>42888</v>
          </cell>
        </row>
        <row r="682">
          <cell r="A682" t="str">
            <v>WBM-00607</v>
          </cell>
          <cell r="B682" t="str">
            <v>שלום</v>
          </cell>
          <cell r="C682" t="str">
            <v>שלום-בוטל-עיגון דיזל גנרטור,בניית מא.דלק</v>
          </cell>
          <cell r="D682">
            <v>41249</v>
          </cell>
        </row>
        <row r="683">
          <cell r="A683" t="str">
            <v>WBM-01341-041</v>
          </cell>
          <cell r="B683" t="str">
            <v>שלום</v>
          </cell>
          <cell r="C683" t="str">
            <v>השלום- שיפוץ מסדרי GIS</v>
          </cell>
          <cell r="D683">
            <v>46198</v>
          </cell>
        </row>
        <row r="684">
          <cell r="A684" t="str">
            <v>WBM-10315-031</v>
          </cell>
          <cell r="B684" t="str">
            <v>שלום</v>
          </cell>
          <cell r="C684" t="str">
            <v>השלום - התקנת מזגנים</v>
          </cell>
          <cell r="D684">
            <v>45838</v>
          </cell>
        </row>
        <row r="685">
          <cell r="A685" t="str">
            <v>WBM-40479-038</v>
          </cell>
          <cell r="B685" t="str">
            <v>שלום</v>
          </cell>
          <cell r="C685" t="str">
            <v>שלום- החלפת 2 בקרי טמפ' וגובה שמן בשנאי</v>
          </cell>
          <cell r="D685">
            <v>47299</v>
          </cell>
        </row>
        <row r="686">
          <cell r="A686" t="str">
            <v>WBM-60008-089</v>
          </cell>
          <cell r="B686" t="str">
            <v>שלום</v>
          </cell>
          <cell r="C686" t="str">
            <v>השלום - מערכת בקרה וגדר אלקטרונית</v>
          </cell>
          <cell r="D686">
            <v>46752</v>
          </cell>
        </row>
        <row r="687">
          <cell r="A687" t="str">
            <v>WBM-60100-012</v>
          </cell>
          <cell r="B687" t="str">
            <v>שלום</v>
          </cell>
          <cell r="C687" t="str">
            <v>ת"א השלום -  החלפת ברזי זרימה של מע' כבו</v>
          </cell>
          <cell r="D687">
            <v>45540</v>
          </cell>
        </row>
        <row r="688">
          <cell r="A688" t="str">
            <v>WBM-60130-063</v>
          </cell>
          <cell r="B688" t="str">
            <v>שלום</v>
          </cell>
          <cell r="C688" t="str">
            <v>השלום - התקנת מפסק פטריה להפסקת מערכת החשמל בחירום</v>
          </cell>
          <cell r="D688">
            <v>46568</v>
          </cell>
        </row>
        <row r="689">
          <cell r="A689" t="str">
            <v>WBM-00885-131</v>
          </cell>
          <cell r="B689" t="str">
            <v>שלום</v>
          </cell>
          <cell r="C689" t="str">
            <v>שלום - (עזריאלי) אפיון מים</v>
          </cell>
          <cell r="D689">
            <v>45608</v>
          </cell>
        </row>
        <row r="690">
          <cell r="A690" t="str">
            <v>WBM-40295-083</v>
          </cell>
          <cell r="B690" t="str">
            <v>שלום</v>
          </cell>
          <cell r="C690" t="str">
            <v>השלום - החלפת סוללות מצברים</v>
          </cell>
          <cell r="D690">
            <v>46387</v>
          </cell>
        </row>
        <row r="691">
          <cell r="A691" t="str">
            <v>WBM-40629-006</v>
          </cell>
          <cell r="B691" t="str">
            <v>שלום</v>
          </cell>
          <cell r="C691" t="str">
            <v>שלום-  החלפת מבדדי 161 ק"ו של שנאי הספק</v>
          </cell>
          <cell r="D691">
            <v>46387</v>
          </cell>
        </row>
        <row r="692">
          <cell r="A692" t="str">
            <v>WBM-10663-003</v>
          </cell>
          <cell r="B692" t="str">
            <v>שלום</v>
          </cell>
          <cell r="C692" t="str">
            <v>שלום- החלפת מטענים</v>
          </cell>
          <cell r="D692">
            <v>46022</v>
          </cell>
        </row>
        <row r="693">
          <cell r="A693" t="str">
            <v>WBM-40637-043</v>
          </cell>
          <cell r="B693" t="str">
            <v>שלום</v>
          </cell>
          <cell r="C693" t="str">
            <v>שלום-בוטל - החלפת רושמי הפרעות קיימים מדגם IDM-T3 לרושמים חדשים מדגם IDM+</v>
          </cell>
        </row>
        <row r="694">
          <cell r="A694" t="str">
            <v>WBM-40637-037</v>
          </cell>
          <cell r="B694" t="str">
            <v>שלום</v>
          </cell>
          <cell r="C694" t="str">
            <v>שלום-החלפת רושמי הפרעות קיימים מדגם IDM-T3 לרושמים חדשים מדגם IDM+</v>
          </cell>
          <cell r="D694">
            <v>47483</v>
          </cell>
        </row>
        <row r="695">
          <cell r="A695" t="str">
            <v>WBM-10408</v>
          </cell>
          <cell r="B695" t="str">
            <v>שכם</v>
          </cell>
          <cell r="C695" t="str">
            <v>שכם-יישום תקשורת אופטית בין הגנות</v>
          </cell>
          <cell r="D695">
            <v>45229</v>
          </cell>
        </row>
        <row r="696">
          <cell r="A696" t="str">
            <v>WEC-002</v>
          </cell>
          <cell r="B696" t="str">
            <v>שכם</v>
          </cell>
          <cell r="C696" t="str">
            <v>שכם- הקמת תחמ"ש חיצונית 161/36 ק"ו.</v>
          </cell>
          <cell r="D696">
            <v>44098</v>
          </cell>
        </row>
        <row r="697">
          <cell r="A697" t="str">
            <v>WBE-167</v>
          </cell>
          <cell r="B697" t="str">
            <v>שירת דבורה - תחמ"ש</v>
          </cell>
          <cell r="C697" t="str">
            <v>שירת דבורה - תחמ"ש -הוספת 2 שנאי חח"י 50 מו"א</v>
          </cell>
          <cell r="D697">
            <v>45995</v>
          </cell>
        </row>
        <row r="698">
          <cell r="A698" t="str">
            <v>WBE-282</v>
          </cell>
          <cell r="B698" t="str">
            <v>שירת דבורה - תחמ"ש</v>
          </cell>
          <cell r="C698" t="str">
            <v>שירת הדבורה-חח"י – התקנת שנאי שלישי 161/24 ק"ו, 50 מגוו"א מס' 523</v>
          </cell>
          <cell r="D698">
            <v>46387</v>
          </cell>
        </row>
        <row r="699">
          <cell r="A699" t="str">
            <v>WBM-10719</v>
          </cell>
          <cell r="B699" t="str">
            <v>שירת דבורה - תחמ"ש</v>
          </cell>
          <cell r="C699" t="str">
            <v>שירת דבורה-חח"י – אינטגרציה של מסדרים קיימים למערכת ה-SCS</v>
          </cell>
          <cell r="D699">
            <v>46477</v>
          </cell>
        </row>
        <row r="700">
          <cell r="A700">
            <v>9915235</v>
          </cell>
          <cell r="B700" t="str">
            <v>שירת דבורה</v>
          </cell>
          <cell r="C700" t="str">
            <v>שירת דבורה-קליטת תח"כ בהספק  110 מגוו"ט</v>
          </cell>
          <cell r="D700">
            <v>45517</v>
          </cell>
        </row>
        <row r="701">
          <cell r="A701">
            <v>900013</v>
          </cell>
          <cell r="B701" t="str">
            <v>שירת דבורה</v>
          </cell>
          <cell r="C701" t="str">
            <v>שירת דבורה-עבודות תקשורת והקמת חדר תקשורת</v>
          </cell>
          <cell r="D701">
            <v>47149</v>
          </cell>
        </row>
        <row r="702">
          <cell r="A702" t="str">
            <v>WBM-10696</v>
          </cell>
          <cell r="B702" t="str">
            <v>שירת דבורה</v>
          </cell>
          <cell r="C702" t="str">
            <v>שירת הדבורה-הת' תיילים-מהדקים-פורט'wbo-849</v>
          </cell>
          <cell r="D702">
            <v>47117</v>
          </cell>
        </row>
        <row r="703">
          <cell r="A703">
            <v>900032</v>
          </cell>
          <cell r="B703" t="str">
            <v>שירת דבורה</v>
          </cell>
          <cell r="C703" t="str">
            <v>שירת דבורה 3-קליטת מתקן אגירה SA במ"ע בהספק של 150 מגאווט</v>
          </cell>
          <cell r="D703">
            <v>46783</v>
          </cell>
        </row>
        <row r="704">
          <cell r="A704">
            <v>900039</v>
          </cell>
          <cell r="B704" t="str">
            <v>שירת דבורה</v>
          </cell>
          <cell r="C704" t="str">
            <v>שירת דבורה 2 – קליטת מתקן ייצור PV + מתקני אגירה BESS בהספק כולל 114 MW</v>
          </cell>
          <cell r="D704">
            <v>46387</v>
          </cell>
        </row>
        <row r="705">
          <cell r="A705">
            <v>900043</v>
          </cell>
          <cell r="B705" t="str">
            <v>שירת דבורה</v>
          </cell>
          <cell r="C705" t="str">
            <v>שירת דבורה 2 - בוטל - קליטת מתקן PV משולב אגירה בסוללות  במ"ע בהספק של 75 מגאווט</v>
          </cell>
          <cell r="D705">
            <v>45292</v>
          </cell>
        </row>
        <row r="706">
          <cell r="A706" t="str">
            <v>WBM-10531-009</v>
          </cell>
          <cell r="B706" t="str">
            <v>שיפוץ ניידת מס' 4- ח.ב</v>
          </cell>
          <cell r="C706" t="str">
            <v>שיפוץ ניידת מס' 4- ח.ב</v>
          </cell>
          <cell r="D706">
            <v>46387</v>
          </cell>
        </row>
        <row r="707">
          <cell r="A707" t="str">
            <v>WBM-10531-005</v>
          </cell>
          <cell r="B707" t="str">
            <v>שיפוץ ניידת מס' 33-ח.ב</v>
          </cell>
          <cell r="C707" t="str">
            <v>שיפוץ ניידת מס' 33-ח.ב</v>
          </cell>
          <cell r="D707">
            <v>46387</v>
          </cell>
        </row>
        <row r="708">
          <cell r="A708" t="str">
            <v>WBM-10531-003</v>
          </cell>
          <cell r="B708" t="str">
            <v>שיפוץ ניידת מס' 22- ח.ב</v>
          </cell>
          <cell r="C708" t="str">
            <v>שיפוץ ניידת מס' 22- ח.ב</v>
          </cell>
          <cell r="D708">
            <v>46387</v>
          </cell>
        </row>
        <row r="709">
          <cell r="A709" t="str">
            <v>WBM-10531-006</v>
          </cell>
          <cell r="B709" t="str">
            <v>שיפוץ ניידת מס' 14-ח.ב</v>
          </cell>
          <cell r="C709" t="str">
            <v>שיפוץ ניידת מס' 14-ח.ב</v>
          </cell>
          <cell r="D709">
            <v>45747</v>
          </cell>
        </row>
        <row r="710">
          <cell r="A710" t="str">
            <v>WBM-10531-004</v>
          </cell>
          <cell r="B710" t="str">
            <v>שיפוץ ניידת מס' 11-ח.ב</v>
          </cell>
          <cell r="C710" t="str">
            <v>שיפוץ ניידת מס' 11-ח.ב</v>
          </cell>
          <cell r="D710">
            <v>45747</v>
          </cell>
        </row>
        <row r="711">
          <cell r="A711" t="str">
            <v>WBN-611</v>
          </cell>
          <cell r="B711" t="str">
            <v>שינויים במתחם רג"ם</v>
          </cell>
          <cell r="C711" t="str">
            <v>שינויים במתחם רג"ם- עע"א - הגבהת רשתות (עמוד 43373) בקו 400 דו מעגלי גזר-קסם</v>
          </cell>
          <cell r="D711">
            <v>46752</v>
          </cell>
        </row>
        <row r="712">
          <cell r="A712" t="str">
            <v>WBN-612</v>
          </cell>
          <cell r="B712" t="str">
            <v>שינויים במתחם רג"ם</v>
          </cell>
          <cell r="C712" t="str">
            <v>שינויים במתחם רג"ם-עע"א-הגבהת רשתות (עמוד 40166A) בקו 400 גזר-פ"ת</v>
          </cell>
          <cell r="D712">
            <v>46752</v>
          </cell>
        </row>
        <row r="713">
          <cell r="A713" t="str">
            <v>WBO-892</v>
          </cell>
          <cell r="B713" t="str">
            <v>שינויים במתחם רג"ם</v>
          </cell>
          <cell r="C713" t="str">
            <v>שינויים במתחם רג"ם-עע"א - מתחם רג"ם-הגבהת רשתות  (עמודים 15104-15107) בקו גזר-לוד/ראשל"צ מזרח</v>
          </cell>
          <cell r="D713">
            <v>46752</v>
          </cell>
        </row>
        <row r="714">
          <cell r="A714" t="str">
            <v>WBO-893</v>
          </cell>
          <cell r="B714" t="str">
            <v>שינויים במתחם רג"ם</v>
          </cell>
          <cell r="C714" t="str">
            <v>תכנון שינויים במתחם רג"ם-עע"א - הגבהת רשתות  (עמודים 3956-3959) בקו 4 מעגלי גזר-בן שמן</v>
          </cell>
          <cell r="D714">
            <v>46041</v>
          </cell>
        </row>
        <row r="715">
          <cell r="A715" t="str">
            <v>WBO-404-ST2</v>
          </cell>
          <cell r="B715" t="str">
            <v>שינויים בכניסות לפארן</v>
          </cell>
          <cell r="C715" t="str">
            <v>שינויים בכניסות לפארן-חיבור לשדה 7</v>
          </cell>
          <cell r="D715">
            <v>43146</v>
          </cell>
        </row>
        <row r="716">
          <cell r="A716" t="str">
            <v>WBO-401-ST2</v>
          </cell>
          <cell r="B716" t="str">
            <v>שינויים בכניסות לפארן</v>
          </cell>
          <cell r="C716" t="str">
            <v>שינויים בכניסות לפארן- חיבור לשדה 11</v>
          </cell>
          <cell r="D716">
            <v>44642</v>
          </cell>
        </row>
        <row r="717">
          <cell r="A717" t="str">
            <v>WBO-403-ST2</v>
          </cell>
          <cell r="B717" t="str">
            <v>שינויים בכניסות לפארן</v>
          </cell>
          <cell r="C717" t="str">
            <v>שינויים בכניסות לפארן-חיבור לשדות 4,17</v>
          </cell>
          <cell r="D717">
            <v>44609</v>
          </cell>
        </row>
        <row r="718">
          <cell r="A718" t="str">
            <v>WBO-597</v>
          </cell>
          <cell r="B718" t="str">
            <v>שינויים בכניסה לקרית גת</v>
          </cell>
          <cell r="C718" t="str">
            <v>שינויים בכניסה לקרית גת קשור WBE-097</v>
          </cell>
          <cell r="D718">
            <v>44690</v>
          </cell>
        </row>
        <row r="719">
          <cell r="A719" t="str">
            <v>WBO-531</v>
          </cell>
          <cell r="B719" t="str">
            <v>שינויים בכניסה לפ''ת</v>
          </cell>
          <cell r="C719" t="str">
            <v>שינויים בכניסה לפ"ת-גישור -השבתת רידינג</v>
          </cell>
          <cell r="D719">
            <v>43585</v>
          </cell>
        </row>
        <row r="720">
          <cell r="A720" t="str">
            <v>WBO-668</v>
          </cell>
          <cell r="B720" t="str">
            <v>שינויים בין חפר לקיסריה</v>
          </cell>
          <cell r="C720" t="str">
            <v>שינויים בין חפר לקיסריה-161 ק"ו-הקמת קטע</v>
          </cell>
          <cell r="D720">
            <v>46873</v>
          </cell>
        </row>
        <row r="721">
          <cell r="A721">
            <v>2121</v>
          </cell>
          <cell r="B721" t="str">
            <v>שינויים בזבולון</v>
          </cell>
          <cell r="C721" t="str">
            <v>שינויים בזבולון-העתקת מע' לנילית ולצלמון</v>
          </cell>
          <cell r="D721">
            <v>41033</v>
          </cell>
        </row>
        <row r="722">
          <cell r="A722" t="str">
            <v>WBN-407-LN4</v>
          </cell>
          <cell r="B722" t="str">
            <v>שינויים באזור צפית</v>
          </cell>
          <cell r="C722" t="str">
            <v>שינויים באזור צפית לחיבור תח"כ חרובית-9</v>
          </cell>
          <cell r="D722">
            <v>42141</v>
          </cell>
        </row>
        <row r="723">
          <cell r="A723" t="str">
            <v>WBN-407-LN2</v>
          </cell>
          <cell r="B723" t="str">
            <v>שינויים באזור צפית</v>
          </cell>
          <cell r="C723" t="str">
            <v>שינויים באזור צפית לחיבור  חרובית 10-11</v>
          </cell>
          <cell r="D723">
            <v>42141</v>
          </cell>
        </row>
        <row r="724">
          <cell r="A724">
            <v>9999</v>
          </cell>
          <cell r="B724" t="str">
            <v>שינויים באזור צפית</v>
          </cell>
          <cell r="C724" t="str">
            <v>שינויים באזור צפית-ביטול המעקף</v>
          </cell>
          <cell r="D724">
            <v>40998</v>
          </cell>
        </row>
        <row r="725">
          <cell r="A725" t="str">
            <v>WBN-407-LN3</v>
          </cell>
          <cell r="B725" t="str">
            <v>שינויים באזור צפית</v>
          </cell>
          <cell r="C725" t="str">
            <v>שינויים באזור צפית לחיבור תח"כ חרובית</v>
          </cell>
          <cell r="D725">
            <v>41107</v>
          </cell>
        </row>
        <row r="726">
          <cell r="A726" t="str">
            <v>WBN-407</v>
          </cell>
          <cell r="B726" t="str">
            <v>שינויים באזור צפית</v>
          </cell>
          <cell r="C726" t="str">
            <v>שינויים באזור צפית לחיבור תח"כ חרובית1-6</v>
          </cell>
          <cell r="D726">
            <v>42141</v>
          </cell>
        </row>
        <row r="727">
          <cell r="A727" t="str">
            <v>WBO-406-ST2</v>
          </cell>
          <cell r="B727" t="str">
            <v>שינויים באזור פרדסיה</v>
          </cell>
          <cell r="C727" t="str">
            <v>שינויים 161 ק"ו באזור פרדסיה-פירוק קטע י</v>
          </cell>
          <cell r="D727">
            <v>45384</v>
          </cell>
        </row>
        <row r="728">
          <cell r="A728" t="str">
            <v>WBN-434-ST2</v>
          </cell>
          <cell r="B728" t="str">
            <v>שינויים באזור פרדסיה</v>
          </cell>
          <cell r="C728" t="str">
            <v>שינויים 400 ק"ו באזור פרדסיה-פירוק קטע י</v>
          </cell>
          <cell r="D728">
            <v>45291</v>
          </cell>
        </row>
        <row r="729">
          <cell r="A729" t="str">
            <v>WBO-406</v>
          </cell>
          <cell r="B729" t="str">
            <v>שינויים באזור פרדסיה</v>
          </cell>
          <cell r="C729" t="str">
            <v>שינויים 161 ק"ו באזור פרדסיה-עע"א-בין עמ</v>
          </cell>
          <cell r="D729">
            <v>45299</v>
          </cell>
        </row>
        <row r="730">
          <cell r="A730" t="str">
            <v>WBN-434</v>
          </cell>
          <cell r="B730" t="str">
            <v>שינויים באזור פרדסיה</v>
          </cell>
          <cell r="C730" t="str">
            <v>שינויים 400 ק"ו באזור פרדסיה-מקטע 3</v>
          </cell>
          <cell r="D730">
            <v>45064</v>
          </cell>
        </row>
        <row r="731">
          <cell r="A731" t="str">
            <v>WBA-084</v>
          </cell>
          <cell r="B731" t="str">
            <v>שינויים באזור ירקון</v>
          </cell>
          <cell r="C731" t="str">
            <v>שינויים באזור עתידים-הנחת 2 מעגלי כבלים</v>
          </cell>
          <cell r="D731">
            <v>41274</v>
          </cell>
        </row>
        <row r="732">
          <cell r="A732" t="str">
            <v>WBA-084-LN2</v>
          </cell>
          <cell r="B732" t="str">
            <v>שינויים באזור ירקון</v>
          </cell>
          <cell r="C732" t="str">
            <v>שינויים באזור עתידים-הקמת טרמינלים</v>
          </cell>
          <cell r="D732">
            <v>41274</v>
          </cell>
        </row>
        <row r="733">
          <cell r="A733">
            <v>3640</v>
          </cell>
          <cell r="B733" t="str">
            <v>שינויים באזור יבנה</v>
          </cell>
          <cell r="C733" t="str">
            <v>שינויים ביבנה-העתקת קווים לאשדוד אנרגיה</v>
          </cell>
          <cell r="D733">
            <v>42265</v>
          </cell>
        </row>
        <row r="734">
          <cell r="A734" t="str">
            <v>WBO-513</v>
          </cell>
          <cell r="B734" t="str">
            <v>שינויים באזור יבנה</v>
          </cell>
          <cell r="C734" t="str">
            <v>שינויים באזור יבנה-העתקת בשלבים של המעגל</v>
          </cell>
          <cell r="D734">
            <v>44153</v>
          </cell>
        </row>
        <row r="735">
          <cell r="A735" t="str">
            <v>WBO-664-ST2</v>
          </cell>
          <cell r="B735" t="str">
            <v>שינויים באזור חפר</v>
          </cell>
          <cell r="C735" t="str">
            <v>שינויים באזור חפר-קו חפר-רעננה/שביב-פרוק</v>
          </cell>
          <cell r="D735">
            <v>47057</v>
          </cell>
        </row>
        <row r="736">
          <cell r="A736" t="str">
            <v>WBO-666-ST2</v>
          </cell>
          <cell r="B736" t="str">
            <v>שינויים באזור חפר</v>
          </cell>
          <cell r="C736" t="str">
            <v>שינויים באזור חפר-יהלום-פירוק קטע עילי</v>
          </cell>
          <cell r="D736">
            <v>47057</v>
          </cell>
        </row>
        <row r="737">
          <cell r="A737" t="str">
            <v>WBO-662</v>
          </cell>
          <cell r="B737" t="str">
            <v>שינויים באזור חפר</v>
          </cell>
          <cell r="C737" t="str">
            <v>שינויים באזור חפר-כבל חפר - תנובות / שכם</v>
          </cell>
          <cell r="D737">
            <v>46873</v>
          </cell>
        </row>
        <row r="738">
          <cell r="A738" t="str">
            <v>WBO-667</v>
          </cell>
          <cell r="B738" t="str">
            <v>שינויים באזור חפר</v>
          </cell>
          <cell r="C738" t="str">
            <v>שינויים באזור חפר- לכיוון כבל חפר - יהלו</v>
          </cell>
          <cell r="D738">
            <v>46873</v>
          </cell>
        </row>
        <row r="739">
          <cell r="A739" t="str">
            <v>WBO-666</v>
          </cell>
          <cell r="B739" t="str">
            <v>שינויים באזור חפר</v>
          </cell>
          <cell r="C739" t="str">
            <v>שינויים באזור חפר-טרמינל וחיבורים חפר-יה</v>
          </cell>
          <cell r="D739">
            <v>46873</v>
          </cell>
        </row>
        <row r="740">
          <cell r="A740" t="str">
            <v>WBO-665</v>
          </cell>
          <cell r="B740" t="str">
            <v>שינויים באזור חפר</v>
          </cell>
          <cell r="C740" t="str">
            <v>שינויים באזור חפר-כבל חפר-רעננה / שביב</v>
          </cell>
          <cell r="D740">
            <v>46873</v>
          </cell>
        </row>
        <row r="741">
          <cell r="A741" t="str">
            <v>WBO-664</v>
          </cell>
          <cell r="B741" t="str">
            <v>שינויים באזור חפר</v>
          </cell>
          <cell r="C741" t="str">
            <v>שינויים באזור חפר-קו חפר-רעננה/שביב טרמי</v>
          </cell>
          <cell r="D741">
            <v>46873</v>
          </cell>
        </row>
        <row r="742">
          <cell r="A742" t="str">
            <v>WBO-659</v>
          </cell>
          <cell r="B742" t="str">
            <v>שינויים באזור חפר</v>
          </cell>
          <cell r="C742" t="str">
            <v>שינויים באזור חפר-הקמה וחיבורים עיליים</v>
          </cell>
          <cell r="D742">
            <v>46387</v>
          </cell>
        </row>
        <row r="743">
          <cell r="A743" t="str">
            <v>WBO-660</v>
          </cell>
          <cell r="B743" t="str">
            <v>שינויים באזור חפר</v>
          </cell>
          <cell r="C743" t="str">
            <v>שינויים באזור חפר-הקמה וחיבורים תת"ק בשל</v>
          </cell>
          <cell r="D743">
            <v>46387</v>
          </cell>
        </row>
        <row r="744">
          <cell r="A744" t="str">
            <v>WBO-509</v>
          </cell>
          <cell r="B744" t="str">
            <v>שינויים באזור חפר</v>
          </cell>
          <cell r="C744" t="str">
            <v>שינויים באזור חפר-לחיבור קיסריה-ש.אפריים</v>
          </cell>
          <cell r="D744">
            <v>45146</v>
          </cell>
        </row>
        <row r="745">
          <cell r="A745" t="str">
            <v>WBO-860</v>
          </cell>
          <cell r="B745" t="str">
            <v>שינויים באזור חפר</v>
          </cell>
          <cell r="C745" t="str">
            <v>כבל חפר-יהלום-תכנית חירום-הנחת 2 מעגלי כבלים תת-קרקעיים</v>
          </cell>
          <cell r="D745">
            <v>46873</v>
          </cell>
        </row>
        <row r="746">
          <cell r="A746" t="str">
            <v>WBO-861</v>
          </cell>
          <cell r="B746" t="str">
            <v>שינויים באזור חפר</v>
          </cell>
          <cell r="C746" t="str">
            <v>כבל חפר-יהלום-תכנית חירום-הקמת טרמינלים ושינוי חיבורים</v>
          </cell>
          <cell r="D746">
            <v>46873</v>
          </cell>
        </row>
        <row r="747">
          <cell r="A747" t="str">
            <v>WBO-171</v>
          </cell>
          <cell r="B747" t="str">
            <v>שינויים באזור הרטוב</v>
          </cell>
          <cell r="C747" t="str">
            <v>שינויים באזור הרטוב-עע"א-הסטת קווי מ"ע- הרטוב בין עמודים 9135-9139</v>
          </cell>
          <cell r="D747">
            <v>47483</v>
          </cell>
        </row>
        <row r="748">
          <cell r="A748">
            <v>3650</v>
          </cell>
          <cell r="B748" t="str">
            <v>שינויים באזור דימונה</v>
          </cell>
          <cell r="C748" t="str">
            <v>שינויים באזור דימונה</v>
          </cell>
          <cell r="D748">
            <v>41357</v>
          </cell>
        </row>
        <row r="749">
          <cell r="A749" t="str">
            <v>WBO-582</v>
          </cell>
          <cell r="B749" t="str">
            <v>שינויים באזור דימונה</v>
          </cell>
          <cell r="C749" t="str">
            <v>שינויים באזור דימונה-בוטל--העתקות קווים</v>
          </cell>
          <cell r="D749">
            <v>43647</v>
          </cell>
        </row>
        <row r="750">
          <cell r="A750" t="str">
            <v>WBO-544</v>
          </cell>
          <cell r="B750" t="str">
            <v>שינויים באזור דימונה</v>
          </cell>
          <cell r="C750" t="str">
            <v>שינויים באזור דימונה- החזרת המצב לקדמותו</v>
          </cell>
          <cell r="D750">
            <v>45574</v>
          </cell>
        </row>
        <row r="751">
          <cell r="A751" t="str">
            <v>WBA-357</v>
          </cell>
          <cell r="B751" t="str">
            <v>שינויים באזור גן שורק</v>
          </cell>
          <cell r="C751" t="str">
            <v>שינויים באזור גן שורק-ב-4 קווי 161 ק"ו</v>
          </cell>
          <cell r="D751">
            <v>40928</v>
          </cell>
        </row>
        <row r="752">
          <cell r="A752" t="str">
            <v>WBN-409</v>
          </cell>
          <cell r="B752" t="str">
            <v>שינויים באזור גן שורק</v>
          </cell>
          <cell r="C752" t="str">
            <v>שינויים באזור גן שורק-השלמת קטע  400 ק"ו</v>
          </cell>
          <cell r="D752">
            <v>42180</v>
          </cell>
        </row>
        <row r="753">
          <cell r="A753" t="str">
            <v>WBO-823</v>
          </cell>
          <cell r="B753" t="str">
            <v>שינוי חיבורים בצומת כרמיה</v>
          </cell>
          <cell r="C753" t="str">
            <v>שינוי חיבורים בצומת כרמיה -  מסעף ממעגל איתן - התפלה אשקלון: עבודות עיליות</v>
          </cell>
          <cell r="D753">
            <v>46873</v>
          </cell>
        </row>
        <row r="754">
          <cell r="A754" t="str">
            <v>WBO-859</v>
          </cell>
          <cell r="B754" t="str">
            <v>שינוי חיבורים בצומת כרמיה</v>
          </cell>
          <cell r="C754" t="str">
            <v>שינוי חיבורים בצומת כרמיה -  מסעף ממעגל איתן - התפלה אשקלון: עבודות רת"ק</v>
          </cell>
          <cell r="D754">
            <v>46477</v>
          </cell>
        </row>
        <row r="755">
          <cell r="A755" t="str">
            <v>LN1-WBK-011</v>
          </cell>
          <cell r="B755" t="str">
            <v>שינוי חיבורים בפתח תקווה</v>
          </cell>
          <cell r="C755" t="str">
            <v>שינוי חיבורים בפתח תקווה</v>
          </cell>
          <cell r="D755">
            <v>41253</v>
          </cell>
        </row>
        <row r="756">
          <cell r="A756" t="str">
            <v>WBC-123</v>
          </cell>
          <cell r="B756" t="str">
            <v>שחר (כוכב מיכאל)</v>
          </cell>
          <cell r="C756" t="str">
            <v>שחר(כוכב מיכאל)-הקמת תחמ"ש חיצונית</v>
          </cell>
          <cell r="D756">
            <v>46752</v>
          </cell>
        </row>
        <row r="757">
          <cell r="A757" t="str">
            <v>WBC-123-ST2</v>
          </cell>
          <cell r="B757" t="str">
            <v>שחר (כוכב מיכאל)</v>
          </cell>
          <cell r="C757" t="str">
            <v>שחר(כוכב מיכאל)-שולב-הקמת תחמ"ש חיצונית</v>
          </cell>
        </row>
        <row r="758">
          <cell r="A758" t="str">
            <v>WBC-123-ST1</v>
          </cell>
          <cell r="B758" t="str">
            <v>שחר (כוכב מיכאל)</v>
          </cell>
          <cell r="C758" t="str">
            <v>שחר (כוכב מיכאל)-שולב-קידום סטטוטורי</v>
          </cell>
        </row>
        <row r="759">
          <cell r="A759" t="str">
            <v>WBE-214</v>
          </cell>
          <cell r="B759" t="str">
            <v>שחר (כוכב מיכאל)</v>
          </cell>
          <cell r="C759" t="str">
            <v>שחר (כוכב מיכאל)-שולב- התקנת שנאי שלישי50מו"א</v>
          </cell>
        </row>
        <row r="760">
          <cell r="A760">
            <v>900005</v>
          </cell>
          <cell r="B760" t="str">
            <v>שורק 900</v>
          </cell>
          <cell r="C760" t="str">
            <v>שורק 900-קליטת יחידת מחז"מ בהספק של 900MW</v>
          </cell>
          <cell r="D760">
            <v>46964</v>
          </cell>
        </row>
        <row r="761">
          <cell r="A761" t="str">
            <v>WBC-203</v>
          </cell>
          <cell r="B761" t="str">
            <v>שוקת</v>
          </cell>
          <cell r="C761" t="str">
            <v>שוקת-מוקפא-הקמת תחנת משנה חיצונית 161/24 ק"ו, 50*2  מגוו"א</v>
          </cell>
          <cell r="D761">
            <v>49674</v>
          </cell>
        </row>
        <row r="762">
          <cell r="A762" t="str">
            <v>WBJ-017</v>
          </cell>
          <cell r="B762" t="str">
            <v>שוקת</v>
          </cell>
          <cell r="C762" t="str">
            <v>שוקת-הוקפא-קידום סטטוטורי של הקמת תחמ"ג 400/161 ק"ו</v>
          </cell>
        </row>
        <row r="763">
          <cell r="A763" t="str">
            <v>WBJ-017-ST2</v>
          </cell>
          <cell r="B763" t="str">
            <v>שוקת</v>
          </cell>
          <cell r="C763" t="str">
            <v>שוקת-בוטל-קידום תכנית מתאר</v>
          </cell>
          <cell r="D763">
            <v>44613</v>
          </cell>
        </row>
        <row r="764">
          <cell r="A764" t="str">
            <v>מ1</v>
          </cell>
          <cell r="B764" t="str">
            <v>שוקת</v>
          </cell>
          <cell r="C764" t="str">
            <v>העתקת  ניידת שוקת</v>
          </cell>
          <cell r="D764">
            <v>45169</v>
          </cell>
        </row>
        <row r="765">
          <cell r="A765" t="str">
            <v>HIS-030</v>
          </cell>
          <cell r="B765" t="str">
            <v>שוהם</v>
          </cell>
          <cell r="C765" t="str">
            <v>שוהם</v>
          </cell>
          <cell r="D765">
            <v>40908</v>
          </cell>
        </row>
        <row r="766">
          <cell r="A766" t="str">
            <v>WBE-127</v>
          </cell>
          <cell r="B766" t="str">
            <v>שוהם</v>
          </cell>
          <cell r="C766" t="str">
            <v>שוהם-התקנת שנאי שלישי 161/24 ק"ו 50 מגוא מספר 524</v>
          </cell>
          <cell r="D766">
            <v>45552</v>
          </cell>
        </row>
        <row r="767">
          <cell r="A767" t="str">
            <v>WBM-40334</v>
          </cell>
          <cell r="B767" t="str">
            <v>שוהם</v>
          </cell>
          <cell r="C767" t="str">
            <v>שוהם-התאמת שדה 3 ליכולת 1440 א'</v>
          </cell>
          <cell r="D767">
            <v>46569</v>
          </cell>
        </row>
        <row r="768">
          <cell r="A768" t="str">
            <v>WBM-01276</v>
          </cell>
          <cell r="B768" t="str">
            <v>שוהם</v>
          </cell>
          <cell r="C768" t="str">
            <v>שוהם - שיפור לוגיקת סלילי כיבוי</v>
          </cell>
          <cell r="D768">
            <v>46387</v>
          </cell>
        </row>
        <row r="769">
          <cell r="A769" t="str">
            <v>WBM-00322</v>
          </cell>
          <cell r="B769" t="str">
            <v>שוהם</v>
          </cell>
          <cell r="C769" t="str">
            <v>שוהם-בוטל-התקנת 2 ס"ק  5*2 מגווא"ר כ"א</v>
          </cell>
          <cell r="D769">
            <v>41249</v>
          </cell>
        </row>
        <row r="770">
          <cell r="A770" t="str">
            <v>WBM-10445</v>
          </cell>
          <cell r="B770" t="str">
            <v>שוהם</v>
          </cell>
          <cell r="C770" t="str">
            <v>שוהם-משיק לאלעד3 ,החלפת הגנות.ש3</v>
          </cell>
          <cell r="D770">
            <v>45509</v>
          </cell>
        </row>
        <row r="771">
          <cell r="A771" t="str">
            <v>WBM-01428</v>
          </cell>
          <cell r="B771" t="str">
            <v>שוהם</v>
          </cell>
          <cell r="C771" t="str">
            <v>שוהם - התקנת מערכת טמ"ס</v>
          </cell>
          <cell r="D771">
            <v>43614</v>
          </cell>
        </row>
        <row r="772">
          <cell r="A772">
            <v>532106</v>
          </cell>
          <cell r="B772" t="str">
            <v>שוהם</v>
          </cell>
          <cell r="C772" t="str">
            <v>שוהם-התקנת מאווררים בארונות פיקוד</v>
          </cell>
          <cell r="D772">
            <v>41759</v>
          </cell>
        </row>
        <row r="773">
          <cell r="A773" t="str">
            <v>WBG-141-002</v>
          </cell>
          <cell r="B773" t="str">
            <v>שוהם</v>
          </cell>
          <cell r="C773" t="str">
            <v>שוהם-החלפת מערכת התראה בטחונית</v>
          </cell>
          <cell r="D773">
            <v>40816</v>
          </cell>
        </row>
        <row r="774">
          <cell r="A774" t="str">
            <v>WBG-141-003</v>
          </cell>
          <cell r="B774" t="str">
            <v>שוהם</v>
          </cell>
          <cell r="C774" t="str">
            <v>שוהם-הקשחות אבטחת מידע במחשב</v>
          </cell>
          <cell r="D774">
            <v>40605</v>
          </cell>
        </row>
        <row r="775">
          <cell r="A775" t="str">
            <v>WBM-00989</v>
          </cell>
          <cell r="B775" t="str">
            <v>שוהם</v>
          </cell>
          <cell r="C775" t="str">
            <v>שוהם-בוטל-התקנת 2 סלילי כיבוי 24 ק"ו</v>
          </cell>
          <cell r="D775">
            <v>42165</v>
          </cell>
        </row>
        <row r="776">
          <cell r="A776" t="str">
            <v>WBM-00885-097</v>
          </cell>
          <cell r="B776" t="str">
            <v>שוהם</v>
          </cell>
          <cell r="C776" t="str">
            <v>שוהם - תיקון מערכת המים</v>
          </cell>
          <cell r="D776">
            <v>46058</v>
          </cell>
        </row>
        <row r="777">
          <cell r="A777" t="str">
            <v>WBM-40295-042</v>
          </cell>
          <cell r="B777" t="str">
            <v>שוהם</v>
          </cell>
          <cell r="C777" t="str">
            <v>שוהם - החלפת סוללת מצברים</v>
          </cell>
          <cell r="D777">
            <v>45575</v>
          </cell>
        </row>
        <row r="778">
          <cell r="A778" t="str">
            <v>WBM-60107-013</v>
          </cell>
          <cell r="B778" t="str">
            <v>שוהם</v>
          </cell>
          <cell r="C778" t="str">
            <v>שוהם - החלפת מנעולים אלק.מגנטיים באלק.מכ</v>
          </cell>
          <cell r="D778">
            <v>45664</v>
          </cell>
        </row>
        <row r="779">
          <cell r="A779" t="str">
            <v>WBD-118</v>
          </cell>
          <cell r="B779" t="str">
            <v>שוהם</v>
          </cell>
          <cell r="C779" t="str">
            <v>שוהם ניידת-ב.ס.ר-הצבת תחמ"ש ניידת, 30 מגוו"א</v>
          </cell>
          <cell r="D779">
            <v>46387</v>
          </cell>
        </row>
        <row r="780">
          <cell r="A780" t="str">
            <v>WBM-40637-021</v>
          </cell>
          <cell r="B780" t="str">
            <v>שוהם</v>
          </cell>
          <cell r="C780" t="str">
            <v>שוהם-החלפת רושמי הפרעות קיימים מדגם IDM-T3 לרושמים חדשים מדגם IDM+</v>
          </cell>
          <cell r="D780">
            <v>46811</v>
          </cell>
        </row>
        <row r="781">
          <cell r="A781" t="str">
            <v>WBM-40521-007</v>
          </cell>
          <cell r="B781" t="str">
            <v>שדרות ניידת</v>
          </cell>
          <cell r="C781" t="str">
            <v>שדרות - החלפת 2 שנאי הארקה</v>
          </cell>
          <cell r="D781">
            <v>46721</v>
          </cell>
        </row>
        <row r="782">
          <cell r="A782" t="str">
            <v>HIS-087</v>
          </cell>
          <cell r="B782" t="str">
            <v>שדרות ארעית</v>
          </cell>
          <cell r="C782" t="str">
            <v>שדרות ארעית</v>
          </cell>
          <cell r="D782">
            <v>40908</v>
          </cell>
        </row>
        <row r="783">
          <cell r="A783" t="str">
            <v>WBM-00605</v>
          </cell>
          <cell r="B783" t="str">
            <v>שדרות ארעית</v>
          </cell>
          <cell r="C783" t="str">
            <v>שדרות ארעית-פירוק תחמ"ש ארעית</v>
          </cell>
          <cell r="D783">
            <v>43707</v>
          </cell>
        </row>
        <row r="784">
          <cell r="A784" t="str">
            <v>WBG-124-009</v>
          </cell>
          <cell r="B784" t="str">
            <v>שדרות ארעית</v>
          </cell>
          <cell r="C784" t="str">
            <v>שדרות ארעית - התקנת תמסורת תפעולית</v>
          </cell>
          <cell r="D784">
            <v>41424</v>
          </cell>
        </row>
        <row r="785">
          <cell r="A785">
            <v>538118</v>
          </cell>
          <cell r="B785" t="str">
            <v>שדרות ארעית</v>
          </cell>
          <cell r="C785" t="str">
            <v>שדרות ארעית - התקנת ארון ז"י 48 וולט</v>
          </cell>
          <cell r="D785">
            <v>41424</v>
          </cell>
        </row>
        <row r="786">
          <cell r="A786" t="str">
            <v>WBG-124-008</v>
          </cell>
          <cell r="B786" t="str">
            <v>שדרות ארעית</v>
          </cell>
          <cell r="C786" t="str">
            <v>שדרות ארעית-שדרוג מערכת DVR</v>
          </cell>
          <cell r="D786">
            <v>41424</v>
          </cell>
        </row>
        <row r="787">
          <cell r="A787" t="str">
            <v>WBG-124-007</v>
          </cell>
          <cell r="B787" t="str">
            <v>שדרות ארעית</v>
          </cell>
          <cell r="C787" t="str">
            <v>שדרות ארעית-התקנת מערכת מניה</v>
          </cell>
          <cell r="D787">
            <v>41175</v>
          </cell>
        </row>
        <row r="788">
          <cell r="A788">
            <v>538106</v>
          </cell>
          <cell r="B788" t="str">
            <v>שדרות ארעית</v>
          </cell>
          <cell r="C788" t="str">
            <v>שדרות ארעית-החלפת מערכת התראה בטחונית</v>
          </cell>
          <cell r="D788">
            <v>39994</v>
          </cell>
        </row>
        <row r="789">
          <cell r="A789">
            <v>539804</v>
          </cell>
          <cell r="B789" t="str">
            <v>שדרות ארעית</v>
          </cell>
          <cell r="C789" t="str">
            <v>שדרות ניידת-התקנת מערכת מניה</v>
          </cell>
          <cell r="D789">
            <v>40816</v>
          </cell>
        </row>
        <row r="790">
          <cell r="A790" t="str">
            <v>WBM-00125</v>
          </cell>
          <cell r="B790" t="str">
            <v>שדרות ארעית</v>
          </cell>
          <cell r="C790" t="str">
            <v>שדרות ארעית- בוטל-התקנת עמדת כיבוי אש</v>
          </cell>
          <cell r="D790">
            <v>41249</v>
          </cell>
        </row>
        <row r="791">
          <cell r="A791" t="str">
            <v>WBG-124-006</v>
          </cell>
          <cell r="B791" t="str">
            <v>שדרות ארעית</v>
          </cell>
          <cell r="C791" t="str">
            <v>שדרות ארעית-הפרדת אתראת פליטת מימן ממצבר</v>
          </cell>
          <cell r="D791">
            <v>39446</v>
          </cell>
        </row>
        <row r="792">
          <cell r="A792" t="str">
            <v>WBE-041</v>
          </cell>
          <cell r="B792" t="str">
            <v>שדרות ארעית</v>
          </cell>
          <cell r="C792" t="str">
            <v>שדרות ארעית-בוטל- התקנת שנאי 33 מגוו"א</v>
          </cell>
          <cell r="D792">
            <v>39263</v>
          </cell>
        </row>
        <row r="793">
          <cell r="A793" t="str">
            <v>HIS-144</v>
          </cell>
          <cell r="B793" t="str">
            <v>שדרות</v>
          </cell>
          <cell r="C793" t="str">
            <v>שדרות  ניידת</v>
          </cell>
          <cell r="D793">
            <v>40908</v>
          </cell>
        </row>
        <row r="794">
          <cell r="A794" t="str">
            <v>WBE-174</v>
          </cell>
          <cell r="B794" t="str">
            <v>שדרות</v>
          </cell>
          <cell r="C794" t="str">
            <v>שדרות-התאמת שדה 3 ליכולת מינימלית  1600א</v>
          </cell>
          <cell r="D794">
            <v>45792</v>
          </cell>
        </row>
        <row r="795">
          <cell r="A795" t="str">
            <v>WBE-173</v>
          </cell>
          <cell r="B795" t="str">
            <v>שדרות</v>
          </cell>
          <cell r="C795" t="str">
            <v>שדרות-התאמת שדה 7 ליכולת מינימלית 1600א</v>
          </cell>
          <cell r="D795">
            <v>45792</v>
          </cell>
        </row>
        <row r="796">
          <cell r="A796" t="str">
            <v>WBE-212</v>
          </cell>
          <cell r="B796" t="str">
            <v>שדרות</v>
          </cell>
          <cell r="C796" t="str">
            <v>שדרות- הוספת שנאי שלישי 50 מגוו"א</v>
          </cell>
          <cell r="D796">
            <v>45980</v>
          </cell>
        </row>
        <row r="797">
          <cell r="A797" t="str">
            <v>WDA-1-02-15-17</v>
          </cell>
          <cell r="B797" t="str">
            <v>שדרות</v>
          </cell>
          <cell r="C797" t="str">
            <v>שדרות ארעי-החלפת יחידת קצה של פיקוח ארצי</v>
          </cell>
          <cell r="D797">
            <v>43271</v>
          </cell>
        </row>
        <row r="798">
          <cell r="A798" t="str">
            <v>WBM-01380</v>
          </cell>
          <cell r="B798" t="str">
            <v>שדרות</v>
          </cell>
          <cell r="C798" t="str">
            <v>שדרות-בוטל - התקנת 2 סוללות קבלים  2*5 מגווא"ר</v>
          </cell>
        </row>
        <row r="799">
          <cell r="A799" t="str">
            <v>WBM-10116</v>
          </cell>
          <cell r="B799" t="str">
            <v>שדרות</v>
          </cell>
          <cell r="C799" t="str">
            <v>שדרות - שדרוג של מערכת SCS</v>
          </cell>
          <cell r="D799">
            <v>46752</v>
          </cell>
        </row>
        <row r="800">
          <cell r="A800" t="str">
            <v>WBM-60094</v>
          </cell>
          <cell r="B800" t="str">
            <v>שדרות</v>
          </cell>
          <cell r="C800" t="str">
            <v>שדרות - משטר עבודה של מפוחים להוצאת עשן</v>
          </cell>
          <cell r="D800">
            <v>46842</v>
          </cell>
        </row>
        <row r="801">
          <cell r="A801" t="str">
            <v>WBM-10145</v>
          </cell>
          <cell r="B801" t="str">
            <v>שדרות</v>
          </cell>
          <cell r="C801" t="str">
            <v>שדרות - התקנת מתמרים ב-2 פ"צ</v>
          </cell>
          <cell r="D801">
            <v>46326</v>
          </cell>
        </row>
        <row r="802">
          <cell r="A802" t="str">
            <v>WBM-10328</v>
          </cell>
          <cell r="B802" t="str">
            <v>שדרות</v>
          </cell>
          <cell r="C802" t="str">
            <v>שדרות-משיק יכיני-יישום תקשורת בין הגנות3</v>
          </cell>
          <cell r="D802">
            <v>45084</v>
          </cell>
        </row>
        <row r="803">
          <cell r="A803" t="str">
            <v>WBM-10351</v>
          </cell>
          <cell r="B803" t="str">
            <v>שדרות</v>
          </cell>
          <cell r="C803" t="str">
            <v>שדרות - בוטל-תקשורת אופטית בין הגנ ש3</v>
          </cell>
          <cell r="D803">
            <v>44826</v>
          </cell>
        </row>
        <row r="804">
          <cell r="A804" t="str">
            <v>WBD-032</v>
          </cell>
          <cell r="B804" t="str">
            <v>שדרות</v>
          </cell>
          <cell r="C804" t="str">
            <v>שדרות ניידת-פירוק תחמ"ש ניידת</v>
          </cell>
          <cell r="D804">
            <v>43622</v>
          </cell>
        </row>
        <row r="805">
          <cell r="A805" t="str">
            <v>WBC-020</v>
          </cell>
          <cell r="B805" t="str">
            <v>שדרות</v>
          </cell>
          <cell r="C805" t="str">
            <v>שדרות- הקמת תחמ"ש חיצונית 161/24 ק"ו</v>
          </cell>
          <cell r="D805">
            <v>43620</v>
          </cell>
        </row>
        <row r="806">
          <cell r="A806">
            <v>900029</v>
          </cell>
          <cell r="B806" t="str">
            <v>שדה עמיאל</v>
          </cell>
          <cell r="C806" t="str">
            <v>שדה עמיאל-קליטת מתקן אגירה SA במ"ע בהספק של 150 מגאווט</v>
          </cell>
          <cell r="D806">
            <v>46783</v>
          </cell>
        </row>
        <row r="807">
          <cell r="A807" t="str">
            <v>0243300</v>
          </cell>
          <cell r="B807" t="str">
            <v>שביב (ארעית)</v>
          </cell>
          <cell r="C807" t="str">
            <v>שביב - החלפת ציוד בשדות: 2 ו-6</v>
          </cell>
          <cell r="D807">
            <v>36164</v>
          </cell>
        </row>
        <row r="808">
          <cell r="A808" t="str">
            <v>0243383</v>
          </cell>
          <cell r="B808" t="str">
            <v>שביב (ארעית)</v>
          </cell>
          <cell r="C808" t="str">
            <v>שביב - התקנת  רושם הפרעות</v>
          </cell>
          <cell r="D808">
            <v>36164</v>
          </cell>
        </row>
        <row r="809">
          <cell r="A809" t="str">
            <v>WBM-40479-058</v>
          </cell>
          <cell r="B809" t="str">
            <v>שביב (ארעית)</v>
          </cell>
          <cell r="C809" t="str">
            <v>שביב- החלפת 2 בקרי טמפ' וגובה שמן בשנאי</v>
          </cell>
          <cell r="D809">
            <v>47664</v>
          </cell>
        </row>
        <row r="810">
          <cell r="A810" t="str">
            <v>WBM-60118-036</v>
          </cell>
          <cell r="B810" t="str">
            <v>שביב (ארעית)</v>
          </cell>
          <cell r="C810" t="str">
            <v>שביב - שיפור מערכת הארקה</v>
          </cell>
          <cell r="D810">
            <v>46196</v>
          </cell>
        </row>
        <row r="811">
          <cell r="A811" t="str">
            <v>HIS-046</v>
          </cell>
          <cell r="B811" t="str">
            <v>שביב</v>
          </cell>
          <cell r="C811" t="str">
            <v>שביב</v>
          </cell>
          <cell r="D811">
            <v>40908</v>
          </cell>
        </row>
        <row r="812">
          <cell r="A812" t="str">
            <v>WBC-058</v>
          </cell>
          <cell r="B812" t="str">
            <v>שביב</v>
          </cell>
          <cell r="C812" t="str">
            <v>שביב(רעננה ד')-בוטל-הקמת תחמש פ  161/24</v>
          </cell>
          <cell r="D812">
            <v>36891</v>
          </cell>
        </row>
        <row r="813">
          <cell r="A813" t="str">
            <v>WDA-1-PA24</v>
          </cell>
          <cell r="B813" t="str">
            <v>שביב</v>
          </cell>
          <cell r="C813" t="str">
            <v>שביב(ארעית)-החלפת יחידת קצה של פיקוח ארצ</v>
          </cell>
          <cell r="D813">
            <v>42460</v>
          </cell>
        </row>
        <row r="814">
          <cell r="A814" t="str">
            <v>WEB-05-PR01</v>
          </cell>
          <cell r="B814" t="str">
            <v>שביב</v>
          </cell>
          <cell r="C814" t="str">
            <v>שביב (ארעית)-התקנת הגנה הפרשית לנ.חדרה</v>
          </cell>
          <cell r="D814">
            <v>40934</v>
          </cell>
        </row>
        <row r="815">
          <cell r="A815" t="str">
            <v>WBM-00604</v>
          </cell>
          <cell r="B815" t="str">
            <v>שביב</v>
          </cell>
          <cell r="C815" t="str">
            <v>שביב (ארעית)-הוקפא-פירוק תחמ"ש ארעית</v>
          </cell>
          <cell r="D815">
            <v>41249</v>
          </cell>
        </row>
        <row r="816">
          <cell r="A816" t="str">
            <v>WBM-00321</v>
          </cell>
          <cell r="B816" t="str">
            <v>שביב</v>
          </cell>
          <cell r="C816" t="str">
            <v>שביב (ארעית)-החלפת 2 סלילי כיבוי 521,522</v>
          </cell>
          <cell r="D816">
            <v>46843</v>
          </cell>
        </row>
        <row r="817">
          <cell r="A817" t="str">
            <v>WBM-01140</v>
          </cell>
          <cell r="B817" t="str">
            <v>שביב</v>
          </cell>
          <cell r="C817" t="str">
            <v>שביב-החלפת ההגנה הדיפרנציאלית בשדה 1</v>
          </cell>
          <cell r="D817">
            <v>43159</v>
          </cell>
        </row>
        <row r="818">
          <cell r="A818" t="str">
            <v>WBG-107-010</v>
          </cell>
          <cell r="B818" t="str">
            <v>שביב</v>
          </cell>
          <cell r="C818" t="str">
            <v>שביב (ארעית)-התקנת מערכת מניה</v>
          </cell>
          <cell r="D818">
            <v>41238</v>
          </cell>
        </row>
        <row r="819">
          <cell r="A819">
            <v>536911</v>
          </cell>
          <cell r="B819" t="str">
            <v>שביב</v>
          </cell>
          <cell r="C819" t="str">
            <v>שביב (ארעית)-החלפת מערכת התראה בטחונית</v>
          </cell>
          <cell r="D819">
            <v>40116</v>
          </cell>
        </row>
        <row r="820">
          <cell r="A820" t="str">
            <v>WBG-107-006</v>
          </cell>
          <cell r="B820" t="str">
            <v>שביב</v>
          </cell>
          <cell r="C820" t="str">
            <v>שביב (ארעית)-התקנת שעון נוכחות</v>
          </cell>
          <cell r="D820">
            <v>39963</v>
          </cell>
        </row>
        <row r="821">
          <cell r="A821" t="str">
            <v>WBG-107-011</v>
          </cell>
          <cell r="B821" t="str">
            <v>שביב</v>
          </cell>
          <cell r="C821" t="str">
            <v>שביב (ארעית)-התקנת תקשורת מנהלתית</v>
          </cell>
          <cell r="D821">
            <v>40754</v>
          </cell>
        </row>
        <row r="822">
          <cell r="A822" t="str">
            <v>WBM-00124</v>
          </cell>
          <cell r="B822" t="str">
            <v>שביב</v>
          </cell>
          <cell r="C822" t="str">
            <v>שביב (ארעית)-התקנת ארון ז"י 48 וולט</v>
          </cell>
          <cell r="D822">
            <v>40332</v>
          </cell>
        </row>
        <row r="823">
          <cell r="A823" t="str">
            <v>WBM-00885-121</v>
          </cell>
          <cell r="B823" t="str">
            <v>שביב</v>
          </cell>
          <cell r="C823" t="str">
            <v>שביב -החלפת רכזת כיבוי אש</v>
          </cell>
          <cell r="D823">
            <v>45659</v>
          </cell>
        </row>
        <row r="824">
          <cell r="A824" t="str">
            <v>WBM-40295-085</v>
          </cell>
          <cell r="B824" t="str">
            <v>שביב</v>
          </cell>
          <cell r="C824" t="str">
            <v>שביב - החלפת ס. מצברים</v>
          </cell>
          <cell r="D824">
            <v>46022</v>
          </cell>
        </row>
        <row r="825">
          <cell r="A825" t="str">
            <v>WBC-131</v>
          </cell>
          <cell r="B825" t="str">
            <v>רעננה מערב</v>
          </cell>
          <cell r="C825" t="str">
            <v>רעננה מערב-הקמת תחמ"ש פנימית 161/24 ק"ו</v>
          </cell>
          <cell r="D825">
            <v>47452</v>
          </cell>
        </row>
        <row r="826">
          <cell r="A826" t="str">
            <v>HIS-029</v>
          </cell>
          <cell r="B826" t="str">
            <v>רעננה</v>
          </cell>
          <cell r="C826" t="str">
            <v>רעננה</v>
          </cell>
          <cell r="D826">
            <v>40908</v>
          </cell>
        </row>
        <row r="827">
          <cell r="A827" t="str">
            <v>WDA-1-PA09</v>
          </cell>
          <cell r="B827" t="str">
            <v>רעננה</v>
          </cell>
          <cell r="C827" t="str">
            <v>רעננה-החלפה של יחידת קצה של פיקוח ארצי</v>
          </cell>
          <cell r="D827">
            <v>41639</v>
          </cell>
        </row>
        <row r="828">
          <cell r="A828" t="str">
            <v>WEB-05-PR04</v>
          </cell>
          <cell r="B828" t="str">
            <v>רעננה</v>
          </cell>
          <cell r="C828" t="str">
            <v>רעננה-התקנת הגנה הפרשית להוד השרון</v>
          </cell>
          <cell r="D828">
            <v>40934</v>
          </cell>
        </row>
        <row r="829">
          <cell r="A829" t="str">
            <v>WBM-00122</v>
          </cell>
          <cell r="B829" t="str">
            <v>רעננה</v>
          </cell>
          <cell r="C829" t="str">
            <v>רעננה-שידרוג ציוד הצמדה בשדה 5</v>
          </cell>
          <cell r="D829">
            <v>46326</v>
          </cell>
        </row>
        <row r="830">
          <cell r="A830" t="str">
            <v>WBM-01283</v>
          </cell>
          <cell r="B830" t="str">
            <v>רעננה</v>
          </cell>
          <cell r="C830" t="str">
            <v>רעננה -בוטל-החלפת סליל כיבוי בנגד ראשוני</v>
          </cell>
          <cell r="D830">
            <v>42914</v>
          </cell>
        </row>
        <row r="831">
          <cell r="A831" t="str">
            <v>WBM-40186</v>
          </cell>
          <cell r="B831" t="str">
            <v>רעננה</v>
          </cell>
          <cell r="C831" t="str">
            <v>רעננה - החלפת ציוד בשדות: 12,10,7</v>
          </cell>
          <cell r="D831">
            <v>46568</v>
          </cell>
        </row>
        <row r="832">
          <cell r="A832" t="str">
            <v>WBM-40188</v>
          </cell>
          <cell r="B832" t="str">
            <v>רעננה</v>
          </cell>
          <cell r="C832" t="str">
            <v>רעננה-החלפת משנה מתח פ"צ 161 ק"ו</v>
          </cell>
          <cell r="D832">
            <v>46507</v>
          </cell>
        </row>
        <row r="833">
          <cell r="A833" t="str">
            <v>WBM-40189</v>
          </cell>
          <cell r="B833" t="str">
            <v>רעננה</v>
          </cell>
          <cell r="C833" t="str">
            <v>רעננה-החלפת ציוד בשדות: 6,5,4</v>
          </cell>
          <cell r="D833">
            <v>46568</v>
          </cell>
        </row>
        <row r="834">
          <cell r="A834" t="str">
            <v>WBM-40187</v>
          </cell>
          <cell r="B834" t="str">
            <v>רעננה</v>
          </cell>
          <cell r="C834" t="str">
            <v>רעננה-החלפת מערכת SCS</v>
          </cell>
          <cell r="D834">
            <v>45899</v>
          </cell>
        </row>
        <row r="835">
          <cell r="A835" t="str">
            <v>WBM-00603</v>
          </cell>
          <cell r="B835" t="str">
            <v>רעננה</v>
          </cell>
          <cell r="C835" t="str">
            <v>רעננה-הוספת ווסתים והחלפת סלילי כיבוי</v>
          </cell>
          <cell r="D835">
            <v>46598</v>
          </cell>
        </row>
        <row r="836">
          <cell r="A836" t="str">
            <v>WBM-01009</v>
          </cell>
          <cell r="B836" t="str">
            <v>רעננה</v>
          </cell>
          <cell r="C836" t="str">
            <v>רעננה-התקנת הגנת מרחק שנייה בשדה 5</v>
          </cell>
          <cell r="D836">
            <v>45382</v>
          </cell>
        </row>
        <row r="837">
          <cell r="A837" t="str">
            <v>WBM-60032</v>
          </cell>
          <cell r="B837" t="str">
            <v>רעננה</v>
          </cell>
          <cell r="C837" t="str">
            <v>רעננה - החלפת מערכת גילוי אש</v>
          </cell>
          <cell r="D837">
            <v>44316</v>
          </cell>
        </row>
        <row r="838">
          <cell r="A838" t="str">
            <v>WBM-10035</v>
          </cell>
          <cell r="B838" t="str">
            <v>רעננה</v>
          </cell>
          <cell r="C838" t="str">
            <v>רעננה - החלפת שרשראות מבודדים</v>
          </cell>
          <cell r="D838">
            <v>44285</v>
          </cell>
        </row>
        <row r="839">
          <cell r="A839" t="str">
            <v>WBM-01351</v>
          </cell>
          <cell r="B839" t="str">
            <v>רעננה</v>
          </cell>
          <cell r="C839" t="str">
            <v>רעננה - החלפת רכזת גילוי וכיבוי אש</v>
          </cell>
          <cell r="D839">
            <v>44165</v>
          </cell>
        </row>
        <row r="840">
          <cell r="A840" t="str">
            <v>WBM-01093</v>
          </cell>
          <cell r="B840" t="str">
            <v>רעננה</v>
          </cell>
          <cell r="C840" t="str">
            <v>רעננה-התקנת 4 מאצרות שמן  זמניות</v>
          </cell>
          <cell r="D840">
            <v>43517</v>
          </cell>
        </row>
        <row r="841">
          <cell r="A841" t="str">
            <v>WBM-00786</v>
          </cell>
          <cell r="B841" t="str">
            <v>רעננה</v>
          </cell>
          <cell r="C841" t="str">
            <v>רעננה-התאמת מערכת גילוי וכיבוי אש</v>
          </cell>
          <cell r="D841">
            <v>41639</v>
          </cell>
        </row>
        <row r="842">
          <cell r="A842" t="str">
            <v>WBG-106-002</v>
          </cell>
          <cell r="B842" t="str">
            <v>רעננה</v>
          </cell>
          <cell r="C842" t="str">
            <v>רעננה-התקנת 2 ממירים 220/60 וולט</v>
          </cell>
          <cell r="D842">
            <v>41304</v>
          </cell>
        </row>
        <row r="843">
          <cell r="A843" t="str">
            <v>WBG-106-007</v>
          </cell>
          <cell r="B843" t="str">
            <v>רעננה</v>
          </cell>
          <cell r="C843" t="str">
            <v>רעננה-השלמת רושם הפרעות</v>
          </cell>
          <cell r="D843">
            <v>41090</v>
          </cell>
        </row>
        <row r="844">
          <cell r="A844" t="str">
            <v>WBG-106-014</v>
          </cell>
          <cell r="B844" t="str">
            <v>רעננה</v>
          </cell>
          <cell r="C844" t="str">
            <v>רעננה-הקמת רשת מחשבים תפעולית</v>
          </cell>
          <cell r="D844">
            <v>40998</v>
          </cell>
        </row>
        <row r="845">
          <cell r="A845" t="str">
            <v>WBM-01241</v>
          </cell>
          <cell r="B845" t="str">
            <v>רעננה</v>
          </cell>
          <cell r="C845" t="str">
            <v>רעננה - בוטל- מאצרות שמן קבועות לשנאים</v>
          </cell>
          <cell r="D845">
            <v>42902</v>
          </cell>
        </row>
        <row r="846">
          <cell r="A846">
            <v>531315</v>
          </cell>
          <cell r="B846" t="str">
            <v>רעננה</v>
          </cell>
          <cell r="C846" t="str">
            <v>רעננה-התקנת מערכת התראה ביטחונית</v>
          </cell>
          <cell r="D846">
            <v>39051</v>
          </cell>
        </row>
        <row r="847">
          <cell r="A847" t="str">
            <v>WBM-00123</v>
          </cell>
          <cell r="B847" t="str">
            <v>רעננה</v>
          </cell>
          <cell r="C847" t="str">
            <v>רעננה-בוטל- בניית מאצרות שמן ל- 4 שנאים</v>
          </cell>
          <cell r="D847">
            <v>40728</v>
          </cell>
        </row>
        <row r="848">
          <cell r="A848">
            <v>531326</v>
          </cell>
          <cell r="B848" t="str">
            <v>רעננה</v>
          </cell>
          <cell r="C848" t="str">
            <v>רעננה-התקנת מאווררים בארונות פיקוד</v>
          </cell>
          <cell r="D848">
            <v>40311</v>
          </cell>
        </row>
        <row r="849">
          <cell r="A849" t="str">
            <v>WBM-40479-066</v>
          </cell>
          <cell r="B849" t="str">
            <v>רעננה</v>
          </cell>
          <cell r="C849" t="str">
            <v>רעננה- החלפת 4 בקרי טמפ' וגובה שמן בשנאי</v>
          </cell>
          <cell r="D849">
            <v>46934</v>
          </cell>
        </row>
        <row r="850">
          <cell r="A850" t="str">
            <v>WBM-60088-008</v>
          </cell>
          <cell r="B850" t="str">
            <v>רעננה</v>
          </cell>
          <cell r="C850" t="str">
            <v>רעננה - מאצרות ל-4 שנאים</v>
          </cell>
          <cell r="D850">
            <v>45930</v>
          </cell>
        </row>
        <row r="851">
          <cell r="A851" t="str">
            <v>WBM-10315-077</v>
          </cell>
          <cell r="B851" t="str">
            <v>רעננה</v>
          </cell>
          <cell r="C851" t="str">
            <v>רעננה- התקנת מזגנים</v>
          </cell>
          <cell r="D851">
            <v>45621</v>
          </cell>
        </row>
        <row r="852">
          <cell r="A852" t="str">
            <v>WBM-60130-077</v>
          </cell>
          <cell r="B852" t="str">
            <v>רעננה</v>
          </cell>
          <cell r="C852" t="str">
            <v>רעננה - התקנת מפסק פטריה להפסקת מערכת החשמל בחירום</v>
          </cell>
          <cell r="D852">
            <v>46568</v>
          </cell>
        </row>
        <row r="853">
          <cell r="A853" t="str">
            <v>WBM-60092-054</v>
          </cell>
          <cell r="B853" t="str">
            <v>רעננה</v>
          </cell>
          <cell r="C853" t="str">
            <v>רעננה - בדיקות/טיפול/פינוי מכלי אש בגז</v>
          </cell>
          <cell r="D853">
            <v>46387</v>
          </cell>
        </row>
        <row r="854">
          <cell r="A854" t="str">
            <v>WBM-10315-086</v>
          </cell>
          <cell r="B854" t="str">
            <v>רעננה</v>
          </cell>
          <cell r="C854" t="str">
            <v>רעננה - החלפת 5 מזגנים</v>
          </cell>
          <cell r="D854">
            <v>46184</v>
          </cell>
        </row>
        <row r="855">
          <cell r="A855" t="str">
            <v>WBM-40637-020</v>
          </cell>
          <cell r="B855" t="str">
            <v>רעננה</v>
          </cell>
          <cell r="C855" t="str">
            <v>רעננה-החלפת רושמי הפרעות קיימים מדגם IDM-T3 לרושמים חדשים מדגם IDM+</v>
          </cell>
          <cell r="D855">
            <v>46783</v>
          </cell>
        </row>
        <row r="856">
          <cell r="A856" t="str">
            <v>WBD-068-ST2</v>
          </cell>
          <cell r="B856" t="str">
            <v>רעות ניידת</v>
          </cell>
          <cell r="C856" t="str">
            <v>רעות-פירוק תחמ"ש ניידת</v>
          </cell>
          <cell r="D856">
            <v>47026</v>
          </cell>
        </row>
        <row r="857">
          <cell r="A857" t="str">
            <v>WBD-078</v>
          </cell>
          <cell r="B857" t="str">
            <v>רעות ניידת</v>
          </cell>
          <cell r="C857" t="str">
            <v>רעות ניידת-החלפת  ניידת MVA 20 ב- 30</v>
          </cell>
          <cell r="D857">
            <v>45400</v>
          </cell>
        </row>
        <row r="858">
          <cell r="A858" t="str">
            <v>WBD-068</v>
          </cell>
          <cell r="B858" t="str">
            <v>רעות ניידת</v>
          </cell>
          <cell r="C858" t="str">
            <v>רעות ניידת-הצבת תחמ"ש ניידת</v>
          </cell>
          <cell r="D858">
            <v>43850</v>
          </cell>
        </row>
        <row r="859">
          <cell r="A859" t="str">
            <v>WBM-01082-017</v>
          </cell>
          <cell r="B859" t="str">
            <v>רעות ניידת</v>
          </cell>
          <cell r="C859" t="str">
            <v>רעות ניידת - הכנת מתקן לבלוני גז</v>
          </cell>
          <cell r="D859">
            <v>46203</v>
          </cell>
        </row>
        <row r="860">
          <cell r="A860" t="str">
            <v>WBC-064</v>
          </cell>
          <cell r="B860" t="str">
            <v>רעות</v>
          </cell>
          <cell r="C860" t="str">
            <v>רעות - הקמת תחמ"ש פנימית 161/24 ק"ו</v>
          </cell>
          <cell r="D860">
            <v>46934</v>
          </cell>
        </row>
        <row r="861">
          <cell r="A861" t="str">
            <v>WBM-40479-065</v>
          </cell>
          <cell r="B861" t="str">
            <v>רעות</v>
          </cell>
          <cell r="C861" t="str">
            <v>רעות- בוטל - החלפת בקר טמפ' וגובה שמן בשנאי</v>
          </cell>
        </row>
        <row r="862">
          <cell r="A862" t="str">
            <v>WBM-60131-026</v>
          </cell>
          <cell r="B862" t="str">
            <v>רעות</v>
          </cell>
          <cell r="C862" t="str">
            <v>רעות - טיפול באופיין מים</v>
          </cell>
          <cell r="D862">
            <v>46175</v>
          </cell>
        </row>
        <row r="863">
          <cell r="A863" t="str">
            <v>HIS-143</v>
          </cell>
          <cell r="B863" t="str">
            <v>רמת רחל ניידת</v>
          </cell>
          <cell r="C863" t="str">
            <v>רמת רחל ניידת</v>
          </cell>
          <cell r="D863">
            <v>40908</v>
          </cell>
        </row>
        <row r="864">
          <cell r="A864" t="str">
            <v>WBD-084</v>
          </cell>
          <cell r="B864" t="str">
            <v>רמת רחל ניידת</v>
          </cell>
          <cell r="C864" t="str">
            <v>רמת רחל ניידת- העתקת ניידת</v>
          </cell>
          <cell r="D864">
            <v>46183</v>
          </cell>
        </row>
        <row r="865">
          <cell r="A865" t="str">
            <v>WBM-00954</v>
          </cell>
          <cell r="B865" t="str">
            <v>רמת רחל ניידת</v>
          </cell>
          <cell r="C865" t="str">
            <v>רמת רחל ניידת-פירוק תחמ"ש ניידת</v>
          </cell>
          <cell r="D865">
            <v>47391</v>
          </cell>
        </row>
        <row r="866">
          <cell r="A866" t="str">
            <v>WBM-01095</v>
          </cell>
          <cell r="B866" t="str">
            <v>רמת רחל ניידת</v>
          </cell>
          <cell r="C866" t="str">
            <v>ניידת רמת רחל-התקנת מאצרת שמן לשנאי</v>
          </cell>
          <cell r="D866">
            <v>43558</v>
          </cell>
        </row>
        <row r="867">
          <cell r="A867">
            <v>549805</v>
          </cell>
          <cell r="B867" t="str">
            <v>רמת רחל ניידת</v>
          </cell>
          <cell r="C867" t="str">
            <v>רמת רחל ניידת-התקנת מערכת מניה</v>
          </cell>
          <cell r="D867">
            <v>40724</v>
          </cell>
        </row>
        <row r="868">
          <cell r="A868" t="str">
            <v>WBM-60010-146</v>
          </cell>
          <cell r="B868" t="str">
            <v>רמת רחל ניידת</v>
          </cell>
          <cell r="C868" t="str">
            <v>ניידת רמת רחל- בוטל- החלפת מוני ION למוני SATEC</v>
          </cell>
        </row>
        <row r="869">
          <cell r="A869" t="str">
            <v>WBM-60116-024</v>
          </cell>
          <cell r="B869" t="str">
            <v>רמת רחל ניידת</v>
          </cell>
          <cell r="C869" t="str">
            <v>ניידת רמת רחל - שידרוג גלאים בתחנות משנה</v>
          </cell>
          <cell r="D869">
            <v>46752</v>
          </cell>
        </row>
        <row r="870">
          <cell r="A870" t="str">
            <v>HIS-187</v>
          </cell>
          <cell r="B870" t="str">
            <v>רמת יותם-פרטית (ק.צ.א.א.)</v>
          </cell>
          <cell r="C870" t="str">
            <v>רמת יותם-פרטית (ק.צ.א.א.)</v>
          </cell>
          <cell r="D870">
            <v>40908</v>
          </cell>
        </row>
        <row r="871">
          <cell r="A871" t="str">
            <v>WBM-00602</v>
          </cell>
          <cell r="B871" t="str">
            <v>רמת יותם-פרטית (ק.צ.א.א.)</v>
          </cell>
          <cell r="C871" t="str">
            <v>רמת יותם (ק.צ.א.א.)- פירוק מפ"ז באויר</v>
          </cell>
          <cell r="D871">
            <v>46203</v>
          </cell>
        </row>
        <row r="872">
          <cell r="A872" t="str">
            <v>WBM-10616</v>
          </cell>
          <cell r="B872" t="str">
            <v>רמת יותם-פרטית (ק.צ.א.א.)</v>
          </cell>
          <cell r="C872" t="str">
            <v>רמת יותם (ק.צ.א.א.) - החלפת שרשראות מבודדים</v>
          </cell>
          <cell r="D872">
            <v>46203</v>
          </cell>
        </row>
        <row r="873">
          <cell r="A873" t="str">
            <v>0212737</v>
          </cell>
          <cell r="B873" t="str">
            <v>רמת חובב</v>
          </cell>
          <cell r="C873" t="str">
            <v>uoe6a-רמת חובב עיבוי ושדרוג עמוד השדרה</v>
          </cell>
          <cell r="D873">
            <v>42338</v>
          </cell>
        </row>
        <row r="874">
          <cell r="A874" t="str">
            <v>WBM-30022</v>
          </cell>
          <cell r="B874" t="str">
            <v>רמת חובב</v>
          </cell>
          <cell r="C874" t="str">
            <v>רמת חובב-בוטל-תכנית אב למיגון</v>
          </cell>
          <cell r="D874">
            <v>43733</v>
          </cell>
        </row>
        <row r="875">
          <cell r="A875" t="str">
            <v>WBE-176</v>
          </cell>
          <cell r="B875" t="str">
            <v>רמת חובב</v>
          </cell>
          <cell r="C875" t="str">
            <v>רמת חובב-קליטת קו מאשלים – בוטל - שלב ב</v>
          </cell>
        </row>
        <row r="876">
          <cell r="A876" t="str">
            <v>WBE-105</v>
          </cell>
          <cell r="B876" t="str">
            <v>רמת חובב</v>
          </cell>
          <cell r="C876" t="str">
            <v>רמת חובב-קליטת קו מאשלים</v>
          </cell>
          <cell r="D876">
            <v>45767</v>
          </cell>
        </row>
        <row r="877">
          <cell r="A877" t="str">
            <v>HIS-028</v>
          </cell>
          <cell r="B877" t="str">
            <v>רמת חובב</v>
          </cell>
          <cell r="C877" t="str">
            <v>רמת חובב</v>
          </cell>
          <cell r="D877">
            <v>40908</v>
          </cell>
        </row>
        <row r="878">
          <cell r="A878" t="str">
            <v>WDB-04COM3</v>
          </cell>
          <cell r="B878" t="str">
            <v>רמת חובב</v>
          </cell>
          <cell r="C878" t="str">
            <v>רמת חובב-הנחת כבל סיב אופטי מצפית</v>
          </cell>
          <cell r="D878">
            <v>43830</v>
          </cell>
        </row>
        <row r="879">
          <cell r="A879" t="str">
            <v>WDB-04COM7</v>
          </cell>
          <cell r="B879" t="str">
            <v>רמת חובב</v>
          </cell>
          <cell r="C879" t="str">
            <v>רמת חובב-הנחת כבל סיב אופטי מטבע-טק</v>
          </cell>
          <cell r="D879">
            <v>41555</v>
          </cell>
        </row>
        <row r="880">
          <cell r="A880" t="str">
            <v>WBM-70004</v>
          </cell>
          <cell r="B880" t="str">
            <v>רמת חובב</v>
          </cell>
          <cell r="C880" t="str">
            <v>רמת חובב-החלפת מנתקים,מ"ז ומשנק (בשדות 5 ו 9) מפסק</v>
          </cell>
          <cell r="D880">
            <v>46050</v>
          </cell>
        </row>
        <row r="881">
          <cell r="A881" t="str">
            <v>WBM-00217</v>
          </cell>
          <cell r="B881" t="str">
            <v>רמת חובב</v>
          </cell>
          <cell r="C881" t="str">
            <v>רמת חובב-החלפת מ"ז ומשנק (18,19)</v>
          </cell>
          <cell r="D881">
            <v>44377</v>
          </cell>
        </row>
        <row r="882">
          <cell r="A882" t="str">
            <v>WBM-00239</v>
          </cell>
          <cell r="B882" t="str">
            <v>רמת חובב</v>
          </cell>
          <cell r="C882" t="str">
            <v>רמת חובב-השלמת ציוד הצמדה בשדה 14</v>
          </cell>
          <cell r="D882">
            <v>42369</v>
          </cell>
        </row>
        <row r="883">
          <cell r="A883" t="str">
            <v>WBM-40219</v>
          </cell>
          <cell r="B883" t="str">
            <v>רמת חובב</v>
          </cell>
          <cell r="C883" t="str">
            <v>רמת חובב-החלפת מגיני ברק מ"ג</v>
          </cell>
          <cell r="D883">
            <v>46752</v>
          </cell>
        </row>
        <row r="884">
          <cell r="A884" t="str">
            <v>WBM-40226</v>
          </cell>
          <cell r="B884" t="str">
            <v>רמת חובב</v>
          </cell>
          <cell r="C884" t="str">
            <v>רמת חובב-החל' ציוד מ"ג</v>
          </cell>
          <cell r="D884">
            <v>46752</v>
          </cell>
        </row>
        <row r="885">
          <cell r="A885" t="str">
            <v>WBM-40506</v>
          </cell>
          <cell r="B885" t="str">
            <v>רמת חובב</v>
          </cell>
          <cell r="C885" t="str">
            <v>רמת חובב - חידוש ציוד בשדות 2</v>
          </cell>
          <cell r="D885">
            <v>46476</v>
          </cell>
        </row>
        <row r="886">
          <cell r="A886" t="str">
            <v>WBM-40227</v>
          </cell>
          <cell r="B886" t="str">
            <v>רמת חובב</v>
          </cell>
          <cell r="C886" t="str">
            <v>רמת חובב-החל' ציוד בשד' 15,22,23,24,25</v>
          </cell>
          <cell r="D886">
            <v>46477</v>
          </cell>
        </row>
        <row r="887">
          <cell r="A887" t="str">
            <v>WBM-00594</v>
          </cell>
          <cell r="B887" t="str">
            <v>רמת חובב</v>
          </cell>
          <cell r="C887" t="str">
            <v>רמת חובב-הפרדת סוללות מצברים 220 וולט.</v>
          </cell>
          <cell r="D887">
            <v>46745</v>
          </cell>
        </row>
        <row r="888">
          <cell r="A888" t="str">
            <v>WBM-00600</v>
          </cell>
          <cell r="B888" t="str">
            <v>רמת חובב</v>
          </cell>
          <cell r="C888" t="str">
            <v>רמת חובב-שיקום כביש גישה לאתר</v>
          </cell>
          <cell r="D888">
            <v>46593</v>
          </cell>
        </row>
        <row r="889">
          <cell r="A889" t="str">
            <v>WBM-40499</v>
          </cell>
          <cell r="B889" t="str">
            <v>רמת חובב</v>
          </cell>
          <cell r="C889" t="str">
            <v>רמת חובב-החלפת מבדדי 400 ו161 ק"ו בשנאים</v>
          </cell>
          <cell r="D889">
            <v>46203</v>
          </cell>
        </row>
        <row r="890">
          <cell r="A890" t="str">
            <v>WBM-00596</v>
          </cell>
          <cell r="B890" t="str">
            <v>רמת חובב</v>
          </cell>
          <cell r="C890" t="str">
            <v>רמת חובב-החלפת בקר המפעיל את הזנת א.הבית</v>
          </cell>
          <cell r="D890">
            <v>46534</v>
          </cell>
        </row>
        <row r="891">
          <cell r="A891" t="str">
            <v>WBM-01203</v>
          </cell>
          <cell r="B891" t="str">
            <v>רמת חובב</v>
          </cell>
          <cell r="C891" t="str">
            <v>רמת חובב- שדרוג הגנות מרחק 5,7,9,11,19</v>
          </cell>
          <cell r="D891">
            <v>46141</v>
          </cell>
        </row>
        <row r="892">
          <cell r="A892" t="str">
            <v>WBM-40225</v>
          </cell>
          <cell r="B892" t="str">
            <v>רמת חובב</v>
          </cell>
          <cell r="C892" t="str">
            <v>רמת חובב-החל' ציוד בשד' 6,7,8</v>
          </cell>
          <cell r="D892">
            <v>46476</v>
          </cell>
        </row>
        <row r="893">
          <cell r="A893" t="str">
            <v>WBM-40228</v>
          </cell>
          <cell r="B893" t="str">
            <v>רמת חובב</v>
          </cell>
          <cell r="C893" t="str">
            <v>רמת חובב-החל' ציוד בשד' 3,4,10,13</v>
          </cell>
          <cell r="D893">
            <v>46476</v>
          </cell>
        </row>
        <row r="894">
          <cell r="A894" t="str">
            <v>WBM-20005</v>
          </cell>
          <cell r="B894" t="str">
            <v>רמת חובב</v>
          </cell>
          <cell r="C894" t="str">
            <v>רמת חובב-שדרוג והחלפת מערכת ניטור מימן</v>
          </cell>
          <cell r="D894">
            <v>45690</v>
          </cell>
        </row>
        <row r="895">
          <cell r="A895" t="str">
            <v>WBM-40275</v>
          </cell>
          <cell r="B895" t="str">
            <v>רמת חובב</v>
          </cell>
          <cell r="C895" t="str">
            <v>רמת חובב - החלפת ציוד בשדות:,20,21</v>
          </cell>
          <cell r="D895">
            <v>46183</v>
          </cell>
        </row>
        <row r="896">
          <cell r="A896" t="str">
            <v>WBM-10150</v>
          </cell>
          <cell r="B896" t="str">
            <v>רמת חובב</v>
          </cell>
          <cell r="C896" t="str">
            <v>רמת חובב - התקנת מתמרים ב-2 פ"צ</v>
          </cell>
          <cell r="D896">
            <v>46326</v>
          </cell>
        </row>
        <row r="897">
          <cell r="A897" t="str">
            <v>WBM-10286</v>
          </cell>
          <cell r="B897" t="str">
            <v>רמת חובב</v>
          </cell>
          <cell r="C897" t="str">
            <v>רמת חובב-התא' תיילים-מהדקים-פורט'WBO-478</v>
          </cell>
          <cell r="D897">
            <v>46387</v>
          </cell>
        </row>
        <row r="898">
          <cell r="A898" t="str">
            <v>WBM-40233</v>
          </cell>
          <cell r="B898" t="str">
            <v>רמת חובב</v>
          </cell>
          <cell r="C898" t="str">
            <v>רמת חובב-בוטל - החל' שנאי ל- 50 מגוו"א בשדה 1+</v>
          </cell>
        </row>
        <row r="899">
          <cell r="A899" t="str">
            <v>WBM-10412</v>
          </cell>
          <cell r="B899" t="str">
            <v>רמת חובב</v>
          </cell>
          <cell r="C899" t="str">
            <v>רמת חובב 400 ק"ו-החלפת הגנ.דיפ. של  שנאי</v>
          </cell>
          <cell r="D899">
            <v>46203</v>
          </cell>
        </row>
        <row r="900">
          <cell r="A900" t="str">
            <v>WBM-10386</v>
          </cell>
          <cell r="B900" t="str">
            <v>רמת חובב</v>
          </cell>
          <cell r="C900" t="str">
            <v>רמת חובב 400 -בוטל - יישום תקשורת בין הגנות שB4</v>
          </cell>
        </row>
        <row r="901">
          <cell r="A901" t="str">
            <v>WBM-00218</v>
          </cell>
          <cell r="B901" t="str">
            <v>רמת חובב</v>
          </cell>
          <cell r="C901" t="str">
            <v>רמת חובב-התקנת ה.מרחק שנייה בשדה 6</v>
          </cell>
          <cell r="D901">
            <v>45349</v>
          </cell>
        </row>
        <row r="902">
          <cell r="A902" t="str">
            <v>WBM-40133</v>
          </cell>
          <cell r="B902" t="str">
            <v>רמת חובב</v>
          </cell>
          <cell r="C902" t="str">
            <v>רמת חובב - החלפת מגיני ברק 400 ק"ו</v>
          </cell>
          <cell r="D902">
            <v>46387</v>
          </cell>
        </row>
        <row r="903">
          <cell r="A903" t="str">
            <v>WBM-10436</v>
          </cell>
          <cell r="B903" t="str">
            <v>רמת חובב</v>
          </cell>
          <cell r="C903" t="str">
            <v>רמת חובב-התאמת הג. שדה 6 לשדה מעגל-שלב א</v>
          </cell>
        </row>
        <row r="904">
          <cell r="A904" t="str">
            <v>WBM-10236</v>
          </cell>
          <cell r="B904" t="str">
            <v>רמת חובב</v>
          </cell>
          <cell r="C904" t="str">
            <v>רמת חובב-תוספת 6 יציאות מתח גבוה 24 ק"ו</v>
          </cell>
          <cell r="D904">
            <v>45807</v>
          </cell>
        </row>
        <row r="905">
          <cell r="A905" t="str">
            <v>WBM-00599</v>
          </cell>
          <cell r="B905" t="str">
            <v>רמת חובב</v>
          </cell>
          <cell r="C905" t="str">
            <v>רמת חובב-החלפת הגנת פ"צ</v>
          </cell>
          <cell r="D905">
            <v>45655</v>
          </cell>
        </row>
        <row r="906">
          <cell r="A906" t="str">
            <v>WBM-10266</v>
          </cell>
          <cell r="B906" t="str">
            <v>רמת חובב</v>
          </cell>
          <cell r="C906" t="str">
            <v>רמת חובב-משיק לצ. אנרגיה - החלפת הגנות</v>
          </cell>
          <cell r="D906">
            <v>44864</v>
          </cell>
        </row>
        <row r="907">
          <cell r="A907" t="str">
            <v>WBM-60105</v>
          </cell>
          <cell r="B907" t="str">
            <v>רמת חובב</v>
          </cell>
          <cell r="C907" t="str">
            <v>רמת חובב -החלפת תאורת ביטחון ותאורת הצפה</v>
          </cell>
          <cell r="D907">
            <v>44834</v>
          </cell>
        </row>
        <row r="908">
          <cell r="A908" t="str">
            <v>WBM-00338</v>
          </cell>
          <cell r="B908" t="str">
            <v>רמת חובב</v>
          </cell>
          <cell r="C908" t="str">
            <v>רמת חובב-עיגון לעמידה בפני רעידת אדמה</v>
          </cell>
          <cell r="D908">
            <v>44528</v>
          </cell>
        </row>
        <row r="909">
          <cell r="A909" t="str">
            <v>WBM-01316</v>
          </cell>
          <cell r="B909" t="str">
            <v>רמת חובב</v>
          </cell>
          <cell r="C909" t="str">
            <v>רמת חובב- החלפת הגנות בשדות18,20,21</v>
          </cell>
          <cell r="D909">
            <v>44377</v>
          </cell>
        </row>
        <row r="910">
          <cell r="A910" t="str">
            <v>WBM-40011</v>
          </cell>
          <cell r="B910" t="str">
            <v>רמת חובב</v>
          </cell>
          <cell r="C910" t="str">
            <v>רמת חובב - החלפת רושם הפרעות- 400 ק"ו</v>
          </cell>
          <cell r="D910">
            <v>44021</v>
          </cell>
        </row>
        <row r="911">
          <cell r="A911" t="str">
            <v>WBM-00598</v>
          </cell>
          <cell r="B911" t="str">
            <v>רמת חובב</v>
          </cell>
          <cell r="C911" t="str">
            <v>רמת חובב-עיגון 6 אוטושנאים חד-פאזיים</v>
          </cell>
          <cell r="D911">
            <v>43797</v>
          </cell>
        </row>
        <row r="912">
          <cell r="A912" t="str">
            <v>WBM-01163</v>
          </cell>
          <cell r="B912" t="str">
            <v>רמת חובב</v>
          </cell>
          <cell r="C912" t="str">
            <v>רמת חובב-החלפת הגנות מ"ע בשדה 8 לקפ"א</v>
          </cell>
          <cell r="D912">
            <v>43434</v>
          </cell>
        </row>
        <row r="913">
          <cell r="A913" t="str">
            <v>WBM-00737</v>
          </cell>
          <cell r="B913" t="str">
            <v>רמת חובב</v>
          </cell>
          <cell r="C913" t="str">
            <v>רמת חובב-התקנת NBPLC דרך קשר</v>
          </cell>
          <cell r="D913">
            <v>43146</v>
          </cell>
        </row>
        <row r="914">
          <cell r="A914" t="str">
            <v>WBM-00929</v>
          </cell>
          <cell r="B914" t="str">
            <v>רמת חובב</v>
          </cell>
          <cell r="C914" t="str">
            <v>רמת חובב-החלפת ה.מרחק לה.דיפרנציאליות.</v>
          </cell>
          <cell r="D914">
            <v>43146</v>
          </cell>
        </row>
        <row r="915">
          <cell r="A915" t="str">
            <v>WBM-00219</v>
          </cell>
          <cell r="B915" t="str">
            <v>רמת חובב</v>
          </cell>
          <cell r="C915" t="str">
            <v>רמת חובב-הפרדת לוח חלוקה זרם ישר 220 ו'</v>
          </cell>
          <cell r="D915">
            <v>43146</v>
          </cell>
        </row>
        <row r="916">
          <cell r="A916" t="str">
            <v>WBM-00220</v>
          </cell>
          <cell r="B916" t="str">
            <v>רמת חובב</v>
          </cell>
          <cell r="C916" t="str">
            <v>רמת חובב-משיק לחרובית, שלב 11- בשדה 4B</v>
          </cell>
          <cell r="D916">
            <v>42151</v>
          </cell>
        </row>
        <row r="917">
          <cell r="A917" t="str">
            <v>WBM-00221</v>
          </cell>
          <cell r="B917" t="str">
            <v>רמת חובב</v>
          </cell>
          <cell r="C917" t="str">
            <v>רמת חובב - התקנת ציוד PLC בשדה 12</v>
          </cell>
          <cell r="D917">
            <v>41728</v>
          </cell>
        </row>
        <row r="918">
          <cell r="A918" t="str">
            <v>WBM-00738</v>
          </cell>
          <cell r="B918" t="str">
            <v>רמת חובב</v>
          </cell>
          <cell r="C918" t="str">
            <v>רמת חובב- התקנת ציוד OM לתקשורת</v>
          </cell>
          <cell r="D918">
            <v>41728</v>
          </cell>
        </row>
        <row r="919">
          <cell r="A919" t="str">
            <v>WBL-009-023-ST2</v>
          </cell>
          <cell r="B919" t="str">
            <v>רמת חובב</v>
          </cell>
          <cell r="C919" t="str">
            <v>רמת חובב-צביעת כבלים בצבע מעכב אש</v>
          </cell>
          <cell r="D919">
            <v>41440</v>
          </cell>
        </row>
        <row r="920">
          <cell r="A920" t="str">
            <v>WBL-009-015</v>
          </cell>
          <cell r="B920" t="str">
            <v>רמת חובב</v>
          </cell>
          <cell r="C920" t="str">
            <v>רמת חובב-החלפת מ"ז בשדות: 31,1</v>
          </cell>
          <cell r="D920">
            <v>41263</v>
          </cell>
        </row>
        <row r="921">
          <cell r="A921" t="str">
            <v>WBL-009-021</v>
          </cell>
          <cell r="B921" t="str">
            <v>רמת חובב</v>
          </cell>
          <cell r="C921" t="str">
            <v>רמת חובב-הקמת רשת מחשבים תפעולית</v>
          </cell>
          <cell r="D921">
            <v>41198</v>
          </cell>
        </row>
        <row r="922">
          <cell r="A922" t="str">
            <v>WBL-009-036</v>
          </cell>
          <cell r="B922" t="str">
            <v>רמת חובב</v>
          </cell>
          <cell r="C922" t="str">
            <v>רמת חובב-שידרוג מערכת גילוי וכיבוי אש</v>
          </cell>
          <cell r="D922">
            <v>41136</v>
          </cell>
        </row>
        <row r="923">
          <cell r="A923" t="str">
            <v>WBM-01254</v>
          </cell>
          <cell r="B923" t="str">
            <v>רמת חובב</v>
          </cell>
          <cell r="C923" t="str">
            <v>רמת חובב -בוטל- מאצרות שמן קב' למסדרי א</v>
          </cell>
          <cell r="D923">
            <v>42905</v>
          </cell>
        </row>
        <row r="924">
          <cell r="A924" t="str">
            <v>WBM-60001</v>
          </cell>
          <cell r="B924" t="str">
            <v>רמת חובב</v>
          </cell>
          <cell r="C924" t="str">
            <v>רמת חובב - בוטל-שיפור לחץ מים</v>
          </cell>
          <cell r="D924">
            <v>43096</v>
          </cell>
        </row>
        <row r="925">
          <cell r="A925" t="str">
            <v>WBM-40134</v>
          </cell>
          <cell r="B925" t="str">
            <v>רמת חובב</v>
          </cell>
          <cell r="C925" t="str">
            <v>רמת חובב-בוטל-החלפת טרפוגרד לאוטושנאים</v>
          </cell>
          <cell r="D925">
            <v>44196</v>
          </cell>
        </row>
        <row r="926">
          <cell r="A926">
            <v>534398</v>
          </cell>
          <cell r="B926" t="str">
            <v>רמת חובב</v>
          </cell>
          <cell r="C926" t="str">
            <v>רמת חובב-התקנת ציוד PLC על יסוד בשדה 12</v>
          </cell>
          <cell r="D926">
            <v>41445</v>
          </cell>
        </row>
        <row r="927">
          <cell r="A927">
            <v>534324</v>
          </cell>
          <cell r="B927" t="str">
            <v>רמת חובב</v>
          </cell>
          <cell r="C927" t="str">
            <v>רמת חובב-התקנת מערכת התראה ביטחונית</v>
          </cell>
          <cell r="D927">
            <v>39963</v>
          </cell>
        </row>
        <row r="928">
          <cell r="A928" t="str">
            <v>WBM-00597</v>
          </cell>
          <cell r="B928" t="str">
            <v>רמת חובב</v>
          </cell>
          <cell r="C928" t="str">
            <v>רמת חובב-בוטל-התקנת מצוף התראה למיכל דלק</v>
          </cell>
          <cell r="D928">
            <v>39646</v>
          </cell>
        </row>
        <row r="929">
          <cell r="A929" t="str">
            <v>WBM-00592</v>
          </cell>
          <cell r="B929" t="str">
            <v>רמת חובב</v>
          </cell>
          <cell r="C929" t="str">
            <v>רמת חובב-מוקפא-התקנת ציוד קשר  ל-DSI</v>
          </cell>
          <cell r="D929">
            <v>39782</v>
          </cell>
        </row>
        <row r="930">
          <cell r="A930" t="str">
            <v>WBM-00919</v>
          </cell>
          <cell r="B930" t="str">
            <v>רמת חובב</v>
          </cell>
          <cell r="C930" t="str">
            <v>רמת חובב-בוטל-עיגון דיזל גנרטור</v>
          </cell>
          <cell r="D930">
            <v>41249</v>
          </cell>
        </row>
        <row r="931">
          <cell r="A931">
            <v>534322</v>
          </cell>
          <cell r="B931" t="str">
            <v>רמת חובב</v>
          </cell>
          <cell r="C931" t="str">
            <v>רמת חובב-התאמת מערכת המים לכיבוי אש</v>
          </cell>
          <cell r="D931">
            <v>39963</v>
          </cell>
        </row>
        <row r="932">
          <cell r="A932" t="str">
            <v>WBM-00595</v>
          </cell>
          <cell r="B932" t="str">
            <v>רמת חובב</v>
          </cell>
          <cell r="C932" t="str">
            <v>רמת חובב-בוטל-החלפת הגנת מרחק LZ31</v>
          </cell>
          <cell r="D932">
            <v>39297</v>
          </cell>
        </row>
        <row r="933">
          <cell r="A933" t="str">
            <v>WBM-00794</v>
          </cell>
          <cell r="B933" t="str">
            <v>רמת חובב</v>
          </cell>
          <cell r="C933" t="str">
            <v>רמת חובב-בוטל - החלפת ציוד מ"ג.</v>
          </cell>
          <cell r="D933">
            <v>41249</v>
          </cell>
        </row>
        <row r="934">
          <cell r="A934" t="str">
            <v>WBL-009-031</v>
          </cell>
          <cell r="B934" t="str">
            <v>רמת חובב</v>
          </cell>
          <cell r="C934" t="str">
            <v>רמת חובב-בוטל-הוספת מהדקים לפיזור חום</v>
          </cell>
          <cell r="D934">
            <v>39262</v>
          </cell>
        </row>
        <row r="935">
          <cell r="A935" t="str">
            <v>WBM-00948</v>
          </cell>
          <cell r="B935" t="str">
            <v>רמת חובב</v>
          </cell>
          <cell r="C935" t="str">
            <v>רמת חובב-בוטל-הח.ה.מרחק וה.דיפר. בשדה 3A</v>
          </cell>
          <cell r="D935">
            <v>40562</v>
          </cell>
        </row>
        <row r="936">
          <cell r="A936" t="str">
            <v>WBM-01369</v>
          </cell>
          <cell r="B936" t="str">
            <v>רמת חובב</v>
          </cell>
          <cell r="C936" t="str">
            <v>רמת חובב-מיגון מתקנים פיזי</v>
          </cell>
          <cell r="D936">
            <v>46326</v>
          </cell>
        </row>
        <row r="937">
          <cell r="A937" t="str">
            <v>WBM-00320</v>
          </cell>
          <cell r="B937" t="str">
            <v>רמת חובב</v>
          </cell>
          <cell r="C937" t="str">
            <v>רמת חובב-התאמת שדה קו 11 לאשלים</v>
          </cell>
          <cell r="D937">
            <v>42855</v>
          </cell>
        </row>
        <row r="938">
          <cell r="A938" t="str">
            <v>WBM-10471</v>
          </cell>
          <cell r="B938" t="str">
            <v>רמת חובב</v>
          </cell>
          <cell r="C938" t="str">
            <v>רמת חובב-שדה 12, העברת אותות TT בציוד קרייר</v>
          </cell>
          <cell r="D938">
            <v>46203</v>
          </cell>
        </row>
        <row r="939">
          <cell r="A939" t="str">
            <v>WBE-178</v>
          </cell>
          <cell r="B939" t="str">
            <v>רמת חובב</v>
          </cell>
          <cell r="C939" t="str">
            <v>רמת חובב-החלפת שנאי 33 מגוו"א 521 מגוו"א ל-50 מגוו"א</v>
          </cell>
          <cell r="D939">
            <v>46064</v>
          </cell>
        </row>
        <row r="940">
          <cell r="A940" t="str">
            <v>WBM-10472</v>
          </cell>
          <cell r="B940" t="str">
            <v>רמת חובב</v>
          </cell>
          <cell r="C940" t="str">
            <v>רמת חובב- שדה 5, משיק לדימונה סולארי שדה 11 , יישום 2 דרכי קשר אופטיות בין הגנות</v>
          </cell>
          <cell r="D940">
            <v>45467</v>
          </cell>
        </row>
        <row r="941">
          <cell r="A941" t="str">
            <v>WBM-10473</v>
          </cell>
          <cell r="B941" t="str">
            <v>רמת חובב</v>
          </cell>
          <cell r="C941" t="str">
            <v>רמת חובב- שדה 7, משיק לדימונה סולארי שדה 9, יישום 2 דרכי קשר אופטיות בין הגנות</v>
          </cell>
          <cell r="D941">
            <v>45467</v>
          </cell>
        </row>
        <row r="942">
          <cell r="A942" t="str">
            <v>WBM-10476</v>
          </cell>
          <cell r="B942" t="str">
            <v>רמת חובב</v>
          </cell>
          <cell r="C942" t="str">
            <v>רמת חובב-שדה 1A,משיק לדימונה סולארי שדה 11, יישום 2 דרכי קשר אופטיות בין הגנות</v>
          </cell>
          <cell r="D942">
            <v>45777</v>
          </cell>
        </row>
        <row r="943">
          <cell r="A943" t="str">
            <v>WBE-184</v>
          </cell>
          <cell r="B943" t="str">
            <v>רמת חובב</v>
          </cell>
          <cell r="C943" t="str">
            <v>רמת חובב-החלפת שנאי 33 מגוו"א 522 מגוו"א ל-50 מגוו"א</v>
          </cell>
          <cell r="D943">
            <v>45917</v>
          </cell>
        </row>
        <row r="944">
          <cell r="A944" t="str">
            <v>WBM-10507</v>
          </cell>
          <cell r="B944" t="str">
            <v>רמת חובב</v>
          </cell>
          <cell r="C944" t="str">
            <v>רמת חובב-משיק לתחמ"ש משאבי שדה שדה 5,יישום דרך קשר אופטית בין הגנות  בשדה 11</v>
          </cell>
          <cell r="D944">
            <v>45565</v>
          </cell>
        </row>
        <row r="945">
          <cell r="A945" t="str">
            <v>WBM-10510</v>
          </cell>
          <cell r="B945" t="str">
            <v>רמת חובב</v>
          </cell>
          <cell r="C945" t="str">
            <v>רמת חובב- משיק לנווה מדבר שדה 1, יישום דרך קשר אופטית בין הגנות בשדה 7</v>
          </cell>
          <cell r="D945">
            <v>46052</v>
          </cell>
        </row>
        <row r="946">
          <cell r="A946" t="str">
            <v>WBM-10511</v>
          </cell>
          <cell r="B946" t="str">
            <v>רמת חובב</v>
          </cell>
          <cell r="C946" t="str">
            <v>רמת חובב- משיק לנווה מדבר (קפ"ה) שדה 1, התקנת הגנת מרחק ויישום 2 דרכי קשר בשדה 11</v>
          </cell>
          <cell r="D946">
            <v>47482</v>
          </cell>
        </row>
        <row r="947">
          <cell r="A947" t="str">
            <v>WBM-10515</v>
          </cell>
          <cell r="B947" t="str">
            <v>רמת חובב</v>
          </cell>
          <cell r="C947" t="str">
            <v>רמת חובב-  משיק לאשלים שדה 11, התקנת הגנת מרחק ויישום דרך קשר בשדה 9</v>
          </cell>
          <cell r="D947">
            <v>46326</v>
          </cell>
        </row>
        <row r="948">
          <cell r="A948" t="str">
            <v>WBM-10517</v>
          </cell>
          <cell r="B948" t="str">
            <v>רמת חובב</v>
          </cell>
          <cell r="C948" t="str">
            <v>רמת חובב-  משיק למשאבי שדה שדה 5, התקנת הגנה בשדה 8</v>
          </cell>
          <cell r="D948">
            <v>46096</v>
          </cell>
        </row>
        <row r="949">
          <cell r="A949" t="str">
            <v>WBM-10521</v>
          </cell>
          <cell r="B949" t="str">
            <v>רמת חובב</v>
          </cell>
          <cell r="C949" t="str">
            <v>רמת חובב- משיק לתחמ"ש מצפה רמון שדה 8.  התקנת הגנת מרחק שדה 7</v>
          </cell>
          <cell r="D949">
            <v>47482</v>
          </cell>
        </row>
        <row r="950">
          <cell r="A950" t="str">
            <v>WBM-10564</v>
          </cell>
          <cell r="B950" t="str">
            <v>רמת חובב</v>
          </cell>
          <cell r="C950" t="str">
            <v>רמת חובב- בוטל - שדה 5, משיק לדימונה סולארי שדה 9, יישום 2 דרכי קשר אופטיות בין הגנות.</v>
          </cell>
        </row>
        <row r="951">
          <cell r="A951" t="str">
            <v>WBM-10602</v>
          </cell>
          <cell r="B951" t="str">
            <v>רמת חובב</v>
          </cell>
          <cell r="C951" t="str">
            <v>רמת חובב -בוטל- משיק לתחמ"ש דימונה שדה  17, יישום דרך קשר אופטית בין הגנות בשדה 1A</v>
          </cell>
        </row>
        <row r="952">
          <cell r="A952" t="str">
            <v>WBM-00884-032</v>
          </cell>
          <cell r="B952" t="str">
            <v>רמת חובב</v>
          </cell>
          <cell r="C952" t="str">
            <v>רמת חובב- מבוטל- החלפת מערכות כיבוי בגז NAF-S3</v>
          </cell>
          <cell r="D952">
            <v>45292</v>
          </cell>
        </row>
        <row r="953">
          <cell r="A953" t="str">
            <v>WBM-00885-076</v>
          </cell>
          <cell r="B953" t="str">
            <v>רמת חובב</v>
          </cell>
          <cell r="C953" t="str">
            <v>רמת חובב - התקנת מיכל מים ומשאבה</v>
          </cell>
          <cell r="D953">
            <v>46092</v>
          </cell>
        </row>
        <row r="954">
          <cell r="A954" t="str">
            <v>WBM-01341-002</v>
          </cell>
          <cell r="B954" t="str">
            <v>רמת חובב</v>
          </cell>
          <cell r="C954" t="str">
            <v>רמת חובב - שיפוץ מסדרי GIS</v>
          </cell>
          <cell r="D954">
            <v>47664</v>
          </cell>
        </row>
        <row r="955">
          <cell r="A955" t="str">
            <v>WBM-10315-041</v>
          </cell>
          <cell r="B955" t="str">
            <v>רמת חובב</v>
          </cell>
          <cell r="C955" t="str">
            <v>רמת חובב-התקנת מזגנים</v>
          </cell>
          <cell r="D955">
            <v>46021</v>
          </cell>
        </row>
        <row r="956">
          <cell r="A956" t="str">
            <v>WBM-10315-050</v>
          </cell>
          <cell r="B956" t="str">
            <v>רמת חובב</v>
          </cell>
          <cell r="C956" t="str">
            <v>רמת חובב- בוטל-התקנת מזגנים</v>
          </cell>
        </row>
        <row r="957">
          <cell r="A957" t="str">
            <v>WBM-10316-015</v>
          </cell>
          <cell r="B957" t="str">
            <v>רמת חובב</v>
          </cell>
          <cell r="C957" t="str">
            <v>רמת חובב-חיבור רושמי הפרעות למתג מנהלת</v>
          </cell>
          <cell r="D957">
            <v>45607</v>
          </cell>
        </row>
        <row r="958">
          <cell r="A958" t="str">
            <v>WBM-40295-036</v>
          </cell>
          <cell r="B958" t="str">
            <v>רמת חובב</v>
          </cell>
          <cell r="C958" t="str">
            <v>רמת חובב - החלפת 2 סוללות 500AH</v>
          </cell>
          <cell r="D958">
            <v>46721</v>
          </cell>
        </row>
        <row r="959">
          <cell r="A959" t="str">
            <v>WBM-40479-004</v>
          </cell>
          <cell r="B959" t="str">
            <v>רמת חובב</v>
          </cell>
          <cell r="C959" t="str">
            <v>רמת חובב- החלפת 6 בקרי טמפ' וגובה שמן בש</v>
          </cell>
          <cell r="D959">
            <v>48212</v>
          </cell>
        </row>
        <row r="960">
          <cell r="A960" t="str">
            <v>WBM-60092-019</v>
          </cell>
          <cell r="B960" t="str">
            <v>רמת חובב</v>
          </cell>
          <cell r="C960" t="str">
            <v>רמת חובב -בדיקות/טיפול/פינוי מכלי אש בגז</v>
          </cell>
          <cell r="D960">
            <v>46154</v>
          </cell>
        </row>
        <row r="961">
          <cell r="A961" t="str">
            <v>WBM-60116-016</v>
          </cell>
          <cell r="B961" t="str">
            <v>רמת חובב</v>
          </cell>
          <cell r="C961" t="str">
            <v>רמת חובב - שידרוג גלאים בתחנות משנה ומית</v>
          </cell>
          <cell r="D961">
            <v>46387</v>
          </cell>
        </row>
        <row r="962">
          <cell r="A962" t="str">
            <v>WBM-80002-045</v>
          </cell>
          <cell r="B962" t="str">
            <v>רמת חובב</v>
          </cell>
          <cell r="C962" t="str">
            <v>רמת חובב- בקר</v>
          </cell>
          <cell r="D962">
            <v>45659</v>
          </cell>
        </row>
        <row r="963">
          <cell r="A963" t="str">
            <v>WBM-40618</v>
          </cell>
          <cell r="B963" t="str">
            <v>רמת חובב</v>
          </cell>
          <cell r="C963" t="str">
            <v>רמת חובב - החלפת ציוד  בשדה 1</v>
          </cell>
          <cell r="D963">
            <v>46064</v>
          </cell>
        </row>
        <row r="964">
          <cell r="A964" t="str">
            <v>WBM-40619</v>
          </cell>
          <cell r="B964" t="str">
            <v>רמת חובב</v>
          </cell>
          <cell r="C964" t="str">
            <v>רמת חובב -החלפת ציוד מסדר אפס בשדה 2 וציוד מ"ג בשדה 20</v>
          </cell>
          <cell r="D964">
            <v>46356</v>
          </cell>
        </row>
        <row r="965">
          <cell r="A965" t="str">
            <v>WBM-60130-020</v>
          </cell>
          <cell r="B965" t="str">
            <v>רמת חובב</v>
          </cell>
          <cell r="C965" t="str">
            <v>רמת חובב - התקנת מפסק פטריה להפסקת מערכת החשמל בחירום</v>
          </cell>
          <cell r="D965">
            <v>46568</v>
          </cell>
        </row>
        <row r="966">
          <cell r="A966" t="str">
            <v>WBK-018</v>
          </cell>
          <cell r="B966" t="str">
            <v>רמת חובב</v>
          </cell>
          <cell r="C966" t="str">
            <v>רמת חובב- התקנת שנאי קישור שלישי 400/161 ק"ו ,575 מגוו"א</v>
          </cell>
          <cell r="D966">
            <v>48944</v>
          </cell>
        </row>
        <row r="967">
          <cell r="A967" t="str">
            <v>WBM-10699</v>
          </cell>
          <cell r="B967" t="str">
            <v>רמת חובב</v>
          </cell>
          <cell r="C967" t="str">
            <v>רמת חובב- הת' תיילים-מהדקים-פורט'wbo-851</v>
          </cell>
          <cell r="D967">
            <v>47847</v>
          </cell>
        </row>
        <row r="968">
          <cell r="A968" t="str">
            <v>WBM-00885-153</v>
          </cell>
          <cell r="B968" t="str">
            <v>רמת חובב</v>
          </cell>
          <cell r="C968" t="str">
            <v>רמת חובב -בוטל - התקנת מיכל ומשאבת מים</v>
          </cell>
          <cell r="D968">
            <v>43831</v>
          </cell>
        </row>
        <row r="969">
          <cell r="A969" t="str">
            <v>WBM-10760</v>
          </cell>
          <cell r="B969" t="str">
            <v>רמת חובב</v>
          </cell>
          <cell r="C969" t="str">
            <v>רמת חובב- משיק לאשלים שדה 7, יישום דרך קשר אופטית בין הגנות בשדה 11</v>
          </cell>
          <cell r="D969">
            <v>46052</v>
          </cell>
        </row>
        <row r="970">
          <cell r="A970" t="str">
            <v>WBM-10762</v>
          </cell>
          <cell r="B970" t="str">
            <v>רמת חובב</v>
          </cell>
          <cell r="C970" t="str">
            <v>רמת חובב- משיק למשאבי שדה שדה 5,  התקנת הגנה דיפרנציאלית ויישום דרך קשר אופטית בין הגנות בשדה 8</v>
          </cell>
          <cell r="D970">
            <v>46203</v>
          </cell>
        </row>
        <row r="971">
          <cell r="A971" t="str">
            <v>WBM-10764</v>
          </cell>
          <cell r="B971" t="str">
            <v>רמת חובב</v>
          </cell>
          <cell r="C971" t="str">
            <v>רמת חובב-בוטל -  משיק לנווה מדבר שדה 1, יישום דרך קשר אופטית בין הגנות בשדה 7</v>
          </cell>
        </row>
        <row r="972">
          <cell r="A972" t="str">
            <v>WBM-10766</v>
          </cell>
          <cell r="B972" t="str">
            <v>רמת חובב</v>
          </cell>
          <cell r="C972" t="str">
            <v>רמת חובב- משיק לדימונה סולארי שדה 9, יישום 2 דרכי קשר בין הגנות בשדה 5</v>
          </cell>
          <cell r="D972">
            <v>46052</v>
          </cell>
        </row>
        <row r="973">
          <cell r="A973" t="str">
            <v>WBM-40637-002</v>
          </cell>
          <cell r="B973" t="str">
            <v>רמת חובב</v>
          </cell>
          <cell r="C973" t="str">
            <v>רמת חובב -  החלפת רושמי הפרעות קיימים מדגם IDM-T3 לרושמים חדשים מדגם IDM+</v>
          </cell>
          <cell r="D973">
            <v>46751</v>
          </cell>
        </row>
        <row r="974">
          <cell r="A974" t="str">
            <v>WBM-40369</v>
          </cell>
          <cell r="B974" t="str">
            <v>רמת חובב</v>
          </cell>
          <cell r="C974" t="str">
            <v>רמת חובב - בוטל - החלפת ציוד בשדה 2</v>
          </cell>
        </row>
        <row r="975">
          <cell r="A975" t="str">
            <v>WBM-10807</v>
          </cell>
          <cell r="B975" t="str">
            <v>רמת חובב</v>
          </cell>
          <cell r="C975" t="str">
            <v>רמת חובב - משיק לבאר שבע שדה 13, יישום דרך קשר אופטית בין הגנות בשדה 19</v>
          </cell>
          <cell r="D975">
            <v>46096</v>
          </cell>
        </row>
        <row r="976">
          <cell r="A976" t="str">
            <v>WBE-305</v>
          </cell>
          <cell r="B976" t="str">
            <v>רמת חובב</v>
          </cell>
          <cell r="C976" t="str">
            <v>רמת חובב- התקנת שנאי שלישי 161/24 ק"ו, 50 מגוו"א</v>
          </cell>
          <cell r="D976">
            <v>46660</v>
          </cell>
        </row>
        <row r="977">
          <cell r="A977" t="str">
            <v>WBM-10813</v>
          </cell>
          <cell r="B977" t="str">
            <v>רמת חובב</v>
          </cell>
          <cell r="C977" t="str">
            <v>רמת חובב - משיק לבאר שבע שדה 5, יישום דרך קשר אופטית בין הגנות (מרחק ודיפרנציאלית) בשדה 20</v>
          </cell>
          <cell r="D977">
            <v>46146</v>
          </cell>
        </row>
        <row r="978">
          <cell r="A978" t="str">
            <v>WBE-313</v>
          </cell>
          <cell r="B978" t="str">
            <v>רמת חובב</v>
          </cell>
          <cell r="C978" t="str">
            <v>רמת חובב - תכנוני - התאמת מסדר 161 ק"ו לז"ק 50 ק"א</v>
          </cell>
          <cell r="D978">
            <v>46356</v>
          </cell>
        </row>
        <row r="979">
          <cell r="A979" t="str">
            <v>WBM-60131-031</v>
          </cell>
          <cell r="B979" t="str">
            <v>רמת חובב</v>
          </cell>
          <cell r="C979" t="str">
            <v>רמת חובב - בוטל - בדיקת אופיין מים</v>
          </cell>
        </row>
        <row r="980">
          <cell r="A980" t="str">
            <v>HIS-027</v>
          </cell>
          <cell r="B980" t="str">
            <v>רמת גן</v>
          </cell>
          <cell r="C980" t="str">
            <v>רמת גן</v>
          </cell>
          <cell r="D980">
            <v>40908</v>
          </cell>
        </row>
        <row r="981">
          <cell r="A981" t="str">
            <v>HIS-043</v>
          </cell>
          <cell r="B981" t="str">
            <v>רמת גן</v>
          </cell>
          <cell r="C981" t="str">
            <v>רמת גן</v>
          </cell>
          <cell r="D981">
            <v>40908</v>
          </cell>
        </row>
        <row r="982">
          <cell r="A982" t="str">
            <v>WBE-020</v>
          </cell>
          <cell r="B982" t="str">
            <v>רמת גן</v>
          </cell>
          <cell r="C982" t="str">
            <v>רמת גן-החלפת שנאים -מבוצע ב-13 שלבים</v>
          </cell>
          <cell r="D982">
            <v>43403</v>
          </cell>
        </row>
        <row r="983">
          <cell r="A983" t="str">
            <v>WBE-020-ST13</v>
          </cell>
          <cell r="B983" t="str">
            <v>רמת גן</v>
          </cell>
          <cell r="C983" t="str">
            <v>רמת גן ארעית-פרוק תחמ"ש ארעית-שיקום השטח</v>
          </cell>
          <cell r="D983">
            <v>42319</v>
          </cell>
        </row>
        <row r="984">
          <cell r="A984" t="str">
            <v>WBM-01268</v>
          </cell>
          <cell r="B984" t="str">
            <v>רמת גן</v>
          </cell>
          <cell r="C984" t="str">
            <v>רמת גן-שיפור לוגיקת סלילי כיבוי</v>
          </cell>
          <cell r="D984">
            <v>46477</v>
          </cell>
        </row>
        <row r="985">
          <cell r="A985" t="str">
            <v>WBM-00121</v>
          </cell>
          <cell r="B985" t="str">
            <v>רמת גן</v>
          </cell>
          <cell r="C985" t="str">
            <v>רמת גן-התקנת עמדת כיבוי אש שנייה.</v>
          </cell>
          <cell r="D985">
            <v>42398</v>
          </cell>
        </row>
        <row r="986">
          <cell r="A986" t="str">
            <v>WBM-40146</v>
          </cell>
          <cell r="B986" t="str">
            <v>רמת גן</v>
          </cell>
          <cell r="C986" t="str">
            <v>רמת גן-בוטל-החלפת 22 הגנות מ"ג</v>
          </cell>
          <cell r="D986">
            <v>43115</v>
          </cell>
        </row>
        <row r="987">
          <cell r="A987" t="str">
            <v>WBG-104-021</v>
          </cell>
          <cell r="B987" t="str">
            <v>רמת גן</v>
          </cell>
          <cell r="C987" t="str">
            <v>רמת גן-פירוק הגנת מרחק  REL316*4 בש' 3</v>
          </cell>
          <cell r="D987">
            <v>41425</v>
          </cell>
        </row>
        <row r="988">
          <cell r="A988">
            <v>542418</v>
          </cell>
          <cell r="B988" t="str">
            <v>רמת גן</v>
          </cell>
          <cell r="C988" t="str">
            <v>רמת גן-בוטל-התקנת רכזת התראה בטחונית</v>
          </cell>
          <cell r="D988">
            <v>39051</v>
          </cell>
        </row>
        <row r="989">
          <cell r="A989" t="str">
            <v>WBM-00591</v>
          </cell>
          <cell r="B989" t="str">
            <v>רמת גן</v>
          </cell>
          <cell r="C989" t="str">
            <v>רמת גן ארעית-בוטל-פרוק תחמ"ש ארעית</v>
          </cell>
          <cell r="D989">
            <v>37315</v>
          </cell>
        </row>
        <row r="990">
          <cell r="A990" t="str">
            <v>WBM-40139</v>
          </cell>
          <cell r="B990" t="str">
            <v>רמת גן</v>
          </cell>
          <cell r="C990" t="str">
            <v>רמת גן-החלפת רושם הפרעות</v>
          </cell>
          <cell r="D990">
            <v>46660</v>
          </cell>
        </row>
        <row r="991">
          <cell r="A991" t="str">
            <v>WBM-10271</v>
          </cell>
          <cell r="B991" t="str">
            <v>רמת גן</v>
          </cell>
          <cell r="C991" t="str">
            <v>רמת גן-בוטל- התא' תייל'-מהדקים'-פורט'WBO-587</v>
          </cell>
        </row>
        <row r="992">
          <cell r="A992" t="str">
            <v>WBM-40136</v>
          </cell>
          <cell r="B992" t="str">
            <v>רמת גן</v>
          </cell>
          <cell r="C992" t="str">
            <v>רמת גן- משיק כבל-התאמת ציוד לז"ק 50 ק"א</v>
          </cell>
          <cell r="D992">
            <v>46691</v>
          </cell>
        </row>
        <row r="993">
          <cell r="A993" t="str">
            <v>WBM-10221</v>
          </cell>
          <cell r="B993" t="str">
            <v>רמת גן</v>
          </cell>
          <cell r="C993" t="str">
            <v>רמת גן - משיק לצומת אנרגיה - התאמת שדות</v>
          </cell>
          <cell r="D993">
            <v>45974</v>
          </cell>
        </row>
        <row r="994">
          <cell r="A994" t="str">
            <v>WBM-10240</v>
          </cell>
          <cell r="B994" t="str">
            <v>רמת גן</v>
          </cell>
          <cell r="C994" t="str">
            <v>רמת גן-משיק לעתידים, החלפת הג.דיפ. ש3</v>
          </cell>
          <cell r="D994">
            <v>45900</v>
          </cell>
        </row>
        <row r="995">
          <cell r="A995" t="str">
            <v>WBM-10243</v>
          </cell>
          <cell r="B995" t="str">
            <v>רמת גן</v>
          </cell>
          <cell r="C995" t="str">
            <v>רמת גן-משיק פ"ת 21 - החלפת הג. דיפ.ש. 9</v>
          </cell>
          <cell r="D995">
            <v>45900</v>
          </cell>
        </row>
        <row r="996">
          <cell r="A996" t="str">
            <v>WBM-10039</v>
          </cell>
          <cell r="B996" t="str">
            <v>רמת גן</v>
          </cell>
          <cell r="C996" t="str">
            <v>רמת גן - החלפת שרשראות מבודדים</v>
          </cell>
          <cell r="D996">
            <v>45777</v>
          </cell>
        </row>
        <row r="997">
          <cell r="A997" t="str">
            <v>WBM-80011</v>
          </cell>
          <cell r="B997" t="str">
            <v>רמת גן</v>
          </cell>
          <cell r="C997" t="str">
            <v>רמת גן - הח מתגי תקש. של SCS למתגי CISCO</v>
          </cell>
          <cell r="D997">
            <v>46568</v>
          </cell>
        </row>
        <row r="998">
          <cell r="A998" t="str">
            <v>WBM-01429</v>
          </cell>
          <cell r="B998" t="str">
            <v>רמת גן</v>
          </cell>
          <cell r="C998" t="str">
            <v>רמת גן - שיקום הארקות</v>
          </cell>
          <cell r="D998">
            <v>43981</v>
          </cell>
        </row>
        <row r="999">
          <cell r="A999" t="str">
            <v>WBG-104-017</v>
          </cell>
          <cell r="B999" t="str">
            <v>רמת גן</v>
          </cell>
          <cell r="C999" t="str">
            <v>רמת גן-הקמת רשת מחשבים תפעולית</v>
          </cell>
          <cell r="D999">
            <v>41243</v>
          </cell>
        </row>
        <row r="1000">
          <cell r="A1000" t="str">
            <v>WBM-40137</v>
          </cell>
          <cell r="B1000" t="str">
            <v>רמת גן</v>
          </cell>
          <cell r="C1000" t="str">
            <v>רמת גן -בוטל- החלפת משנ"ז, מנתקים, מפס"ז</v>
          </cell>
          <cell r="D1000">
            <v>43115</v>
          </cell>
        </row>
        <row r="1001">
          <cell r="A1001" t="str">
            <v>WBM-60112</v>
          </cell>
          <cell r="B1001" t="str">
            <v>רמת גן</v>
          </cell>
          <cell r="C1001" t="str">
            <v>רמת גן - בוטל - פינוי מחסן אסבסט</v>
          </cell>
          <cell r="D1001">
            <v>44908</v>
          </cell>
        </row>
        <row r="1002">
          <cell r="A1002" t="str">
            <v>WBM-10226</v>
          </cell>
          <cell r="B1002" t="str">
            <v>רמת גן</v>
          </cell>
          <cell r="C1002" t="str">
            <v>רמת גן-בוטל-התאמת שדות 3,7,9</v>
          </cell>
          <cell r="D1002">
            <v>44280</v>
          </cell>
        </row>
        <row r="1003">
          <cell r="A1003" t="str">
            <v>WBG-133-002</v>
          </cell>
          <cell r="B1003" t="str">
            <v>רמת גן</v>
          </cell>
          <cell r="C1003" t="str">
            <v>רמת גן ארעית-התקנת מערכת מניה</v>
          </cell>
          <cell r="D1003">
            <v>40562</v>
          </cell>
        </row>
        <row r="1004">
          <cell r="A1004" t="str">
            <v>WBE-020-ST18</v>
          </cell>
          <cell r="B1004" t="str">
            <v>רמת גן</v>
          </cell>
          <cell r="C1004" t="str">
            <v>רמת גן-שינויים בבנין הפיקוד,התקנת scs</v>
          </cell>
          <cell r="D1004">
            <v>43403</v>
          </cell>
        </row>
        <row r="1005">
          <cell r="A1005" t="str">
            <v>WBE-020-ST1</v>
          </cell>
          <cell r="B1005" t="str">
            <v>רמת גן</v>
          </cell>
          <cell r="C1005" t="str">
            <v>רמת גן-הח.שנאים:הקמת בנין עבור מסדר24</v>
          </cell>
          <cell r="D1005">
            <v>42719</v>
          </cell>
        </row>
        <row r="1006">
          <cell r="A1006" t="str">
            <v>WBE-020-ST10</v>
          </cell>
          <cell r="B1006" t="str">
            <v>רמת גן</v>
          </cell>
          <cell r="C1006" t="str">
            <v>רמת גן-החלפת מפסק מנתק ומשנה זרם בשדה 8</v>
          </cell>
          <cell r="D1006">
            <v>42551</v>
          </cell>
        </row>
        <row r="1007">
          <cell r="A1007" t="str">
            <v>WBE-020-ST9</v>
          </cell>
          <cell r="B1007" t="str">
            <v>רמת גן</v>
          </cell>
          <cell r="C1007" t="str">
            <v>רמת גן- החלפת מפסק מנתק ומשנה זרם בשדה 4</v>
          </cell>
          <cell r="D1007">
            <v>42551</v>
          </cell>
        </row>
        <row r="1008">
          <cell r="A1008" t="str">
            <v>WBE-020-ST12</v>
          </cell>
          <cell r="B1008" t="str">
            <v>רמת גן</v>
          </cell>
          <cell r="C1008" t="str">
            <v>רמת גן-החלפת מפסק מנתק ומשנה זרם בשדה 10</v>
          </cell>
          <cell r="D1008">
            <v>42310</v>
          </cell>
        </row>
        <row r="1009">
          <cell r="A1009" t="str">
            <v>WBE-020-ST7</v>
          </cell>
          <cell r="B1009" t="str">
            <v>רמת גן</v>
          </cell>
          <cell r="C1009" t="str">
            <v>רמת גן-החלפת שנאי 524 50 מגו"א ל-75 מגוא</v>
          </cell>
          <cell r="D1009">
            <v>42310</v>
          </cell>
        </row>
        <row r="1010">
          <cell r="A1010" t="str">
            <v>WBE-020-ST6</v>
          </cell>
          <cell r="B1010" t="str">
            <v>רמת גן</v>
          </cell>
          <cell r="C1010" t="str">
            <v>רמת גן-החלפת שנאי 523 50 מגו"א ל-75 מגוא</v>
          </cell>
          <cell r="D1010">
            <v>42155</v>
          </cell>
        </row>
        <row r="1011">
          <cell r="A1011" t="str">
            <v>WBE-020-ST11</v>
          </cell>
          <cell r="B1011" t="str">
            <v>רמת גן</v>
          </cell>
          <cell r="C1011" t="str">
            <v>רמת גן-החלפת מפסק מנתק ומשנה זרם בשדה 2</v>
          </cell>
          <cell r="D1011">
            <v>42155</v>
          </cell>
        </row>
        <row r="1012">
          <cell r="A1012" t="str">
            <v>WBE-020-ST5</v>
          </cell>
          <cell r="B1012" t="str">
            <v>רמת גן</v>
          </cell>
          <cell r="C1012" t="str">
            <v>רמת גן-החלפת שנאי 522 50 מגו"א ל-75 מגוא</v>
          </cell>
          <cell r="D1012">
            <v>41864</v>
          </cell>
        </row>
        <row r="1013">
          <cell r="A1013" t="str">
            <v>WBE-020-ST4</v>
          </cell>
          <cell r="B1013" t="str">
            <v>רמת גן</v>
          </cell>
          <cell r="C1013" t="str">
            <v>רמת גן-החלפת שנאי 521 50 מגו"א ל-75 מגוא</v>
          </cell>
          <cell r="D1013">
            <v>41787</v>
          </cell>
        </row>
        <row r="1014">
          <cell r="A1014" t="str">
            <v>WBE-020-ST8</v>
          </cell>
          <cell r="B1014" t="str">
            <v>רמת גן</v>
          </cell>
          <cell r="C1014" t="str">
            <v>רמת גן-התקנת 4 ס"ק, 9*3 מגווא"ר כ"א.</v>
          </cell>
          <cell r="D1014">
            <v>43403</v>
          </cell>
        </row>
        <row r="1015">
          <cell r="A1015" t="str">
            <v>WBE-055-ST6</v>
          </cell>
          <cell r="B1015" t="str">
            <v>רמת גן</v>
          </cell>
          <cell r="C1015" t="str">
            <v>עתידים-השלמת תשתיות</v>
          </cell>
          <cell r="D1015">
            <v>42947</v>
          </cell>
        </row>
        <row r="1016">
          <cell r="A1016" t="str">
            <v>WBE-020-ST2</v>
          </cell>
          <cell r="B1016" t="str">
            <v>רמת גן</v>
          </cell>
          <cell r="C1016" t="str">
            <v>רמת גן-פירוק מסדר משוריין 24 ק"ו</v>
          </cell>
          <cell r="D1016">
            <v>42318</v>
          </cell>
        </row>
        <row r="1017">
          <cell r="A1017" t="str">
            <v>WBE-020-ST3</v>
          </cell>
          <cell r="B1017" t="str">
            <v>רמת גן</v>
          </cell>
          <cell r="C1017" t="str">
            <v>רמת גן-פירוק מכולות 24 ק"ו זמניות 1 ו-2</v>
          </cell>
          <cell r="D1017">
            <v>42095</v>
          </cell>
        </row>
        <row r="1018">
          <cell r="A1018" t="str">
            <v>WBM-10555</v>
          </cell>
          <cell r="B1018" t="str">
            <v>רמת גן</v>
          </cell>
          <cell r="C1018" t="str">
            <v>רמת גן- שדה 1, משיק לקרית אריה שדה 1, פרוק הגנת P545 AREVA ,התקנת P545 שניידר</v>
          </cell>
          <cell r="D1018">
            <v>45648</v>
          </cell>
        </row>
        <row r="1019">
          <cell r="A1019" t="str">
            <v>WBM-00885-096</v>
          </cell>
          <cell r="B1019" t="str">
            <v>רמת גן</v>
          </cell>
          <cell r="C1019" t="str">
            <v>רמת גן - תיקון מערכת המים</v>
          </cell>
          <cell r="D1019">
            <v>46058</v>
          </cell>
        </row>
        <row r="1020">
          <cell r="A1020" t="str">
            <v>WBM-10315-067</v>
          </cell>
          <cell r="B1020" t="str">
            <v>רמת גן</v>
          </cell>
          <cell r="C1020" t="str">
            <v>רמת גן - התקנת מזגנים</v>
          </cell>
          <cell r="D1020">
            <v>45621</v>
          </cell>
        </row>
        <row r="1021">
          <cell r="A1021" t="str">
            <v>WBM-40295-075</v>
          </cell>
          <cell r="B1021" t="str">
            <v>רמת גן</v>
          </cell>
          <cell r="C1021" t="str">
            <v>רמת גן - החלפת סוללת מצברים</v>
          </cell>
          <cell r="D1021">
            <v>45629</v>
          </cell>
        </row>
        <row r="1022">
          <cell r="A1022" t="str">
            <v>WBM-60008-066</v>
          </cell>
          <cell r="B1022" t="str">
            <v>רמת גן</v>
          </cell>
          <cell r="C1022" t="str">
            <v>רמת גן - מערכת טמ"ס וגדר אלקטרונית</v>
          </cell>
          <cell r="D1022">
            <v>46477</v>
          </cell>
        </row>
        <row r="1023">
          <cell r="A1023" t="str">
            <v>WBM-60107-024</v>
          </cell>
          <cell r="B1023" t="str">
            <v>רמת גן</v>
          </cell>
          <cell r="C1023" t="str">
            <v>רמת גן - החלפת מנעולים אלק.מגנטיים באלק.</v>
          </cell>
          <cell r="D1023">
            <v>45627</v>
          </cell>
        </row>
        <row r="1024">
          <cell r="A1024" t="str">
            <v>WBM-10605</v>
          </cell>
          <cell r="B1024" t="str">
            <v>רמת גן</v>
          </cell>
          <cell r="C1024" t="str">
            <v>רמת גן – משיק לת"א צפון שדה 12, יישום דרך קשר אופטית בין הגנות בשדה 1</v>
          </cell>
          <cell r="D1024">
            <v>45900</v>
          </cell>
        </row>
        <row r="1025">
          <cell r="A1025" t="str">
            <v>WBM-10609</v>
          </cell>
          <cell r="B1025" t="str">
            <v>רמת גן</v>
          </cell>
          <cell r="C1025" t="str">
            <v>רמת גן – משיק עתידים שדה 19, החלפת הגנת מרחק ויישום דרך קשר אופטית בין הגנות בשדה 3</v>
          </cell>
          <cell r="D1025">
            <v>45900</v>
          </cell>
        </row>
        <row r="1026">
          <cell r="A1026" t="str">
            <v>WBM-10610</v>
          </cell>
          <cell r="B1026" t="str">
            <v>רמת גן</v>
          </cell>
          <cell r="C1026" t="str">
            <v>רמת גן – משיק קרית אריה שדה 1, החלפת הגנה ויישום דרך קשר אופטית בין הגנות בשדה 7</v>
          </cell>
          <cell r="D1026">
            <v>45645</v>
          </cell>
        </row>
        <row r="1027">
          <cell r="A1027" t="str">
            <v>WBM-10613</v>
          </cell>
          <cell r="B1027" t="str">
            <v>רמת גן</v>
          </cell>
          <cell r="C1027" t="str">
            <v>רמת גן - משיק פתח תקווה שדה 21, החלפת הגנה ויישום דרך קשר בשדה 9</v>
          </cell>
          <cell r="D1027">
            <v>45900</v>
          </cell>
        </row>
        <row r="1028">
          <cell r="A1028">
            <v>9985146</v>
          </cell>
          <cell r="B1028" t="str">
            <v>רמת גבריאל</v>
          </cell>
          <cell r="C1028" t="str">
            <v>רמת גבריאל-קליטת תח"כ בהספק 73 מגוו"ט</v>
          </cell>
          <cell r="D1028">
            <v>43709</v>
          </cell>
        </row>
        <row r="1029">
          <cell r="A1029">
            <v>900020</v>
          </cell>
          <cell r="B1029" t="str">
            <v>רמת בקע סינרג'י</v>
          </cell>
          <cell r="C1029" t="str">
            <v>רמת בקע סינרג'י-קליטת מתקני יצור PV + מתקני אגירה בהספק כולל 140MW</v>
          </cell>
          <cell r="D1029">
            <v>46782</v>
          </cell>
        </row>
        <row r="1030">
          <cell r="A1030" t="str">
            <v>WBC-101</v>
          </cell>
          <cell r="B1030" t="str">
            <v>רמת בקע</v>
          </cell>
          <cell r="C1030" t="str">
            <v>רמת בקע-הקמת תחמ"ש חיצונית 161/24 ק"ו</v>
          </cell>
          <cell r="D1030">
            <v>49978</v>
          </cell>
        </row>
        <row r="1031">
          <cell r="A1031" t="str">
            <v>WBM-01032</v>
          </cell>
          <cell r="B1031" t="str">
            <v>רמת בית שמש</v>
          </cell>
          <cell r="C1031" t="str">
            <v>רמת בית שמש-בוטל-פירוק תחמ"ש ניידת</v>
          </cell>
          <cell r="D1031">
            <v>42233</v>
          </cell>
        </row>
        <row r="1032">
          <cell r="A1032" t="str">
            <v>WBM-01104</v>
          </cell>
          <cell r="B1032" t="str">
            <v>רמת בית שמש</v>
          </cell>
          <cell r="C1032" t="str">
            <v>רמת בית שמש-בוטל-התקנת מאצרת שמן</v>
          </cell>
          <cell r="D1032">
            <v>42684</v>
          </cell>
        </row>
        <row r="1033">
          <cell r="A1033" t="str">
            <v>WBD-056-ST2</v>
          </cell>
          <cell r="B1033" t="str">
            <v>רמת בית שמש</v>
          </cell>
          <cell r="C1033" t="str">
            <v>רמת בית שמש - פירוק תחמ"ש ניידת</v>
          </cell>
          <cell r="D1033">
            <v>44935</v>
          </cell>
        </row>
        <row r="1034">
          <cell r="A1034" t="str">
            <v>WBD-056</v>
          </cell>
          <cell r="B1034" t="str">
            <v>רמת בית שמש</v>
          </cell>
          <cell r="C1034" t="str">
            <v>רמת בית שמש- הצבת תחמ"ש ניידת</v>
          </cell>
          <cell r="D1034">
            <v>42711</v>
          </cell>
        </row>
        <row r="1035">
          <cell r="A1035" t="str">
            <v>WBM-40521-024</v>
          </cell>
          <cell r="B1035" t="str">
            <v>רמת בית שמש</v>
          </cell>
          <cell r="C1035" t="str">
            <v>בית שמש - החלפת 2 שנאי הארקה</v>
          </cell>
          <cell r="D1035">
            <v>46721</v>
          </cell>
        </row>
        <row r="1036">
          <cell r="A1036" t="str">
            <v>HIS-026</v>
          </cell>
          <cell r="B1036" t="str">
            <v>רמת אביב</v>
          </cell>
          <cell r="C1036" t="str">
            <v>רמת אביב</v>
          </cell>
          <cell r="D1036">
            <v>40908</v>
          </cell>
        </row>
        <row r="1037">
          <cell r="A1037" t="str">
            <v>WDB-04COM45</v>
          </cell>
          <cell r="B1037" t="str">
            <v>רמת אביב</v>
          </cell>
          <cell r="C1037" t="str">
            <v>רמת אביב-הנחת כבל סיב אופטי UG עתידים</v>
          </cell>
          <cell r="D1037">
            <v>43100</v>
          </cell>
        </row>
        <row r="1038">
          <cell r="A1038" t="str">
            <v>WDA-1-02-15-11</v>
          </cell>
          <cell r="B1038" t="str">
            <v>רמת אביב</v>
          </cell>
          <cell r="C1038" t="str">
            <v>רמת אביב-החלפת יחידת קצה של פיקוח ארצי</v>
          </cell>
          <cell r="D1038">
            <v>43434</v>
          </cell>
        </row>
        <row r="1039">
          <cell r="A1039" t="str">
            <v>WBC-121-ST2</v>
          </cell>
          <cell r="B1039" t="str">
            <v>רמת אביב</v>
          </cell>
          <cell r="C1039" t="str">
            <v>רמת אביב-הוצאה מניצול של התחמ"ש</v>
          </cell>
          <cell r="D1039">
            <v>47087</v>
          </cell>
        </row>
        <row r="1040">
          <cell r="A1040" t="str">
            <v>WBM-00118</v>
          </cell>
          <cell r="B1040" t="str">
            <v>רמת אביב</v>
          </cell>
          <cell r="C1040" t="str">
            <v>רמת אביב-בוטל - התקנת וצי.הצמדה לאונ.ת"א</v>
          </cell>
          <cell r="D1040">
            <v>40072</v>
          </cell>
        </row>
        <row r="1041">
          <cell r="A1041" t="str">
            <v>WBM-00318</v>
          </cell>
          <cell r="B1041" t="str">
            <v>רמת אביב</v>
          </cell>
          <cell r="C1041" t="str">
            <v>רמת אביב-13.8-בוטלהתקנת 4 ס"ק 3X3מגוואר</v>
          </cell>
          <cell r="D1041">
            <v>41820</v>
          </cell>
        </row>
        <row r="1042">
          <cell r="A1042" t="str">
            <v>WBM-00319</v>
          </cell>
          <cell r="B1042" t="str">
            <v>רמת אביב</v>
          </cell>
          <cell r="C1042" t="str">
            <v>רמת אביב-24-בוטל-התקנת 3 ס"ק 3X5 מגווא"ר</v>
          </cell>
          <cell r="D1042">
            <v>42003</v>
          </cell>
        </row>
        <row r="1043">
          <cell r="A1043">
            <v>541528</v>
          </cell>
          <cell r="B1043" t="str">
            <v>רמת אביב</v>
          </cell>
          <cell r="C1043" t="str">
            <v>רמת אביב-התקנת מאווררים בארונות פיקוד</v>
          </cell>
          <cell r="D1043">
            <v>40311</v>
          </cell>
        </row>
        <row r="1044">
          <cell r="A1044" t="str">
            <v>WBM-01086</v>
          </cell>
          <cell r="B1044" t="str">
            <v>רמת אביב</v>
          </cell>
          <cell r="C1044" t="str">
            <v>רמת אביב-6 מאצרות שמן זמניות</v>
          </cell>
          <cell r="D1044">
            <v>42971</v>
          </cell>
        </row>
        <row r="1045">
          <cell r="A1045" t="str">
            <v>WBG-103-004</v>
          </cell>
          <cell r="B1045" t="str">
            <v>רמת אביב</v>
          </cell>
          <cell r="C1045" t="str">
            <v>רמת אביב- הסבת חלק מהגדר לגדר אטומה</v>
          </cell>
          <cell r="D1045">
            <v>39647</v>
          </cell>
        </row>
        <row r="1046">
          <cell r="A1046" t="str">
            <v>WBM-00119</v>
          </cell>
          <cell r="B1046" t="str">
            <v>רמת אביב</v>
          </cell>
          <cell r="C1046" t="str">
            <v>רמת אביב-עע"א-הוספת הגנה הפרשית בשדה 9</v>
          </cell>
          <cell r="D1046">
            <v>42516</v>
          </cell>
        </row>
        <row r="1047">
          <cell r="A1047" t="str">
            <v>WBM-01186</v>
          </cell>
          <cell r="B1047" t="str">
            <v>רמת אביב</v>
          </cell>
          <cell r="C1047" t="str">
            <v>רמת אביב-החלפת הגנות שנאי RQ4A</v>
          </cell>
          <cell r="D1047">
            <v>43188</v>
          </cell>
        </row>
        <row r="1048">
          <cell r="A1048" t="str">
            <v>WBM-00589</v>
          </cell>
          <cell r="B1048" t="str">
            <v>רמת אביב</v>
          </cell>
          <cell r="C1048" t="str">
            <v>רמת אביב-בוטל-החלפת מ.ברק מ"ע בשנאים</v>
          </cell>
          <cell r="D1048">
            <v>41424</v>
          </cell>
        </row>
        <row r="1049">
          <cell r="A1049">
            <v>541534</v>
          </cell>
          <cell r="B1049" t="str">
            <v>רמת אביב</v>
          </cell>
          <cell r="C1049" t="str">
            <v>רמת אביב - החלפת ממסרי השלת עומס בתדר</v>
          </cell>
          <cell r="D1049">
            <v>41292</v>
          </cell>
        </row>
        <row r="1050">
          <cell r="A1050">
            <v>541518</v>
          </cell>
          <cell r="B1050" t="str">
            <v>רמת אביב</v>
          </cell>
          <cell r="C1050" t="str">
            <v>רמת אביב-התקנת רכזת התראה בטחונית</v>
          </cell>
          <cell r="D1050">
            <v>39629</v>
          </cell>
        </row>
        <row r="1051">
          <cell r="A1051" t="str">
            <v>WBM-01333</v>
          </cell>
          <cell r="B1051" t="str">
            <v>רמת אביב</v>
          </cell>
          <cell r="C1051" t="str">
            <v>רמת אביב -החלפת שנאי 521. 50 מגוו"א</v>
          </cell>
          <cell r="D1051">
            <v>43186</v>
          </cell>
        </row>
        <row r="1052">
          <cell r="A1052" t="str">
            <v>WBM-00588</v>
          </cell>
          <cell r="B1052" t="str">
            <v>רמת אביב</v>
          </cell>
          <cell r="C1052" t="str">
            <v>רמת אביב- בוטל - התקנת חדר לסוללת מצברים 220 ו'</v>
          </cell>
        </row>
        <row r="1053">
          <cell r="A1053" t="str">
            <v>WBM-00587</v>
          </cell>
          <cell r="B1053" t="str">
            <v>רמת אביב</v>
          </cell>
          <cell r="C1053" t="str">
            <v>רמת אביב - בוטל - התקנת רושם הפרעות</v>
          </cell>
        </row>
        <row r="1054">
          <cell r="A1054" t="str">
            <v>WBM-01412</v>
          </cell>
          <cell r="B1054" t="str">
            <v>רמת אביב</v>
          </cell>
          <cell r="C1054" t="str">
            <v>רמת אביב - בוטל - עיגון ארונות פיקוד והגנה</v>
          </cell>
        </row>
        <row r="1055">
          <cell r="A1055" t="str">
            <v>WBM-00590</v>
          </cell>
          <cell r="B1055" t="str">
            <v>רמת אביב</v>
          </cell>
          <cell r="C1055" t="str">
            <v>רמת אביב-בוטל - פירוק הגנה דיפרנציאלית בשדה 1A</v>
          </cell>
        </row>
        <row r="1056">
          <cell r="A1056" t="str">
            <v>WBM-01366</v>
          </cell>
          <cell r="B1056" t="str">
            <v>רמת אביב</v>
          </cell>
          <cell r="C1056" t="str">
            <v>רמת אביב-התאמת מסדר 161 ק"ו שדות 4,8 ל 50 ק"א</v>
          </cell>
          <cell r="D1056">
            <v>45838</v>
          </cell>
        </row>
        <row r="1057">
          <cell r="A1057" t="str">
            <v>WBM-40195</v>
          </cell>
          <cell r="B1057" t="str">
            <v>רמת אביב</v>
          </cell>
          <cell r="C1057" t="str">
            <v>רמת אביב - החלפת שנאים 511 ו-512-רב שלבי</v>
          </cell>
          <cell r="D1057">
            <v>46189</v>
          </cell>
        </row>
        <row r="1058">
          <cell r="A1058" t="str">
            <v>WBM-00713</v>
          </cell>
          <cell r="B1058" t="str">
            <v>רמת אביב</v>
          </cell>
          <cell r="C1058" t="str">
            <v>רמת אביב-החלפת מ.ברק מ"ג בשנאים ובס"ק</v>
          </cell>
          <cell r="D1058">
            <v>46751</v>
          </cell>
        </row>
        <row r="1059">
          <cell r="A1059" t="str">
            <v>WBM-01329</v>
          </cell>
          <cell r="B1059" t="str">
            <v>רמת אביב</v>
          </cell>
          <cell r="C1059" t="str">
            <v>רמת אביב - החלפת הגנת שנאי 514 מסוג DT93</v>
          </cell>
          <cell r="D1059">
            <v>46418</v>
          </cell>
        </row>
        <row r="1060">
          <cell r="A1060" t="str">
            <v>WBM-60117</v>
          </cell>
          <cell r="B1060" t="str">
            <v>רמת אביב</v>
          </cell>
          <cell r="C1060" t="str">
            <v>רמת אביב - שיקום וחידוש הגדר</v>
          </cell>
          <cell r="D1060">
            <v>45899</v>
          </cell>
        </row>
        <row r="1061">
          <cell r="A1061" t="str">
            <v>WBM-01334</v>
          </cell>
          <cell r="B1061" t="str">
            <v>רמת אביב</v>
          </cell>
          <cell r="C1061" t="str">
            <v>רמת אביב-החלפת 2 מסדרי  מ"ג -13.8 ק"ו</v>
          </cell>
          <cell r="D1061">
            <v>45838</v>
          </cell>
        </row>
        <row r="1062">
          <cell r="A1062" t="str">
            <v>WBM-01126</v>
          </cell>
          <cell r="B1062" t="str">
            <v>רמת אביב</v>
          </cell>
          <cell r="C1062" t="str">
            <v>רמת אביב -שפוץ מבנים/הח. ציוד בשדות 1-14</v>
          </cell>
          <cell r="D1062">
            <v>46418</v>
          </cell>
        </row>
        <row r="1063">
          <cell r="A1063" t="str">
            <v>WBM-40296</v>
          </cell>
          <cell r="B1063" t="str">
            <v>רמת אביב</v>
          </cell>
          <cell r="C1063" t="str">
            <v>רמת אביב- החלפת שרשראות מבודדים</v>
          </cell>
          <cell r="D1063">
            <v>44956</v>
          </cell>
        </row>
        <row r="1064">
          <cell r="A1064" t="str">
            <v>WBM-10161</v>
          </cell>
          <cell r="B1064" t="str">
            <v>רמת אביב</v>
          </cell>
          <cell r="C1064" t="str">
            <v>רמת אביב-הארקה ישירה של 3 שנאי 161/24</v>
          </cell>
          <cell r="D1064">
            <v>44316</v>
          </cell>
        </row>
        <row r="1065">
          <cell r="A1065" t="str">
            <v>WBM-01200</v>
          </cell>
          <cell r="B1065" t="str">
            <v>רמת אביב</v>
          </cell>
          <cell r="C1065" t="str">
            <v>רמת אביב - החלפת 3 מסדרי מ"ג(24 ק"ו)</v>
          </cell>
          <cell r="D1065">
            <v>44175</v>
          </cell>
        </row>
        <row r="1066">
          <cell r="A1066" t="str">
            <v>0243159</v>
          </cell>
          <cell r="B1066" t="str">
            <v>רמת אביב</v>
          </cell>
          <cell r="C1066" t="str">
            <v>רמת אביב-החלפת מסדר 24 ק"ו</v>
          </cell>
          <cell r="D1066">
            <v>43759</v>
          </cell>
        </row>
        <row r="1067">
          <cell r="A1067" t="str">
            <v>WBM-01332</v>
          </cell>
          <cell r="B1067" t="str">
            <v>רמת אביב</v>
          </cell>
          <cell r="C1067" t="str">
            <v>רמת אביב- החלפת שנאי 522,  50 מגוו"א</v>
          </cell>
          <cell r="D1067">
            <v>43091</v>
          </cell>
        </row>
        <row r="1068">
          <cell r="A1068" t="str">
            <v>WBG-103-013</v>
          </cell>
          <cell r="B1068" t="str">
            <v>רמת אביב</v>
          </cell>
          <cell r="C1068" t="str">
            <v>רמת אביב-הקמת רשת מחשבים תפעולית</v>
          </cell>
          <cell r="D1068">
            <v>41115</v>
          </cell>
        </row>
        <row r="1069">
          <cell r="A1069" t="str">
            <v>WBM-60027</v>
          </cell>
          <cell r="B1069" t="str">
            <v>רמת אביב</v>
          </cell>
          <cell r="C1069" t="str">
            <v>רמת אביב - בוטל-בניית תשתית לאיסוף שפכים</v>
          </cell>
          <cell r="D1069">
            <v>43789</v>
          </cell>
        </row>
        <row r="1070">
          <cell r="A1070" t="str">
            <v>WBM-00120</v>
          </cell>
          <cell r="B1070" t="str">
            <v>רמת אביב</v>
          </cell>
          <cell r="C1070" t="str">
            <v>רמת אביב-בוטל-התקנת קירות הפרדה בין שנאי</v>
          </cell>
          <cell r="D1070">
            <v>41339</v>
          </cell>
        </row>
        <row r="1071">
          <cell r="A1071" t="str">
            <v>WBM-00117</v>
          </cell>
          <cell r="B1071" t="str">
            <v>רמת אביב</v>
          </cell>
          <cell r="C1071" t="str">
            <v>רמת אביב-בוטל  - החלפת הגנת פ"צ</v>
          </cell>
          <cell r="D1071">
            <v>39245</v>
          </cell>
        </row>
        <row r="1072">
          <cell r="A1072" t="str">
            <v>WBM-00885-095</v>
          </cell>
          <cell r="B1072" t="str">
            <v>רמת אביב</v>
          </cell>
          <cell r="C1072" t="str">
            <v>רמת אביב - ביטול - החלפת צנרת היקפית</v>
          </cell>
        </row>
        <row r="1073">
          <cell r="A1073" t="str">
            <v>WBM-01341-021</v>
          </cell>
          <cell r="B1073" t="str">
            <v>רמת אביב</v>
          </cell>
          <cell r="C1073" t="str">
            <v>רמת אביב - בוטל - שיפוץ מסדרי GIS</v>
          </cell>
        </row>
        <row r="1074">
          <cell r="A1074" t="str">
            <v>WBM-20004-023</v>
          </cell>
          <cell r="B1074" t="str">
            <v>רמת אביב</v>
          </cell>
          <cell r="C1074" t="str">
            <v>רמת אביב - בוטל - שידרוג מערכת תאורה</v>
          </cell>
        </row>
        <row r="1075">
          <cell r="A1075" t="str">
            <v>WBM-40295-029</v>
          </cell>
          <cell r="B1075" t="str">
            <v>רמת אביב</v>
          </cell>
          <cell r="C1075" t="str">
            <v>רמת אביב- החלפת  סוללת מצברים</v>
          </cell>
          <cell r="D1075">
            <v>46036</v>
          </cell>
        </row>
        <row r="1076">
          <cell r="A1076" t="str">
            <v>WBM-60008-084</v>
          </cell>
          <cell r="B1076" t="str">
            <v>רמת אביב</v>
          </cell>
          <cell r="C1076" t="str">
            <v>רמת אביב - בוטל - מע' בקרה, טמ"ס וגדר אלקטרונית</v>
          </cell>
        </row>
        <row r="1077">
          <cell r="A1077" t="str">
            <v>WBM-80002-038</v>
          </cell>
          <cell r="B1077" t="str">
            <v>רמת אביב</v>
          </cell>
          <cell r="C1077" t="str">
            <v>רמת אביב - הסבות</v>
          </cell>
          <cell r="D1077">
            <v>45930</v>
          </cell>
        </row>
        <row r="1078">
          <cell r="A1078" t="str">
            <v>WBM-10615</v>
          </cell>
          <cell r="B1078" t="str">
            <v>רמת אביב</v>
          </cell>
          <cell r="C1078" t="str">
            <v>רמת אביב - משיק ת"א צפון שדה 2, יישום דרך קשר בין הגנות בשדה A1</v>
          </cell>
          <cell r="D1078">
            <v>45838</v>
          </cell>
        </row>
        <row r="1079">
          <cell r="A1079" t="str">
            <v>WBM-60130-073</v>
          </cell>
          <cell r="B1079" t="str">
            <v>רמת אביב</v>
          </cell>
          <cell r="C1079" t="str">
            <v>רמת אביב - בוטל - התקנת מפסק פטריה להפסקת מערכת החשמל בחירום</v>
          </cell>
        </row>
        <row r="1080">
          <cell r="A1080" t="str">
            <v>WBM-60088-065</v>
          </cell>
          <cell r="B1080" t="str">
            <v>רמת אביב</v>
          </cell>
          <cell r="C1080" t="str">
            <v>רמת אביב- מאצרות זמניות ל-6 שנאים ו-3 מסדרי אפס</v>
          </cell>
          <cell r="D1080">
            <v>45624</v>
          </cell>
        </row>
        <row r="1081">
          <cell r="A1081" t="str">
            <v>WBM-40629-002</v>
          </cell>
          <cell r="B1081" t="str">
            <v>רמת אביב</v>
          </cell>
          <cell r="C1081" t="str">
            <v>רמת אביב- החלפת מבדדי 161 ק"ו של שנאי הספק</v>
          </cell>
          <cell r="D1081">
            <v>46387</v>
          </cell>
        </row>
        <row r="1082">
          <cell r="A1082" t="str">
            <v>WBM-40195-ST1</v>
          </cell>
          <cell r="B1082" t="str">
            <v>רמת אביב</v>
          </cell>
          <cell r="C1082" t="str">
            <v>רמת אביב - החלפת שנאי 512</v>
          </cell>
          <cell r="D1082">
            <v>45659</v>
          </cell>
        </row>
        <row r="1083">
          <cell r="A1083" t="str">
            <v>WBM-40195-ST2</v>
          </cell>
          <cell r="B1083" t="str">
            <v>רמת אביב</v>
          </cell>
          <cell r="C1083" t="str">
            <v>רמת אביב - בוטל - החלפת שנאי 511</v>
          </cell>
          <cell r="D1083">
            <v>45662</v>
          </cell>
        </row>
        <row r="1084">
          <cell r="A1084" t="str">
            <v>WBM-40632</v>
          </cell>
          <cell r="B1084" t="str">
            <v>רמת אביב</v>
          </cell>
          <cell r="C1084" t="str">
            <v>רמת אביב- החלפת 6 משני זרם בשדה 9 ובשדה מקשר 7A *8A</v>
          </cell>
          <cell r="D1084">
            <v>46356</v>
          </cell>
        </row>
        <row r="1085">
          <cell r="A1085" t="str">
            <v>WBM-60088-066</v>
          </cell>
          <cell r="B1085" t="str">
            <v>רמת אביב</v>
          </cell>
          <cell r="C1085" t="str">
            <v>רמת אביב - מאצרת שמן לשנאי 512</v>
          </cell>
          <cell r="D1085">
            <v>46175</v>
          </cell>
        </row>
        <row r="1086">
          <cell r="A1086" t="str">
            <v>WBM-10691</v>
          </cell>
          <cell r="B1086" t="str">
            <v>רמת אביב</v>
          </cell>
          <cell r="C1086" t="str">
            <v>רמת אביב  - משיק לאוניברסיטה שדה 3, התקנת הגנות מרחק ודיפרנציאלית שניידר בשדה A1 + , יישום דרך קשר אופטית בין הגנות</v>
          </cell>
          <cell r="D1086">
            <v>46234</v>
          </cell>
        </row>
        <row r="1087">
          <cell r="A1087" t="str">
            <v>WBM-10315-087</v>
          </cell>
          <cell r="B1087" t="str">
            <v>רמת אביב</v>
          </cell>
          <cell r="C1087" t="str">
            <v>רמת אביב - החלפת 5 מזגנים</v>
          </cell>
          <cell r="D1087">
            <v>46184</v>
          </cell>
        </row>
        <row r="1088">
          <cell r="A1088" t="str">
            <v>WEC-004</v>
          </cell>
          <cell r="B1088" t="str">
            <v>רמאללה</v>
          </cell>
          <cell r="C1088" t="str">
            <v>רמאללה-הקמת תחנת משנה חיצונית  50*4 מגוו</v>
          </cell>
          <cell r="D1088">
            <v>44084</v>
          </cell>
        </row>
        <row r="1089">
          <cell r="A1089" t="str">
            <v>WBC-073</v>
          </cell>
          <cell r="B1089" t="str">
            <v>רחובות צפון</v>
          </cell>
          <cell r="C1089" t="str">
            <v>רחובות צפון- הקמת תחמ"ש פנימית 161/24 ק"</v>
          </cell>
          <cell r="D1089">
            <v>46326</v>
          </cell>
        </row>
        <row r="1090">
          <cell r="A1090" t="str">
            <v>HIS-186</v>
          </cell>
          <cell r="B1090" t="str">
            <v>רותם דשנים-פרטית</v>
          </cell>
          <cell r="C1090" t="str">
            <v>רותם דשנים-פרטית</v>
          </cell>
          <cell r="D1090">
            <v>40908</v>
          </cell>
        </row>
        <row r="1091">
          <cell r="A1091" t="str">
            <v>WBE-262</v>
          </cell>
          <cell r="B1091" t="str">
            <v>רותם דשנים-פרטית</v>
          </cell>
          <cell r="C1091" t="str">
            <v>רותם -בוטל - הקמת 2 שדות קווים 161 ק"ו חדש</v>
          </cell>
        </row>
        <row r="1092">
          <cell r="A1092" t="str">
            <v>HIS-185</v>
          </cell>
          <cell r="B1092" t="str">
            <v>רותם 161 ק''ו-פרטית</v>
          </cell>
          <cell r="C1092" t="str">
            <v>רותם 161 ק"ו-פרטית</v>
          </cell>
          <cell r="D1092">
            <v>40908</v>
          </cell>
        </row>
        <row r="1093">
          <cell r="A1093" t="str">
            <v>HIS-025</v>
          </cell>
          <cell r="B1093" t="str">
            <v>רותם</v>
          </cell>
          <cell r="C1093" t="str">
            <v>רותם</v>
          </cell>
          <cell r="D1093">
            <v>40908</v>
          </cell>
        </row>
        <row r="1094">
          <cell r="A1094" t="str">
            <v>79999-7</v>
          </cell>
          <cell r="B1094" t="str">
            <v>רותם</v>
          </cell>
          <cell r="C1094" t="str">
            <v>רותם דשנים-פירוק תחמ"ש פרטית</v>
          </cell>
          <cell r="D1094">
            <v>42675</v>
          </cell>
        </row>
        <row r="1095">
          <cell r="A1095" t="str">
            <v>WBE-138</v>
          </cell>
          <cell r="B1095" t="str">
            <v>רותם</v>
          </cell>
          <cell r="C1095" t="str">
            <v>רותם-הקמת שני שדות והתקנת שני שנאים 161</v>
          </cell>
          <cell r="D1095">
            <v>45783</v>
          </cell>
        </row>
        <row r="1096">
          <cell r="A1096" t="str">
            <v>WBE-028</v>
          </cell>
          <cell r="B1096" t="str">
            <v>רותם</v>
          </cell>
          <cell r="C1096" t="str">
            <v>רותם-הרחבת מסדר 161 ק"ו - 2 שלבים</v>
          </cell>
          <cell r="D1096">
            <v>43008</v>
          </cell>
        </row>
        <row r="1097">
          <cell r="A1097" t="str">
            <v>WEB-05-PR02</v>
          </cell>
          <cell r="B1097" t="str">
            <v>רותם</v>
          </cell>
          <cell r="C1097" t="str">
            <v>רותם-הקמת שדה קו שני ללקוח פרטי "רותם"</v>
          </cell>
          <cell r="D1097">
            <v>42675</v>
          </cell>
        </row>
        <row r="1098">
          <cell r="A1098" t="str">
            <v>WBM-10146</v>
          </cell>
          <cell r="B1098" t="str">
            <v>רותם</v>
          </cell>
          <cell r="C1098" t="str">
            <v>רותם - התקנת מתמרים ב-2 פ"צ</v>
          </cell>
          <cell r="D1098">
            <v>46934</v>
          </cell>
        </row>
        <row r="1099">
          <cell r="A1099" t="str">
            <v>WBM-00337</v>
          </cell>
          <cell r="B1099" t="str">
            <v>רותם</v>
          </cell>
          <cell r="C1099" t="str">
            <v>רותם - החלפת מנתקי הארקה</v>
          </cell>
          <cell r="D1099">
            <v>43797</v>
          </cell>
        </row>
        <row r="1100">
          <cell r="A1100" t="str">
            <v>WBM-10162</v>
          </cell>
          <cell r="B1100" t="str">
            <v>רותם</v>
          </cell>
          <cell r="C1100" t="str">
            <v>רותם -בוטל- החלפת כבלים מ.ג בשדות השנאים</v>
          </cell>
          <cell r="D1100">
            <v>44056</v>
          </cell>
        </row>
        <row r="1101">
          <cell r="A1101" t="str">
            <v>0265081</v>
          </cell>
          <cell r="B1101" t="str">
            <v>רותם</v>
          </cell>
          <cell r="C1101" t="str">
            <v>רותם-הוספת 2 הגנות פ"צ וכשל מפסק</v>
          </cell>
          <cell r="D1101">
            <v>44207</v>
          </cell>
        </row>
        <row r="1102">
          <cell r="A1102" t="str">
            <v>WBM-70023</v>
          </cell>
          <cell r="B1102" t="str">
            <v>רותם</v>
          </cell>
          <cell r="C1102" t="str">
            <v>רותם -בוטל- החלפת 2 סלילי כיבוי 36 ק"ו</v>
          </cell>
          <cell r="D1102">
            <v>44313</v>
          </cell>
        </row>
        <row r="1103">
          <cell r="A1103" t="str">
            <v>WBM*70022</v>
          </cell>
          <cell r="B1103" t="str">
            <v>רותם</v>
          </cell>
          <cell r="C1103" t="str">
            <v>רותם-בוטל-החלפת 2 ס"כ 36 ק"ו,ל- 531,532</v>
          </cell>
          <cell r="D1103">
            <v>44313</v>
          </cell>
        </row>
        <row r="1104">
          <cell r="A1104">
            <v>534911</v>
          </cell>
          <cell r="B1104" t="str">
            <v>רותם</v>
          </cell>
          <cell r="C1104" t="str">
            <v>רותם-החלפת מערכת התראה בטחונית</v>
          </cell>
          <cell r="D1104">
            <v>39963</v>
          </cell>
        </row>
        <row r="1105">
          <cell r="A1105" t="str">
            <v>WBG-102-009</v>
          </cell>
          <cell r="B1105" t="str">
            <v>רותם</v>
          </cell>
          <cell r="C1105" t="str">
            <v>רותם-התקנת תמסורת תפעולית</v>
          </cell>
          <cell r="D1105">
            <v>39902</v>
          </cell>
        </row>
        <row r="1106">
          <cell r="A1106" t="str">
            <v>WBM-00586</v>
          </cell>
          <cell r="B1106" t="str">
            <v>רותם</v>
          </cell>
          <cell r="C1106" t="str">
            <v>רותם-בוטל-התקנת ארון ממירים 48 וולט</v>
          </cell>
          <cell r="D1106">
            <v>41090</v>
          </cell>
        </row>
        <row r="1107">
          <cell r="A1107" t="str">
            <v>WBG-102-008</v>
          </cell>
          <cell r="B1107" t="str">
            <v>רותם</v>
          </cell>
          <cell r="C1107" t="str">
            <v>רותם-הקמת רשת מחשבים תפעולית</v>
          </cell>
          <cell r="D1107">
            <v>41090</v>
          </cell>
        </row>
        <row r="1108">
          <cell r="A1108" t="str">
            <v>WBM-40309</v>
          </cell>
          <cell r="B1108" t="str">
            <v>רותם</v>
          </cell>
          <cell r="C1108" t="str">
            <v>רותם - התקנת הגנה דיפרנציאלית בשדה 9 לדימונה שדה 14</v>
          </cell>
          <cell r="D1108">
            <v>46752</v>
          </cell>
        </row>
        <row r="1109">
          <cell r="A1109" t="str">
            <v>WBE-028-ST2</v>
          </cell>
          <cell r="B1109" t="str">
            <v>רותם</v>
          </cell>
          <cell r="C1109" t="str">
            <v>רותם-הרחבת מסדר 161 ק"ו שלב ג'</v>
          </cell>
          <cell r="D1109">
            <v>43008</v>
          </cell>
        </row>
        <row r="1110">
          <cell r="A1110" t="str">
            <v>WBE-028-ST1</v>
          </cell>
          <cell r="B1110" t="str">
            <v>רותם</v>
          </cell>
          <cell r="C1110" t="str">
            <v>רותם-הרחבת מסדר 161 ק"ו  שלב ב</v>
          </cell>
          <cell r="D1110">
            <v>42727</v>
          </cell>
        </row>
        <row r="1111">
          <cell r="A1111" t="str">
            <v>WBE-181</v>
          </cell>
          <cell r="B1111" t="str">
            <v>רותם</v>
          </cell>
          <cell r="C1111" t="str">
            <v>רותם-התקנת 2 שדות מעגלים (1,7) לקליטת קו מערד</v>
          </cell>
          <cell r="D1111">
            <v>47483</v>
          </cell>
        </row>
        <row r="1112">
          <cell r="A1112" t="str">
            <v>WBM-10505</v>
          </cell>
          <cell r="B1112" t="str">
            <v>רותם</v>
          </cell>
          <cell r="C1112" t="str">
            <v>רותם, משיק לתחמ"ש סדום דרום שדה 1A,פרוק והתקנת ממסר ויישום דרכי קשר בשדה 3</v>
          </cell>
          <cell r="D1112">
            <v>46356</v>
          </cell>
        </row>
        <row r="1113">
          <cell r="A1113" t="str">
            <v>WBM-10315-044</v>
          </cell>
          <cell r="B1113" t="str">
            <v>רותם</v>
          </cell>
          <cell r="C1113" t="str">
            <v>רותם-התקנת מזגנים</v>
          </cell>
          <cell r="D1113">
            <v>46021</v>
          </cell>
        </row>
        <row r="1114">
          <cell r="A1114" t="str">
            <v>WBM-10315-051</v>
          </cell>
          <cell r="B1114" t="str">
            <v>רותם</v>
          </cell>
          <cell r="C1114" t="str">
            <v>רותם- בוטל-התקנת מזגנים</v>
          </cell>
        </row>
        <row r="1115">
          <cell r="A1115" t="str">
            <v>WBM-40295-022</v>
          </cell>
          <cell r="B1115" t="str">
            <v>רותם</v>
          </cell>
          <cell r="C1115" t="str">
            <v>רותם -פקקי רקומבינציה עבור סוללות מצברים</v>
          </cell>
          <cell r="D1115">
            <v>45474</v>
          </cell>
        </row>
        <row r="1116">
          <cell r="A1116" t="str">
            <v>WBM-40479-041</v>
          </cell>
          <cell r="B1116" t="str">
            <v>רותם</v>
          </cell>
          <cell r="C1116" t="str">
            <v>רותם- החלפת 2 בקרי טמפ' וגובה שמן בשנאי</v>
          </cell>
          <cell r="D1116">
            <v>47026</v>
          </cell>
        </row>
        <row r="1117">
          <cell r="A1117" t="str">
            <v>WBM-60092-035</v>
          </cell>
          <cell r="B1117" t="str">
            <v>רותם</v>
          </cell>
          <cell r="C1117" t="str">
            <v>רותם - בדיקות/טיפול/פינוי מכלי אש בגז</v>
          </cell>
          <cell r="D1117">
            <v>46162</v>
          </cell>
        </row>
        <row r="1118">
          <cell r="A1118" t="str">
            <v>WBM-60107-008</v>
          </cell>
          <cell r="B1118" t="str">
            <v>רותם</v>
          </cell>
          <cell r="C1118" t="str">
            <v>רותם - החלפת מנעולים אלק.מגנטיים באלק.מכ</v>
          </cell>
          <cell r="D1118">
            <v>45610</v>
          </cell>
        </row>
        <row r="1119">
          <cell r="A1119" t="str">
            <v>WBM-60116-015</v>
          </cell>
          <cell r="B1119" t="str">
            <v>רותם</v>
          </cell>
          <cell r="C1119" t="str">
            <v>רותם - בוטל - שידרוג גלאים בתחנות משנה ומיתוג</v>
          </cell>
        </row>
        <row r="1120">
          <cell r="A1120" t="str">
            <v>WBE-138-ST1</v>
          </cell>
          <cell r="B1120" t="str">
            <v>רותם</v>
          </cell>
          <cell r="C1120" t="str">
            <v>רותם - הקמת שדה והתקנת שנאי 161/33 ק''ו , 50 מגוו''א</v>
          </cell>
          <cell r="D1120">
            <v>45545</v>
          </cell>
        </row>
        <row r="1121">
          <cell r="A1121" t="str">
            <v>WBE-138-ST2</v>
          </cell>
          <cell r="B1121" t="str">
            <v>רותם</v>
          </cell>
          <cell r="C1121" t="str">
            <v>רותם - הוצאה מניצול של ניידת ראשונה</v>
          </cell>
          <cell r="D1121">
            <v>45542</v>
          </cell>
        </row>
        <row r="1122">
          <cell r="A1122" t="str">
            <v>WBE-138-ST3</v>
          </cell>
          <cell r="B1122" t="str">
            <v>רותם</v>
          </cell>
          <cell r="C1122" t="str">
            <v>רותם-הקמת שדה והתקנת שנאי שני  161/33 ק''ו , 50 מגוו''א</v>
          </cell>
          <cell r="D1122">
            <v>45783</v>
          </cell>
        </row>
        <row r="1123">
          <cell r="A1123" t="str">
            <v>WBE-138-ST4</v>
          </cell>
          <cell r="B1123" t="str">
            <v>רותם</v>
          </cell>
          <cell r="C1123" t="str">
            <v>רותם- הוצאה מניצול של ניידת שנייה 20 מגוו"א</v>
          </cell>
          <cell r="D1123">
            <v>45543</v>
          </cell>
        </row>
        <row r="1124">
          <cell r="A1124" t="str">
            <v>WBM-10639</v>
          </cell>
          <cell r="B1124" t="str">
            <v>רותם</v>
          </cell>
          <cell r="C1124" t="str">
            <v>רותם- התאמת תיילים - מהדקים - פורטל WBO-816</v>
          </cell>
          <cell r="D1124">
            <v>47483</v>
          </cell>
        </row>
        <row r="1125">
          <cell r="A1125" t="str">
            <v>WBM-10705</v>
          </cell>
          <cell r="B1125" t="str">
            <v>רותם</v>
          </cell>
          <cell r="C1125" t="str">
            <v>רותם - התקנת הגנת פ"צ וכשל מפסק</v>
          </cell>
          <cell r="D1125">
            <v>46477</v>
          </cell>
        </row>
        <row r="1126">
          <cell r="A1126" t="str">
            <v>WBM-10706</v>
          </cell>
          <cell r="B1126" t="str">
            <v>רותם</v>
          </cell>
          <cell r="C1126" t="str">
            <v>רותם - בוטל - התקנת הגנת פ"צ (דיפרנציאלית בלבד).</v>
          </cell>
        </row>
        <row r="1127">
          <cell r="A1127" t="str">
            <v>WBC-121</v>
          </cell>
          <cell r="B1127" t="str">
            <v>רוקח</v>
          </cell>
          <cell r="C1127" t="str">
            <v>רוקח(רמת אביב חדשה)-הקמת תחמ"ש פנימית</v>
          </cell>
          <cell r="D1127">
            <v>46721</v>
          </cell>
        </row>
        <row r="1128">
          <cell r="A1128" t="str">
            <v>HIS-024</v>
          </cell>
          <cell r="B1128" t="str">
            <v>רוממה</v>
          </cell>
          <cell r="C1128" t="str">
            <v>רוממה</v>
          </cell>
          <cell r="D1128">
            <v>40908</v>
          </cell>
        </row>
        <row r="1129">
          <cell r="A1129" t="str">
            <v>WDB-04COM8</v>
          </cell>
          <cell r="B1129" t="str">
            <v>רוממה</v>
          </cell>
          <cell r="C1129" t="str">
            <v>רוממה-הנחת כבל אופטי מכיוון ביכורים לח"פ</v>
          </cell>
          <cell r="D1129">
            <v>46537</v>
          </cell>
        </row>
        <row r="1130">
          <cell r="A1130" t="str">
            <v>WBM-00582</v>
          </cell>
          <cell r="B1130" t="str">
            <v>רוממה</v>
          </cell>
          <cell r="C1130" t="str">
            <v>רוממה-הפעלת 2 שדות 161 ק"ו לביכורים.</v>
          </cell>
          <cell r="D1130">
            <v>47118</v>
          </cell>
        </row>
        <row r="1131">
          <cell r="A1131" t="str">
            <v>WBM-01285</v>
          </cell>
          <cell r="B1131" t="str">
            <v>רוממה</v>
          </cell>
          <cell r="C1131" t="str">
            <v>רוממה - שיפור אוטומטיקת סליל כיבוי ב 3 ש</v>
          </cell>
          <cell r="D1131">
            <v>44167</v>
          </cell>
        </row>
        <row r="1132">
          <cell r="A1132">
            <v>526431</v>
          </cell>
          <cell r="B1132" t="str">
            <v>רוממה</v>
          </cell>
          <cell r="C1132" t="str">
            <v>רוממה-התקנת מאווררים בארונות פיקוד</v>
          </cell>
          <cell r="D1132">
            <v>40311</v>
          </cell>
        </row>
        <row r="1133">
          <cell r="A1133" t="str">
            <v>WBM-00584</v>
          </cell>
          <cell r="B1133" t="str">
            <v>רוממה</v>
          </cell>
          <cell r="C1133" t="str">
            <v>רוממה-בוטל-התקנת מצוף התראה למיכל דלק</v>
          </cell>
          <cell r="D1133">
            <v>39646</v>
          </cell>
        </row>
        <row r="1134">
          <cell r="A1134" t="str">
            <v>WBM-10083</v>
          </cell>
          <cell r="B1134" t="str">
            <v>רוממה</v>
          </cell>
          <cell r="C1134" t="str">
            <v>רוממה-בוטל-החלפת גשרי דיודות</v>
          </cell>
          <cell r="D1134">
            <v>43768</v>
          </cell>
        </row>
        <row r="1135">
          <cell r="A1135">
            <v>526435</v>
          </cell>
          <cell r="B1135" t="str">
            <v>רוממה</v>
          </cell>
          <cell r="C1135" t="str">
            <v>רוממה-החלפת 2 גשרי דיודות</v>
          </cell>
          <cell r="D1135">
            <v>42277</v>
          </cell>
        </row>
        <row r="1136">
          <cell r="A1136" t="str">
            <v>WBM-00116</v>
          </cell>
          <cell r="B1136" t="str">
            <v>רוממה</v>
          </cell>
          <cell r="C1136" t="str">
            <v>רוממה - מיגון חדר מצב לשעת חירום</v>
          </cell>
          <cell r="D1136">
            <v>41989</v>
          </cell>
        </row>
        <row r="1137">
          <cell r="A1137" t="str">
            <v>WBG-101-022</v>
          </cell>
          <cell r="B1137" t="str">
            <v>רוממה</v>
          </cell>
          <cell r="C1137" t="str">
            <v>רוממה - התקנת מערכת טמ"ס</v>
          </cell>
          <cell r="D1137">
            <v>41633</v>
          </cell>
        </row>
        <row r="1138">
          <cell r="A1138">
            <v>526412</v>
          </cell>
          <cell r="B1138" t="str">
            <v>רוממה</v>
          </cell>
          <cell r="C1138" t="str">
            <v>רוממה-החלפת רכזת התראה בטחונית</v>
          </cell>
          <cell r="D1138">
            <v>39568</v>
          </cell>
        </row>
        <row r="1139">
          <cell r="A1139" t="str">
            <v>WBM-00115</v>
          </cell>
          <cell r="B1139" t="str">
            <v>רוממה</v>
          </cell>
          <cell r="C1139" t="str">
            <v>רוממה-בוטל-עיגון דיזל גנרטור</v>
          </cell>
          <cell r="D1139">
            <v>41249</v>
          </cell>
        </row>
        <row r="1140">
          <cell r="A1140" t="str">
            <v>WBG-101-016</v>
          </cell>
          <cell r="B1140" t="str">
            <v>רוממה</v>
          </cell>
          <cell r="C1140" t="str">
            <v>רוממה-עיגון 3 שנאים</v>
          </cell>
          <cell r="D1140">
            <v>40451</v>
          </cell>
        </row>
        <row r="1141">
          <cell r="A1141" t="str">
            <v>WBM-01430</v>
          </cell>
          <cell r="B1141" t="str">
            <v>רוממה</v>
          </cell>
          <cell r="C1141" t="str">
            <v>רוממה-התקנת 2 רושמי הפרעות מבוזרים-2,4</v>
          </cell>
          <cell r="D1141">
            <v>43614</v>
          </cell>
        </row>
        <row r="1142">
          <cell r="A1142" t="str">
            <v>WBG-101-023</v>
          </cell>
          <cell r="B1142" t="str">
            <v>רוממה</v>
          </cell>
          <cell r="C1142" t="str">
            <v>רוממה-רשת OM טבעת 80N</v>
          </cell>
          <cell r="D1142">
            <v>41639</v>
          </cell>
        </row>
        <row r="1143">
          <cell r="A1143" t="str">
            <v>WBM-00695</v>
          </cell>
          <cell r="B1143" t="str">
            <v>רוממה</v>
          </cell>
          <cell r="C1143" t="str">
            <v>רוממה-בוטל-השלמת סידורי בטיחות נגד אש</v>
          </cell>
          <cell r="D1143">
            <v>40072</v>
          </cell>
        </row>
        <row r="1144">
          <cell r="A1144" t="str">
            <v>WBM-00583</v>
          </cell>
          <cell r="B1144" t="str">
            <v>רוממה</v>
          </cell>
          <cell r="C1144" t="str">
            <v>רוממה- בוטל - הזנת תאורת חירום ז"י.</v>
          </cell>
          <cell r="D1144">
            <v>46752</v>
          </cell>
        </row>
        <row r="1145">
          <cell r="A1145" t="str">
            <v>WBM-10021</v>
          </cell>
          <cell r="B1145" t="str">
            <v>רוממה</v>
          </cell>
          <cell r="C1145" t="str">
            <v>רוממה -התקנת רושם הפרעות 161 ק"ו</v>
          </cell>
          <cell r="D1145">
            <v>46477</v>
          </cell>
        </row>
        <row r="1146">
          <cell r="A1146" t="str">
            <v>WBM-01173</v>
          </cell>
          <cell r="B1146" t="str">
            <v>רוממה</v>
          </cell>
          <cell r="C1146" t="str">
            <v>רוממה-שדרוג מערכות SCS מסוג  UNIX - LON</v>
          </cell>
          <cell r="D1146">
            <v>46265</v>
          </cell>
        </row>
        <row r="1147">
          <cell r="A1147" t="str">
            <v>WBM-60051</v>
          </cell>
          <cell r="B1147" t="str">
            <v>רוממה</v>
          </cell>
          <cell r="C1147" t="str">
            <v>רוממה - עיגון ארונות פיקוד והגנה</v>
          </cell>
          <cell r="D1147">
            <v>46326</v>
          </cell>
        </row>
        <row r="1148">
          <cell r="A1148" t="str">
            <v>WBM-10219</v>
          </cell>
          <cell r="B1148" t="str">
            <v>רוממה</v>
          </cell>
          <cell r="C1148" t="str">
            <v>רוממה-החלפת צ'ילרים של מערכת מיזוג אוויר</v>
          </cell>
          <cell r="D1148">
            <v>44910</v>
          </cell>
        </row>
        <row r="1149">
          <cell r="A1149" t="str">
            <v>WBM-10165</v>
          </cell>
          <cell r="B1149" t="str">
            <v>רוממה</v>
          </cell>
          <cell r="C1149" t="str">
            <v>רוממה החלפת הגנה דיפרנציאלית בשדה 4</v>
          </cell>
          <cell r="D1149">
            <v>44703</v>
          </cell>
        </row>
        <row r="1150">
          <cell r="A1150" t="str">
            <v>0243089</v>
          </cell>
          <cell r="B1150" t="str">
            <v>רוממה</v>
          </cell>
          <cell r="C1150" t="str">
            <v>רוממה - החלפת מערכת  SCS</v>
          </cell>
          <cell r="D1150">
            <v>44499</v>
          </cell>
        </row>
        <row r="1151">
          <cell r="A1151" t="str">
            <v>WBM-60030</v>
          </cell>
          <cell r="B1151" t="str">
            <v>רוממה</v>
          </cell>
          <cell r="C1151" t="str">
            <v>רוממה - שדרוג מערכת מיזוג אוויר</v>
          </cell>
          <cell r="D1151">
            <v>44063</v>
          </cell>
        </row>
        <row r="1152">
          <cell r="A1152" t="str">
            <v>WBM-40015</v>
          </cell>
          <cell r="B1152" t="str">
            <v>רוממה</v>
          </cell>
          <cell r="C1152" t="str">
            <v>רוממה - בוטל-החלפת טרפוגרד בשדות 1,3,8</v>
          </cell>
          <cell r="D1152">
            <v>44530</v>
          </cell>
        </row>
        <row r="1153">
          <cell r="A1153" t="str">
            <v>WBM-00585</v>
          </cell>
          <cell r="B1153" t="str">
            <v>רוממה</v>
          </cell>
          <cell r="C1153" t="str">
            <v>רוממה-בוטל שיפור מערכת הארקה בתחמ"ש</v>
          </cell>
          <cell r="D1153">
            <v>39798</v>
          </cell>
        </row>
        <row r="1154">
          <cell r="A1154" t="str">
            <v>WBM-20004-030</v>
          </cell>
          <cell r="B1154" t="str">
            <v>רוממה</v>
          </cell>
          <cell r="C1154" t="str">
            <v>רוממה - התקנת תאורת חירום מוגנת אש</v>
          </cell>
          <cell r="D1154">
            <v>46387</v>
          </cell>
        </row>
        <row r="1155">
          <cell r="A1155" t="str">
            <v>WBM-40295-064</v>
          </cell>
          <cell r="B1155" t="str">
            <v>רוממה</v>
          </cell>
          <cell r="C1155" t="str">
            <v>רוממה - החלפת סוללות מצברים</v>
          </cell>
          <cell r="D1155">
            <v>46721</v>
          </cell>
        </row>
        <row r="1156">
          <cell r="A1156" t="str">
            <v>WBM-40479-011</v>
          </cell>
          <cell r="B1156" t="str">
            <v>רוממה</v>
          </cell>
          <cell r="C1156" t="str">
            <v>רוממה- החלפת 3 בקרי טמפ' וגובה שמן בשנאי</v>
          </cell>
          <cell r="D1156">
            <v>46812</v>
          </cell>
        </row>
        <row r="1157">
          <cell r="A1157" t="str">
            <v>WBM-60100-008</v>
          </cell>
          <cell r="B1157" t="str">
            <v>רוממה</v>
          </cell>
          <cell r="C1157" t="str">
            <v>רוממה- החלפת ברזי זרימה של מע' כבוי במים</v>
          </cell>
          <cell r="D1157">
            <v>45475</v>
          </cell>
        </row>
        <row r="1158">
          <cell r="A1158" t="str">
            <v>WBM-60116-032</v>
          </cell>
          <cell r="B1158" t="str">
            <v>רוממה</v>
          </cell>
          <cell r="C1158" t="str">
            <v>רוממה- בוטל- שדרוג גלאים בתחנות משנה</v>
          </cell>
        </row>
        <row r="1159">
          <cell r="A1159" t="str">
            <v>WBM-60118-009</v>
          </cell>
          <cell r="B1159" t="str">
            <v>רוממה</v>
          </cell>
          <cell r="C1159" t="str">
            <v>רוממה- שיפור מערכת הארקה</v>
          </cell>
          <cell r="D1159">
            <v>46721</v>
          </cell>
        </row>
        <row r="1160">
          <cell r="A1160" t="str">
            <v>WBM-60130-046</v>
          </cell>
          <cell r="B1160" t="str">
            <v>רוממה</v>
          </cell>
          <cell r="C1160" t="str">
            <v>רוממה - התקנת מפסק פטריה להפסקת מערכת החשמל בחירום</v>
          </cell>
          <cell r="D1160">
            <v>46568</v>
          </cell>
        </row>
        <row r="1161">
          <cell r="A1161" t="str">
            <v>WBM-00350-054</v>
          </cell>
          <cell r="B1161" t="str">
            <v>רוממה</v>
          </cell>
          <cell r="C1161" t="str">
            <v>רוממה - החלפת מסדר שרוף של שנאי בית</v>
          </cell>
          <cell r="D1161">
            <v>45688</v>
          </cell>
        </row>
        <row r="1162">
          <cell r="A1162" t="str">
            <v>WBM-10604-002</v>
          </cell>
          <cell r="B1162" t="str">
            <v>רוממה</v>
          </cell>
          <cell r="C1162" t="str">
            <v>רוממה - מוכנות וכשירות דיזל גנרטורים</v>
          </cell>
          <cell r="D1162">
            <v>45657</v>
          </cell>
        </row>
        <row r="1163">
          <cell r="A1163" t="str">
            <v>WBM-60202-001</v>
          </cell>
          <cell r="B1163" t="str">
            <v>רוממה</v>
          </cell>
          <cell r="C1163" t="str">
            <v>רוממה - החלפת לוח פיקוד משאבות ולוח גוקי בתחמשים</v>
          </cell>
          <cell r="D1163">
            <v>46721</v>
          </cell>
        </row>
        <row r="1164">
          <cell r="A1164" t="str">
            <v>WBM-10356-010</v>
          </cell>
          <cell r="B1164" t="str">
            <v>רוממה</v>
          </cell>
          <cell r="C1164" t="str">
            <v>רוממה- החלפת ראשי כבלים מתח עליון</v>
          </cell>
          <cell r="D1164">
            <v>46112</v>
          </cell>
        </row>
        <row r="1165">
          <cell r="A1165" t="str">
            <v>WBM-00885-146</v>
          </cell>
          <cell r="B1165" t="str">
            <v>רוממה</v>
          </cell>
          <cell r="C1165" t="str">
            <v>רוממה - תיקון מערכת מיים.</v>
          </cell>
          <cell r="D1165">
            <v>46092</v>
          </cell>
        </row>
        <row r="1166">
          <cell r="A1166" t="str">
            <v>734201-ST2</v>
          </cell>
          <cell r="B1166" t="str">
            <v>רוטנברג תח''כ</v>
          </cell>
          <cell r="C1166" t="str">
            <v>רוטנברג תח"כ-החלפת משני זרם מ"ע</v>
          </cell>
          <cell r="D1166">
            <v>42363</v>
          </cell>
        </row>
        <row r="1167">
          <cell r="A1167" t="str">
            <v>WAG-6716-ST2</v>
          </cell>
          <cell r="B1167" t="str">
            <v>רוטנברג תח''כ</v>
          </cell>
          <cell r="C1167" t="str">
            <v>רוטנברג תח"כ-השמשת הגנה דיפרנצי' בשדה 2A</v>
          </cell>
          <cell r="D1167">
            <v>44772</v>
          </cell>
        </row>
        <row r="1168">
          <cell r="A1168" t="str">
            <v>WAG-6716-ST3</v>
          </cell>
          <cell r="B1168" t="str">
            <v>רוטנברג תח''כ</v>
          </cell>
          <cell r="C1168" t="str">
            <v>רוטנברג תח"כ-התקנת הגנה דיפרנצי' בשדה 3B</v>
          </cell>
          <cell r="D1168">
            <v>44772</v>
          </cell>
        </row>
        <row r="1169">
          <cell r="A1169" t="str">
            <v>WAG-6716</v>
          </cell>
          <cell r="B1169" t="str">
            <v>רוטנברג תח''כ</v>
          </cell>
          <cell r="C1169" t="str">
            <v>רוטנברג תח"כ-התאמת הג' בדיאמטר 8A לצפית</v>
          </cell>
          <cell r="D1169">
            <v>44772</v>
          </cell>
        </row>
        <row r="1170">
          <cell r="A1170" t="str">
            <v>734201-ST1</v>
          </cell>
          <cell r="B1170" t="str">
            <v>רוטנברג תח''כ</v>
          </cell>
          <cell r="C1170" t="str">
            <v>רוטנברג תח"כ-החלפת הגנות פ"צ</v>
          </cell>
          <cell r="D1170">
            <v>42551</v>
          </cell>
        </row>
        <row r="1171">
          <cell r="A1171" t="str">
            <v>WAG-6613-ST2</v>
          </cell>
          <cell r="B1171" t="str">
            <v>רוטנברג תח''כ</v>
          </cell>
          <cell r="C1171" t="str">
            <v>רוטנברג תח"כ-משיק לחרובית,שלב 7-בשדה 1B</v>
          </cell>
          <cell r="D1171">
            <v>42107</v>
          </cell>
        </row>
        <row r="1172">
          <cell r="A1172" t="str">
            <v>WAG-6613</v>
          </cell>
          <cell r="B1172" t="str">
            <v>רוטנברג תח''כ</v>
          </cell>
          <cell r="C1172" t="str">
            <v>רוטנברג תח"כ-בשדה1B-התאמה בין הגנ. מרחק</v>
          </cell>
          <cell r="D1172">
            <v>41942</v>
          </cell>
        </row>
        <row r="1173">
          <cell r="A1173" t="str">
            <v>734251-ST2</v>
          </cell>
          <cell r="B1173" t="str">
            <v>רוטנברג תח''כ</v>
          </cell>
          <cell r="C1173" t="str">
            <v>רוטנברג תח"כ-התאמת תקשורת בין הג.מרחק-2A</v>
          </cell>
          <cell r="D1173">
            <v>41481</v>
          </cell>
        </row>
        <row r="1174">
          <cell r="A1174" t="str">
            <v>WBM-10422</v>
          </cell>
          <cell r="B1174" t="str">
            <v>רוטנברג תח''כ</v>
          </cell>
          <cell r="C1174" t="str">
            <v>רוטנברג-שדה A2 ישום קשר שניה בין הגנות</v>
          </cell>
          <cell r="D1174">
            <v>46568</v>
          </cell>
        </row>
        <row r="1175">
          <cell r="A1175" t="str">
            <v>WBM-10336</v>
          </cell>
          <cell r="B1175" t="str">
            <v>רוטנברג</v>
          </cell>
          <cell r="C1175" t="str">
            <v>רוטנברג-משיק לצפית A4-תקש.אופט.בין הגנות</v>
          </cell>
          <cell r="D1175">
            <v>45261</v>
          </cell>
        </row>
        <row r="1176">
          <cell r="A1176" t="str">
            <v>WBJ-006</v>
          </cell>
          <cell r="B1176" t="str">
            <v>רוטנברג</v>
          </cell>
          <cell r="C1176" t="str">
            <v>רוטנברג-הקמת מסדר מיתוג 400 ק"ו  חיצוני</v>
          </cell>
          <cell r="D1176">
            <v>37256</v>
          </cell>
        </row>
        <row r="1177">
          <cell r="A1177">
            <v>9915188</v>
          </cell>
          <cell r="B1177" t="str">
            <v>רוח בראשית/יהודיה</v>
          </cell>
          <cell r="C1177" t="str">
            <v>רוח בראשית/יהודיה-קליטת חוות ט"ר189 מגוא</v>
          </cell>
          <cell r="D1177">
            <v>45079</v>
          </cell>
        </row>
        <row r="1178">
          <cell r="A1178">
            <v>734221</v>
          </cell>
          <cell r="B1178" t="str">
            <v>רדינג</v>
          </cell>
          <cell r="C1178" t="str">
            <v>רדינג-תכנון התקנת סוללות קבלים מ"ע</v>
          </cell>
          <cell r="D1178">
            <v>39450</v>
          </cell>
        </row>
        <row r="1179">
          <cell r="A1179" t="str">
            <v>WBM-60092-036</v>
          </cell>
          <cell r="B1179" t="str">
            <v>רדינג</v>
          </cell>
          <cell r="C1179" t="str">
            <v>רידינג - בדיקות/טיפול/פינוי מכלי אש בגז</v>
          </cell>
          <cell r="D1179">
            <v>46173</v>
          </cell>
        </row>
        <row r="1180">
          <cell r="A1180" t="str">
            <v>WBC-102</v>
          </cell>
          <cell r="B1180" t="str">
            <v>רבידה</v>
          </cell>
          <cell r="C1180" t="str">
            <v>רבידה-הקמת תחמ"ש פנימית 161/13.8</v>
          </cell>
          <cell r="D1180">
            <v>48579</v>
          </cell>
        </row>
        <row r="1181">
          <cell r="A1181" t="str">
            <v>WBT-020</v>
          </cell>
          <cell r="B1181" t="str">
            <v>רבידה</v>
          </cell>
          <cell r="C1181" t="str">
            <v>בוטל - רבידה- קידום תוכנית מתאר לתחמ"ש ולקו- מקודמת ע"י אחרים</v>
          </cell>
        </row>
        <row r="1182">
          <cell r="A1182" t="str">
            <v>WBC-109</v>
          </cell>
          <cell r="B1182" t="str">
            <v>רב מכר</v>
          </cell>
          <cell r="C1182" t="str">
            <v>רב מכר-הקמת תחמ"ש פנימית 161/24 ק"ו</v>
          </cell>
          <cell r="D1182">
            <v>48579</v>
          </cell>
        </row>
        <row r="1183">
          <cell r="A1183" t="str">
            <v>HIS-023</v>
          </cell>
          <cell r="B1183" t="str">
            <v>ראשון-לציון</v>
          </cell>
          <cell r="C1183" t="str">
            <v>ראשון-לציון</v>
          </cell>
          <cell r="D1183">
            <v>40908</v>
          </cell>
        </row>
        <row r="1184">
          <cell r="A1184" t="str">
            <v>WBM-00317</v>
          </cell>
          <cell r="B1184" t="str">
            <v>ראשון-לציון</v>
          </cell>
          <cell r="C1184" t="str">
            <v>ראשון-לציון-ההתקנת 4 ס"ק 24 ק"ו, 2*5 מגו</v>
          </cell>
          <cell r="D1184">
            <v>47968</v>
          </cell>
        </row>
        <row r="1185">
          <cell r="A1185" t="str">
            <v>WBM-40192</v>
          </cell>
          <cell r="B1185" t="str">
            <v>ראשון-לציון</v>
          </cell>
          <cell r="C1185" t="str">
            <v>ראשל"צ-החלפת ציוד בשדות  5,6,10,12</v>
          </cell>
          <cell r="D1185">
            <v>46568</v>
          </cell>
        </row>
        <row r="1186">
          <cell r="A1186" t="str">
            <v>WBM-40193</v>
          </cell>
          <cell r="B1186" t="str">
            <v>ראשון-לציון</v>
          </cell>
          <cell r="C1186" t="str">
            <v>ראשל"צ-החלפת ציוד בשדות 2,4,8</v>
          </cell>
          <cell r="D1186">
            <v>46598</v>
          </cell>
        </row>
        <row r="1187">
          <cell r="A1187" t="str">
            <v>WBM-60106</v>
          </cell>
          <cell r="B1187" t="str">
            <v>ראשון-לציון</v>
          </cell>
          <cell r="C1187" t="str">
            <v>ראשון לציון-הסדרה סביבתית-מאצרות שמן</v>
          </cell>
          <cell r="D1187">
            <v>46356</v>
          </cell>
        </row>
        <row r="1188">
          <cell r="A1188" t="str">
            <v>WBM-10016</v>
          </cell>
          <cell r="B1188" t="str">
            <v>ראשון-לציון</v>
          </cell>
          <cell r="C1188" t="str">
            <v>ראשון לציון -התקנת רושם הפרעות 161 ק"ו</v>
          </cell>
          <cell r="D1188">
            <v>46477</v>
          </cell>
        </row>
        <row r="1189">
          <cell r="A1189" t="str">
            <v>WBM-01350</v>
          </cell>
          <cell r="B1189" t="str">
            <v>ראשון-לציון</v>
          </cell>
          <cell r="C1189" t="str">
            <v>ראשון-לציון- החלפת רכזת גילוי וכיבוי אש</v>
          </cell>
          <cell r="D1189">
            <v>43642</v>
          </cell>
        </row>
        <row r="1190">
          <cell r="A1190" t="str">
            <v>WBM-00225</v>
          </cell>
          <cell r="B1190" t="str">
            <v>ראשון-לציון</v>
          </cell>
          <cell r="C1190" t="str">
            <v>ראשון-לציון-החלפת מ.ברק מ"ג של פ"צ 5</v>
          </cell>
          <cell r="D1190">
            <v>43542</v>
          </cell>
        </row>
        <row r="1191">
          <cell r="A1191" t="str">
            <v>WBM-00712</v>
          </cell>
          <cell r="B1191" t="str">
            <v>ראשון-לציון</v>
          </cell>
          <cell r="C1191" t="str">
            <v>ראשון-לציון-החלפת מ.ברק מ"ג שנאי מס'525.</v>
          </cell>
          <cell r="D1191">
            <v>43542</v>
          </cell>
        </row>
        <row r="1192">
          <cell r="A1192" t="str">
            <v>WBM-40190</v>
          </cell>
          <cell r="B1192" t="str">
            <v>ראשון-לציון</v>
          </cell>
          <cell r="C1192" t="str">
            <v>ראשל"צ - החלפת מע' SCS מסוג UNIX-LON</v>
          </cell>
          <cell r="D1192">
            <v>43509</v>
          </cell>
        </row>
        <row r="1193">
          <cell r="A1193" t="str">
            <v>WBM-01099</v>
          </cell>
          <cell r="B1193" t="str">
            <v>ראשון-לציון</v>
          </cell>
          <cell r="C1193" t="str">
            <v>ראשל"צ-התקנת 5 מאצרות שמן זמניות</v>
          </cell>
          <cell r="D1193">
            <v>43464</v>
          </cell>
        </row>
        <row r="1194">
          <cell r="A1194" t="str">
            <v>WBM-00711</v>
          </cell>
          <cell r="B1194" t="str">
            <v>ראשון-לציון</v>
          </cell>
          <cell r="C1194" t="str">
            <v>ראשון-לציון-התקנת עמדת כיבוי אש שנייה</v>
          </cell>
          <cell r="D1194">
            <v>43234</v>
          </cell>
        </row>
        <row r="1195">
          <cell r="A1195" t="str">
            <v>WBM-00654</v>
          </cell>
          <cell r="B1195" t="str">
            <v>ראשון-לציון</v>
          </cell>
          <cell r="C1195" t="str">
            <v>ראשון-לציון- קשר בין הגנות לאיילון</v>
          </cell>
          <cell r="D1195">
            <v>42366</v>
          </cell>
        </row>
        <row r="1196">
          <cell r="A1196" t="str">
            <v>WBG-100-010</v>
          </cell>
          <cell r="B1196" t="str">
            <v>ראשון-לציון</v>
          </cell>
          <cell r="C1196" t="str">
            <v>ראשון-לציון-הוספת ווסתים לסליל כיבוי</v>
          </cell>
          <cell r="D1196">
            <v>41424</v>
          </cell>
        </row>
        <row r="1197">
          <cell r="A1197" t="str">
            <v>WBG-100-017</v>
          </cell>
          <cell r="B1197" t="str">
            <v>ראשון-לציון</v>
          </cell>
          <cell r="C1197" t="str">
            <v>ראשון-לציון-החלפת הגנות  בשדות 5,11</v>
          </cell>
          <cell r="D1197">
            <v>41338</v>
          </cell>
        </row>
        <row r="1198">
          <cell r="A1198">
            <v>532333</v>
          </cell>
          <cell r="B1198" t="str">
            <v>ראשון-לציון</v>
          </cell>
          <cell r="C1198" t="str">
            <v>ראשל"צ - החלפת ממסרי השלת עומס בתדר</v>
          </cell>
          <cell r="D1198">
            <v>41333</v>
          </cell>
        </row>
        <row r="1199">
          <cell r="A1199" t="str">
            <v>WBG-100-013</v>
          </cell>
          <cell r="B1199" t="str">
            <v>ראשון-לציון</v>
          </cell>
          <cell r="C1199" t="str">
            <v>ראשון-לציון-הקמת רשת מחשבים תפעולית</v>
          </cell>
          <cell r="D1199">
            <v>41219</v>
          </cell>
        </row>
        <row r="1200">
          <cell r="A1200" t="str">
            <v>WBG-100-012</v>
          </cell>
          <cell r="B1200" t="str">
            <v>ראשון-לציון</v>
          </cell>
          <cell r="C1200" t="str">
            <v>ראשון-לציון-התקנת תקשורת מנהלתית</v>
          </cell>
          <cell r="D1200">
            <v>41090</v>
          </cell>
        </row>
        <row r="1201">
          <cell r="A1201">
            <v>532331</v>
          </cell>
          <cell r="B1201" t="str">
            <v>ראשון-לציון</v>
          </cell>
          <cell r="C1201" t="str">
            <v>ראשון-לציון-התקנת מערכת טמ"ס</v>
          </cell>
          <cell r="D1201">
            <v>41029</v>
          </cell>
        </row>
        <row r="1202">
          <cell r="A1202" t="str">
            <v>WBG-100-015</v>
          </cell>
          <cell r="B1202" t="str">
            <v>ראשון-לציון</v>
          </cell>
          <cell r="C1202" t="str">
            <v>ראשון-לציון-התקנת ארון ז"י 48 וולט</v>
          </cell>
          <cell r="D1202">
            <v>41029</v>
          </cell>
        </row>
        <row r="1203">
          <cell r="A1203" t="str">
            <v>WBM-10060</v>
          </cell>
          <cell r="B1203" t="str">
            <v>ראשון-לציון</v>
          </cell>
          <cell r="C1203" t="str">
            <v>ראשון לציון - בוטל-החלפת גשרי דיודות</v>
          </cell>
          <cell r="D1203">
            <v>43769</v>
          </cell>
        </row>
        <row r="1204">
          <cell r="A1204" t="str">
            <v>WBM-10097</v>
          </cell>
          <cell r="B1204" t="str">
            <v>ראשון-לציון</v>
          </cell>
          <cell r="C1204" t="str">
            <v>ראשל"צ - בוטל-התקנת מערכת ממירים ז"י</v>
          </cell>
          <cell r="D1204">
            <v>43555</v>
          </cell>
        </row>
        <row r="1205">
          <cell r="A1205" t="str">
            <v>WBM-40191</v>
          </cell>
          <cell r="B1205" t="str">
            <v>ראשון-לציון</v>
          </cell>
          <cell r="C1205" t="str">
            <v>ראשל"צ-בוטל-החלפת מנתק, מ"ז, בשדה 6</v>
          </cell>
          <cell r="D1205">
            <v>43132</v>
          </cell>
        </row>
        <row r="1206">
          <cell r="A1206" t="str">
            <v>WBM-00581</v>
          </cell>
          <cell r="B1206" t="str">
            <v>ראשון-לציון</v>
          </cell>
          <cell r="C1206" t="str">
            <v>ראשון-לציון -בוטל- מאצרות שמן לשנאים</v>
          </cell>
          <cell r="D1206">
            <v>41403</v>
          </cell>
        </row>
        <row r="1207">
          <cell r="A1207">
            <v>532335</v>
          </cell>
          <cell r="B1207" t="str">
            <v>ראשון-לציון</v>
          </cell>
          <cell r="C1207" t="str">
            <v>ראשון לציון - החלפת גשרי דיודות</v>
          </cell>
          <cell r="D1207">
            <v>42215</v>
          </cell>
        </row>
        <row r="1208">
          <cell r="A1208">
            <v>532319</v>
          </cell>
          <cell r="B1208" t="str">
            <v>ראשון-לציון</v>
          </cell>
          <cell r="C1208" t="str">
            <v>ראשון-לציון-החלפת מערכת התראה בטחונית</v>
          </cell>
          <cell r="D1208">
            <v>39782</v>
          </cell>
        </row>
        <row r="1209">
          <cell r="A1209">
            <v>532327</v>
          </cell>
          <cell r="B1209" t="str">
            <v>ראשון-לציון</v>
          </cell>
          <cell r="C1209" t="str">
            <v>ראשון-לציון-התקנת מאווררים בארונות פיקוד</v>
          </cell>
          <cell r="D1209">
            <v>41698</v>
          </cell>
        </row>
        <row r="1210">
          <cell r="A1210" t="str">
            <v>WBM-00114</v>
          </cell>
          <cell r="B1210" t="str">
            <v>ראשון-לציון</v>
          </cell>
          <cell r="C1210" t="str">
            <v>ראשון-לציון-בוטל-החלפת 6 מ.ברק 132 קו</v>
          </cell>
          <cell r="D1210">
            <v>41249</v>
          </cell>
        </row>
        <row r="1211">
          <cell r="A1211" t="str">
            <v>WBM-40479-064</v>
          </cell>
          <cell r="B1211" t="str">
            <v>ראשון-לציון</v>
          </cell>
          <cell r="C1211" t="str">
            <v>ראשון לציון- החלפת 4 בקרי טמפ' וגובה שמן</v>
          </cell>
          <cell r="D1211">
            <v>46934</v>
          </cell>
        </row>
        <row r="1212">
          <cell r="A1212" t="str">
            <v>WBM-60008-076</v>
          </cell>
          <cell r="B1212" t="str">
            <v>ראשון-לציון</v>
          </cell>
          <cell r="C1212" t="str">
            <v>ראשל"צ - מערכת טמ"ס</v>
          </cell>
          <cell r="D1212">
            <v>46265</v>
          </cell>
        </row>
        <row r="1213">
          <cell r="A1213" t="str">
            <v>WBM-60107-027</v>
          </cell>
          <cell r="B1213" t="str">
            <v>ראשון-לציון</v>
          </cell>
          <cell r="C1213" t="str">
            <v>ראשון לציון - החלפת מנעולים אלק.מגנטיים</v>
          </cell>
          <cell r="D1213">
            <v>45627</v>
          </cell>
        </row>
        <row r="1214">
          <cell r="A1214" t="str">
            <v>WBM-00885-135</v>
          </cell>
          <cell r="B1214" t="str">
            <v>ראשון-לציון</v>
          </cell>
          <cell r="C1214" t="str">
            <v>ראשל"צ (בן צבי)- שדרוג מערכת כיבוי אש בתחנה והתאמתה למכר</v>
          </cell>
          <cell r="D1214">
            <v>45930</v>
          </cell>
        </row>
        <row r="1215">
          <cell r="A1215" t="str">
            <v>WBM-40629-011</v>
          </cell>
          <cell r="B1215" t="str">
            <v>ראשון-לציון</v>
          </cell>
          <cell r="C1215" t="str">
            <v>ראשון לציון - החלפת בושינג 161 ק"ו שנאי 521 עקב חוסר שמן במבודד</v>
          </cell>
          <cell r="D1215">
            <v>46387</v>
          </cell>
        </row>
        <row r="1216">
          <cell r="A1216" t="str">
            <v>WBC-072</v>
          </cell>
          <cell r="B1216" t="str">
            <v>ראשון תעשיה</v>
          </cell>
          <cell r="C1216" t="str">
            <v>ראשון תעשיה- הקמת תחמ"ש פנימית 161/24 ק"</v>
          </cell>
          <cell r="D1216">
            <v>46356</v>
          </cell>
        </row>
        <row r="1217">
          <cell r="A1217" t="str">
            <v>WBC-054</v>
          </cell>
          <cell r="B1217" t="str">
            <v>ראשון מזרח (צריפין)</v>
          </cell>
          <cell r="C1217" t="str">
            <v>ראשון מזרח-הקמת תחמ"ש חיצונית 161/24 ק"ו</v>
          </cell>
          <cell r="D1217">
            <v>43459</v>
          </cell>
        </row>
        <row r="1218">
          <cell r="A1218" t="str">
            <v>WBM-01226</v>
          </cell>
          <cell r="B1218" t="str">
            <v>ראשון מזרח (צריפין)</v>
          </cell>
          <cell r="C1218" t="str">
            <v>ראשון מזרח-התקנת 3 סוללות קבלים מודולריו</v>
          </cell>
          <cell r="D1218">
            <v>46295</v>
          </cell>
        </row>
        <row r="1219">
          <cell r="A1219" t="str">
            <v>WBM-10114</v>
          </cell>
          <cell r="B1219" t="str">
            <v>ראשון מזרח (צריפין)</v>
          </cell>
          <cell r="C1219" t="str">
            <v>רשל"צ מזרח- שדרוג של מערכת  SCS</v>
          </cell>
          <cell r="D1219">
            <v>46477</v>
          </cell>
        </row>
        <row r="1220">
          <cell r="A1220" t="str">
            <v>WBM-10128</v>
          </cell>
          <cell r="B1220" t="str">
            <v>ראשון מזרח (צריפין)</v>
          </cell>
          <cell r="C1220" t="str">
            <v>ראשון מזרח-בוטל-הוס. מדידת מתח משולש פתו</v>
          </cell>
          <cell r="D1220">
            <v>44005</v>
          </cell>
        </row>
        <row r="1221">
          <cell r="A1221" t="str">
            <v>WBD-061-ST2</v>
          </cell>
          <cell r="B1221" t="str">
            <v>ראשון מזרח (צריפין)</v>
          </cell>
          <cell r="C1221" t="str">
            <v>ראשון מזרח ניידת-פירוק תחמ"ש ניידת</v>
          </cell>
          <cell r="D1221">
            <v>43277</v>
          </cell>
        </row>
        <row r="1222">
          <cell r="A1222" t="str">
            <v>WBD-061</v>
          </cell>
          <cell r="B1222" t="str">
            <v>ראשון מזרח (צריפין)</v>
          </cell>
          <cell r="C1222" t="str">
            <v>ראשון מזרח ניידת-הצבת  תחמ"ש ניידת</v>
          </cell>
          <cell r="D1222">
            <v>42565</v>
          </cell>
        </row>
        <row r="1223">
          <cell r="A1223" t="str">
            <v>WBM-00885-081</v>
          </cell>
          <cell r="B1223" t="str">
            <v>ראשון מזרח (צריפין)</v>
          </cell>
          <cell r="C1223" t="str">
            <v>ראשון מזרח -בוטל -תאורת חירום מוגנת אש.</v>
          </cell>
        </row>
        <row r="1224">
          <cell r="A1224" t="str">
            <v>WBM-60107-016</v>
          </cell>
          <cell r="B1224" t="str">
            <v>ראשון מזרח (צריפין)</v>
          </cell>
          <cell r="C1224" t="str">
            <v>ראשון לציון מזרח - החלפת מנעולים אלק.מגנ</v>
          </cell>
          <cell r="D1224">
            <v>45627</v>
          </cell>
        </row>
        <row r="1225">
          <cell r="A1225" t="str">
            <v>WBM-10315-082</v>
          </cell>
          <cell r="B1225" t="str">
            <v>ראשון מזרח (צריפין)</v>
          </cell>
          <cell r="C1225" t="str">
            <v>ראשון לציון מזרח-  בוטל-התקנת מזגנים</v>
          </cell>
        </row>
        <row r="1226">
          <cell r="A1226" t="str">
            <v>HIS-032</v>
          </cell>
          <cell r="B1226" t="str">
            <v>ראש פינה</v>
          </cell>
          <cell r="C1226" t="str">
            <v>ראש פינה</v>
          </cell>
          <cell r="D1226">
            <v>40908</v>
          </cell>
        </row>
        <row r="1227">
          <cell r="A1227" t="str">
            <v>WDA-1-PA25</v>
          </cell>
          <cell r="B1227" t="str">
            <v>ראש פינה</v>
          </cell>
          <cell r="C1227" t="str">
            <v>ראש פינה ארעית-החלפה של יחידת קצה של פיק</v>
          </cell>
          <cell r="D1227">
            <v>43008</v>
          </cell>
        </row>
        <row r="1228">
          <cell r="A1228" t="str">
            <v>WBM-00579</v>
          </cell>
          <cell r="B1228" t="str">
            <v>ראש פינה</v>
          </cell>
          <cell r="C1228" t="str">
            <v>ראש פינה ארעית-שולב-פירוק תחמ"ש ארעית.</v>
          </cell>
          <cell r="D1228">
            <v>43831</v>
          </cell>
        </row>
        <row r="1229">
          <cell r="A1229" t="str">
            <v>WBG-099-006</v>
          </cell>
          <cell r="B1229" t="str">
            <v>ראש פינה</v>
          </cell>
          <cell r="C1229" t="str">
            <v>ראש פינה ארעית-התקנת מערכת מניה</v>
          </cell>
          <cell r="D1229">
            <v>40954</v>
          </cell>
        </row>
        <row r="1230">
          <cell r="A1230" t="str">
            <v>WBM-00805</v>
          </cell>
          <cell r="B1230" t="str">
            <v>ראש פינה</v>
          </cell>
          <cell r="C1230" t="str">
            <v>ראש פינה ארעית-בוטל-ה.מע.התראה בטחונית</v>
          </cell>
          <cell r="D1230">
            <v>39751</v>
          </cell>
        </row>
        <row r="1231">
          <cell r="A1231" t="str">
            <v>WBM-00769</v>
          </cell>
          <cell r="B1231" t="str">
            <v>ראש פינה</v>
          </cell>
          <cell r="C1231" t="str">
            <v>ראש פינה ארעית-בוטל-התקנת שעון נוכחות</v>
          </cell>
          <cell r="D1231">
            <v>39933</v>
          </cell>
        </row>
        <row r="1232">
          <cell r="A1232" t="str">
            <v>WBM-00885-067</v>
          </cell>
          <cell r="B1232" t="str">
            <v>ראש פינה</v>
          </cell>
          <cell r="C1232" t="str">
            <v>ראש פינה - התאמה לתקן מכ"ר</v>
          </cell>
          <cell r="D1232">
            <v>46387</v>
          </cell>
        </row>
        <row r="1233">
          <cell r="A1233" t="str">
            <v>WBM-10456-025</v>
          </cell>
          <cell r="B1233" t="str">
            <v>ראש פינה</v>
          </cell>
          <cell r="C1233" t="str">
            <v>ראש פינה- הוספת מתמרים ב-2 פ"צ</v>
          </cell>
          <cell r="D1233">
            <v>46752</v>
          </cell>
        </row>
        <row r="1234">
          <cell r="A1234" t="str">
            <v>WBM-60010-049</v>
          </cell>
          <cell r="B1234" t="str">
            <v>ראש פינה</v>
          </cell>
          <cell r="C1234" t="str">
            <v>ראש פינה - בוטל - ההחלפת מוני ION למוני SATEC</v>
          </cell>
          <cell r="D1234">
            <v>46022</v>
          </cell>
        </row>
        <row r="1235">
          <cell r="A1235" t="str">
            <v>WBM-60130-045</v>
          </cell>
          <cell r="B1235" t="str">
            <v>ראש פינה</v>
          </cell>
          <cell r="C1235" t="str">
            <v>ראש פינה ארעית - בוטל-  התקנת מפסק פטריה להפסקת מערכת החשמל בחירום</v>
          </cell>
        </row>
        <row r="1236">
          <cell r="A1236" t="str">
            <v>WBM-60131-009</v>
          </cell>
          <cell r="B1236" t="str">
            <v>ראש פינה</v>
          </cell>
          <cell r="C1236" t="str">
            <v>ראש פינה- בדיקת אופיין מים</v>
          </cell>
          <cell r="D1236">
            <v>46752</v>
          </cell>
        </row>
        <row r="1237">
          <cell r="A1237" t="str">
            <v>WBC-007-ST1</v>
          </cell>
          <cell r="B1237" t="str">
            <v>ראש פינה</v>
          </cell>
          <cell r="C1237" t="str">
            <v>ראש פינה ארעית--פירוק תחמ"ש ארעית</v>
          </cell>
          <cell r="D1237">
            <v>46477</v>
          </cell>
        </row>
        <row r="1238">
          <cell r="A1238" t="str">
            <v>HIS-022</v>
          </cell>
          <cell r="B1238" t="str">
            <v>ראש העין</v>
          </cell>
          <cell r="C1238" t="str">
            <v>ראש העין</v>
          </cell>
          <cell r="D1238">
            <v>40908</v>
          </cell>
        </row>
        <row r="1239">
          <cell r="A1239" t="str">
            <v>WBE-158</v>
          </cell>
          <cell r="B1239" t="str">
            <v>ראש העין</v>
          </cell>
          <cell r="C1239" t="str">
            <v>ראש העין-הוספת שנאי 521 והרחבת פ"צ 161 ק"ו</v>
          </cell>
          <cell r="D1239">
            <v>46356</v>
          </cell>
        </row>
        <row r="1240">
          <cell r="A1240" t="str">
            <v>WBM-70029</v>
          </cell>
          <cell r="B1240" t="str">
            <v>ראש העין</v>
          </cell>
          <cell r="C1240" t="str">
            <v>ראש העין-התקנת סוללות קבלים עבור שנאי 521</v>
          </cell>
          <cell r="D1240">
            <v>46598</v>
          </cell>
        </row>
        <row r="1241">
          <cell r="A1241" t="str">
            <v>WBM-01280</v>
          </cell>
          <cell r="B1241" t="str">
            <v>ראש העין</v>
          </cell>
          <cell r="C1241" t="str">
            <v>ראש העין -שיפור לוגיקת סלילי כיבוי</v>
          </cell>
          <cell r="D1241">
            <v>46326</v>
          </cell>
        </row>
        <row r="1242">
          <cell r="A1242" t="str">
            <v>WBM-10047</v>
          </cell>
          <cell r="B1242" t="str">
            <v>ראש העין</v>
          </cell>
          <cell r="C1242" t="str">
            <v>ראש העין - התקנת רושם הפרעות</v>
          </cell>
          <cell r="D1242">
            <v>46203</v>
          </cell>
        </row>
        <row r="1243">
          <cell r="A1243" t="str">
            <v>WBM-60102</v>
          </cell>
          <cell r="B1243" t="str">
            <v>ראש העין</v>
          </cell>
          <cell r="C1243" t="str">
            <v>ראש העין - החלפת משאבת כיבוי אש ראשית</v>
          </cell>
          <cell r="D1243">
            <v>45214</v>
          </cell>
        </row>
        <row r="1244">
          <cell r="A1244" t="str">
            <v>WBM-10267</v>
          </cell>
          <cell r="B1244" t="str">
            <v>ראש העין</v>
          </cell>
          <cell r="C1244" t="str">
            <v>ראש העין - החלפת שנאי בית</v>
          </cell>
          <cell r="D1244">
            <v>44650</v>
          </cell>
        </row>
        <row r="1245">
          <cell r="A1245" t="str">
            <v>WBM-01420</v>
          </cell>
          <cell r="B1245" t="str">
            <v>ראש העין</v>
          </cell>
          <cell r="C1245" t="str">
            <v>ראש העין-יישום השלת עומס בזרם בממסר קיים</v>
          </cell>
          <cell r="D1245">
            <v>43993</v>
          </cell>
        </row>
        <row r="1246">
          <cell r="A1246" t="str">
            <v>WBG-001-011</v>
          </cell>
          <cell r="B1246" t="str">
            <v>ראש העין</v>
          </cell>
          <cell r="C1246" t="str">
            <v>ראש העין-הקמת רשת מחשבים תפעולית</v>
          </cell>
          <cell r="D1246">
            <v>40998</v>
          </cell>
        </row>
        <row r="1247">
          <cell r="A1247">
            <v>51040058</v>
          </cell>
          <cell r="B1247" t="str">
            <v>ראש העין</v>
          </cell>
          <cell r="C1247" t="str">
            <v>ראש העין-שדרוג מערכת פיקוד ובקרה</v>
          </cell>
          <cell r="D1247">
            <v>42551</v>
          </cell>
        </row>
        <row r="1248">
          <cell r="A1248">
            <v>539721</v>
          </cell>
          <cell r="B1248" t="str">
            <v>ראש העין</v>
          </cell>
          <cell r="C1248" t="str">
            <v>ראש העין-התקנת מאווררים בארונות פיקוד</v>
          </cell>
          <cell r="D1248">
            <v>40311</v>
          </cell>
        </row>
        <row r="1249">
          <cell r="A1249" t="str">
            <v>WBG-001-012</v>
          </cell>
          <cell r="B1249" t="str">
            <v>ראש העין</v>
          </cell>
          <cell r="C1249" t="str">
            <v>ראש העין-החלפת מערכת התראה בטחונית</v>
          </cell>
          <cell r="D1249">
            <v>41789</v>
          </cell>
        </row>
        <row r="1250">
          <cell r="A1250" t="str">
            <v>WBG-001-013</v>
          </cell>
          <cell r="B1250" t="str">
            <v>ראש העין</v>
          </cell>
          <cell r="C1250" t="str">
            <v>ראש העין-הקשחות אבטחת מידע במחשב</v>
          </cell>
          <cell r="D1250">
            <v>40605</v>
          </cell>
        </row>
        <row r="1251">
          <cell r="A1251" t="str">
            <v>WBG-001-005</v>
          </cell>
          <cell r="B1251" t="str">
            <v>ראש העין</v>
          </cell>
          <cell r="C1251" t="str">
            <v>ראש העין-התקנת 3 ס"ק  5*2 מגווא"ר כ"א</v>
          </cell>
          <cell r="D1251">
            <v>41126</v>
          </cell>
        </row>
        <row r="1252">
          <cell r="A1252" t="str">
            <v>WBM-10315-056</v>
          </cell>
          <cell r="B1252" t="str">
            <v>ראש העין</v>
          </cell>
          <cell r="C1252" t="str">
            <v>ראש העין- התקנת מזגנים</v>
          </cell>
          <cell r="D1252">
            <v>46721</v>
          </cell>
        </row>
        <row r="1253">
          <cell r="A1253" t="str">
            <v>WBM-40295-020</v>
          </cell>
          <cell r="B1253" t="str">
            <v>ראש העין</v>
          </cell>
          <cell r="C1253" t="str">
            <v>ראש העין -החלפת  2סוללות מצברים 2021</v>
          </cell>
          <cell r="D1253">
            <v>45575</v>
          </cell>
        </row>
        <row r="1254">
          <cell r="A1254" t="str">
            <v>WBM-60107-023</v>
          </cell>
          <cell r="B1254" t="str">
            <v>ראש העין</v>
          </cell>
          <cell r="C1254" t="str">
            <v>ראש העין - החלפת מנעולים אלק.מגנטיים באל</v>
          </cell>
          <cell r="D1254">
            <v>45627</v>
          </cell>
        </row>
        <row r="1255">
          <cell r="A1255" t="str">
            <v>WBM-60130-003</v>
          </cell>
          <cell r="B1255" t="str">
            <v>ראש העין</v>
          </cell>
          <cell r="C1255" t="str">
            <v>ראש העין - התקנת מפסק פטריה להפסקת מערכת החשמל בחירום</v>
          </cell>
          <cell r="D1255">
            <v>46568</v>
          </cell>
        </row>
        <row r="1256">
          <cell r="A1256" t="str">
            <v>WBM-00885-122</v>
          </cell>
          <cell r="B1256" t="str">
            <v>ראש העין</v>
          </cell>
          <cell r="C1256" t="str">
            <v>ראש העין - תיקון מערכת מיים</v>
          </cell>
          <cell r="D1256">
            <v>45693</v>
          </cell>
        </row>
        <row r="1257">
          <cell r="A1257" t="str">
            <v>WBM-80024-005</v>
          </cell>
          <cell r="B1257" t="str">
            <v>ראש העין</v>
          </cell>
          <cell r="C1257" t="str">
            <v>ראש העין - החלפה והרחבה של מערכת ה RTU</v>
          </cell>
          <cell r="D1257">
            <v>46386</v>
          </cell>
        </row>
        <row r="1258">
          <cell r="A1258" t="str">
            <v>WBM-60205-017</v>
          </cell>
          <cell r="B1258" t="str">
            <v>ראש העין</v>
          </cell>
          <cell r="C1258" t="str">
            <v>ראש העין - ניטור הצפות</v>
          </cell>
          <cell r="D1258">
            <v>46175</v>
          </cell>
        </row>
        <row r="1259">
          <cell r="A1259" t="str">
            <v>WBM-10775</v>
          </cell>
          <cell r="B1259" t="str">
            <v>ראש העין</v>
          </cell>
          <cell r="C1259" t="str">
            <v>ראש העין - חיבור מסדרי אפס של שנאים 524, 523, 522, 521 בצורה ישירה לשנאים</v>
          </cell>
          <cell r="D1259">
            <v>46752</v>
          </cell>
        </row>
        <row r="1260">
          <cell r="A1260" t="str">
            <v>WBM-40639</v>
          </cell>
          <cell r="B1260" t="str">
            <v>ראש העין</v>
          </cell>
          <cell r="C1260" t="str">
            <v>ראש העין-הארכת פס צבירה כפול 161 ק''ו</v>
          </cell>
          <cell r="D1260">
            <v>46203</v>
          </cell>
        </row>
        <row r="1261">
          <cell r="A1261" t="str">
            <v>WBC-217</v>
          </cell>
          <cell r="B1261" t="str">
            <v>קרני שומרון</v>
          </cell>
          <cell r="C1261" t="str">
            <v>קרני שומרון-הקמת תחמ"ש חיצונית 161/36 ק"ו</v>
          </cell>
          <cell r="D1261">
            <v>48152</v>
          </cell>
        </row>
        <row r="1262">
          <cell r="A1262" t="str">
            <v>HIS-020</v>
          </cell>
          <cell r="B1262" t="str">
            <v>קרית שמונה</v>
          </cell>
          <cell r="C1262" t="str">
            <v>קרית שמונה</v>
          </cell>
          <cell r="D1262">
            <v>40908</v>
          </cell>
        </row>
        <row r="1263">
          <cell r="A1263" t="str">
            <v>WBE-231</v>
          </cell>
          <cell r="B1263" t="str">
            <v>קרית שמונה</v>
          </cell>
          <cell r="C1263" t="str">
            <v>קרית שמונה-התקנת שנאי שלישי 50 מגוו"א וסוללת קבלים מ"ג 2*5 מגווא"ר.</v>
          </cell>
          <cell r="D1263">
            <v>47848</v>
          </cell>
        </row>
        <row r="1264">
          <cell r="A1264" t="str">
            <v>WBM-00352</v>
          </cell>
          <cell r="B1264" t="str">
            <v>קרית שמונה</v>
          </cell>
          <cell r="C1264" t="str">
            <v>קרית שמונה- פירוק והתקנת 2 סוללות קבלים 24 ק"ו, 5*2 מגווא"ר כ"א, לשנאים 521, 522</v>
          </cell>
          <cell r="D1264">
            <v>46295</v>
          </cell>
        </row>
        <row r="1265">
          <cell r="A1265" t="str">
            <v>WBM-10050</v>
          </cell>
          <cell r="B1265" t="str">
            <v>קרית שמונה</v>
          </cell>
          <cell r="C1265" t="str">
            <v>קרית שמונה-התקנת רושם הפרעות 161 ק"ו</v>
          </cell>
          <cell r="D1265">
            <v>46568</v>
          </cell>
        </row>
        <row r="1266">
          <cell r="A1266" t="str">
            <v>WBM-10262</v>
          </cell>
          <cell r="B1266" t="str">
            <v>קרית שמונה</v>
          </cell>
          <cell r="C1266" t="str">
            <v>קרית שמונה-משיק לצחר7-הוספת הגנה דיפ.ש9</v>
          </cell>
          <cell r="D1266">
            <v>46356</v>
          </cell>
        </row>
        <row r="1267">
          <cell r="A1267" t="str">
            <v>WBM-01231</v>
          </cell>
          <cell r="B1267" t="str">
            <v>קרית שמונה</v>
          </cell>
          <cell r="C1267" t="str">
            <v>קרית שמונה-שיפור אוטמטיקת סלילי הכיבוי</v>
          </cell>
          <cell r="D1267">
            <v>43009</v>
          </cell>
        </row>
        <row r="1268">
          <cell r="A1268" t="str">
            <v>WBM-01439</v>
          </cell>
          <cell r="B1268" t="str">
            <v>קרית שמונה</v>
          </cell>
          <cell r="C1268" t="str">
            <v>קרית שמונה -בוטל- הוספת מזרקי זרם</v>
          </cell>
          <cell r="D1268">
            <v>43693</v>
          </cell>
        </row>
        <row r="1269">
          <cell r="A1269" t="str">
            <v>WBM-10298</v>
          </cell>
          <cell r="B1269" t="str">
            <v>קרית שמונה</v>
          </cell>
          <cell r="C1269" t="str">
            <v>קרית שמונה-בוטל-הת' תייל'-מהד'-פ'WBO-013</v>
          </cell>
          <cell r="D1269">
            <v>44593</v>
          </cell>
        </row>
        <row r="1270">
          <cell r="A1270" t="str">
            <v>WBM-10085</v>
          </cell>
          <cell r="B1270" t="str">
            <v>קרית שמונה</v>
          </cell>
          <cell r="C1270" t="str">
            <v>קרית שמונה-בוטל-החלפת גשרי דיודות</v>
          </cell>
          <cell r="D1270">
            <v>43768</v>
          </cell>
        </row>
        <row r="1271">
          <cell r="A1271" t="str">
            <v>WBM-60033</v>
          </cell>
          <cell r="B1271" t="str">
            <v>קרית שמונה</v>
          </cell>
          <cell r="C1271" t="str">
            <v>קרית שמונה - בוטל-החלפת מערכות גילוי אש</v>
          </cell>
          <cell r="D1271">
            <v>43864</v>
          </cell>
        </row>
        <row r="1272">
          <cell r="A1272" t="str">
            <v>WBM-00130</v>
          </cell>
          <cell r="B1272" t="str">
            <v>קרית שמונה</v>
          </cell>
          <cell r="C1272" t="str">
            <v>קרית שמונה-בוטל- התקנת מערכת טמ"ס</v>
          </cell>
          <cell r="D1272">
            <v>41912</v>
          </cell>
        </row>
        <row r="1273">
          <cell r="A1273">
            <v>522915</v>
          </cell>
          <cell r="B1273" t="str">
            <v>קרית שמונה</v>
          </cell>
          <cell r="C1273" t="str">
            <v>קרית שמונה-התקנת מאווררים בארונות פיקוד</v>
          </cell>
          <cell r="D1273">
            <v>40311</v>
          </cell>
        </row>
        <row r="1274">
          <cell r="A1274" t="str">
            <v>WBG-098-008</v>
          </cell>
          <cell r="B1274" t="str">
            <v>קרית שמונה</v>
          </cell>
          <cell r="C1274" t="str">
            <v>קרית שמונה-התקנת מערכת התראה בטחונית</v>
          </cell>
          <cell r="D1274">
            <v>41455</v>
          </cell>
        </row>
        <row r="1275">
          <cell r="A1275" t="str">
            <v>WBG-098-010</v>
          </cell>
          <cell r="B1275" t="str">
            <v>קרית שמונה</v>
          </cell>
          <cell r="C1275" t="str">
            <v>קרית שמונה-החלפת 2 סלילי כיבוי ל-300 א'</v>
          </cell>
          <cell r="D1275">
            <v>41563</v>
          </cell>
        </row>
        <row r="1276">
          <cell r="A1276" t="str">
            <v>WBM-10542</v>
          </cell>
          <cell r="B1276" t="str">
            <v>קרית שמונה</v>
          </cell>
          <cell r="C1276" t="str">
            <v>קרית שמונה- שדה 5, התקנת הגנה דיפרנציאלית P545SCHNEIDER, משיק לחולה שדה 10</v>
          </cell>
          <cell r="D1276">
            <v>46295</v>
          </cell>
        </row>
        <row r="1277">
          <cell r="A1277" t="str">
            <v>WBM-10456-023</v>
          </cell>
          <cell r="B1277" t="str">
            <v>קרית שמונה</v>
          </cell>
          <cell r="C1277" t="str">
            <v>קרית שמונה- הוספת מתמרים ב-2 פ"צ</v>
          </cell>
          <cell r="D1277">
            <v>46752</v>
          </cell>
        </row>
        <row r="1278">
          <cell r="A1278" t="str">
            <v>WBM-60008-051</v>
          </cell>
          <cell r="B1278" t="str">
            <v>קרית שמונה</v>
          </cell>
          <cell r="C1278" t="str">
            <v>קרית שמונה -  התקנת מערכת מיגון בתחמ"ש</v>
          </cell>
          <cell r="D1278">
            <v>46009</v>
          </cell>
        </row>
        <row r="1279">
          <cell r="A1279" t="str">
            <v>WBM-60092-005</v>
          </cell>
          <cell r="B1279" t="str">
            <v>קרית שמונה</v>
          </cell>
          <cell r="C1279" t="str">
            <v>קרית שמונה- בדיקות/טיפול/פינוי מכלי אש ב</v>
          </cell>
          <cell r="D1279">
            <v>46173</v>
          </cell>
        </row>
        <row r="1280">
          <cell r="A1280" t="str">
            <v>WBM-60107-039</v>
          </cell>
          <cell r="B1280" t="str">
            <v>קרית שמונה</v>
          </cell>
          <cell r="C1280" t="str">
            <v>קרית שמונה - החלפת מנעולים אלק.מגנטיים ב</v>
          </cell>
          <cell r="D1280">
            <v>45664</v>
          </cell>
        </row>
        <row r="1281">
          <cell r="A1281" t="str">
            <v>WBM-60118-034</v>
          </cell>
          <cell r="B1281" t="str">
            <v>קרית שמונה</v>
          </cell>
          <cell r="C1281" t="str">
            <v>קרית שמונה - שיפור מערכת הארקה</v>
          </cell>
          <cell r="D1281">
            <v>46387</v>
          </cell>
        </row>
        <row r="1282">
          <cell r="A1282" t="str">
            <v>WBM-80002-037</v>
          </cell>
          <cell r="B1282" t="str">
            <v>קרית שמונה</v>
          </cell>
          <cell r="C1282" t="str">
            <v>קרית שמונה - הסבות</v>
          </cell>
          <cell r="D1282">
            <v>45899</v>
          </cell>
        </row>
        <row r="1283">
          <cell r="A1283" t="str">
            <v>WBM-60129</v>
          </cell>
          <cell r="B1283" t="str">
            <v>קרית שמונה</v>
          </cell>
          <cell r="C1283" t="str">
            <v>קרית שמונה - עיגון ארונות פיקוד ושנאים</v>
          </cell>
          <cell r="D1283">
            <v>46387</v>
          </cell>
        </row>
        <row r="1284">
          <cell r="A1284" t="str">
            <v>WBM-60130-043</v>
          </cell>
          <cell r="B1284" t="str">
            <v>קרית שמונה</v>
          </cell>
          <cell r="C1284" t="str">
            <v>קרית שמונה - התקנת מפסק פטריה להפסקת מערכת החשמל בחירום</v>
          </cell>
        </row>
        <row r="1285">
          <cell r="A1285" t="str">
            <v>WBE-276</v>
          </cell>
          <cell r="B1285" t="str">
            <v>קרית שמונה</v>
          </cell>
          <cell r="C1285" t="str">
            <v>קרית שמונה- מתקן אגירת אנרגיה בסוללות</v>
          </cell>
          <cell r="D1285">
            <v>46387</v>
          </cell>
        </row>
        <row r="1286">
          <cell r="A1286" t="str">
            <v>WBM-60205-031</v>
          </cell>
          <cell r="B1286" t="str">
            <v>קרית שמונה</v>
          </cell>
          <cell r="C1286" t="str">
            <v>קרית שמונה - ניטור הצפות</v>
          </cell>
          <cell r="D1286">
            <v>46175</v>
          </cell>
        </row>
        <row r="1287">
          <cell r="A1287" t="str">
            <v>WBM-60116-061</v>
          </cell>
          <cell r="B1287" t="str">
            <v>קרית שמונה</v>
          </cell>
          <cell r="C1287" t="str">
            <v>קריית שמונה - מערכת גילוי וכיבוי אש אוטומטית CERBERUS</v>
          </cell>
          <cell r="D1287">
            <v>46387</v>
          </cell>
        </row>
        <row r="1288">
          <cell r="A1288" t="str">
            <v>WBM-00885-157</v>
          </cell>
          <cell r="B1288" t="str">
            <v>קרית שמונה</v>
          </cell>
          <cell r="C1288" t="str">
            <v>קריית שמונה- החלפת מזח בתחמ"ש</v>
          </cell>
          <cell r="D1288">
            <v>46387</v>
          </cell>
        </row>
        <row r="1289">
          <cell r="A1289" t="str">
            <v>WBM-10823</v>
          </cell>
          <cell r="B1289" t="str">
            <v>קרית שמונה</v>
          </cell>
          <cell r="C1289" t="str">
            <v>קריית שמונה ש' 9- משיק לתחמ"ש צחר ש' 7- הוספת הגנה דיפ' ויישום תקשורת אופטית</v>
          </cell>
          <cell r="D1289">
            <v>46356</v>
          </cell>
        </row>
        <row r="1290">
          <cell r="A1290" t="str">
            <v>WBC-042</v>
          </cell>
          <cell r="B1290" t="str">
            <v>קרית משה(רחובות מערב)</v>
          </cell>
          <cell r="C1290" t="str">
            <v>קרית משה- הקמת תחn"ש פנימית  161/24 3*50</v>
          </cell>
          <cell r="D1290">
            <v>45644</v>
          </cell>
        </row>
        <row r="1291">
          <cell r="A1291" t="str">
            <v>WBM-00735</v>
          </cell>
          <cell r="B1291" t="str">
            <v>קרית משה(רחובות מערב)</v>
          </cell>
          <cell r="C1291" t="str">
            <v>קרית משה-בוטל-התקנת 2 ס"ק 5*2</v>
          </cell>
          <cell r="D1291">
            <v>36164</v>
          </cell>
        </row>
        <row r="1292">
          <cell r="A1292" t="str">
            <v>WBM-10570</v>
          </cell>
          <cell r="B1292" t="str">
            <v>קרית משה(רחובות מערב)</v>
          </cell>
          <cell r="C1292" t="str">
            <v>קרית משה -משיק לתחמ"ש סתריה שדה 7. יישום דרך קשר אופטית בין הגנות בשדה 1</v>
          </cell>
          <cell r="D1292">
            <v>45808</v>
          </cell>
        </row>
        <row r="1293">
          <cell r="A1293" t="str">
            <v>WBM-10572</v>
          </cell>
          <cell r="B1293" t="str">
            <v>קרית משה(רחובות מערב)</v>
          </cell>
          <cell r="C1293" t="str">
            <v>קרית משה ,משיק לתחמ"ש גאליה שדה 1, יישום דרך קשר אופטית בין הגנות בשדה 5</v>
          </cell>
          <cell r="D1293">
            <v>45808</v>
          </cell>
        </row>
        <row r="1294">
          <cell r="A1294">
            <v>900002</v>
          </cell>
          <cell r="B1294" t="str">
            <v>קרית המודיעין-פרטית</v>
          </cell>
          <cell r="C1294" t="str">
            <v>קרית המודיעין- הקמת תחמ"ש פרטית</v>
          </cell>
          <cell r="D1294">
            <v>46387</v>
          </cell>
        </row>
        <row r="1295">
          <cell r="A1295" t="str">
            <v>WBE-232</v>
          </cell>
          <cell r="B1295" t="str">
            <v>קרית המודיעין- חח"י</v>
          </cell>
          <cell r="C1295" t="str">
            <v>קרית המודיעין-הת' 2 שנאים 161/24ק'50 מגוו"א כ"א וסוללות קבלים</v>
          </cell>
          <cell r="D1295">
            <v>46387</v>
          </cell>
        </row>
        <row r="1296">
          <cell r="A1296" t="str">
            <v>WBM-60131-024</v>
          </cell>
          <cell r="B1296" t="str">
            <v>קרית המודיעין- חח"י</v>
          </cell>
          <cell r="C1296" t="str">
            <v>קרית המודיעין - טיפול באופיין מים</v>
          </cell>
          <cell r="D1296">
            <v>46387</v>
          </cell>
        </row>
        <row r="1297">
          <cell r="A1297" t="str">
            <v>HIS-019</v>
          </cell>
          <cell r="B1297" t="str">
            <v>קרית הלאום</v>
          </cell>
          <cell r="C1297" t="str">
            <v>קרית הלאום</v>
          </cell>
          <cell r="D1297">
            <v>40908</v>
          </cell>
        </row>
        <row r="1298">
          <cell r="A1298" t="str">
            <v>WBM-00753</v>
          </cell>
          <cell r="B1298" t="str">
            <v>קרית הלאום</v>
          </cell>
          <cell r="C1298" t="str">
            <v>קרית הלאום-הקמת טבעת 200N OM</v>
          </cell>
          <cell r="D1298">
            <v>41094</v>
          </cell>
        </row>
        <row r="1299">
          <cell r="A1299" t="str">
            <v>HIS-197</v>
          </cell>
          <cell r="B1299" t="str">
            <v>קרית הלאום</v>
          </cell>
          <cell r="C1299" t="str">
            <v>קרית הלאום-התקנת 4 ס"ק 3*2 מגווא"ר כ"א</v>
          </cell>
          <cell r="D1299">
            <v>43689</v>
          </cell>
        </row>
        <row r="1300">
          <cell r="A1300" t="str">
            <v>WBE-086</v>
          </cell>
          <cell r="B1300" t="str">
            <v>קרית הלאום</v>
          </cell>
          <cell r="C1300" t="str">
            <v>קרית הלאום-התקנת שנאי שלישי 56 מגוו"א</v>
          </cell>
          <cell r="D1300">
            <v>44571</v>
          </cell>
        </row>
        <row r="1301">
          <cell r="A1301" t="str">
            <v>WBM-00732</v>
          </cell>
          <cell r="B1301" t="str">
            <v>קרית הלאום</v>
          </cell>
          <cell r="C1301" t="str">
            <v>קרית הלאום-התקנת 6 ס"ק 3*2 מגווא"ר כ"א</v>
          </cell>
          <cell r="D1301">
            <v>45199</v>
          </cell>
        </row>
        <row r="1302">
          <cell r="A1302" t="str">
            <v>WBM-10052</v>
          </cell>
          <cell r="B1302" t="str">
            <v>קרית הלאום</v>
          </cell>
          <cell r="C1302" t="str">
            <v>קרית הלאום-התקנת רושם הפרעות 161 ק"ו</v>
          </cell>
          <cell r="D1302">
            <v>46477</v>
          </cell>
        </row>
        <row r="1303">
          <cell r="A1303" t="str">
            <v>WBM-40142</v>
          </cell>
          <cell r="B1303" t="str">
            <v>קרית הלאום</v>
          </cell>
          <cell r="C1303" t="str">
            <v>קרית הלאום - החלפת מערכת פקוד מסדר scs</v>
          </cell>
          <cell r="D1303">
            <v>46096</v>
          </cell>
        </row>
        <row r="1304">
          <cell r="A1304" t="str">
            <v>WBG-097-010</v>
          </cell>
          <cell r="B1304" t="str">
            <v>קרית הלאום</v>
          </cell>
          <cell r="C1304" t="str">
            <v>קרית הלאום-התקנת מערכת טמ"ס</v>
          </cell>
          <cell r="D1304">
            <v>41274</v>
          </cell>
        </row>
        <row r="1305">
          <cell r="A1305" t="str">
            <v>WBG-097-006</v>
          </cell>
          <cell r="B1305" t="str">
            <v>קרית הלאום</v>
          </cell>
          <cell r="C1305" t="str">
            <v>קרית הלאום-הקמת רשת מחשבים תפעולית</v>
          </cell>
          <cell r="D1305">
            <v>41198</v>
          </cell>
        </row>
        <row r="1306">
          <cell r="A1306" t="str">
            <v>WBM-40209</v>
          </cell>
          <cell r="B1306" t="str">
            <v>קרית הלאום</v>
          </cell>
          <cell r="C1306" t="str">
            <v>קרית הלאום-החלפת טרפו גרד ל-2 שנאים</v>
          </cell>
          <cell r="D1306">
            <v>43152</v>
          </cell>
        </row>
        <row r="1307">
          <cell r="A1307">
            <v>549208</v>
          </cell>
          <cell r="B1307" t="str">
            <v>קרית הלאום</v>
          </cell>
          <cell r="C1307" t="str">
            <v>קרית הלאום-החלפת מערכת התראה ביטחונית</v>
          </cell>
          <cell r="D1307">
            <v>40024</v>
          </cell>
        </row>
        <row r="1308">
          <cell r="A1308" t="str">
            <v>WBE-194</v>
          </cell>
          <cell r="B1308" t="str">
            <v>קרית הלאום</v>
          </cell>
          <cell r="C1308" t="str">
            <v>קרית הלאום-משיק wbo-122-הרחבת מסדר פנימי 161 ק"ו ב-3 שדות מ"ע , 2שדות קווים למעגלים מתחמ"ג ירושלים</v>
          </cell>
          <cell r="D1308">
            <v>47299</v>
          </cell>
        </row>
        <row r="1309">
          <cell r="A1309" t="str">
            <v>WBM-10573</v>
          </cell>
          <cell r="B1309" t="str">
            <v>קרית הלאום</v>
          </cell>
          <cell r="C1309" t="str">
            <v>קרית הלאום – שדרוג תאים במסדרי מ"ג ליכולת 600 א'.</v>
          </cell>
          <cell r="D1309">
            <v>45776</v>
          </cell>
        </row>
        <row r="1310">
          <cell r="A1310" t="str">
            <v>WBM-10315-048</v>
          </cell>
          <cell r="B1310" t="str">
            <v>קרית הלאום</v>
          </cell>
          <cell r="C1310" t="str">
            <v>קרית הלאום- התקנת מזגנים</v>
          </cell>
          <cell r="D1310">
            <v>46721</v>
          </cell>
        </row>
        <row r="1311">
          <cell r="A1311" t="str">
            <v>WBM-10484-001</v>
          </cell>
          <cell r="B1311" t="str">
            <v>קרית הלאום</v>
          </cell>
          <cell r="C1311" t="str">
            <v>קרית הלאום- בוטל-שדרוג יכולת קו מ"ג ל 600 א'</v>
          </cell>
          <cell r="D1311">
            <v>45292</v>
          </cell>
        </row>
        <row r="1312">
          <cell r="A1312" t="str">
            <v>WBM-40479-043</v>
          </cell>
          <cell r="B1312" t="str">
            <v>קרית הלאום</v>
          </cell>
          <cell r="C1312" t="str">
            <v>קרית הלאום- החלפת 2 בקרי טמפ' וגובה שמן</v>
          </cell>
          <cell r="D1312">
            <v>47117</v>
          </cell>
        </row>
        <row r="1313">
          <cell r="A1313" t="str">
            <v>WBM-80002-036</v>
          </cell>
          <cell r="B1313" t="str">
            <v>קרית הלאום</v>
          </cell>
          <cell r="C1313" t="str">
            <v>קרית הלאום - הסבות</v>
          </cell>
          <cell r="D1313">
            <v>46007</v>
          </cell>
        </row>
        <row r="1314">
          <cell r="A1314" t="str">
            <v>WBM-80014-017</v>
          </cell>
          <cell r="B1314" t="str">
            <v>קרית הלאום</v>
          </cell>
          <cell r="C1314" t="str">
            <v>קרית הלאום - שדרוג SCS - גרסת  Wizcon</v>
          </cell>
          <cell r="D1314">
            <v>46050</v>
          </cell>
        </row>
        <row r="1315">
          <cell r="A1315" t="str">
            <v>WBM-60205-019</v>
          </cell>
          <cell r="B1315" t="str">
            <v>קרית הלאום</v>
          </cell>
          <cell r="C1315" t="str">
            <v>קרית הלאום - ניטור הצפות</v>
          </cell>
          <cell r="D1315">
            <v>46175</v>
          </cell>
        </row>
        <row r="1316">
          <cell r="A1316" t="str">
            <v>WBM-01341-045</v>
          </cell>
          <cell r="B1316" t="str">
            <v>קרית הלאום</v>
          </cell>
          <cell r="C1316" t="str">
            <v>קרית הלאום -שיפוץ מסדר GIS</v>
          </cell>
          <cell r="D1316">
            <v>47664</v>
          </cell>
        </row>
        <row r="1317">
          <cell r="A1317" t="str">
            <v>WBM-60092-052</v>
          </cell>
          <cell r="B1317" t="str">
            <v>קרית הלאום</v>
          </cell>
          <cell r="C1317" t="str">
            <v>קרית הלאום - בדיקות/טיפול/פינוי מכלי אש בגז</v>
          </cell>
          <cell r="D1317">
            <v>46264</v>
          </cell>
        </row>
        <row r="1318">
          <cell r="A1318" t="str">
            <v>WBM-60131-006</v>
          </cell>
          <cell r="B1318" t="str">
            <v>קרית הלאום</v>
          </cell>
          <cell r="C1318" t="str">
            <v>קריית הלאום- טיפול באופיין  מים</v>
          </cell>
          <cell r="D1318">
            <v>46203</v>
          </cell>
        </row>
        <row r="1319">
          <cell r="A1319" t="str">
            <v>HIS-018</v>
          </cell>
          <cell r="B1319" t="str">
            <v>קרית גת (אינטל)</v>
          </cell>
          <cell r="C1319" t="str">
            <v>קרית גת (אינטל)</v>
          </cell>
          <cell r="D1319">
            <v>40908</v>
          </cell>
        </row>
        <row r="1320">
          <cell r="A1320" t="str">
            <v>WBE-215</v>
          </cell>
          <cell r="B1320" t="str">
            <v>קרית גת (אינטל)</v>
          </cell>
          <cell r="C1320" t="str">
            <v>קרית גת-התקנת שנאי רביעי161/24ק"ו 50מו"א</v>
          </cell>
          <cell r="D1320">
            <v>47483</v>
          </cell>
        </row>
        <row r="1321">
          <cell r="A1321" t="str">
            <v>WBE-109</v>
          </cell>
          <cell r="B1321" t="str">
            <v>קרית גת (אינטל)</v>
          </cell>
          <cell r="C1321" t="str">
            <v>קרית גת-הוספת שנאי שלישי 50 מגוו"א מספר 528</v>
          </cell>
          <cell r="D1321">
            <v>45466</v>
          </cell>
        </row>
        <row r="1322">
          <cell r="A1322" t="str">
            <v>WBE-097</v>
          </cell>
          <cell r="B1322" t="str">
            <v>קרית גת (אינטל)</v>
          </cell>
          <cell r="C1322" t="str">
            <v>קרית גת-הוספת 2 שד קוים 3 ו-15 -wbo597</v>
          </cell>
          <cell r="D1322">
            <v>44690</v>
          </cell>
        </row>
        <row r="1323">
          <cell r="A1323" t="str">
            <v>WBM-00578</v>
          </cell>
          <cell r="B1323" t="str">
            <v>קרית גת (אינטל)</v>
          </cell>
          <cell r="C1323" t="str">
            <v>קרית גת-הזנת תאורת חירום ז"י</v>
          </cell>
          <cell r="D1323">
            <v>46751</v>
          </cell>
        </row>
        <row r="1324">
          <cell r="A1324" t="str">
            <v>WBM-40123</v>
          </cell>
          <cell r="B1324" t="str">
            <v>קרית גת (אינטל)</v>
          </cell>
          <cell r="C1324" t="str">
            <v>קרית גת - החלפת הגנות מ"ג</v>
          </cell>
          <cell r="D1324">
            <v>46751</v>
          </cell>
        </row>
        <row r="1325">
          <cell r="A1325" t="str">
            <v>WBM-60095</v>
          </cell>
          <cell r="B1325" t="str">
            <v>קרית גת (אינטל)</v>
          </cell>
          <cell r="C1325" t="str">
            <v>קרית גת -משטר עבודה של מפוחים להוצאת עשן</v>
          </cell>
          <cell r="D1325">
            <v>46842</v>
          </cell>
        </row>
        <row r="1326">
          <cell r="A1326" t="str">
            <v>WBM-10142</v>
          </cell>
          <cell r="B1326" t="str">
            <v>קרית גת (אינטל)</v>
          </cell>
          <cell r="C1326" t="str">
            <v>קרית גת - התקנת מתמרים ב-2 פ"צ</v>
          </cell>
          <cell r="D1326">
            <v>46629</v>
          </cell>
        </row>
        <row r="1327">
          <cell r="A1327" t="str">
            <v>WBM-10385</v>
          </cell>
          <cell r="B1327" t="str">
            <v>קרית גת (אינטל)</v>
          </cell>
          <cell r="C1327" t="str">
            <v>קרית גת -שינוי תצורת מעגלי זרם להגנת פ"צ</v>
          </cell>
          <cell r="D1327">
            <v>45261</v>
          </cell>
        </row>
        <row r="1328">
          <cell r="A1328" t="str">
            <v>WBM-01445</v>
          </cell>
          <cell r="B1328" t="str">
            <v>קרית גת (אינטל)</v>
          </cell>
          <cell r="C1328" t="str">
            <v>קרית גת-החלפת ציוד בשדות 5, 13 ומקשר</v>
          </cell>
          <cell r="D1328">
            <v>46326</v>
          </cell>
        </row>
        <row r="1329">
          <cell r="A1329" t="str">
            <v>WBM-80010</v>
          </cell>
          <cell r="B1329" t="str">
            <v>קרית גת (אינטל)</v>
          </cell>
          <cell r="C1329" t="str">
            <v>קרית גת-הנחת סיב אופטי לכיוון אינטל 2</v>
          </cell>
          <cell r="D1329">
            <v>44941</v>
          </cell>
        </row>
        <row r="1330">
          <cell r="A1330" t="str">
            <v>WBM-40501</v>
          </cell>
          <cell r="B1330" t="str">
            <v>קרית גת (אינטל)</v>
          </cell>
          <cell r="C1330" t="str">
            <v>קרית גת (אינטל) -שד. scs, הרחבת הג.פ"צ</v>
          </cell>
          <cell r="D1330">
            <v>44854</v>
          </cell>
        </row>
        <row r="1331">
          <cell r="A1331" t="str">
            <v>WBM-10066</v>
          </cell>
          <cell r="B1331" t="str">
            <v>קרית גת (אינטל)</v>
          </cell>
          <cell r="C1331" t="str">
            <v>קרית גת - שיפור אוטומטיקת סלילי כיבוי</v>
          </cell>
          <cell r="D1331">
            <v>43888</v>
          </cell>
        </row>
        <row r="1332">
          <cell r="A1332" t="str">
            <v>WBM-01131</v>
          </cell>
          <cell r="B1332" t="str">
            <v>קרית גת (אינטל)</v>
          </cell>
          <cell r="C1332" t="str">
            <v>קרית גת - החלפת הגנת מ"ע בשדות 5 ו-13</v>
          </cell>
          <cell r="D1332">
            <v>43768</v>
          </cell>
        </row>
        <row r="1333">
          <cell r="A1333" t="str">
            <v>WBM-00918</v>
          </cell>
          <cell r="B1333" t="str">
            <v>קרית גת (אינטל)</v>
          </cell>
          <cell r="C1333" t="str">
            <v>קרית גת-השלמת רושם הפרעות</v>
          </cell>
          <cell r="D1333">
            <v>43615</v>
          </cell>
        </row>
        <row r="1334">
          <cell r="A1334" t="str">
            <v>WBG-096-010</v>
          </cell>
          <cell r="B1334" t="str">
            <v>קרית גת (אינטל)</v>
          </cell>
          <cell r="C1334" t="str">
            <v>קרית גת-פתרון בעית חיבור לא מבוקר-ממסרים</v>
          </cell>
          <cell r="D1334">
            <v>41638</v>
          </cell>
        </row>
        <row r="1335">
          <cell r="A1335" t="str">
            <v>WBG-096-007</v>
          </cell>
          <cell r="B1335" t="str">
            <v>קרית גת (אינטל)</v>
          </cell>
          <cell r="C1335" t="str">
            <v>קרית גת-הקמת רשת מחשבים תפעולית</v>
          </cell>
          <cell r="D1335">
            <v>41090</v>
          </cell>
        </row>
        <row r="1336">
          <cell r="A1336" t="str">
            <v>WBG-096-006</v>
          </cell>
          <cell r="B1336" t="str">
            <v>קרית גת (אינטל)</v>
          </cell>
          <cell r="C1336" t="str">
            <v>קרית גת-התקנת 2 ממירים 220/60 וולט</v>
          </cell>
          <cell r="D1336">
            <v>41029</v>
          </cell>
        </row>
        <row r="1337">
          <cell r="A1337" t="str">
            <v>WBM-01441</v>
          </cell>
          <cell r="B1337" t="str">
            <v>קרית גת (אינטל)</v>
          </cell>
          <cell r="C1337" t="str">
            <v>קרית גת -בוטל-שנאי 525 הוספת מזרק זרם</v>
          </cell>
          <cell r="D1337">
            <v>43693</v>
          </cell>
        </row>
        <row r="1338">
          <cell r="A1338">
            <v>530915</v>
          </cell>
          <cell r="B1338" t="str">
            <v>קרית גת (אינטל)</v>
          </cell>
          <cell r="C1338" t="str">
            <v>קרית גת-שדרוג מערכת פיקוד ובקרה</v>
          </cell>
          <cell r="D1338">
            <v>41333</v>
          </cell>
        </row>
        <row r="1339">
          <cell r="A1339">
            <v>530917</v>
          </cell>
          <cell r="B1339" t="str">
            <v>קרית גת (אינטל)</v>
          </cell>
          <cell r="C1339" t="str">
            <v>קרית גת-התקנת מאווררים בארונות פיקוד</v>
          </cell>
          <cell r="D1339">
            <v>40311</v>
          </cell>
        </row>
        <row r="1340">
          <cell r="A1340">
            <v>530910</v>
          </cell>
          <cell r="B1340" t="str">
            <v>קרית גת (אינטל)</v>
          </cell>
          <cell r="C1340" t="str">
            <v>קרית גת (אינטל)-החלפת מערכת התראה בטחוני</v>
          </cell>
          <cell r="D1340">
            <v>39933</v>
          </cell>
        </row>
        <row r="1341">
          <cell r="A1341" t="str">
            <v>WBE-054</v>
          </cell>
          <cell r="B1341" t="str">
            <v>קרית גת (אינטל)</v>
          </cell>
          <cell r="C1341" t="str">
            <v>קרית גת - שינויים במערכת SCS</v>
          </cell>
          <cell r="D1341">
            <v>41274</v>
          </cell>
        </row>
        <row r="1342">
          <cell r="A1342" t="str">
            <v>WBM-10479</v>
          </cell>
          <cell r="B1342" t="str">
            <v>קרית גת (אינטל)</v>
          </cell>
          <cell r="C1342" t="str">
            <v>קרית גת- שדה 3, משיק לאיתן שדה 13, יישום דרך קשר בין הגנות</v>
          </cell>
          <cell r="D1342">
            <v>45809</v>
          </cell>
        </row>
        <row r="1343">
          <cell r="A1343" t="str">
            <v>WBM-40607</v>
          </cell>
          <cell r="B1343" t="str">
            <v>קרית גת (אינטל)</v>
          </cell>
          <cell r="C1343" t="str">
            <v>קרית גת- החלפת 1 מסדרי מג</v>
          </cell>
          <cell r="D1343">
            <v>46417</v>
          </cell>
        </row>
        <row r="1344">
          <cell r="A1344" t="str">
            <v>WBM-00885-103</v>
          </cell>
          <cell r="B1344" t="str">
            <v>קרית גת (אינטל)</v>
          </cell>
          <cell r="C1344" t="str">
            <v>קרית גת - בוטל- התכולה תקבע בהתאם לבדיקת מת"י</v>
          </cell>
        </row>
        <row r="1345">
          <cell r="A1345" t="str">
            <v>WBM-01431-003</v>
          </cell>
          <cell r="B1345" t="str">
            <v>קרית גת (אינטל)</v>
          </cell>
          <cell r="C1345" t="str">
            <v>קרית גת - התקנת ממסרים להשגחה שנאים 521, 522</v>
          </cell>
          <cell r="D1345">
            <v>46752</v>
          </cell>
        </row>
        <row r="1346">
          <cell r="A1346" t="str">
            <v>WBM-10454-001</v>
          </cell>
          <cell r="B1346" t="str">
            <v>קרית גת (אינטל)</v>
          </cell>
          <cell r="C1346" t="str">
            <v>קרית גת - הסבת טבעת R520 ל- RAD</v>
          </cell>
          <cell r="D1346">
            <v>46568</v>
          </cell>
        </row>
        <row r="1347">
          <cell r="A1347" t="str">
            <v>WBM-10456-002</v>
          </cell>
          <cell r="B1347" t="str">
            <v>קרית גת (אינטל)</v>
          </cell>
          <cell r="C1347" t="str">
            <v>קרית גת - הוספת מתמרים ב-2 פ"צ</v>
          </cell>
          <cell r="D1347">
            <v>46418</v>
          </cell>
        </row>
        <row r="1348">
          <cell r="A1348" t="str">
            <v>WBM-60107-005</v>
          </cell>
          <cell r="B1348" t="str">
            <v>קרית גת (אינטל)</v>
          </cell>
          <cell r="C1348" t="str">
            <v>קרית גת - החלפת מנעולים אלק.מגנטיים באלק</v>
          </cell>
          <cell r="D1348">
            <v>45482</v>
          </cell>
        </row>
        <row r="1349">
          <cell r="A1349" t="str">
            <v>WBM-60205-009</v>
          </cell>
          <cell r="B1349" t="str">
            <v>קרית גת (אינטל)</v>
          </cell>
          <cell r="C1349" t="str">
            <v>קרית גת - ניטור הצפות</v>
          </cell>
          <cell r="D1349">
            <v>46175</v>
          </cell>
        </row>
        <row r="1350">
          <cell r="A1350" t="str">
            <v>WBM-60092-053</v>
          </cell>
          <cell r="B1350" t="str">
            <v>קרית גת (אינטל)</v>
          </cell>
          <cell r="C1350" t="str">
            <v>קרית גת - בדיקות/טיפול/פינוי מכלי אש בגז</v>
          </cell>
          <cell r="D1350">
            <v>46387</v>
          </cell>
        </row>
        <row r="1351">
          <cell r="A1351" t="str">
            <v>WBM-60131-012</v>
          </cell>
          <cell r="B1351" t="str">
            <v>קרית גת (אינטל)</v>
          </cell>
          <cell r="C1351" t="str">
            <v>קרית גת - טיפול באופיין מים</v>
          </cell>
          <cell r="D1351">
            <v>46132</v>
          </cell>
        </row>
        <row r="1352">
          <cell r="A1352" t="str">
            <v>WBM-00885-165</v>
          </cell>
          <cell r="B1352" t="str">
            <v>קרית גת (אינטל)</v>
          </cell>
          <cell r="C1352" t="str">
            <v>קריית גת - שדרוג מערכת המים לכיבוי אש</v>
          </cell>
          <cell r="D1352">
            <v>46568</v>
          </cell>
        </row>
        <row r="1353">
          <cell r="A1353" t="str">
            <v>WBC-014</v>
          </cell>
          <cell r="B1353" t="str">
            <v>קרית אריה</v>
          </cell>
          <cell r="C1353" t="str">
            <v>קרית אריה - הקמת תחמ"ש פנימית 161/24 ק"ו</v>
          </cell>
          <cell r="D1353">
            <v>45806</v>
          </cell>
        </row>
        <row r="1354">
          <cell r="A1354" t="str">
            <v>WBM-00721</v>
          </cell>
          <cell r="B1354" t="str">
            <v>קרית אריה</v>
          </cell>
          <cell r="C1354" t="str">
            <v>קרית אריה-בוטל-התקנת 2 ס"ק 5*2 מגווא"ר</v>
          </cell>
          <cell r="D1354">
            <v>40359</v>
          </cell>
        </row>
        <row r="1355">
          <cell r="A1355" t="str">
            <v>WBM-10611</v>
          </cell>
          <cell r="B1355" t="str">
            <v>קרית אריה</v>
          </cell>
          <cell r="C1355" t="str">
            <v>קרית אריה – משיק רמת גן שדה 7, יישום דרך קשר אופטית בין הגנות בשדה 1</v>
          </cell>
          <cell r="D1355">
            <v>45680</v>
          </cell>
        </row>
        <row r="1356">
          <cell r="A1356" t="str">
            <v>WBD-088-ST2</v>
          </cell>
          <cell r="B1356" t="str">
            <v>קרית ארבע</v>
          </cell>
          <cell r="C1356" t="str">
            <v>קרית ארבע ניידת - פירוק תחמ"ש ניידת</v>
          </cell>
          <cell r="D1356">
            <v>47938</v>
          </cell>
        </row>
        <row r="1357">
          <cell r="A1357" t="str">
            <v>WBC-103</v>
          </cell>
          <cell r="B1357" t="str">
            <v>קרית ארבע</v>
          </cell>
          <cell r="C1357" t="str">
            <v>קרית ארבע-הקמת תחמ"ש פנימית 161/36</v>
          </cell>
          <cell r="D1357">
            <v>47848</v>
          </cell>
        </row>
        <row r="1358">
          <cell r="A1358" t="str">
            <v>WBD-088</v>
          </cell>
          <cell r="B1358" t="str">
            <v>קרית ארבע</v>
          </cell>
          <cell r="C1358" t="str">
            <v>קרית ארבע ניידת -  התקנת תחמ"ש ניידת</v>
          </cell>
          <cell r="D1358">
            <v>46159</v>
          </cell>
        </row>
        <row r="1359">
          <cell r="A1359" t="str">
            <v>WBT-015</v>
          </cell>
          <cell r="B1359" t="str">
            <v>קרית ארבע</v>
          </cell>
          <cell r="C1359" t="str">
            <v>בוטל - קרית ארבע- קידום תוכנית מתאר לתחמ"ש ולקו -מקודם ע"י אחרים</v>
          </cell>
        </row>
        <row r="1360">
          <cell r="A1360" t="str">
            <v>HIS-017</v>
          </cell>
          <cell r="B1360" t="str">
            <v>קריות</v>
          </cell>
          <cell r="C1360" t="str">
            <v>קריות</v>
          </cell>
          <cell r="D1360">
            <v>40908</v>
          </cell>
        </row>
        <row r="1361">
          <cell r="A1361" t="str">
            <v>WBM-10212</v>
          </cell>
          <cell r="B1361" t="str">
            <v>קריות</v>
          </cell>
          <cell r="C1361" t="str">
            <v>קריות-משיק לגליל מערבי,הח.משנק ומנתקי9,7</v>
          </cell>
          <cell r="D1361">
            <v>46234</v>
          </cell>
        </row>
        <row r="1362">
          <cell r="A1362" t="str">
            <v>WBM-00316</v>
          </cell>
          <cell r="B1362" t="str">
            <v>קריות</v>
          </cell>
          <cell r="C1362" t="str">
            <v>קריות - התאמת מסדר 161 ק"ו לז"ק 40 ק"א</v>
          </cell>
          <cell r="D1362">
            <v>46538</v>
          </cell>
        </row>
        <row r="1363">
          <cell r="A1363" t="str">
            <v>0287665</v>
          </cell>
          <cell r="B1363" t="str">
            <v>קריות</v>
          </cell>
          <cell r="C1363" t="str">
            <v>תל אור-בוטל - התאמה שדה 9 ליכולת  1440 א'</v>
          </cell>
        </row>
        <row r="1364">
          <cell r="A1364" t="str">
            <v>WBM-00693</v>
          </cell>
          <cell r="B1364" t="str">
            <v>קריות</v>
          </cell>
          <cell r="C1364" t="str">
            <v>קריות-הרחבת מערכת SCS במסדר 161 ק"ו.</v>
          </cell>
          <cell r="D1364">
            <v>41952</v>
          </cell>
        </row>
        <row r="1365">
          <cell r="A1365">
            <v>521334</v>
          </cell>
          <cell r="B1365" t="str">
            <v>קריות</v>
          </cell>
          <cell r="C1365" t="str">
            <v>קריות-בוטל-התקנת מאווררים בארונות פיקוד</v>
          </cell>
          <cell r="D1365">
            <v>40311</v>
          </cell>
        </row>
        <row r="1366">
          <cell r="A1366" t="str">
            <v>WBM-00575</v>
          </cell>
          <cell r="B1366" t="str">
            <v>קריות</v>
          </cell>
          <cell r="C1366" t="str">
            <v>קריות-התקנת עמדת כיבוי אש שנייה.</v>
          </cell>
          <cell r="D1366">
            <v>42527</v>
          </cell>
        </row>
        <row r="1367">
          <cell r="A1367" t="str">
            <v>WBM-10080</v>
          </cell>
          <cell r="B1367" t="str">
            <v>קריות</v>
          </cell>
          <cell r="C1367" t="str">
            <v>קריות-בוטל-החלפת גשרי דיודות</v>
          </cell>
          <cell r="D1367">
            <v>43768</v>
          </cell>
        </row>
        <row r="1368">
          <cell r="A1368">
            <v>521339</v>
          </cell>
          <cell r="B1368" t="str">
            <v>קריות</v>
          </cell>
          <cell r="C1368" t="str">
            <v>קריות-החלפת גשר  דיודות</v>
          </cell>
          <cell r="D1368">
            <v>42277</v>
          </cell>
        </row>
        <row r="1369">
          <cell r="A1369" t="str">
            <v>WBM-00694</v>
          </cell>
          <cell r="B1369" t="str">
            <v>קריות</v>
          </cell>
          <cell r="C1369" t="str">
            <v>קריות-החלפת הגנות שנאים 521, 522, 523.</v>
          </cell>
          <cell r="D1369">
            <v>41952</v>
          </cell>
        </row>
        <row r="1370">
          <cell r="A1370">
            <v>521321</v>
          </cell>
          <cell r="B1370" t="str">
            <v>קריות</v>
          </cell>
          <cell r="C1370" t="str">
            <v>קריות-החלפת מערכת התראה בטחונית</v>
          </cell>
          <cell r="D1370">
            <v>38928</v>
          </cell>
        </row>
        <row r="1371">
          <cell r="A1371" t="str">
            <v>WBG-095-022</v>
          </cell>
          <cell r="B1371" t="str">
            <v>קריות</v>
          </cell>
          <cell r="C1371" t="str">
            <v>קריות-הקמת טבעת om 40</v>
          </cell>
          <cell r="D1371">
            <v>41633</v>
          </cell>
        </row>
        <row r="1372">
          <cell r="A1372" t="str">
            <v>WBM-01265</v>
          </cell>
          <cell r="B1372" t="str">
            <v>קריות</v>
          </cell>
          <cell r="C1372" t="str">
            <v>קריות-יישום אוטמטיקת סלילי כיבוי  ב 4 שנ</v>
          </cell>
          <cell r="D1372">
            <v>43517</v>
          </cell>
        </row>
        <row r="1373">
          <cell r="A1373" t="str">
            <v>WBM-00576</v>
          </cell>
          <cell r="B1373" t="str">
            <v>קריות</v>
          </cell>
          <cell r="C1373" t="str">
            <v>קריות-הזנת תאורת חירום ז"י</v>
          </cell>
          <cell r="D1373">
            <v>46177</v>
          </cell>
        </row>
        <row r="1374">
          <cell r="A1374" t="str">
            <v>WBM-40197</v>
          </cell>
          <cell r="B1374" t="str">
            <v>קריות</v>
          </cell>
          <cell r="C1374" t="str">
            <v>קריות - הח' שנאי  וציוד בשדות 4,12,11,10,7,8,5</v>
          </cell>
          <cell r="D1374">
            <v>46691</v>
          </cell>
        </row>
        <row r="1375">
          <cell r="A1375" t="str">
            <v>WBM-60061</v>
          </cell>
          <cell r="B1375" t="str">
            <v>קריות</v>
          </cell>
          <cell r="C1375" t="str">
            <v>קריות - עיגון  4 שנאים ומסדרי אפס</v>
          </cell>
          <cell r="D1375">
            <v>46904</v>
          </cell>
        </row>
        <row r="1376">
          <cell r="A1376" t="str">
            <v>WBM-00112</v>
          </cell>
          <cell r="B1376" t="str">
            <v>קריות</v>
          </cell>
          <cell r="C1376" t="str">
            <v>קריות-התקנת גדר רשת "יהודה"</v>
          </cell>
          <cell r="D1376">
            <v>45908</v>
          </cell>
        </row>
        <row r="1377">
          <cell r="A1377" t="str">
            <v>WBM-40196</v>
          </cell>
          <cell r="B1377" t="str">
            <v>קריות</v>
          </cell>
          <cell r="C1377" t="str">
            <v>קריות-משיק להתפלה גליל מערבי ציוד שדות 6,9 , 1,2</v>
          </cell>
          <cell r="D1377">
            <v>46326</v>
          </cell>
        </row>
        <row r="1378">
          <cell r="A1378" t="str">
            <v>WBM-10311</v>
          </cell>
          <cell r="B1378" t="str">
            <v>קריות</v>
          </cell>
          <cell r="C1378" t="str">
            <v>קריות-פיילוט מערכת להרחקת מכרסמים</v>
          </cell>
          <cell r="D1378">
            <v>44787</v>
          </cell>
        </row>
        <row r="1379">
          <cell r="A1379" t="str">
            <v>WBM-10049</v>
          </cell>
          <cell r="B1379" t="str">
            <v>קריות</v>
          </cell>
          <cell r="C1379" t="str">
            <v>קריות-התקנת רושם הפרעות 161 ק"ו</v>
          </cell>
          <cell r="D1379">
            <v>44630</v>
          </cell>
        </row>
        <row r="1380">
          <cell r="A1380" t="str">
            <v>WBM-60039</v>
          </cell>
          <cell r="B1380" t="str">
            <v>קריות</v>
          </cell>
          <cell r="C1380" t="str">
            <v>קריות - החלפת מערכות גילוי אש</v>
          </cell>
          <cell r="D1380">
            <v>44350</v>
          </cell>
        </row>
        <row r="1381">
          <cell r="A1381" t="str">
            <v>WBM-60044</v>
          </cell>
          <cell r="B1381" t="str">
            <v>קריות</v>
          </cell>
          <cell r="C1381" t="str">
            <v>קריות -התקנת  4 מאצרות שמן זמניות</v>
          </cell>
          <cell r="D1381">
            <v>44144</v>
          </cell>
        </row>
        <row r="1382">
          <cell r="A1382" t="str">
            <v>WBM-01364</v>
          </cell>
          <cell r="B1382" t="str">
            <v>קריות</v>
          </cell>
          <cell r="C1382" t="str">
            <v>קריות-החלפת שנאי 521  ל 50 מגוו"א</v>
          </cell>
          <cell r="D1382">
            <v>43982</v>
          </cell>
        </row>
        <row r="1383">
          <cell r="A1383" t="str">
            <v>WBG-095-019</v>
          </cell>
          <cell r="B1383" t="str">
            <v>קריות</v>
          </cell>
          <cell r="C1383" t="str">
            <v>קריות-החלפת מגיני ברק מ"ג  של שנאים</v>
          </cell>
          <cell r="D1383">
            <v>41200</v>
          </cell>
        </row>
        <row r="1384">
          <cell r="A1384" t="str">
            <v>WBM-00977</v>
          </cell>
          <cell r="B1384" t="str">
            <v>קריות</v>
          </cell>
          <cell r="C1384" t="str">
            <v>קריות-עע"א-בוטל-שדה 5 החלפת הגנ"דיפ</v>
          </cell>
          <cell r="D1384">
            <v>42136</v>
          </cell>
        </row>
        <row r="1385">
          <cell r="A1385" t="str">
            <v>WBM-01438</v>
          </cell>
          <cell r="B1385" t="str">
            <v>קריות</v>
          </cell>
          <cell r="C1385" t="str">
            <v>קריות -בוטל-הוספת מזרק זרם לווסת מתח</v>
          </cell>
          <cell r="D1385">
            <v>43693</v>
          </cell>
        </row>
        <row r="1386">
          <cell r="A1386" t="str">
            <v>WBM-00945</v>
          </cell>
          <cell r="B1386" t="str">
            <v>קריות</v>
          </cell>
          <cell r="C1386" t="str">
            <v>קריות-בוטל-עיגון ארונות פיקוד והגנה</v>
          </cell>
          <cell r="D1386">
            <v>41249</v>
          </cell>
        </row>
        <row r="1387">
          <cell r="A1387" t="str">
            <v>WBM-00577</v>
          </cell>
          <cell r="B1387" t="str">
            <v>קריות</v>
          </cell>
          <cell r="C1387" t="str">
            <v>קריות-בוטל שיפור מערכת הארקה בתחמ"ש</v>
          </cell>
          <cell r="D1387">
            <v>39797</v>
          </cell>
        </row>
        <row r="1388">
          <cell r="A1388" t="str">
            <v>WBG-095-010</v>
          </cell>
          <cell r="B1388" t="str">
            <v>קריות</v>
          </cell>
          <cell r="C1388" t="str">
            <v>קריות-העתקת הגנות קווים מ"ע מלוח פיקוד</v>
          </cell>
          <cell r="D1388">
            <v>38655</v>
          </cell>
        </row>
        <row r="1389">
          <cell r="A1389" t="str">
            <v>WBM-00229</v>
          </cell>
          <cell r="B1389" t="str">
            <v>קריות</v>
          </cell>
          <cell r="C1389" t="str">
            <v>קריות-בוטל-בניית מאצרות שמן ל- 4 שנאים</v>
          </cell>
          <cell r="D1389">
            <v>40728</v>
          </cell>
        </row>
        <row r="1390">
          <cell r="A1390" t="str">
            <v>WBM-00990</v>
          </cell>
          <cell r="B1390" t="str">
            <v>קריות</v>
          </cell>
          <cell r="C1390" t="str">
            <v>קריות-בוטל-התקנת 2 סלילי כיבוי 24 ק"ו</v>
          </cell>
          <cell r="D1390">
            <v>42165</v>
          </cell>
        </row>
        <row r="1391">
          <cell r="A1391" t="str">
            <v>WBM-00216</v>
          </cell>
          <cell r="B1391" t="str">
            <v>קריות</v>
          </cell>
          <cell r="C1391" t="str">
            <v>קריות-התאמת חיבורים בשדה קו לנעמן</v>
          </cell>
          <cell r="D1391">
            <v>41982</v>
          </cell>
        </row>
        <row r="1392">
          <cell r="A1392" t="str">
            <v>WBM-10586</v>
          </cell>
          <cell r="B1392" t="str">
            <v>קריות</v>
          </cell>
          <cell r="C1392" t="str">
            <v>קריות-בוטל, משיק לנעמן שדה 3, התקנת הגנת מרחק בשדה 5</v>
          </cell>
          <cell r="D1392">
            <v>36891</v>
          </cell>
        </row>
        <row r="1393">
          <cell r="A1393" t="str">
            <v>WBM-00350-039</v>
          </cell>
          <cell r="B1393" t="str">
            <v>קריות</v>
          </cell>
          <cell r="C1393" t="str">
            <v>קריות - תיקון שנאי</v>
          </cell>
          <cell r="D1393">
            <v>46326</v>
          </cell>
        </row>
        <row r="1394">
          <cell r="A1394" t="str">
            <v>WBM-00884-029</v>
          </cell>
          <cell r="B1394" t="str">
            <v>קריות</v>
          </cell>
          <cell r="C1394" t="str">
            <v>קריות- החלפת מערכות כיבוי בגז NAF-S3</v>
          </cell>
          <cell r="D1394">
            <v>45595</v>
          </cell>
        </row>
        <row r="1395">
          <cell r="A1395" t="str">
            <v>WBM-01191-004</v>
          </cell>
          <cell r="B1395" t="str">
            <v>קריות</v>
          </cell>
          <cell r="C1395" t="str">
            <v>קריות - החלפת טבעת 40 ל- RAD</v>
          </cell>
          <cell r="D1395">
            <v>46568</v>
          </cell>
        </row>
        <row r="1396">
          <cell r="A1396" t="str">
            <v>WBM-10456-016</v>
          </cell>
          <cell r="B1396" t="str">
            <v>קריות</v>
          </cell>
          <cell r="C1396" t="str">
            <v>קריות- הוספת מתמרים ב-4 פ"צ</v>
          </cell>
          <cell r="D1396">
            <v>46752</v>
          </cell>
        </row>
        <row r="1397">
          <cell r="A1397" t="str">
            <v>WBM-40295-053</v>
          </cell>
          <cell r="B1397" t="str">
            <v>קריות</v>
          </cell>
          <cell r="C1397" t="str">
            <v>קריות - החלפת סוללות מצברים</v>
          </cell>
          <cell r="D1397">
            <v>46721</v>
          </cell>
        </row>
        <row r="1398">
          <cell r="A1398" t="str">
            <v>WBM-40479-048</v>
          </cell>
          <cell r="B1398" t="str">
            <v>קריות</v>
          </cell>
          <cell r="C1398" t="str">
            <v>קריות- החלפת בקר טמפ' וגובה שמן בשנאי</v>
          </cell>
          <cell r="D1398">
            <v>47269</v>
          </cell>
        </row>
        <row r="1399">
          <cell r="A1399" t="str">
            <v>WBM-60008-050</v>
          </cell>
          <cell r="B1399" t="str">
            <v>קריות</v>
          </cell>
          <cell r="C1399" t="str">
            <v>קריות -  התקנת מערכת מיגון בתחמ"ש</v>
          </cell>
          <cell r="D1399">
            <v>46387</v>
          </cell>
        </row>
        <row r="1400">
          <cell r="A1400" t="str">
            <v>WBM-60088-043</v>
          </cell>
          <cell r="B1400" t="str">
            <v>קריות</v>
          </cell>
          <cell r="C1400" t="str">
            <v>קריות - מאצרות שמן ל-4 שנאים</v>
          </cell>
          <cell r="D1400">
            <v>46660</v>
          </cell>
        </row>
        <row r="1401">
          <cell r="A1401" t="str">
            <v>WBM-60092-018</v>
          </cell>
          <cell r="B1401" t="str">
            <v>קריות</v>
          </cell>
          <cell r="C1401" t="str">
            <v>קריות - בדיקות/טיפול/פינוי מכלי אש בגז</v>
          </cell>
          <cell r="D1401">
            <v>46173</v>
          </cell>
        </row>
        <row r="1402">
          <cell r="A1402" t="str">
            <v>WBM-60118-026</v>
          </cell>
          <cell r="B1402" t="str">
            <v>קריות</v>
          </cell>
          <cell r="C1402" t="str">
            <v>קריות - שיפור מערכת הארקה</v>
          </cell>
          <cell r="D1402">
            <v>47118</v>
          </cell>
        </row>
        <row r="1403">
          <cell r="A1403" t="str">
            <v>WBM-60130-042</v>
          </cell>
          <cell r="B1403" t="str">
            <v>קריות</v>
          </cell>
          <cell r="C1403" t="str">
            <v>קריות - התקנת מפסק פטריה להפסקת מערכת החשמל בחירום</v>
          </cell>
          <cell r="D1403">
            <v>46568</v>
          </cell>
        </row>
        <row r="1404">
          <cell r="A1404" t="str">
            <v>WBM-20004-038</v>
          </cell>
          <cell r="B1404" t="str">
            <v>קריות</v>
          </cell>
          <cell r="C1404" t="str">
            <v>קריות - תיקון פירצות בגדר</v>
          </cell>
          <cell r="D1404">
            <v>45908</v>
          </cell>
        </row>
        <row r="1405">
          <cell r="A1405" t="str">
            <v>WBM-60205-045</v>
          </cell>
          <cell r="B1405" t="str">
            <v>קריות</v>
          </cell>
          <cell r="C1405" t="str">
            <v>קריות - ניטור הצפות</v>
          </cell>
          <cell r="D1405">
            <v>46175</v>
          </cell>
        </row>
        <row r="1406">
          <cell r="A1406" t="str">
            <v>WBM-60131-007</v>
          </cell>
          <cell r="B1406" t="str">
            <v>קריות</v>
          </cell>
          <cell r="C1406" t="str">
            <v>קריות- טיפול באופיין  מים</v>
          </cell>
          <cell r="D1406">
            <v>46752</v>
          </cell>
        </row>
        <row r="1407">
          <cell r="A1407" t="str">
            <v>HIS-016</v>
          </cell>
          <cell r="B1407" t="str">
            <v>קריה</v>
          </cell>
          <cell r="C1407" t="str">
            <v>קריה</v>
          </cell>
          <cell r="D1407">
            <v>40908</v>
          </cell>
        </row>
        <row r="1408">
          <cell r="A1408" t="str">
            <v>WBM-00364</v>
          </cell>
          <cell r="B1408" t="str">
            <v>קריה</v>
          </cell>
          <cell r="C1408" t="str">
            <v>קריה-יישום הש. עומס לפי זרם שד' 2,3</v>
          </cell>
          <cell r="D1408">
            <v>43790</v>
          </cell>
        </row>
        <row r="1409">
          <cell r="A1409" t="str">
            <v>WBG-094-010</v>
          </cell>
          <cell r="B1409" t="str">
            <v>קריה</v>
          </cell>
          <cell r="C1409" t="str">
            <v>קריה-החלפת רכזת התראה בטחונית</v>
          </cell>
          <cell r="D1409">
            <v>39629</v>
          </cell>
        </row>
        <row r="1410">
          <cell r="A1410" t="str">
            <v>WBM-00653</v>
          </cell>
          <cell r="B1410" t="str">
            <v>קריה</v>
          </cell>
          <cell r="C1410" t="str">
            <v>קריה - קשר בין הגנות לאיילון</v>
          </cell>
          <cell r="D1410">
            <v>42313</v>
          </cell>
        </row>
        <row r="1411">
          <cell r="A1411" t="str">
            <v>WBM-00778</v>
          </cell>
          <cell r="B1411" t="str">
            <v>קריה</v>
          </cell>
          <cell r="C1411" t="str">
            <v>קריה-הזנת תאורת חירום ז"י באמצעות ממיר</v>
          </cell>
          <cell r="D1411">
            <v>46092</v>
          </cell>
        </row>
        <row r="1412">
          <cell r="A1412" t="str">
            <v>WBM-00111</v>
          </cell>
          <cell r="B1412" t="str">
            <v>קריה</v>
          </cell>
          <cell r="C1412" t="str">
            <v>קריה- בוטל- התקנת הגנת BFP ב-3 מסדרי מ"ג</v>
          </cell>
        </row>
        <row r="1413">
          <cell r="A1413" t="str">
            <v>WBM-10178</v>
          </cell>
          <cell r="B1413" t="str">
            <v>קריה</v>
          </cell>
          <cell r="C1413" t="str">
            <v>קריה -משיק לגבעתיים.הג.דיפ.וישום תקש ש10</v>
          </cell>
          <cell r="D1413">
            <v>45496</v>
          </cell>
        </row>
        <row r="1414">
          <cell r="A1414" t="str">
            <v>WBM-40490</v>
          </cell>
          <cell r="B1414" t="str">
            <v>קריה</v>
          </cell>
          <cell r="C1414" t="str">
            <v>קריה - החלפת צינור גז SF6 בשנאי 511</v>
          </cell>
          <cell r="D1414">
            <v>44285</v>
          </cell>
        </row>
        <row r="1415">
          <cell r="A1415" t="str">
            <v>WBM-00908</v>
          </cell>
          <cell r="B1415" t="str">
            <v>קריה</v>
          </cell>
          <cell r="C1415" t="str">
            <v>קריה-שדרוג מערכת אזעקה בטחונית</v>
          </cell>
          <cell r="D1415">
            <v>42363</v>
          </cell>
        </row>
        <row r="1416">
          <cell r="A1416" t="str">
            <v>WBG-094-012</v>
          </cell>
          <cell r="B1416" t="str">
            <v>קריה</v>
          </cell>
          <cell r="C1416" t="str">
            <v>קריה-התקנת הגנת מרחק ודיפר. בשדות 2,3</v>
          </cell>
          <cell r="D1416">
            <v>41428</v>
          </cell>
        </row>
        <row r="1417">
          <cell r="A1417" t="str">
            <v>WBG-094-009</v>
          </cell>
          <cell r="B1417" t="str">
            <v>קריה</v>
          </cell>
          <cell r="C1417" t="str">
            <v>קריה-הקמת רשת מחשבים תפעולית</v>
          </cell>
          <cell r="D1417">
            <v>41213</v>
          </cell>
        </row>
        <row r="1418">
          <cell r="A1418" t="str">
            <v>WBM-40141</v>
          </cell>
          <cell r="B1418" t="str">
            <v>קריה</v>
          </cell>
          <cell r="C1418" t="str">
            <v>קריה - בוטל-החלפת טרפו גרד ל-3 שנאים</v>
          </cell>
          <cell r="D1418">
            <v>44337</v>
          </cell>
        </row>
        <row r="1419">
          <cell r="A1419" t="str">
            <v>WBM-60035</v>
          </cell>
          <cell r="B1419" t="str">
            <v>קריה</v>
          </cell>
          <cell r="C1419" t="str">
            <v>קריה- בוטל-שדרוג מערכות סרברוס לגילוי אש</v>
          </cell>
          <cell r="D1419">
            <v>43864</v>
          </cell>
        </row>
        <row r="1420">
          <cell r="A1420" t="str">
            <v>WBG-094-013</v>
          </cell>
          <cell r="B1420" t="str">
            <v>קריה</v>
          </cell>
          <cell r="C1420" t="str">
            <v>קריה-התאמה והפעלת שדות מס'  2,3</v>
          </cell>
          <cell r="D1420">
            <v>41428</v>
          </cell>
        </row>
        <row r="1421">
          <cell r="A1421" t="str">
            <v>WBM-01055</v>
          </cell>
          <cell r="B1421" t="str">
            <v>קריה</v>
          </cell>
          <cell r="C1421" t="str">
            <v>קריה-יישום קשר בין הגנות לת.הולץ ואיילון</v>
          </cell>
          <cell r="D1421">
            <v>43153</v>
          </cell>
        </row>
        <row r="1422">
          <cell r="A1422" t="str">
            <v>WBM-00885-101</v>
          </cell>
          <cell r="B1422" t="str">
            <v>קריה</v>
          </cell>
          <cell r="C1422" t="str">
            <v>קריה - החלפת משאבת כיבוי ראשית</v>
          </cell>
          <cell r="D1422">
            <v>45838</v>
          </cell>
        </row>
        <row r="1423">
          <cell r="A1423" t="str">
            <v>WBM-01341-043</v>
          </cell>
          <cell r="B1423" t="str">
            <v>קריה</v>
          </cell>
          <cell r="C1423" t="str">
            <v>הקריה - שיפוץ מסדרי GIS</v>
          </cell>
          <cell r="D1423">
            <v>47483</v>
          </cell>
        </row>
        <row r="1424">
          <cell r="A1424" t="str">
            <v>WBM-10315-037</v>
          </cell>
          <cell r="B1424" t="str">
            <v>קריה</v>
          </cell>
          <cell r="C1424" t="str">
            <v>הקריה - התקנת מזגנים</v>
          </cell>
          <cell r="D1424">
            <v>45838</v>
          </cell>
        </row>
        <row r="1425">
          <cell r="A1425" t="str">
            <v>WBM-40295-074</v>
          </cell>
          <cell r="B1425" t="str">
            <v>קריה</v>
          </cell>
          <cell r="C1425" t="str">
            <v>קריה - החלפת סוללת מצברים</v>
          </cell>
          <cell r="D1425">
            <v>46218</v>
          </cell>
        </row>
        <row r="1426">
          <cell r="A1426" t="str">
            <v>WBM-40479-063</v>
          </cell>
          <cell r="B1426" t="str">
            <v>קריה</v>
          </cell>
          <cell r="C1426" t="str">
            <v>קריה- החלפת 3 בקרי טמפ' וגובה שמן בשנאי</v>
          </cell>
          <cell r="D1426">
            <v>46934</v>
          </cell>
        </row>
        <row r="1427">
          <cell r="A1427" t="str">
            <v>WBM-60008-058</v>
          </cell>
          <cell r="B1427" t="str">
            <v>קריה</v>
          </cell>
          <cell r="C1427" t="str">
            <v>קריה - מערכת טמ"ס וגדר אלקטרונית</v>
          </cell>
          <cell r="D1427">
            <v>46387</v>
          </cell>
        </row>
        <row r="1428">
          <cell r="A1428" t="str">
            <v>WBM-60092-017</v>
          </cell>
          <cell r="B1428" t="str">
            <v>קריה</v>
          </cell>
          <cell r="C1428" t="str">
            <v>קריה - בדיקות/טיפול/פינוי מכלי אש בגז</v>
          </cell>
          <cell r="D1428">
            <v>46387</v>
          </cell>
        </row>
        <row r="1429">
          <cell r="A1429" t="str">
            <v>WBM-60107-014</v>
          </cell>
          <cell r="B1429" t="str">
            <v>קריה</v>
          </cell>
          <cell r="C1429" t="str">
            <v>קריה - החלפת מנעולים אלק.מגנטיים באלק.מכ</v>
          </cell>
          <cell r="D1429">
            <v>45627</v>
          </cell>
        </row>
        <row r="1430">
          <cell r="A1430" t="str">
            <v>WBM-80002-034</v>
          </cell>
          <cell r="B1430" t="str">
            <v>קריה</v>
          </cell>
          <cell r="C1430" t="str">
            <v>קריה - הסבות</v>
          </cell>
          <cell r="D1430">
            <v>46387</v>
          </cell>
        </row>
        <row r="1431">
          <cell r="A1431" t="str">
            <v>WBM-40629-005</v>
          </cell>
          <cell r="B1431" t="str">
            <v>קריה</v>
          </cell>
          <cell r="C1431" t="str">
            <v>קריה-  החלפת מבדדי 161 ק"ו של שנאי הספק</v>
          </cell>
          <cell r="D1431">
            <v>45728</v>
          </cell>
        </row>
        <row r="1432">
          <cell r="A1432" t="str">
            <v>WBM-60205-003</v>
          </cell>
          <cell r="B1432" t="str">
            <v>קריה</v>
          </cell>
          <cell r="C1432" t="str">
            <v>קריה - ניטור הצפות</v>
          </cell>
          <cell r="D1432">
            <v>46175</v>
          </cell>
        </row>
        <row r="1433">
          <cell r="A1433" t="str">
            <v>WBM-60116-049</v>
          </cell>
          <cell r="B1433" t="str">
            <v>קריה</v>
          </cell>
          <cell r="C1433" t="str">
            <v>קריה - החלפת מערכת גילוי וכיבוי אש אוטומטית כולל רכזת</v>
          </cell>
          <cell r="D1433">
            <v>46387</v>
          </cell>
        </row>
        <row r="1434">
          <cell r="A1434" t="str">
            <v>WBM-40637-012</v>
          </cell>
          <cell r="B1434" t="str">
            <v>קריה</v>
          </cell>
          <cell r="C1434" t="str">
            <v>קריה-החלפת רושמי הפרעות קיימים מדגם IDM-T3 לרושמים חדשים מדגם IDM+</v>
          </cell>
          <cell r="D1434">
            <v>46418</v>
          </cell>
        </row>
        <row r="1435">
          <cell r="A1435" t="str">
            <v>WBM-60130-079</v>
          </cell>
          <cell r="B1435" t="str">
            <v>קריה</v>
          </cell>
          <cell r="C1435" t="str">
            <v>קריה - התקנת מפסק פטריה להפסקת מערכת החשמל בחירום</v>
          </cell>
          <cell r="D1435">
            <v>46568</v>
          </cell>
        </row>
        <row r="1436">
          <cell r="A1436" t="str">
            <v>HIS-192</v>
          </cell>
          <cell r="B1436" t="str">
            <v>קצרין ארעית</v>
          </cell>
          <cell r="C1436" t="str">
            <v>קצרין ארעית-הוצאה מניצול תחמ"ש ניידת 2</v>
          </cell>
          <cell r="D1436">
            <v>44376</v>
          </cell>
        </row>
        <row r="1437">
          <cell r="A1437" t="str">
            <v>HIS-196</v>
          </cell>
          <cell r="B1437" t="str">
            <v>קצרין ארעית</v>
          </cell>
          <cell r="C1437" t="str">
            <v>קצרין ארעית- פירוק  תחמ"ש ניידת ראשונה</v>
          </cell>
          <cell r="D1437">
            <v>44266</v>
          </cell>
        </row>
        <row r="1438">
          <cell r="A1438" t="str">
            <v>HIS-021</v>
          </cell>
          <cell r="B1438" t="str">
            <v>קצרין ארעית</v>
          </cell>
          <cell r="C1438" t="str">
            <v>קצרין ארעית</v>
          </cell>
          <cell r="D1438">
            <v>40908</v>
          </cell>
        </row>
        <row r="1439">
          <cell r="A1439" t="str">
            <v>WBG-137-004</v>
          </cell>
          <cell r="B1439" t="str">
            <v>קצרין ארעית</v>
          </cell>
          <cell r="C1439" t="str">
            <v>קצרין ארעית-התקנת מערכת מניה</v>
          </cell>
          <cell r="D1439">
            <v>40902</v>
          </cell>
        </row>
        <row r="1440">
          <cell r="A1440" t="str">
            <v>WBM-01087</v>
          </cell>
          <cell r="B1440" t="str">
            <v>קצרין ארעית</v>
          </cell>
          <cell r="C1440" t="str">
            <v>קצרין- בוטל- 2 מאצרות שמן זמניות</v>
          </cell>
          <cell r="D1440">
            <v>42683</v>
          </cell>
        </row>
        <row r="1441">
          <cell r="A1441">
            <v>527202</v>
          </cell>
          <cell r="B1441" t="str">
            <v>קצרין ארעית</v>
          </cell>
          <cell r="C1441" t="str">
            <v>קצרין ארעית-התקנת מערכת התראה בטחונית</v>
          </cell>
          <cell r="D1441">
            <v>39751</v>
          </cell>
        </row>
        <row r="1442">
          <cell r="A1442">
            <v>527210</v>
          </cell>
          <cell r="B1442" t="str">
            <v>קצרין ארעית</v>
          </cell>
          <cell r="C1442" t="str">
            <v>קצרין ארעית-התקנת מערכת טמ"ס</v>
          </cell>
          <cell r="D1442">
            <v>41090</v>
          </cell>
        </row>
        <row r="1443">
          <cell r="A1443" t="str">
            <v>WBM-00770</v>
          </cell>
          <cell r="B1443" t="str">
            <v>קצרין ארעית</v>
          </cell>
          <cell r="C1443" t="str">
            <v>קצרין ארעית-בוטל-התקנת שעון נוכחות</v>
          </cell>
          <cell r="D1443">
            <v>39933</v>
          </cell>
        </row>
        <row r="1444">
          <cell r="A1444" t="str">
            <v>WBM-10531-013</v>
          </cell>
          <cell r="B1444" t="str">
            <v>קצרין ארעית</v>
          </cell>
          <cell r="C1444" t="str">
            <v>שיפוץ ניידת קצרין 5 ח.ב.</v>
          </cell>
          <cell r="D1444">
            <v>45747</v>
          </cell>
        </row>
        <row r="1445">
          <cell r="A1445" t="str">
            <v>WBM-10531-012</v>
          </cell>
          <cell r="B1445" t="str">
            <v>קצרין ארעית</v>
          </cell>
          <cell r="C1445" t="str">
            <v>שיפוץ ניידת קצרין 10 ח.ב.</v>
          </cell>
          <cell r="D1445">
            <v>45747</v>
          </cell>
        </row>
        <row r="1446">
          <cell r="A1446" t="str">
            <v>WBD-074</v>
          </cell>
          <cell r="B1446" t="str">
            <v>קצרין</v>
          </cell>
          <cell r="C1446" t="str">
            <v>קצרין - הוספת ניידת שלישית זמנית 20 מוא</v>
          </cell>
          <cell r="D1446">
            <v>44924</v>
          </cell>
        </row>
        <row r="1447">
          <cell r="A1447" t="str">
            <v>WBC-105</v>
          </cell>
          <cell r="B1447" t="str">
            <v>קצרין</v>
          </cell>
          <cell r="C1447" t="str">
            <v>קצרין-הסדרה סטטוטורית ושדרוג התחמ"ש</v>
          </cell>
          <cell r="D1447">
            <v>44530</v>
          </cell>
        </row>
        <row r="1448">
          <cell r="A1448" t="str">
            <v>WBC-105-ST3</v>
          </cell>
          <cell r="B1448" t="str">
            <v>קצרין</v>
          </cell>
          <cell r="C1448" t="str">
            <v>קצרין-שלב 3-החלפת יסודות והתאמת פורטלים</v>
          </cell>
          <cell r="D1448">
            <v>44530</v>
          </cell>
        </row>
        <row r="1449">
          <cell r="A1449" t="str">
            <v>WBC-105-ST2</v>
          </cell>
          <cell r="B1449" t="str">
            <v>קצרין</v>
          </cell>
          <cell r="C1449" t="str">
            <v>קצרין-שלב 2-שדרוג והרחבת פ"צ II</v>
          </cell>
          <cell r="D1449">
            <v>44353</v>
          </cell>
        </row>
        <row r="1450">
          <cell r="A1450" t="str">
            <v>WBC-105-ST1</v>
          </cell>
          <cell r="B1450" t="str">
            <v>קצרין</v>
          </cell>
          <cell r="C1450" t="str">
            <v>קצרין-שלב 1-שדרוג והרחבת פ"צ I</v>
          </cell>
          <cell r="D1450">
            <v>44266</v>
          </cell>
        </row>
        <row r="1451">
          <cell r="A1451" t="str">
            <v>WBE-229</v>
          </cell>
          <cell r="B1451" t="str">
            <v>קצרין</v>
          </cell>
          <cell r="C1451" t="str">
            <v>קצרין- רב שלבי-החלפת 3 ניידות 20 מגוו"א ל2 שנאים 50 מגוו"א</v>
          </cell>
          <cell r="D1451">
            <v>46090</v>
          </cell>
        </row>
        <row r="1452">
          <cell r="A1452" t="str">
            <v>WBM-10020</v>
          </cell>
          <cell r="B1452" t="str">
            <v>קצרין</v>
          </cell>
          <cell r="C1452" t="str">
            <v>קצרין -התקנת רושם הפרעות 161 ק"ו</v>
          </cell>
          <cell r="D1452">
            <v>46477</v>
          </cell>
        </row>
        <row r="1453">
          <cell r="A1453" t="str">
            <v>WBM-10201</v>
          </cell>
          <cell r="B1453" t="str">
            <v>קצרין</v>
          </cell>
          <cell r="C1453" t="str">
            <v>קצרין - מערכת בקרת טמפ' בחדר מצברים</v>
          </cell>
          <cell r="D1453">
            <v>45122</v>
          </cell>
        </row>
        <row r="1454">
          <cell r="A1454" t="str">
            <v>WBE-229-ST1</v>
          </cell>
          <cell r="B1454" t="str">
            <v>קצרין</v>
          </cell>
          <cell r="C1454" t="str">
            <v>קצרין-התקנת שנאי 523 50 מגוו"א ופירוק 2 ניידות 20 מגוו"א כ"א</v>
          </cell>
          <cell r="D1454">
            <v>45390</v>
          </cell>
        </row>
        <row r="1455">
          <cell r="A1455" t="str">
            <v>WBE-229-ST2</v>
          </cell>
          <cell r="B1455" t="str">
            <v>קצרין</v>
          </cell>
          <cell r="C1455" t="str">
            <v>קצרין-התקנת שנאי 522 50 מגוו"א ופירוק ניידת 20 מגוו"א</v>
          </cell>
          <cell r="D1455">
            <v>46128</v>
          </cell>
        </row>
        <row r="1456">
          <cell r="A1456" t="str">
            <v>WBM-00885-053</v>
          </cell>
          <cell r="B1456" t="str">
            <v>קצרין</v>
          </cell>
          <cell r="C1456" t="str">
            <v>קצרין- בוטל- התכולה תקבע בהתאם לבדיקת מת"י</v>
          </cell>
        </row>
        <row r="1457">
          <cell r="A1457" t="str">
            <v>WBM-10456-024</v>
          </cell>
          <cell r="B1457" t="str">
            <v>קצרין</v>
          </cell>
          <cell r="C1457" t="str">
            <v>קצרין- הוספת מתמרים ב-2 פ"צ</v>
          </cell>
          <cell r="D1457">
            <v>46752</v>
          </cell>
        </row>
        <row r="1458">
          <cell r="A1458" t="str">
            <v>WBM-10531-014</v>
          </cell>
          <cell r="B1458" t="str">
            <v>קצרין</v>
          </cell>
          <cell r="C1458" t="str">
            <v>שיפוץ ניידת מס' 13 - ח.ב.</v>
          </cell>
          <cell r="D1458">
            <v>45747</v>
          </cell>
        </row>
        <row r="1459">
          <cell r="A1459" t="str">
            <v>WBM-20004-028</v>
          </cell>
          <cell r="B1459" t="str">
            <v>קצרין</v>
          </cell>
          <cell r="C1459" t="str">
            <v>קצרין - שיפור מערכת תאורה</v>
          </cell>
          <cell r="D1459">
            <v>45657</v>
          </cell>
        </row>
        <row r="1460">
          <cell r="A1460" t="str">
            <v>WBM-10824</v>
          </cell>
          <cell r="B1460" t="str">
            <v>קצרין</v>
          </cell>
          <cell r="C1460" t="str">
            <v>קצרין ש' 1- משיק לתחמ"ש כינרות ש' 9- יישום תקשורת אופטית</v>
          </cell>
          <cell r="D1460">
            <v>46356</v>
          </cell>
        </row>
        <row r="1461">
          <cell r="A1461">
            <v>3502125</v>
          </cell>
          <cell r="B1461" t="str">
            <v>קציר המלח פרטית</v>
          </cell>
          <cell r="C1461" t="str">
            <v>קציר המלח-הוקפא-הקמת תחמ"ש פרטית</v>
          </cell>
          <cell r="D1461">
            <v>41722</v>
          </cell>
        </row>
        <row r="1462">
          <cell r="A1462" t="str">
            <v>WBM-00870</v>
          </cell>
          <cell r="B1462" t="str">
            <v>קציר המלח פרטית</v>
          </cell>
          <cell r="C1462" t="str">
            <v>קציר המלח--הוקפא-הקמת שדה 161 ק"ו</v>
          </cell>
          <cell r="D1462">
            <v>41844</v>
          </cell>
        </row>
        <row r="1463">
          <cell r="A1463" t="str">
            <v>WBM-01071</v>
          </cell>
          <cell r="B1463" t="str">
            <v>קציר המלח פרטית</v>
          </cell>
          <cell r="C1463" t="str">
            <v>קציר המלח-הוקפא- הקמת שדה רביעי למצדה</v>
          </cell>
          <cell r="D1463">
            <v>41844</v>
          </cell>
        </row>
        <row r="1464">
          <cell r="A1464" t="str">
            <v>WBC-213</v>
          </cell>
          <cell r="B1464" t="str">
            <v>קציעות</v>
          </cell>
          <cell r="C1464" t="str">
            <v>קציעות-הוקפא-הקמת תחמ"ש חיצונית 161/36 ק"ו, 2*50 מגוו"א</v>
          </cell>
        </row>
        <row r="1465">
          <cell r="A1465" t="str">
            <v>WBC-213-ST2</v>
          </cell>
          <cell r="B1465" t="str">
            <v>קציעות</v>
          </cell>
          <cell r="C1465" t="str">
            <v>קציעות-אישור תוכנית מתאר</v>
          </cell>
          <cell r="D1465">
            <v>46386</v>
          </cell>
        </row>
        <row r="1466">
          <cell r="A1466" t="str">
            <v>WBE-265</v>
          </cell>
          <cell r="B1466" t="str">
            <v>קציעות</v>
          </cell>
          <cell r="C1466" t="str">
            <v>קציעות-  2 מתקנים לאגירת אנרגיה בסוללות</v>
          </cell>
          <cell r="D1466">
            <v>46752</v>
          </cell>
        </row>
        <row r="1467">
          <cell r="A1467" t="str">
            <v>WBM-60131-023</v>
          </cell>
          <cell r="B1467" t="str">
            <v>קציעות</v>
          </cell>
          <cell r="C1467" t="str">
            <v>קציעות - טיפול באופיין מים</v>
          </cell>
          <cell r="D1467">
            <v>46387</v>
          </cell>
        </row>
        <row r="1468">
          <cell r="A1468" t="str">
            <v>WBJ-014</v>
          </cell>
          <cell r="B1468" t="str">
            <v>קסם</v>
          </cell>
          <cell r="C1468" t="str">
            <v>קסם-תכנון תחמ"ש ושנאי קישור 400/161 ק"ו</v>
          </cell>
          <cell r="D1468">
            <v>48944</v>
          </cell>
        </row>
        <row r="1469">
          <cell r="A1469">
            <v>900040</v>
          </cell>
          <cell r="B1469" t="str">
            <v>קסם</v>
          </cell>
          <cell r="C1469" t="str">
            <v>קסם- קליטת תח"כ בהספק של 780 מגוו"ט</v>
          </cell>
          <cell r="D1469">
            <v>46873</v>
          </cell>
        </row>
        <row r="1470">
          <cell r="A1470" t="str">
            <v>HIS-015</v>
          </cell>
          <cell r="B1470" t="str">
            <v>קניונים</v>
          </cell>
          <cell r="C1470" t="str">
            <v>קניונים</v>
          </cell>
          <cell r="D1470">
            <v>40908</v>
          </cell>
        </row>
        <row r="1471">
          <cell r="A1471" t="str">
            <v>WBD-075</v>
          </cell>
          <cell r="B1471" t="str">
            <v>קניונים</v>
          </cell>
          <cell r="C1471" t="str">
            <v>קניונים -בוטל - התקנת מרכב ניידת 20 161/24</v>
          </cell>
        </row>
        <row r="1472">
          <cell r="A1472" t="str">
            <v>WBE-065-ST2</v>
          </cell>
          <cell r="B1472" t="str">
            <v>קניונים</v>
          </cell>
          <cell r="C1472" t="str">
            <v>קניונים-התקנת שנאי רביעי 50 מגוו"א</v>
          </cell>
          <cell r="D1472">
            <v>45861</v>
          </cell>
        </row>
        <row r="1473">
          <cell r="A1473" t="str">
            <v>WBE-065</v>
          </cell>
          <cell r="B1473" t="str">
            <v>קניונים</v>
          </cell>
          <cell r="C1473" t="str">
            <v>קניונים-רב שלבי-התקנת 2 שנאים והקמת 2 שדות מ"ע</v>
          </cell>
          <cell r="D1473">
            <v>45861</v>
          </cell>
        </row>
        <row r="1474">
          <cell r="A1474" t="str">
            <v>WBE-065-ST1</v>
          </cell>
          <cell r="B1474" t="str">
            <v>קניונים</v>
          </cell>
          <cell r="C1474" t="str">
            <v>קניונים-התקנת שנאי שלישי ושדות מ"ע 6,,8</v>
          </cell>
          <cell r="D1474">
            <v>45861</v>
          </cell>
        </row>
        <row r="1475">
          <cell r="A1475" t="str">
            <v>WBE-163</v>
          </cell>
          <cell r="B1475" t="str">
            <v>קניונים</v>
          </cell>
          <cell r="C1475" t="str">
            <v>קניונים -בוטל-הוספת שנאי רביעי 524 50 קו</v>
          </cell>
          <cell r="D1475">
            <v>44592</v>
          </cell>
        </row>
        <row r="1476">
          <cell r="A1476" t="str">
            <v>WBM-01031</v>
          </cell>
          <cell r="B1476" t="str">
            <v>קניונים</v>
          </cell>
          <cell r="C1476" t="str">
            <v>קניונים-החלפת משני זרם</v>
          </cell>
          <cell r="D1476">
            <v>46568</v>
          </cell>
        </row>
        <row r="1477">
          <cell r="A1477" t="str">
            <v>0260740</v>
          </cell>
          <cell r="B1477" t="str">
            <v>קניונים</v>
          </cell>
          <cell r="C1477" t="str">
            <v>מסעף לקרית אריה-בוטל-הנחת כבלים 161,</v>
          </cell>
          <cell r="D1477">
            <v>39021</v>
          </cell>
        </row>
        <row r="1478">
          <cell r="A1478" t="str">
            <v>WBM-70039</v>
          </cell>
          <cell r="B1478" t="str">
            <v>קניונים</v>
          </cell>
          <cell r="C1478" t="str">
            <v>קניונים-התקנת 2 סוללת קבלים מ"ג ל 2שנאים</v>
          </cell>
          <cell r="D1478">
            <v>46598</v>
          </cell>
        </row>
        <row r="1479">
          <cell r="A1479" t="str">
            <v>WBM-00574</v>
          </cell>
          <cell r="B1479" t="str">
            <v>קניונים</v>
          </cell>
          <cell r="C1479" t="str">
            <v>קניונים-הוספת ווסתים לסליל כיבוי 120 א'</v>
          </cell>
          <cell r="D1479">
            <v>46752</v>
          </cell>
        </row>
        <row r="1480">
          <cell r="A1480" t="str">
            <v>WBM-40481</v>
          </cell>
          <cell r="B1480" t="str">
            <v>קניונים</v>
          </cell>
          <cell r="C1480" t="str">
            <v>קניונים - החלפת שרשראות מבודדים</v>
          </cell>
          <cell r="D1480">
            <v>46598</v>
          </cell>
        </row>
        <row r="1481">
          <cell r="A1481" t="str">
            <v>WBM-10046</v>
          </cell>
          <cell r="B1481" t="str">
            <v>קניונים</v>
          </cell>
          <cell r="C1481" t="str">
            <v>קניונים - התקנת רושם הפרעות</v>
          </cell>
          <cell r="D1481">
            <v>46568</v>
          </cell>
        </row>
        <row r="1482">
          <cell r="A1482" t="str">
            <v>WBM-10431</v>
          </cell>
          <cell r="B1482" t="str">
            <v>קניונים</v>
          </cell>
          <cell r="C1482" t="str">
            <v>קניונים-התאמת תיילים-מהדקים-פורט'WBO-643</v>
          </cell>
          <cell r="D1482">
            <v>46356</v>
          </cell>
        </row>
        <row r="1483">
          <cell r="A1483" t="str">
            <v>WBM-40153</v>
          </cell>
          <cell r="B1483" t="str">
            <v>קניונים</v>
          </cell>
          <cell r="C1483" t="str">
            <v>קניונים-החלפת מערכת פיקוד של מסדר 161</v>
          </cell>
          <cell r="D1483">
            <v>46386</v>
          </cell>
        </row>
        <row r="1484">
          <cell r="A1484" t="str">
            <v>WBM-40514</v>
          </cell>
          <cell r="B1484" t="str">
            <v>קניונים</v>
          </cell>
          <cell r="C1484" t="str">
            <v>קניונים -בוטל - החלפת משגוחים  ( 60 ו 220 וולט)</v>
          </cell>
        </row>
        <row r="1485">
          <cell r="A1485" t="str">
            <v>WBM-40140</v>
          </cell>
          <cell r="B1485" t="str">
            <v>קניונים</v>
          </cell>
          <cell r="C1485" t="str">
            <v>קניונים - החלפת מערכת SCS</v>
          </cell>
          <cell r="D1485">
            <v>46022</v>
          </cell>
        </row>
        <row r="1486">
          <cell r="A1486" t="str">
            <v>WBG-140-003</v>
          </cell>
          <cell r="B1486" t="str">
            <v>קניונים</v>
          </cell>
          <cell r="C1486" t="str">
            <v>קניונים-הקמת רשת מחשבים תפעולית</v>
          </cell>
          <cell r="D1486">
            <v>40979</v>
          </cell>
        </row>
        <row r="1487">
          <cell r="A1487" t="str">
            <v>WBM-40138</v>
          </cell>
          <cell r="B1487" t="str">
            <v>קניונים</v>
          </cell>
          <cell r="C1487" t="str">
            <v>קניונים - בוטל-החלפת טרפו גרד בשד: 2, 3</v>
          </cell>
          <cell r="D1487">
            <v>44012</v>
          </cell>
        </row>
        <row r="1488">
          <cell r="A1488" t="str">
            <v>WBM-10059</v>
          </cell>
          <cell r="B1488" t="str">
            <v>קניונים</v>
          </cell>
          <cell r="C1488" t="str">
            <v>קניונים - בוטל-החלפת גשרי דיודות</v>
          </cell>
          <cell r="D1488">
            <v>43769</v>
          </cell>
        </row>
        <row r="1489">
          <cell r="A1489" t="str">
            <v>WBM-10096</v>
          </cell>
          <cell r="B1489" t="str">
            <v>קניונים</v>
          </cell>
          <cell r="C1489" t="str">
            <v>קניונים - בוטל-התקנת מערכת ממירים ז"י</v>
          </cell>
          <cell r="D1489">
            <v>43555</v>
          </cell>
        </row>
        <row r="1490">
          <cell r="A1490">
            <v>532414</v>
          </cell>
          <cell r="B1490" t="str">
            <v>קניונים</v>
          </cell>
          <cell r="C1490" t="str">
            <v>קניונים - החלפת גשרי דיודות</v>
          </cell>
          <cell r="D1490">
            <v>42215</v>
          </cell>
        </row>
        <row r="1491">
          <cell r="A1491">
            <v>532411</v>
          </cell>
          <cell r="B1491" t="str">
            <v>קניונים</v>
          </cell>
          <cell r="C1491" t="str">
            <v>קניונים-התקנת מאווררים בארונות פיקוד</v>
          </cell>
          <cell r="D1491">
            <v>41638</v>
          </cell>
        </row>
        <row r="1492">
          <cell r="A1492" t="str">
            <v>WBG-140-007</v>
          </cell>
          <cell r="B1492" t="str">
            <v>קניונים</v>
          </cell>
          <cell r="C1492" t="str">
            <v>קניונים-החלפת מערכת התראה בטחונית</v>
          </cell>
          <cell r="D1492">
            <v>41820</v>
          </cell>
        </row>
        <row r="1493">
          <cell r="A1493" t="str">
            <v>WBG-140-008</v>
          </cell>
          <cell r="B1493" t="str">
            <v>קניונים</v>
          </cell>
          <cell r="C1493" t="str">
            <v>קניונים-הקשחות אבטחת מידע במחשב</v>
          </cell>
          <cell r="D1493">
            <v>40605</v>
          </cell>
        </row>
        <row r="1494">
          <cell r="A1494" t="str">
            <v>WBG-140-005</v>
          </cell>
          <cell r="B1494" t="str">
            <v>קניונים</v>
          </cell>
          <cell r="C1494" t="str">
            <v>קניונים-התקנת 2 ס"ק  5*2 מגווא"ר כ"א</v>
          </cell>
          <cell r="D1494">
            <v>41126</v>
          </cell>
        </row>
        <row r="1495">
          <cell r="A1495" t="str">
            <v>WBM-01341-011</v>
          </cell>
          <cell r="B1495" t="str">
            <v>קניונים</v>
          </cell>
          <cell r="C1495" t="str">
            <v>קניונים - שיפוץ מסדרי GIS</v>
          </cell>
          <cell r="D1495">
            <v>47664</v>
          </cell>
        </row>
        <row r="1496">
          <cell r="A1496" t="str">
            <v>WBM-10315-033</v>
          </cell>
          <cell r="B1496" t="str">
            <v>קניונים</v>
          </cell>
          <cell r="C1496" t="str">
            <v>קניונים - התקנת מזגנים</v>
          </cell>
          <cell r="D1496">
            <v>45838</v>
          </cell>
        </row>
        <row r="1497">
          <cell r="A1497" t="str">
            <v>WBM-40479-062</v>
          </cell>
          <cell r="B1497" t="str">
            <v>קניונים</v>
          </cell>
          <cell r="C1497" t="str">
            <v>קניונים- החלפת 3 בקרי טמפ' וגובה שמן בשנ</v>
          </cell>
          <cell r="D1497">
            <v>47118</v>
          </cell>
        </row>
        <row r="1498">
          <cell r="A1498" t="str">
            <v>WBM-60008-073</v>
          </cell>
          <cell r="B1498" t="str">
            <v>קניונים</v>
          </cell>
          <cell r="C1498" t="str">
            <v>קניונים - מערכת בקרה וטמ"ס</v>
          </cell>
          <cell r="D1498">
            <v>46477</v>
          </cell>
        </row>
        <row r="1499">
          <cell r="A1499" t="str">
            <v>WBM-60100-017</v>
          </cell>
          <cell r="B1499" t="str">
            <v>קניונים</v>
          </cell>
          <cell r="C1499" t="str">
            <v>קניונים - החלפת ברזי זרימה</v>
          </cell>
          <cell r="D1499">
            <v>45475</v>
          </cell>
        </row>
        <row r="1500">
          <cell r="A1500" t="str">
            <v>WBM-60107-012</v>
          </cell>
          <cell r="B1500" t="str">
            <v>קניונים</v>
          </cell>
          <cell r="C1500" t="str">
            <v>קניונים - החלפת מנעולים אלק.מגנטיים באלק</v>
          </cell>
          <cell r="D1500">
            <v>45627</v>
          </cell>
        </row>
        <row r="1501">
          <cell r="A1501" t="str">
            <v>WBM-00885-136</v>
          </cell>
          <cell r="B1501" t="str">
            <v>קניונים</v>
          </cell>
          <cell r="C1501" t="str">
            <v>קניונים- שיפוץ משאבת כיבוי אש</v>
          </cell>
          <cell r="D1501">
            <v>46196</v>
          </cell>
        </row>
        <row r="1502">
          <cell r="A1502" t="str">
            <v>WBM-10688</v>
          </cell>
          <cell r="B1502" t="str">
            <v>קניונים</v>
          </cell>
          <cell r="C1502" t="str">
            <v>קניונים – חיבור והעברת כבלי 161 ק"ו בתוך התחמ"ש. משיק ל- WBO-220, WBO-643.</v>
          </cell>
          <cell r="D1502">
            <v>46356</v>
          </cell>
        </row>
        <row r="1503">
          <cell r="A1503" t="str">
            <v>WBM-60205-015</v>
          </cell>
          <cell r="B1503" t="str">
            <v>קניונים</v>
          </cell>
          <cell r="C1503" t="str">
            <v>קניונים - ניטור הצפות</v>
          </cell>
          <cell r="D1503">
            <v>46175</v>
          </cell>
        </row>
        <row r="1504">
          <cell r="A1504" t="str">
            <v>WBM-10750</v>
          </cell>
          <cell r="B1504" t="str">
            <v>קניונים</v>
          </cell>
          <cell r="C1504" t="str">
            <v>קניונים- משיק לבת ים שדה 5, יישום דרך קשר אופטית בין הגנות בשדה 7</v>
          </cell>
          <cell r="D1504">
            <v>46356</v>
          </cell>
        </row>
        <row r="1505">
          <cell r="A1505" t="str">
            <v>WBM-10753</v>
          </cell>
          <cell r="B1505" t="str">
            <v>קניונים</v>
          </cell>
          <cell r="C1505" t="str">
            <v>קניונים -  משיק לחולון שדה 7,  התקנת הגנה דיפרנציאלית ויישום דרך קשר אופטית בין הגנות</v>
          </cell>
          <cell r="D1505">
            <v>46326</v>
          </cell>
        </row>
        <row r="1506">
          <cell r="A1506" t="str">
            <v>WBM-10754</v>
          </cell>
          <cell r="B1506" t="str">
            <v>קניונים</v>
          </cell>
          <cell r="C1506" t="str">
            <v>קניונים -  משיק לחולון שדה 7, התקנת הגנת מרחק ויישום דרך קשר אופטית בין הגנות בשדה 5</v>
          </cell>
          <cell r="D1506">
            <v>46326</v>
          </cell>
        </row>
        <row r="1507">
          <cell r="A1507" t="str">
            <v>WBM-60131-013</v>
          </cell>
          <cell r="B1507" t="str">
            <v>קניונים</v>
          </cell>
          <cell r="C1507" t="str">
            <v>קניונים - טיפול באופיין מים</v>
          </cell>
          <cell r="D1507">
            <v>46180</v>
          </cell>
        </row>
        <row r="1508">
          <cell r="A1508">
            <v>3502124</v>
          </cell>
          <cell r="B1508" t="str">
            <v>קמפוס טכנולוגי ב''ש</v>
          </cell>
          <cell r="C1508" t="str">
            <v>קמפוס טכנולוגי ב"ש-בוטל-הקמת תחמ"ש פרטית</v>
          </cell>
          <cell r="D1508">
            <v>42038</v>
          </cell>
        </row>
        <row r="1509">
          <cell r="A1509" t="str">
            <v>WBA-106</v>
          </cell>
          <cell r="B1509" t="str">
            <v>קליטת מחז''מ אשכול</v>
          </cell>
          <cell r="C1509" t="str">
            <v>קליטת מחז"מ אשכול-הקמת קו אשכול-יבנה</v>
          </cell>
          <cell r="D1509">
            <v>41789</v>
          </cell>
        </row>
        <row r="1510">
          <cell r="A1510" t="str">
            <v>WBA-108</v>
          </cell>
          <cell r="B1510" t="str">
            <v>קליטת מחז''מ אשכול</v>
          </cell>
          <cell r="C1510" t="str">
            <v>קליטת מחז"מ אשכול-גישור בין הקווים</v>
          </cell>
          <cell r="D1510">
            <v>41429</v>
          </cell>
        </row>
        <row r="1511">
          <cell r="A1511" t="str">
            <v>WBO-464</v>
          </cell>
          <cell r="B1511" t="str">
            <v>קליטת מחז''מ אשכול</v>
          </cell>
          <cell r="C1511" t="str">
            <v>קליטת מחז"מ אשכול-חיבור יח' 8 למסדר החדש</v>
          </cell>
          <cell r="D1511">
            <v>44196</v>
          </cell>
        </row>
        <row r="1512">
          <cell r="A1512" t="str">
            <v>HIS-014</v>
          </cell>
          <cell r="B1512" t="str">
            <v>קישון</v>
          </cell>
          <cell r="C1512" t="str">
            <v>קישון</v>
          </cell>
          <cell r="D1512">
            <v>40908</v>
          </cell>
        </row>
        <row r="1513">
          <cell r="A1513" t="str">
            <v>WBE-063-ST5</v>
          </cell>
          <cell r="B1513" t="str">
            <v>קישון</v>
          </cell>
          <cell r="C1513" t="str">
            <v>קישון-החלפת ציוד 161 ק"ו בשדה 7 לרוממה</v>
          </cell>
          <cell r="D1513">
            <v>42402</v>
          </cell>
        </row>
        <row r="1514">
          <cell r="A1514" t="str">
            <v>0212724</v>
          </cell>
          <cell r="B1514" t="str">
            <v>קישון</v>
          </cell>
          <cell r="C1514" t="str">
            <v>uoe6a-קישון-עיבוי ושדרוג עמוד שדרה</v>
          </cell>
          <cell r="D1514">
            <v>41943</v>
          </cell>
        </row>
        <row r="1515">
          <cell r="A1515" t="str">
            <v>WBE-146</v>
          </cell>
          <cell r="B1515" t="str">
            <v>קישון</v>
          </cell>
          <cell r="C1515" t="str">
            <v>קישון-בוטל - החלפת שנאי 524</v>
          </cell>
        </row>
        <row r="1516">
          <cell r="A1516" t="str">
            <v>WBE-145</v>
          </cell>
          <cell r="B1516" t="str">
            <v>קישון</v>
          </cell>
          <cell r="C1516" t="str">
            <v>קישון - רב שלבי-החלפת שנאים  524, 523</v>
          </cell>
          <cell r="D1516">
            <v>46387</v>
          </cell>
        </row>
        <row r="1517">
          <cell r="A1517" t="str">
            <v>WBE-063</v>
          </cell>
          <cell r="B1517" t="str">
            <v>קישון</v>
          </cell>
          <cell r="C1517" t="str">
            <v>קישון-החלפת ציוד מ"ע-7 שלבים</v>
          </cell>
          <cell r="D1517">
            <v>42541</v>
          </cell>
        </row>
        <row r="1518">
          <cell r="A1518" t="str">
            <v>WBE-144</v>
          </cell>
          <cell r="B1518" t="str">
            <v>קישון</v>
          </cell>
          <cell r="C1518" t="str">
            <v>קישון -בוטל-החלפת שנאי 521, כולל מס.אפס</v>
          </cell>
        </row>
        <row r="1519">
          <cell r="A1519" t="str">
            <v>WBE-164</v>
          </cell>
          <cell r="B1519" t="str">
            <v>קישון</v>
          </cell>
          <cell r="C1519" t="str">
            <v>קישון -שדרוג תחמ"ש והחלפת שנאים 521, 522</v>
          </cell>
          <cell r="D1519">
            <v>47118</v>
          </cell>
        </row>
        <row r="1520">
          <cell r="A1520" t="str">
            <v>WBM-01229</v>
          </cell>
          <cell r="B1520" t="str">
            <v>קישון</v>
          </cell>
          <cell r="C1520" t="str">
            <v>קישון-התאמת מסדר 161 ק"ו לז"ק של 50 ק"א</v>
          </cell>
          <cell r="D1520">
            <v>44710</v>
          </cell>
        </row>
        <row r="1521">
          <cell r="A1521" t="str">
            <v>WBG-093-006</v>
          </cell>
          <cell r="B1521" t="str">
            <v>קישון</v>
          </cell>
          <cell r="C1521" t="str">
            <v>קישון-החלפת מנתקים ומ"ז</v>
          </cell>
          <cell r="D1521">
            <v>37986</v>
          </cell>
        </row>
        <row r="1522">
          <cell r="A1522">
            <v>522056</v>
          </cell>
          <cell r="B1522" t="str">
            <v>קישון</v>
          </cell>
          <cell r="C1522" t="str">
            <v>קישון-התקנת מאווררים בארונות פיקוד</v>
          </cell>
          <cell r="D1522">
            <v>40311</v>
          </cell>
        </row>
        <row r="1523">
          <cell r="A1523" t="str">
            <v>WBM-01090</v>
          </cell>
          <cell r="B1523" t="str">
            <v>קישון</v>
          </cell>
          <cell r="C1523" t="str">
            <v>קישון-התקנת מאצרת שמן זמנית לשנאי 521</v>
          </cell>
          <cell r="D1523">
            <v>43262</v>
          </cell>
        </row>
        <row r="1524">
          <cell r="A1524" t="str">
            <v>WBM-00758</v>
          </cell>
          <cell r="B1524" t="str">
            <v>קישון</v>
          </cell>
          <cell r="C1524" t="str">
            <v>קישון-התקנת מאצרת שמן בשנאי 523,524</v>
          </cell>
          <cell r="D1524">
            <v>43026</v>
          </cell>
        </row>
        <row r="1525">
          <cell r="A1525" t="str">
            <v>WBM-00959</v>
          </cell>
          <cell r="B1525" t="str">
            <v>קישון</v>
          </cell>
          <cell r="C1525" t="str">
            <v>קישון-פיילוט-התקנת  מאצרת שמן</v>
          </cell>
          <cell r="D1525">
            <v>42759</v>
          </cell>
        </row>
        <row r="1526">
          <cell r="A1526" t="str">
            <v>WBM-00109</v>
          </cell>
          <cell r="B1526" t="str">
            <v>קישון</v>
          </cell>
          <cell r="C1526" t="str">
            <v>קישון-התקנת עמדת כיבוי אש שנייה.</v>
          </cell>
          <cell r="D1526">
            <v>42461</v>
          </cell>
        </row>
        <row r="1527">
          <cell r="A1527" t="str">
            <v>WBM-00573</v>
          </cell>
          <cell r="B1527" t="str">
            <v>קישון</v>
          </cell>
          <cell r="C1527" t="str">
            <v>קישון-בוטל-התקנת מערכת מתזים לכיבוי אש</v>
          </cell>
          <cell r="D1527">
            <v>41423</v>
          </cell>
        </row>
        <row r="1528">
          <cell r="A1528" t="str">
            <v>WBM-00571</v>
          </cell>
          <cell r="B1528" t="str">
            <v>קישון</v>
          </cell>
          <cell r="C1528" t="str">
            <v>קישון-בוטל-החלפת 6 מגיני ברק 161 ק"ו</v>
          </cell>
          <cell r="D1528">
            <v>40750</v>
          </cell>
        </row>
        <row r="1529">
          <cell r="A1529" t="str">
            <v>WBM-01348</v>
          </cell>
          <cell r="B1529" t="str">
            <v>קישון</v>
          </cell>
          <cell r="C1529" t="str">
            <v>קישון - החלפת רכזת גילוי וכיבוי אש</v>
          </cell>
          <cell r="D1529">
            <v>43585</v>
          </cell>
        </row>
        <row r="1530">
          <cell r="A1530" t="str">
            <v>WBM-00833</v>
          </cell>
          <cell r="B1530" t="str">
            <v>קישון</v>
          </cell>
          <cell r="C1530" t="str">
            <v>קישון-התקנת מ.גילוי וכיבוי אש בל.החלוקה</v>
          </cell>
          <cell r="D1530">
            <v>41513</v>
          </cell>
        </row>
        <row r="1531">
          <cell r="A1531">
            <v>522042</v>
          </cell>
          <cell r="B1531" t="str">
            <v>קישון</v>
          </cell>
          <cell r="C1531" t="str">
            <v>קישון-החלפת רכזת התראה בטחונית</v>
          </cell>
          <cell r="D1531">
            <v>39537</v>
          </cell>
        </row>
        <row r="1532">
          <cell r="A1532" t="str">
            <v>WBM-01391</v>
          </cell>
          <cell r="B1532" t="str">
            <v>קישון</v>
          </cell>
          <cell r="C1532" t="str">
            <v>קישון-בוטל-פירוק שדות 161 ק"ו 11-17</v>
          </cell>
          <cell r="D1532">
            <v>43242</v>
          </cell>
        </row>
        <row r="1533">
          <cell r="A1533" t="str">
            <v>WBM-00566</v>
          </cell>
          <cell r="B1533" t="str">
            <v>קישון</v>
          </cell>
          <cell r="C1533" t="str">
            <v>קישון-110 ק"ו-בוטל-הוצאה מניצול ש' 42,40</v>
          </cell>
          <cell r="D1533">
            <v>41249</v>
          </cell>
        </row>
        <row r="1534">
          <cell r="A1534" t="str">
            <v>WBM-00759</v>
          </cell>
          <cell r="B1534" t="str">
            <v>קישון</v>
          </cell>
          <cell r="C1534" t="str">
            <v>קישון-הוספת פונקצית COMM.FAIL להגנת המרח</v>
          </cell>
          <cell r="D1534">
            <v>41673</v>
          </cell>
        </row>
        <row r="1535">
          <cell r="A1535" t="str">
            <v>WBG-093-033</v>
          </cell>
          <cell r="B1535" t="str">
            <v>קישון</v>
          </cell>
          <cell r="C1535" t="str">
            <v>קישון-הקמת טבעת om 40</v>
          </cell>
          <cell r="D1535">
            <v>41633</v>
          </cell>
        </row>
        <row r="1536">
          <cell r="A1536" t="str">
            <v>WBM-01392</v>
          </cell>
          <cell r="B1536" t="str">
            <v>קישון</v>
          </cell>
          <cell r="C1536" t="str">
            <v>קישון-בוטל-הקמת עמוד/פורטל לפירוק מתיחות</v>
          </cell>
          <cell r="D1536">
            <v>43242</v>
          </cell>
        </row>
        <row r="1537">
          <cell r="A1537" t="str">
            <v>WBM-00572</v>
          </cell>
          <cell r="B1537" t="str">
            <v>קישון</v>
          </cell>
          <cell r="C1537" t="str">
            <v>עבודות משלימות לצורך החלפת שנאים 524 ו 523 מקביל לפרויקט WBE-145</v>
          </cell>
          <cell r="D1537">
            <v>46387</v>
          </cell>
        </row>
        <row r="1538">
          <cell r="A1538" t="str">
            <v>WBM-40200</v>
          </cell>
          <cell r="B1538" t="str">
            <v>קישון</v>
          </cell>
          <cell r="C1538" t="str">
            <v>קישון-השלמת החלפת ציוד</v>
          </cell>
          <cell r="D1538">
            <v>46387</v>
          </cell>
        </row>
        <row r="1539">
          <cell r="A1539" t="str">
            <v>WBM-10426</v>
          </cell>
          <cell r="B1539" t="str">
            <v>קישון</v>
          </cell>
          <cell r="C1539" t="str">
            <v>קישון -משיק תה"ר הקיטור,ש28,החלפת הגנה</v>
          </cell>
          <cell r="D1539">
            <v>46721</v>
          </cell>
        </row>
        <row r="1540">
          <cell r="A1540" t="str">
            <v>WBM-01292</v>
          </cell>
          <cell r="B1540" t="str">
            <v>קישון</v>
          </cell>
          <cell r="C1540" t="str">
            <v>קישון - החלפת רושם הפרעות</v>
          </cell>
          <cell r="D1540">
            <v>47118</v>
          </cell>
        </row>
        <row r="1541">
          <cell r="A1541" t="str">
            <v>WBM-10447</v>
          </cell>
          <cell r="B1541" t="str">
            <v>קישון</v>
          </cell>
          <cell r="C1541" t="str">
            <v>קישון -משיק מבוא כרמל ש5,החלפת הגנה ש1</v>
          </cell>
          <cell r="D1541">
            <v>45929</v>
          </cell>
        </row>
        <row r="1542">
          <cell r="A1542" t="str">
            <v>WBM-40285</v>
          </cell>
          <cell r="B1542" t="str">
            <v>קישון</v>
          </cell>
          <cell r="C1542" t="str">
            <v>קישון-החלפת הגנה דיפרנציאלית בשדה 3</v>
          </cell>
          <cell r="D1542">
            <v>45992</v>
          </cell>
        </row>
        <row r="1543">
          <cell r="A1543" t="str">
            <v>WBM-00570</v>
          </cell>
          <cell r="B1543" t="str">
            <v>קישון</v>
          </cell>
          <cell r="C1543" t="str">
            <v>קישון-החלפת גדר רשת קיימת לרשת "יהודה"</v>
          </cell>
          <cell r="D1543">
            <v>44804</v>
          </cell>
        </row>
        <row r="1544">
          <cell r="A1544" t="str">
            <v>WBM-60089</v>
          </cell>
          <cell r="B1544" t="str">
            <v>קישון</v>
          </cell>
          <cell r="C1544" t="str">
            <v>קישון-העתקת שנאי קישור לדימונה+ מאצרה זמ</v>
          </cell>
          <cell r="D1544">
            <v>44727</v>
          </cell>
        </row>
        <row r="1545">
          <cell r="A1545" t="str">
            <v>WBM-01222</v>
          </cell>
          <cell r="B1545" t="str">
            <v>קישון</v>
          </cell>
          <cell r="C1545" t="str">
            <v>קישון-החלפת הגנת שנאי DT92 כולל יתרת זרם</v>
          </cell>
          <cell r="D1545">
            <v>44634</v>
          </cell>
        </row>
        <row r="1546">
          <cell r="A1546" t="str">
            <v>WBM-00110</v>
          </cell>
          <cell r="B1546" t="str">
            <v>קישון</v>
          </cell>
          <cell r="C1546" t="str">
            <v>קישון-החלפה ועיגון לוח חלוקה ז"ח 380 ו'</v>
          </cell>
          <cell r="D1546">
            <v>44350</v>
          </cell>
        </row>
        <row r="1547">
          <cell r="A1547" t="str">
            <v>WBM-01356</v>
          </cell>
          <cell r="B1547" t="str">
            <v>קישון</v>
          </cell>
          <cell r="C1547" t="str">
            <v>קישון-שיפור אוטומטיקת סלילי כיבוי בתחמ"ש</v>
          </cell>
          <cell r="D1547">
            <v>44053</v>
          </cell>
        </row>
        <row r="1548">
          <cell r="A1548" t="str">
            <v>WBM-10119</v>
          </cell>
          <cell r="B1548" t="str">
            <v>קישון</v>
          </cell>
          <cell r="C1548" t="str">
            <v>קישון - החלפת סליל כיבוי  מס' 3</v>
          </cell>
          <cell r="D1548">
            <v>44053</v>
          </cell>
        </row>
        <row r="1549">
          <cell r="A1549" t="str">
            <v>WBM-01393</v>
          </cell>
          <cell r="B1549" t="str">
            <v>קישון</v>
          </cell>
          <cell r="C1549" t="str">
            <v>קישון-פירוק  לוח דופלקס</v>
          </cell>
          <cell r="D1549">
            <v>43879</v>
          </cell>
        </row>
        <row r="1550">
          <cell r="A1550" t="str">
            <v>WBM-01205</v>
          </cell>
          <cell r="B1550" t="str">
            <v>קישון</v>
          </cell>
          <cell r="C1550" t="str">
            <v>קישון-עע"א-שדרוג הגנות מרחק בשדה 26</v>
          </cell>
          <cell r="D1550">
            <v>43717</v>
          </cell>
        </row>
        <row r="1551">
          <cell r="A1551" t="str">
            <v>WBG-093-029</v>
          </cell>
          <cell r="B1551" t="str">
            <v>קישון</v>
          </cell>
          <cell r="C1551" t="str">
            <v>קישון-החלפת שרשראות מבודדי מתיחה של פ"צ</v>
          </cell>
          <cell r="D1551">
            <v>41273</v>
          </cell>
        </row>
        <row r="1552">
          <cell r="A1552" t="str">
            <v>WBM-00975</v>
          </cell>
          <cell r="B1552" t="str">
            <v>קישון</v>
          </cell>
          <cell r="C1552" t="str">
            <v>קישון-עע"א-בוטל-שדה 26 החלפת הגנ.דיפ</v>
          </cell>
          <cell r="D1552">
            <v>43100</v>
          </cell>
        </row>
        <row r="1553">
          <cell r="A1553" t="str">
            <v>WBM-01233</v>
          </cell>
          <cell r="B1553" t="str">
            <v>קישון</v>
          </cell>
          <cell r="C1553" t="str">
            <v>קישון-בוטל-התק.מאצר.שמן קב.בשנ' 521,522</v>
          </cell>
          <cell r="D1553">
            <v>42899</v>
          </cell>
        </row>
        <row r="1554">
          <cell r="A1554" t="str">
            <v>WBM-40199</v>
          </cell>
          <cell r="B1554" t="str">
            <v>קישון</v>
          </cell>
          <cell r="C1554" t="str">
            <v>קישון-בוטל-החלפת ציוד בש' 22,23,24,26,28</v>
          </cell>
          <cell r="D1554">
            <v>43132</v>
          </cell>
        </row>
        <row r="1555">
          <cell r="A1555" t="str">
            <v>WBM-40198</v>
          </cell>
          <cell r="B1555" t="str">
            <v>קישון</v>
          </cell>
          <cell r="C1555" t="str">
            <v>קישון-בוטל-החלפת ציוד בש' 21,18,16,15,14</v>
          </cell>
          <cell r="D1555">
            <v>43132</v>
          </cell>
        </row>
        <row r="1556">
          <cell r="A1556" t="str">
            <v>WBM-10228</v>
          </cell>
          <cell r="B1556" t="str">
            <v>קישון</v>
          </cell>
          <cell r="C1556" t="str">
            <v>קישון  -  בוטל-בניית בניין מסדרים מתח גב</v>
          </cell>
          <cell r="D1556">
            <v>36526</v>
          </cell>
        </row>
        <row r="1557">
          <cell r="A1557" t="str">
            <v>WBM-00568</v>
          </cell>
          <cell r="B1557" t="str">
            <v>קישון</v>
          </cell>
          <cell r="C1557" t="str">
            <v>קישון-בוטל-התקנת מצוף התראה למיכל דלק</v>
          </cell>
          <cell r="D1557">
            <v>39646</v>
          </cell>
        </row>
        <row r="1558">
          <cell r="A1558" t="str">
            <v>WBM-00569</v>
          </cell>
          <cell r="B1558" t="str">
            <v>קישון</v>
          </cell>
          <cell r="C1558" t="str">
            <v>קישון-בוטל שיפור מערכת הארקה בתחמ"ש.</v>
          </cell>
          <cell r="D1558">
            <v>39797</v>
          </cell>
        </row>
        <row r="1559">
          <cell r="A1559" t="str">
            <v>WBG-093-001</v>
          </cell>
          <cell r="B1559" t="str">
            <v>קישון</v>
          </cell>
          <cell r="C1559" t="str">
            <v>קישון-שינויים בחיווט רושם הפרעות קיים</v>
          </cell>
          <cell r="D1559">
            <v>38168</v>
          </cell>
        </row>
        <row r="1560">
          <cell r="A1560" t="str">
            <v>WBM-00565</v>
          </cell>
          <cell r="B1560" t="str">
            <v>קישון</v>
          </cell>
          <cell r="C1560" t="str">
            <v>קישון-בוטל-פינוי כבלים ישנים בתחמ"ג</v>
          </cell>
          <cell r="D1560">
            <v>41249</v>
          </cell>
        </row>
        <row r="1561">
          <cell r="A1561" t="str">
            <v>WBM-00567</v>
          </cell>
          <cell r="B1561" t="str">
            <v>קישון</v>
          </cell>
          <cell r="C1561" t="str">
            <v>קישון-בוטל-החלפת מגיני ברק מ"גשנאים.</v>
          </cell>
          <cell r="D1561">
            <v>41249</v>
          </cell>
        </row>
        <row r="1562">
          <cell r="A1562" t="str">
            <v>WBM-00942</v>
          </cell>
          <cell r="B1562" t="str">
            <v>קישון</v>
          </cell>
          <cell r="C1562" t="str">
            <v>קישון-בוטל-עיגון שנאי הספק 523</v>
          </cell>
          <cell r="D1562">
            <v>40640</v>
          </cell>
        </row>
        <row r="1563">
          <cell r="A1563" t="str">
            <v>WBM-01375</v>
          </cell>
          <cell r="B1563" t="str">
            <v>קישון</v>
          </cell>
          <cell r="C1563" t="str">
            <v>קישון-בוטל-מיגון מתקנים פיזי</v>
          </cell>
          <cell r="D1563">
            <v>43129</v>
          </cell>
        </row>
        <row r="1564">
          <cell r="A1564" t="str">
            <v>WBE-063-ST6</v>
          </cell>
          <cell r="B1564" t="str">
            <v>קישון</v>
          </cell>
          <cell r="C1564" t="str">
            <v>קישון-החלפת ציוד 161 ק"ו בשדה 27</v>
          </cell>
          <cell r="D1564">
            <v>42541</v>
          </cell>
        </row>
        <row r="1565">
          <cell r="A1565" t="str">
            <v>WBE-063-ST4</v>
          </cell>
          <cell r="B1565" t="str">
            <v>קישון</v>
          </cell>
          <cell r="C1565" t="str">
            <v>קישון-החלפת ציוד 161 ק"ו בשדה  5</v>
          </cell>
          <cell r="D1565">
            <v>42347</v>
          </cell>
        </row>
        <row r="1566">
          <cell r="A1566" t="str">
            <v>WBE-063-ST3</v>
          </cell>
          <cell r="B1566" t="str">
            <v>קישון</v>
          </cell>
          <cell r="C1566" t="str">
            <v>קישון-החלפת ציוד 161 ק"ו בשדה 3</v>
          </cell>
          <cell r="D1566">
            <v>42145</v>
          </cell>
        </row>
        <row r="1567">
          <cell r="A1567" t="str">
            <v>WBE-063-ST2</v>
          </cell>
          <cell r="B1567" t="str">
            <v>קישון</v>
          </cell>
          <cell r="C1567" t="str">
            <v>קישון-החלפת ציוד 161 ק"ו בשדה 1</v>
          </cell>
          <cell r="D1567">
            <v>42040</v>
          </cell>
        </row>
        <row r="1568">
          <cell r="A1568" t="str">
            <v>WBE-063-ST1</v>
          </cell>
          <cell r="B1568" t="str">
            <v>קישון</v>
          </cell>
          <cell r="C1568" t="str">
            <v>קישון- החלפת ציוד מ"ע בשדות 21,22,24</v>
          </cell>
          <cell r="D1568">
            <v>41973</v>
          </cell>
        </row>
        <row r="1569">
          <cell r="A1569" t="str">
            <v>WBE-063-ST0</v>
          </cell>
          <cell r="B1569" t="str">
            <v>קישון</v>
          </cell>
          <cell r="C1569" t="str">
            <v>קישון-החלפת ציוד בשדות 2,8</v>
          </cell>
          <cell r="D1569">
            <v>41639</v>
          </cell>
        </row>
        <row r="1570">
          <cell r="A1570" t="str">
            <v>WBE-063-ST11</v>
          </cell>
          <cell r="B1570" t="str">
            <v>קישון</v>
          </cell>
          <cell r="C1570" t="str">
            <v>קישון-החלפת ציוד 161 ק"ו בשדות 3 ו-21</v>
          </cell>
          <cell r="D1570">
            <v>41022</v>
          </cell>
        </row>
        <row r="1571">
          <cell r="A1571" t="str">
            <v>WBE-063-ST10</v>
          </cell>
          <cell r="B1571" t="str">
            <v>קישון</v>
          </cell>
          <cell r="C1571" t="str">
            <v>קישון-החלפת ציוד 161 ק"ו בשדה 5 לזמיר</v>
          </cell>
          <cell r="D1571">
            <v>41022</v>
          </cell>
        </row>
        <row r="1572">
          <cell r="A1572" t="str">
            <v>WBG-093-026-ST2</v>
          </cell>
          <cell r="B1572" t="str">
            <v>קישון</v>
          </cell>
          <cell r="C1572" t="str">
            <v>קישון-החלפת משנה זרם בשדה מס' 2</v>
          </cell>
          <cell r="D1572">
            <v>36164</v>
          </cell>
        </row>
        <row r="1573">
          <cell r="A1573" t="str">
            <v>WBG-093-027</v>
          </cell>
          <cell r="B1573" t="str">
            <v>קישון</v>
          </cell>
          <cell r="C1573" t="str">
            <v>קישון-החלפת מפסקי זרם בשדות  מס' 22,24</v>
          </cell>
          <cell r="D1573">
            <v>38806</v>
          </cell>
        </row>
        <row r="1574">
          <cell r="A1574" t="str">
            <v>WBG-093-032</v>
          </cell>
          <cell r="B1574" t="str">
            <v>קישון</v>
          </cell>
          <cell r="C1574" t="str">
            <v>קישון-החלפת מנתק פ"צ ומנתק קו</v>
          </cell>
          <cell r="D1574">
            <v>40735</v>
          </cell>
        </row>
        <row r="1575">
          <cell r="A1575" t="str">
            <v>WBG-093-035</v>
          </cell>
          <cell r="B1575" t="str">
            <v>קישון</v>
          </cell>
          <cell r="C1575" t="str">
            <v>קישון-החלפת קורות ועמודים</v>
          </cell>
          <cell r="D1575">
            <v>41574</v>
          </cell>
        </row>
        <row r="1576">
          <cell r="A1576" t="str">
            <v>WBM-40534</v>
          </cell>
          <cell r="B1576" t="str">
            <v>קישון</v>
          </cell>
          <cell r="C1576" t="str">
            <v>קישון-התאמה לזרם 1250 א' שדות 11, 17 בקישון לחיבור הקו מרוממה</v>
          </cell>
          <cell r="D1576">
            <v>47483</v>
          </cell>
        </row>
        <row r="1577">
          <cell r="A1577" t="str">
            <v>WBM-00350-045</v>
          </cell>
          <cell r="B1577" t="str">
            <v>קישון</v>
          </cell>
          <cell r="C1577" t="str">
            <v>קישון - החלפת שנאי 524</v>
          </cell>
          <cell r="D1577">
            <v>45565</v>
          </cell>
        </row>
        <row r="1578">
          <cell r="A1578" t="str">
            <v>WBM-01191-001</v>
          </cell>
          <cell r="B1578" t="str">
            <v>קישון</v>
          </cell>
          <cell r="C1578" t="str">
            <v>קישון - החלפת טבעת 40 ל- RAD</v>
          </cell>
          <cell r="D1578">
            <v>46568</v>
          </cell>
        </row>
        <row r="1579">
          <cell r="A1579" t="str">
            <v>WBM-10456-017</v>
          </cell>
          <cell r="B1579" t="str">
            <v>קישון</v>
          </cell>
          <cell r="C1579" t="str">
            <v>קישון- הוספת מתמרים ב-4 פ"צ</v>
          </cell>
          <cell r="D1579">
            <v>47118</v>
          </cell>
        </row>
        <row r="1580">
          <cell r="A1580" t="str">
            <v>WBM-20004-018</v>
          </cell>
          <cell r="B1580" t="str">
            <v>קישון</v>
          </cell>
          <cell r="C1580" t="str">
            <v>קישון - שיפור מערכת תאורה</v>
          </cell>
          <cell r="D1580">
            <v>45442</v>
          </cell>
        </row>
        <row r="1581">
          <cell r="A1581" t="str">
            <v>WBM-40295-041</v>
          </cell>
          <cell r="B1581" t="str">
            <v>קישון</v>
          </cell>
          <cell r="C1581" t="str">
            <v>קישון החלפת2  סוללות מצברים 510AH</v>
          </cell>
          <cell r="D1581">
            <v>46387</v>
          </cell>
        </row>
        <row r="1582">
          <cell r="A1582" t="str">
            <v>WBM-60092-026</v>
          </cell>
          <cell r="B1582" t="str">
            <v>קישון</v>
          </cell>
          <cell r="C1582" t="str">
            <v>קישון - בדיקות/טיפול/פינוי מכלי אש בגז</v>
          </cell>
          <cell r="D1582">
            <v>46173</v>
          </cell>
        </row>
        <row r="1583">
          <cell r="A1583" t="str">
            <v>WBM-60118-005</v>
          </cell>
          <cell r="B1583" t="str">
            <v>קישון</v>
          </cell>
          <cell r="C1583" t="str">
            <v>קישון - שיפור מערכת הארקה</v>
          </cell>
          <cell r="D1583">
            <v>45412</v>
          </cell>
        </row>
        <row r="1584">
          <cell r="A1584" t="str">
            <v>WBM-80014-018</v>
          </cell>
          <cell r="B1584" t="str">
            <v>קישון</v>
          </cell>
          <cell r="C1584" t="str">
            <v>קישון - בוטל - שדרוג SCS</v>
          </cell>
          <cell r="D1584">
            <v>44927</v>
          </cell>
        </row>
        <row r="1585">
          <cell r="A1585" t="str">
            <v>WBM-60130-041</v>
          </cell>
          <cell r="B1585" t="str">
            <v>קישון</v>
          </cell>
          <cell r="C1585" t="str">
            <v>קישון - התקנת מפסק פטריה להפסקת מערכת החשמל בחירום</v>
          </cell>
          <cell r="D1585">
            <v>46568</v>
          </cell>
        </row>
        <row r="1586">
          <cell r="A1586" t="str">
            <v>WBM-00902-003</v>
          </cell>
          <cell r="B1586" t="str">
            <v>קישון</v>
          </cell>
          <cell r="C1586" t="str">
            <v>תחמ"ש קישון- בוטל- לגליזציה</v>
          </cell>
        </row>
        <row r="1587">
          <cell r="A1587" t="str">
            <v>WBM-40630</v>
          </cell>
          <cell r="B1587" t="str">
            <v>קישון</v>
          </cell>
          <cell r="C1587" t="str">
            <v>קישון-שולב Wbm-40633-St2-התאמת שדה 25 לזרם 3000 א' והמרת שדה 19 לשדה קו בעל יכולת 3000 א' לטובת חיבור מחז"מ חיפה</v>
          </cell>
        </row>
        <row r="1588">
          <cell r="A1588" t="str">
            <v>WBM-40633</v>
          </cell>
          <cell r="B1588" t="str">
            <v>קישון</v>
          </cell>
          <cell r="C1588" t="str">
            <v>קישון- התאמת שדה 25 לזרם 3000 א' והמרת שדה 20 לשדה קו בעל יכולת 3000 א' לטובת חיבור מחז"מ חיפה.</v>
          </cell>
          <cell r="D1588">
            <v>46203</v>
          </cell>
        </row>
        <row r="1589">
          <cell r="A1589" t="str">
            <v>WBM-40633-ST1</v>
          </cell>
          <cell r="B1589" t="str">
            <v>קישון</v>
          </cell>
          <cell r="C1589" t="str">
            <v>קישון- העתקת משני מתח של פ"צ 161 ק"ו מס' 1 ו-2 משדה 19</v>
          </cell>
          <cell r="D1589">
            <v>43831</v>
          </cell>
        </row>
        <row r="1590">
          <cell r="A1590" t="str">
            <v>WBM-40633-ST2</v>
          </cell>
          <cell r="B1590" t="str">
            <v>קישון</v>
          </cell>
          <cell r="C1590" t="str">
            <v>קישון-בוטל  התאמת שדה 25 לזרם 3000 א' והמרת שדה 19 לשדה קו בעל יכולת 3000 א' לטובת חיבור מחז"מ חיפה.</v>
          </cell>
          <cell r="D1590">
            <v>43831</v>
          </cell>
        </row>
        <row r="1591">
          <cell r="A1591" t="str">
            <v>WBM-10731</v>
          </cell>
          <cell r="B1591" t="str">
            <v>קישון</v>
          </cell>
          <cell r="C1591" t="str">
            <v>קישון - התאמת תילים מהדקים-פורטלים wbo-347.</v>
          </cell>
          <cell r="D1591">
            <v>46477</v>
          </cell>
        </row>
        <row r="1592">
          <cell r="A1592" t="str">
            <v>WBM-00350-066</v>
          </cell>
          <cell r="B1592" t="str">
            <v>קישון</v>
          </cell>
          <cell r="C1592" t="str">
            <v>קישון - שיפוץ שנאי עקב תקלה</v>
          </cell>
          <cell r="D1592">
            <v>46022</v>
          </cell>
        </row>
        <row r="1593">
          <cell r="A1593" t="str">
            <v>WBM-10783</v>
          </cell>
          <cell r="B1593" t="str">
            <v>קישון</v>
          </cell>
          <cell r="C1593" t="str">
            <v>קישון - משיק למחז"מ חיפה שדה 9, התקנת הגנת מרחק והגנה דיפרנציאלית בשדה 25</v>
          </cell>
          <cell r="D1593">
            <v>46203</v>
          </cell>
        </row>
        <row r="1594">
          <cell r="A1594" t="str">
            <v>WBM-10785</v>
          </cell>
          <cell r="B1594" t="str">
            <v>קישון</v>
          </cell>
          <cell r="C1594" t="str">
            <v>קישון - "משיק למחז"מ חיפה שדה 8, התקנת הגנת מרחק והתקנת הגנה דיפרנציאלית בשדה 20</v>
          </cell>
          <cell r="D1594">
            <v>46203</v>
          </cell>
        </row>
        <row r="1595">
          <cell r="A1595" t="str">
            <v>WBM-10805</v>
          </cell>
          <cell r="B1595" t="str">
            <v>קישון</v>
          </cell>
          <cell r="C1595" t="str">
            <v>קישון-הקמת מבנה פיקוד משולב חדש</v>
          </cell>
          <cell r="D1595">
            <v>47118</v>
          </cell>
        </row>
        <row r="1596">
          <cell r="A1596" t="str">
            <v>WBJ-021</v>
          </cell>
          <cell r="B1596" t="str">
            <v>קישון</v>
          </cell>
          <cell r="C1596" t="str">
            <v>קישון- הכנת סידור כללי ראשוני במסגרת תמ"א 75</v>
          </cell>
          <cell r="D1596">
            <v>46387</v>
          </cell>
        </row>
        <row r="1597">
          <cell r="A1597" t="str">
            <v>WBE-145-ST1</v>
          </cell>
          <cell r="B1597" t="str">
            <v>קישון</v>
          </cell>
          <cell r="C1597" t="str">
            <v>קישון - שלב 1-החלפת שנאי 523</v>
          </cell>
          <cell r="D1597">
            <v>46098</v>
          </cell>
        </row>
        <row r="1598">
          <cell r="A1598" t="str">
            <v>WBE-145-ST2</v>
          </cell>
          <cell r="B1598" t="str">
            <v>קישון</v>
          </cell>
          <cell r="C1598" t="str">
            <v>קישון-שלב 2-החלפת שנאי 524</v>
          </cell>
          <cell r="D1598">
            <v>46387</v>
          </cell>
        </row>
        <row r="1599">
          <cell r="A1599" t="str">
            <v>HIS-125</v>
          </cell>
          <cell r="B1599" t="str">
            <v>קיסריה</v>
          </cell>
          <cell r="C1599" t="str">
            <v>קיסריה-השבחת שנאי קישור</v>
          </cell>
          <cell r="D1599">
            <v>41623</v>
          </cell>
        </row>
        <row r="1600">
          <cell r="A1600" t="str">
            <v>HIS-013</v>
          </cell>
          <cell r="B1600" t="str">
            <v>קיסריה</v>
          </cell>
          <cell r="C1600" t="str">
            <v>קיסריה</v>
          </cell>
          <cell r="D1600">
            <v>40908</v>
          </cell>
        </row>
        <row r="1601">
          <cell r="A1601" t="str">
            <v>0212729</v>
          </cell>
          <cell r="B1601" t="str">
            <v>קיסריה</v>
          </cell>
          <cell r="C1601" t="str">
            <v>uoe6a-קיסריה-עיבוי ושדרוג עמוד</v>
          </cell>
          <cell r="D1601">
            <v>42369</v>
          </cell>
        </row>
        <row r="1602">
          <cell r="A1602" t="str">
            <v>WBE-155</v>
          </cell>
          <cell r="B1602" t="str">
            <v>קיסריה</v>
          </cell>
          <cell r="C1602" t="str">
            <v>קיסריה- התקנת שנאי חמישי 161/24 ק"ו, 50 מגוו"א</v>
          </cell>
          <cell r="D1602">
            <v>45988</v>
          </cell>
        </row>
        <row r="1603">
          <cell r="A1603" t="str">
            <v>WBK-017</v>
          </cell>
          <cell r="B1603" t="str">
            <v>קיסריה</v>
          </cell>
          <cell r="C1603" t="str">
            <v>קיסריה-החלפת שני שנאי קישור קיימים ל-650</v>
          </cell>
          <cell r="D1603">
            <v>47847</v>
          </cell>
        </row>
        <row r="1604">
          <cell r="A1604" t="str">
            <v>WBK-015</v>
          </cell>
          <cell r="B1604" t="str">
            <v>קיסריה</v>
          </cell>
          <cell r="C1604" t="str">
            <v>קיסריה- התקנת ש"ק שלישי 650 מגוו"א</v>
          </cell>
          <cell r="D1604">
            <v>47118</v>
          </cell>
        </row>
        <row r="1605">
          <cell r="A1605" t="str">
            <v>WDA-1-PA02</v>
          </cell>
          <cell r="B1605" t="str">
            <v>קיסריה</v>
          </cell>
          <cell r="C1605" t="str">
            <v>קיסריה-הפעלת פיקוד מרחוק למפ"ז שד' 33,34</v>
          </cell>
          <cell r="D1605">
            <v>42185</v>
          </cell>
        </row>
        <row r="1606">
          <cell r="A1606" t="str">
            <v>WDA-1-02-15-26</v>
          </cell>
          <cell r="B1606" t="str">
            <v>קיסריה</v>
          </cell>
          <cell r="C1606" t="str">
            <v>קיסריה 161 בוטל-החלפת יחידת קצה פיקוח אר</v>
          </cell>
          <cell r="D1606">
            <v>43373</v>
          </cell>
        </row>
        <row r="1607">
          <cell r="A1607" t="str">
            <v>WBL-008-035</v>
          </cell>
          <cell r="B1607" t="str">
            <v>קיסריה</v>
          </cell>
          <cell r="C1607" t="str">
            <v>קיסריה-שידרוג מערכת גידור אלקטרוני</v>
          </cell>
          <cell r="D1607">
            <v>40750</v>
          </cell>
        </row>
        <row r="1608">
          <cell r="A1608" t="str">
            <v>WDB-04COM063</v>
          </cell>
          <cell r="B1608" t="str">
            <v>קיסריה</v>
          </cell>
          <cell r="C1608" t="str">
            <v>קיסריה-הנחת 2 כבלים אופטיים בין פורטלים</v>
          </cell>
          <cell r="D1608">
            <v>44607</v>
          </cell>
        </row>
        <row r="1609">
          <cell r="A1609" t="str">
            <v>0252396</v>
          </cell>
          <cell r="B1609" t="str">
            <v>קיסריה</v>
          </cell>
          <cell r="C1609" t="str">
            <v>קיסריה-הנחת 2 כבלים אופטיים בין פורטלים</v>
          </cell>
          <cell r="D1609">
            <v>44438</v>
          </cell>
        </row>
        <row r="1610">
          <cell r="A1610" t="str">
            <v>WDB-04COM6</v>
          </cell>
          <cell r="B1610" t="str">
            <v>קיסריה</v>
          </cell>
          <cell r="C1610" t="str">
            <v>קיסריה-הנחת כבל סיב אופטי מעמק חפר</v>
          </cell>
          <cell r="D1610">
            <v>40909</v>
          </cell>
        </row>
        <row r="1611">
          <cell r="A1611" t="str">
            <v>WBM-40320</v>
          </cell>
          <cell r="B1611" t="str">
            <v>קיסריה</v>
          </cell>
          <cell r="C1611" t="str">
            <v>קיסריה-400-התאמת יציאת קו 3B ליכולת4000א</v>
          </cell>
          <cell r="D1611">
            <v>47118</v>
          </cell>
        </row>
        <row r="1612">
          <cell r="A1612" t="str">
            <v>WBM-40328</v>
          </cell>
          <cell r="B1612" t="str">
            <v>קיסריה</v>
          </cell>
          <cell r="C1612" t="str">
            <v>קיסריה-161- בוטל - התאמת שדות 3,13,26 ליכולת</v>
          </cell>
        </row>
        <row r="1613">
          <cell r="A1613" t="str">
            <v>WBM-10309</v>
          </cell>
          <cell r="B1613" t="str">
            <v>קיסריה</v>
          </cell>
          <cell r="C1613" t="str">
            <v>קיסריה- הח' מנתק פס צבירה GIS בשדה 13</v>
          </cell>
          <cell r="D1613">
            <v>47118</v>
          </cell>
        </row>
        <row r="1614">
          <cell r="A1614" t="str">
            <v>WBM-10214</v>
          </cell>
          <cell r="B1614" t="str">
            <v>קיסריה</v>
          </cell>
          <cell r="C1614" t="str">
            <v>קיסריה-שדרוג שנאי הספק 522 45 מו"א</v>
          </cell>
          <cell r="D1614">
            <v>44403</v>
          </cell>
        </row>
        <row r="1615">
          <cell r="A1615" t="str">
            <v>WBM-00715</v>
          </cell>
          <cell r="B1615" t="str">
            <v>קיסריה</v>
          </cell>
          <cell r="C1615" t="str">
            <v>קיסריה-התקנת ס"ק  (524), 5*2 מגווא"ר</v>
          </cell>
          <cell r="D1615">
            <v>46660</v>
          </cell>
        </row>
        <row r="1616">
          <cell r="A1616" t="str">
            <v>WBM-00984</v>
          </cell>
          <cell r="B1616" t="str">
            <v>קיסריה</v>
          </cell>
          <cell r="C1616" t="str">
            <v>קיסריה-החלפת שנאי הארקה ל-450 א'</v>
          </cell>
          <cell r="D1616">
            <v>46295</v>
          </cell>
        </row>
        <row r="1617">
          <cell r="A1617" t="str">
            <v>WBM-01177</v>
          </cell>
          <cell r="B1617" t="str">
            <v>קיסריה</v>
          </cell>
          <cell r="C1617" t="str">
            <v>קיסריה-החלפת הגנת שנאי DT92 כולל יתרת זר</v>
          </cell>
          <cell r="D1617">
            <v>46721</v>
          </cell>
        </row>
        <row r="1618">
          <cell r="A1618" t="str">
            <v>WBM-40131</v>
          </cell>
          <cell r="B1618" t="str">
            <v>קיסריה</v>
          </cell>
          <cell r="C1618" t="str">
            <v>קיסריה - 161-הוספת הגנות פ"צ וכשל המפסק</v>
          </cell>
          <cell r="D1618">
            <v>46721</v>
          </cell>
        </row>
        <row r="1619">
          <cell r="A1619" t="str">
            <v>WBM-00213</v>
          </cell>
          <cell r="B1619" t="str">
            <v>קיסריה</v>
          </cell>
          <cell r="C1619" t="str">
            <v>קיסריה-הבאת אות הפסקה (TRIP )</v>
          </cell>
          <cell r="D1619">
            <v>46599</v>
          </cell>
        </row>
        <row r="1620">
          <cell r="A1620" t="str">
            <v>WBM-40496</v>
          </cell>
          <cell r="B1620" t="str">
            <v>קיסריה</v>
          </cell>
          <cell r="C1620" t="str">
            <v>קיסריה-החלפת מבדדי  400 ו-161 ק"ו בשנאים</v>
          </cell>
          <cell r="D1620">
            <v>46203</v>
          </cell>
        </row>
        <row r="1621">
          <cell r="A1621" t="str">
            <v>WBM-40130</v>
          </cell>
          <cell r="B1621" t="str">
            <v>קיסריה</v>
          </cell>
          <cell r="C1621" t="str">
            <v>קיסריה - החלפת מגיני ברק מ"ג</v>
          </cell>
          <cell r="D1621">
            <v>46356</v>
          </cell>
        </row>
        <row r="1622">
          <cell r="A1622" t="str">
            <v>WBM-01062</v>
          </cell>
          <cell r="B1622" t="str">
            <v>קיסריה</v>
          </cell>
          <cell r="C1622" t="str">
            <v>קיסריה-החלפת הגנות מרחק כפולות</v>
          </cell>
          <cell r="D1622">
            <v>46537</v>
          </cell>
        </row>
        <row r="1623">
          <cell r="A1623" t="str">
            <v>WBM-10340</v>
          </cell>
          <cell r="B1623" t="str">
            <v>קיסריה</v>
          </cell>
          <cell r="C1623" t="str">
            <v>קיסריה-משיק זכרון-תקש.בין הג.32</v>
          </cell>
          <cell r="D1623">
            <v>45291</v>
          </cell>
        </row>
        <row r="1624">
          <cell r="A1624" t="str">
            <v>WBM-00563</v>
          </cell>
          <cell r="B1624" t="str">
            <v>קיסריה</v>
          </cell>
          <cell r="C1624" t="str">
            <v>קיסריה-החלפת רושמי הפרעות 161, 400 ק"ו</v>
          </cell>
          <cell r="D1624">
            <v>46477</v>
          </cell>
        </row>
        <row r="1625">
          <cell r="A1625" t="str">
            <v>WBM-10416</v>
          </cell>
          <cell r="B1625" t="str">
            <v>קיסריה</v>
          </cell>
          <cell r="C1625" t="str">
            <v>קיסריה 161-התקנת מערכת רה-סנכרון במקשרים</v>
          </cell>
          <cell r="D1625">
            <v>46295</v>
          </cell>
        </row>
        <row r="1626">
          <cell r="A1626" t="str">
            <v>WBM-10410</v>
          </cell>
          <cell r="B1626" t="str">
            <v>קיסריה</v>
          </cell>
          <cell r="C1626" t="str">
            <v>קיסריה -החלפת הג.דיפ. של שנאי קישור</v>
          </cell>
          <cell r="D1626">
            <v>46142</v>
          </cell>
        </row>
        <row r="1627">
          <cell r="A1627" t="str">
            <v>WBM-10413</v>
          </cell>
          <cell r="B1627" t="str">
            <v>קיסריה</v>
          </cell>
          <cell r="C1627" t="str">
            <v>קיסריה-החלפת לוח חלוקה 220 לתוספת מאמ"ת</v>
          </cell>
          <cell r="D1627">
            <v>45306</v>
          </cell>
        </row>
        <row r="1628">
          <cell r="A1628" t="str">
            <v>WBM-40129</v>
          </cell>
          <cell r="B1628" t="str">
            <v>קיסריה</v>
          </cell>
          <cell r="C1628" t="str">
            <v>קיסריה-הח' הגנות מרחק LZ31  LZ96A  161</v>
          </cell>
          <cell r="D1628">
            <v>45658</v>
          </cell>
        </row>
        <row r="1629">
          <cell r="A1629" t="str">
            <v>WBM-40515</v>
          </cell>
          <cell r="B1629" t="str">
            <v>קיסריה</v>
          </cell>
          <cell r="C1629" t="str">
            <v>קיסריה, העברת אוטושנאי 451 משדה 13 ל- 3</v>
          </cell>
          <cell r="D1629">
            <v>45432</v>
          </cell>
        </row>
        <row r="1630">
          <cell r="A1630" t="str">
            <v>WBM-10405</v>
          </cell>
          <cell r="B1630" t="str">
            <v>קיסריה</v>
          </cell>
          <cell r="C1630" t="str">
            <v>קיסריה-התקנת הג.דיפ. בש6,7+תקש.ש2,6,7</v>
          </cell>
          <cell r="D1630">
            <v>46156</v>
          </cell>
        </row>
        <row r="1631">
          <cell r="A1631" t="str">
            <v>WBM-40284</v>
          </cell>
          <cell r="B1631" t="str">
            <v>קיסריה</v>
          </cell>
          <cell r="C1631" t="str">
            <v>קיסריה-החלפת הגנות בשדה 4B לכיוון פ"ת</v>
          </cell>
          <cell r="D1631">
            <v>46234</v>
          </cell>
        </row>
        <row r="1632">
          <cell r="A1632" t="str">
            <v>WBM-40132</v>
          </cell>
          <cell r="B1632" t="str">
            <v>קיסריה</v>
          </cell>
          <cell r="C1632" t="str">
            <v>קיסריה - החלפת הגנות מרחק LZ96A  400קו</v>
          </cell>
          <cell r="D1632">
            <v>46234</v>
          </cell>
        </row>
        <row r="1633">
          <cell r="A1633" t="str">
            <v>WBM-10244</v>
          </cell>
          <cell r="B1633" t="str">
            <v>קיסריה</v>
          </cell>
          <cell r="C1633" t="str">
            <v>קיסריה- משיק לעתידים, החלפת הג.דיפ.שA2</v>
          </cell>
          <cell r="D1633">
            <v>46112</v>
          </cell>
        </row>
        <row r="1634">
          <cell r="A1634" t="str">
            <v>WBM-10403</v>
          </cell>
          <cell r="B1634" t="str">
            <v>קיסריה</v>
          </cell>
          <cell r="C1634" t="str">
            <v>קיסריה-החל.הגנה לדפרנציאלית ש.19+תק.OM</v>
          </cell>
          <cell r="D1634">
            <v>46184</v>
          </cell>
        </row>
        <row r="1635">
          <cell r="A1635" t="str">
            <v>WBM-10339</v>
          </cell>
          <cell r="B1635" t="str">
            <v>קיסריה</v>
          </cell>
          <cell r="C1635" t="str">
            <v>קיסריה-משיק פ"ת A1-תקשורת אופטית בין הגנ</v>
          </cell>
          <cell r="D1635">
            <v>45046</v>
          </cell>
        </row>
        <row r="1636">
          <cell r="A1636" t="str">
            <v>WBM-10332</v>
          </cell>
          <cell r="B1636" t="str">
            <v>קיסריה</v>
          </cell>
          <cell r="C1636" t="str">
            <v>קיסריה- תקש.בין הגנות-שדה 7 (לאייל)</v>
          </cell>
          <cell r="D1636">
            <v>44804</v>
          </cell>
        </row>
        <row r="1637">
          <cell r="A1637" t="str">
            <v>WBM-10164</v>
          </cell>
          <cell r="B1637" t="str">
            <v>קיסריה</v>
          </cell>
          <cell r="C1637" t="str">
            <v>קיסריה -החלפת הגנה דיפרנציאלית בשדה 31</v>
          </cell>
          <cell r="D1637">
            <v>44703</v>
          </cell>
        </row>
        <row r="1638">
          <cell r="A1638" t="str">
            <v>WBM-40494</v>
          </cell>
          <cell r="B1638" t="str">
            <v>קיסריה</v>
          </cell>
          <cell r="C1638" t="str">
            <v>קיסריה - התאמת שדות 1,2  לקליטת תנובות</v>
          </cell>
          <cell r="D1638">
            <v>44655</v>
          </cell>
        </row>
        <row r="1639">
          <cell r="A1639" t="str">
            <v>WBM-10182</v>
          </cell>
          <cell r="B1639" t="str">
            <v>קיסריה</v>
          </cell>
          <cell r="C1639" t="str">
            <v>קיסריה-משיק לתנובות. הג.לדיפ.+תק' (ש1-2)</v>
          </cell>
          <cell r="D1639">
            <v>44655</v>
          </cell>
        </row>
        <row r="1640">
          <cell r="A1640" t="str">
            <v>WBM-60002</v>
          </cell>
          <cell r="B1640" t="str">
            <v>קיסריה</v>
          </cell>
          <cell r="C1640" t="str">
            <v>קיסריה - שיפור לחץ מים</v>
          </cell>
          <cell r="D1640">
            <v>44130</v>
          </cell>
        </row>
        <row r="1641">
          <cell r="A1641" t="str">
            <v>WBM-01037</v>
          </cell>
          <cell r="B1641" t="str">
            <v>קיסריה</v>
          </cell>
          <cell r="C1641" t="str">
            <v>קיסריה-החלפת הגנה בשדה 16 לחריש</v>
          </cell>
          <cell r="D1641">
            <v>44097</v>
          </cell>
        </row>
        <row r="1642">
          <cell r="A1642" t="str">
            <v>WBM-01038</v>
          </cell>
          <cell r="B1642" t="str">
            <v>קיסריה</v>
          </cell>
          <cell r="C1642" t="str">
            <v>קיסריה -החלפת הגנה שדה 17 לחריש</v>
          </cell>
          <cell r="D1642">
            <v>43982</v>
          </cell>
        </row>
        <row r="1643">
          <cell r="A1643" t="str">
            <v>WBM-01039</v>
          </cell>
          <cell r="B1643" t="str">
            <v>קיסריה</v>
          </cell>
          <cell r="C1643" t="str">
            <v>קיסריה-התקנת קשר בין הגנות בש' 18 לעירון</v>
          </cell>
          <cell r="D1643">
            <v>43982</v>
          </cell>
        </row>
        <row r="1644">
          <cell r="A1644" t="str">
            <v>WBM-40281</v>
          </cell>
          <cell r="B1644" t="str">
            <v>קיסריה</v>
          </cell>
          <cell r="C1644" t="str">
            <v>קיסריה-חלפת הגנה דיפרנציאלית בשדה 8</v>
          </cell>
          <cell r="D1644">
            <v>43808</v>
          </cell>
        </row>
        <row r="1645">
          <cell r="A1645" t="str">
            <v>WBM-00227</v>
          </cell>
          <cell r="B1645" t="str">
            <v>קיסריה</v>
          </cell>
          <cell r="C1645" t="str">
            <v>קיסריה-התקנת מאצרות שמן לשנאי ם</v>
          </cell>
          <cell r="D1645">
            <v>43799</v>
          </cell>
        </row>
        <row r="1646">
          <cell r="A1646" t="str">
            <v>0243092</v>
          </cell>
          <cell r="B1646" t="str">
            <v>קיסריה</v>
          </cell>
          <cell r="C1646" t="str">
            <v>קיסריה - החלפת רושם הפרעות 161 ק"ו</v>
          </cell>
          <cell r="D1646">
            <v>43768</v>
          </cell>
        </row>
        <row r="1647">
          <cell r="A1647" t="str">
            <v>WBM-00161</v>
          </cell>
          <cell r="B1647" t="str">
            <v>קיסריה</v>
          </cell>
          <cell r="C1647" t="str">
            <v>קיסריה-עיגון: לוח בקרה (מוזאיקה)</v>
          </cell>
          <cell r="D1647">
            <v>43479</v>
          </cell>
        </row>
        <row r="1648">
          <cell r="A1648" t="str">
            <v>WBM-01342</v>
          </cell>
          <cell r="B1648" t="str">
            <v>קיסריה</v>
          </cell>
          <cell r="C1648" t="str">
            <v>קיסריה-הסדרת מערכת תאורה ביטחונית</v>
          </cell>
          <cell r="D1648">
            <v>43465</v>
          </cell>
        </row>
        <row r="1649">
          <cell r="A1649" t="str">
            <v>WBM-01141</v>
          </cell>
          <cell r="B1649" t="str">
            <v>קיסריה</v>
          </cell>
          <cell r="C1649" t="str">
            <v>קיסריה-החלפת הגנת מרחק לדיפרנצ. שדה 28</v>
          </cell>
          <cell r="D1649">
            <v>43402</v>
          </cell>
        </row>
        <row r="1650">
          <cell r="A1650" t="str">
            <v>WBM-01357</v>
          </cell>
          <cell r="B1650" t="str">
            <v>קיסריה</v>
          </cell>
          <cell r="C1650" t="str">
            <v>קיסריה-שיפור אוטומטיקת סלילי כיבוי</v>
          </cell>
          <cell r="D1650">
            <v>43072</v>
          </cell>
        </row>
        <row r="1651">
          <cell r="A1651" t="str">
            <v>WBM-00163</v>
          </cell>
          <cell r="B1651" t="str">
            <v>קיסריה</v>
          </cell>
          <cell r="C1651" t="str">
            <v>קיסריה-עיגון 7 אוטושנאים חד-פאזיים.</v>
          </cell>
          <cell r="D1651">
            <v>42744</v>
          </cell>
        </row>
        <row r="1652">
          <cell r="A1652" t="str">
            <v>WBM-00933</v>
          </cell>
          <cell r="B1652" t="str">
            <v>קיסריה</v>
          </cell>
          <cell r="C1652" t="str">
            <v>קיסריה-מיגון פיזי שלב ב</v>
          </cell>
          <cell r="D1652">
            <v>42619</v>
          </cell>
        </row>
        <row r="1653">
          <cell r="A1653" t="str">
            <v>WBM-00647</v>
          </cell>
          <cell r="B1653" t="str">
            <v>קיסריה</v>
          </cell>
          <cell r="C1653" t="str">
            <v>קיסריה-מיגון פיזי של מסדר 400 ק"ו ו-161</v>
          </cell>
          <cell r="D1653">
            <v>42369</v>
          </cell>
        </row>
        <row r="1654">
          <cell r="A1654" t="str">
            <v>WBM-00176</v>
          </cell>
          <cell r="B1654" t="str">
            <v>קיסריה</v>
          </cell>
          <cell r="C1654" t="str">
            <v>קיסריה-התקנת תקשורת בין הגנות לזבולון.</v>
          </cell>
          <cell r="D1654">
            <v>42369</v>
          </cell>
        </row>
        <row r="1655">
          <cell r="A1655" t="str">
            <v>WBM-00177</v>
          </cell>
          <cell r="B1655" t="str">
            <v>קיסריה</v>
          </cell>
          <cell r="C1655" t="str">
            <v>קיסריה-התקנת תקשורת בין הגנות 400 לע.תות</v>
          </cell>
          <cell r="D1655">
            <v>42368</v>
          </cell>
        </row>
        <row r="1656">
          <cell r="A1656" t="str">
            <v>WBM-00971</v>
          </cell>
          <cell r="B1656" t="str">
            <v>קיסריה</v>
          </cell>
          <cell r="C1656" t="str">
            <v>קיסריה- עע"א - החלפת הגנת מרחק</v>
          </cell>
          <cell r="D1656">
            <v>42284</v>
          </cell>
        </row>
        <row r="1657">
          <cell r="A1657" t="str">
            <v>WBM-00215</v>
          </cell>
          <cell r="B1657" t="str">
            <v>קיסריה</v>
          </cell>
          <cell r="C1657" t="str">
            <v>קיסריה-הוספת הגנה דיפ.בשד' ט"ג מס' 34,33</v>
          </cell>
          <cell r="D1657">
            <v>41954</v>
          </cell>
        </row>
        <row r="1658">
          <cell r="A1658" t="str">
            <v>WBL-008-007</v>
          </cell>
          <cell r="B1658" t="str">
            <v>קיסריה</v>
          </cell>
          <cell r="C1658" t="str">
            <v>קיסריה-הוספת פונקצית comm . - fail</v>
          </cell>
          <cell r="D1658">
            <v>41637</v>
          </cell>
        </row>
        <row r="1659">
          <cell r="A1659" t="str">
            <v>WBM-00344</v>
          </cell>
          <cell r="B1659" t="str">
            <v>קיסריה</v>
          </cell>
          <cell r="C1659" t="str">
            <v>קיסריה-החלפת הגנות מרחק</v>
          </cell>
          <cell r="D1659">
            <v>41637</v>
          </cell>
        </row>
        <row r="1660">
          <cell r="A1660" t="str">
            <v>WBL-008-033</v>
          </cell>
          <cell r="B1660" t="str">
            <v>קיסריה</v>
          </cell>
          <cell r="C1660" t="str">
            <v>קיסריה-החלפת רכזת גילוי וכיבוי אש</v>
          </cell>
          <cell r="D1660">
            <v>41637</v>
          </cell>
        </row>
        <row r="1661">
          <cell r="A1661" t="str">
            <v>WBL-008-037</v>
          </cell>
          <cell r="B1661" t="str">
            <v>קיסריה</v>
          </cell>
          <cell r="C1661" t="str">
            <v>קיסריה-התקנת מערכת טמ"ס</v>
          </cell>
          <cell r="D1661">
            <v>41633</v>
          </cell>
        </row>
        <row r="1662">
          <cell r="A1662" t="str">
            <v>WBL-008-012</v>
          </cell>
          <cell r="B1662" t="str">
            <v>קיסריה</v>
          </cell>
          <cell r="C1662" t="str">
            <v>קיסריה-עיגון אוטושנאי עתודה חד-פאזי</v>
          </cell>
          <cell r="D1662">
            <v>41424</v>
          </cell>
        </row>
        <row r="1663">
          <cell r="A1663">
            <v>524069</v>
          </cell>
          <cell r="B1663" t="str">
            <v>קיסריה</v>
          </cell>
          <cell r="C1663" t="str">
            <v>קיסריה-הוספת מערכת זרם ישר ניידת</v>
          </cell>
          <cell r="D1663">
            <v>41274</v>
          </cell>
        </row>
        <row r="1664">
          <cell r="A1664" t="str">
            <v>WBL-008-026</v>
          </cell>
          <cell r="B1664" t="str">
            <v>קיסריה</v>
          </cell>
          <cell r="C1664" t="str">
            <v>קיסריה-החלפת בקר המפעיל את הזנת אספ.הבית</v>
          </cell>
          <cell r="D1664">
            <v>41274</v>
          </cell>
        </row>
        <row r="1665">
          <cell r="A1665" t="str">
            <v>WBL-008-034</v>
          </cell>
          <cell r="B1665" t="str">
            <v>קיסריה</v>
          </cell>
          <cell r="C1665" t="str">
            <v>קיסריה-איטום מעברי כבלים נגד אש</v>
          </cell>
          <cell r="D1665">
            <v>41128</v>
          </cell>
        </row>
        <row r="1666">
          <cell r="A1666" t="str">
            <v>WBL-008-019</v>
          </cell>
          <cell r="B1666" t="str">
            <v>קיסריה</v>
          </cell>
          <cell r="C1666" t="str">
            <v>קיסריה-התקנת 2 ממירים 220/60 וולט</v>
          </cell>
          <cell r="D1666">
            <v>41101</v>
          </cell>
        </row>
        <row r="1667">
          <cell r="A1667" t="str">
            <v>WBM-00979</v>
          </cell>
          <cell r="B1667" t="str">
            <v>קיסריה</v>
          </cell>
          <cell r="C1667" t="str">
            <v>קיסריה-בוטל-יישום קשר בין הגנות לעירון</v>
          </cell>
          <cell r="D1667">
            <v>42136</v>
          </cell>
        </row>
        <row r="1668">
          <cell r="A1668" t="str">
            <v>WBM-70003</v>
          </cell>
          <cell r="B1668" t="str">
            <v>קיסריה</v>
          </cell>
          <cell r="C1668" t="str">
            <v>קיסריה-שולב-הוספת 4 סלילי סלילי כיבוי</v>
          </cell>
          <cell r="D1668">
            <v>44561</v>
          </cell>
        </row>
        <row r="1669">
          <cell r="A1669" t="str">
            <v>WBM-10312</v>
          </cell>
          <cell r="B1669" t="str">
            <v>קיסריה</v>
          </cell>
          <cell r="C1669" t="str">
            <v>קיסריה-משיק-בוטל-תק. בין הגנות, זמני, ש4</v>
          </cell>
          <cell r="D1669">
            <v>44630</v>
          </cell>
        </row>
        <row r="1670">
          <cell r="A1670" t="str">
            <v>WBM-00243</v>
          </cell>
          <cell r="B1670" t="str">
            <v>קיסריה</v>
          </cell>
          <cell r="C1670" t="str">
            <v>קיסריה-בוטל-הקמת טבעת 110N OM</v>
          </cell>
          <cell r="D1670">
            <v>41820</v>
          </cell>
        </row>
        <row r="1671">
          <cell r="A1671">
            <v>524032</v>
          </cell>
          <cell r="B1671" t="str">
            <v>קיסריה</v>
          </cell>
          <cell r="C1671" t="str">
            <v>קיסריה-שינויים בחיווט רושם הפרעות</v>
          </cell>
          <cell r="D1671">
            <v>38168</v>
          </cell>
        </row>
        <row r="1672">
          <cell r="A1672">
            <v>524043</v>
          </cell>
          <cell r="B1672" t="str">
            <v>קיסריה</v>
          </cell>
          <cell r="C1672" t="str">
            <v>קיסריה-החלפת מערכת התראות</v>
          </cell>
          <cell r="D1672">
            <v>39416</v>
          </cell>
        </row>
        <row r="1673">
          <cell r="A1673" t="str">
            <v>WBM-00214</v>
          </cell>
          <cell r="B1673" t="str">
            <v>קיסריה</v>
          </cell>
          <cell r="C1673" t="str">
            <v>קיסריה-בוטל-הסדרת מערך השפכים הסניטריים</v>
          </cell>
          <cell r="D1673">
            <v>39653</v>
          </cell>
        </row>
        <row r="1674">
          <cell r="A1674" t="str">
            <v>WBM-00564</v>
          </cell>
          <cell r="B1674" t="str">
            <v>קיסריה</v>
          </cell>
          <cell r="C1674" t="str">
            <v>קיסריה-בוטל-התקנת מאווררים בארונות פיקוד</v>
          </cell>
          <cell r="D1674">
            <v>41608</v>
          </cell>
        </row>
        <row r="1675">
          <cell r="A1675" t="str">
            <v>WBM-00162</v>
          </cell>
          <cell r="B1675" t="str">
            <v>קיסריה</v>
          </cell>
          <cell r="C1675" t="str">
            <v>קיסריה-בוטל-עיגון דיזל גנרטור</v>
          </cell>
          <cell r="D1675">
            <v>41249</v>
          </cell>
        </row>
        <row r="1676">
          <cell r="A1676" t="str">
            <v>WBL-008-012-ST4</v>
          </cell>
          <cell r="B1676" t="str">
            <v>קיסריה</v>
          </cell>
          <cell r="C1676" t="str">
            <v>קיסריה-עיגון 3 אוטושנאים חד-פאזיים.</v>
          </cell>
          <cell r="D1676">
            <v>39979</v>
          </cell>
        </row>
        <row r="1677">
          <cell r="A1677" t="str">
            <v>WBM-00767</v>
          </cell>
          <cell r="B1677" t="str">
            <v>קיסריה</v>
          </cell>
          <cell r="C1677" t="str">
            <v>קיסריה-בוטל-חיבור ממסרים מהירים</v>
          </cell>
          <cell r="D1677">
            <v>41249</v>
          </cell>
        </row>
        <row r="1678">
          <cell r="A1678" t="str">
            <v>WBM-00561</v>
          </cell>
          <cell r="B1678" t="str">
            <v>קיסריה</v>
          </cell>
          <cell r="C1678" t="str">
            <v>קיסריה-בוטל-התקנת מצוף התראה למיכל דלק</v>
          </cell>
          <cell r="D1678">
            <v>39660</v>
          </cell>
        </row>
        <row r="1679">
          <cell r="A1679" t="str">
            <v>WBM-00562</v>
          </cell>
          <cell r="B1679" t="str">
            <v>קיסריה</v>
          </cell>
          <cell r="C1679" t="str">
            <v>קיסריה-בוטל שיפור מערכת הארקה בתחמ"ג</v>
          </cell>
          <cell r="D1679">
            <v>39797</v>
          </cell>
        </row>
        <row r="1680">
          <cell r="A1680" t="str">
            <v>WBM-00179</v>
          </cell>
          <cell r="B1680" t="str">
            <v>קיסריה</v>
          </cell>
          <cell r="C1680" t="str">
            <v>קיסריה-בוטל-החלפת רכזת התראה בטחונית</v>
          </cell>
          <cell r="D1680">
            <v>38990</v>
          </cell>
        </row>
        <row r="1681">
          <cell r="A1681" t="str">
            <v>WBM-00812</v>
          </cell>
          <cell r="B1681" t="str">
            <v>קיסריה</v>
          </cell>
          <cell r="C1681" t="str">
            <v>קיסריה-בוטל-החלפת משנה זרם בשדות 27</v>
          </cell>
          <cell r="D1681">
            <v>41444</v>
          </cell>
        </row>
        <row r="1682">
          <cell r="A1682" t="str">
            <v>WBM-00920</v>
          </cell>
          <cell r="B1682" t="str">
            <v>קיסריה</v>
          </cell>
          <cell r="C1682" t="str">
            <v>קיסריה- החלפת הגנות לגזר ולפתח תקוה</v>
          </cell>
          <cell r="D1682">
            <v>42346</v>
          </cell>
        </row>
        <row r="1683">
          <cell r="A1683" t="str">
            <v>WBM-00353</v>
          </cell>
          <cell r="B1683" t="str">
            <v>קיסריה</v>
          </cell>
          <cell r="C1683" t="str">
            <v>קיסריה-התקנת הגנה דיפרנציאלית ליהלום.</v>
          </cell>
          <cell r="D1683">
            <v>42141</v>
          </cell>
        </row>
        <row r="1684">
          <cell r="A1684" t="str">
            <v>WBM-00354</v>
          </cell>
          <cell r="B1684" t="str">
            <v>קיסריה</v>
          </cell>
          <cell r="C1684" t="str">
            <v>קיסריה-השבחת מערכת קירור שנאים 400/161</v>
          </cell>
          <cell r="D1684">
            <v>41742</v>
          </cell>
        </row>
        <row r="1685">
          <cell r="A1685" t="str">
            <v>WBM-10465</v>
          </cell>
          <cell r="B1685" t="str">
            <v>קיסריה</v>
          </cell>
          <cell r="C1685" t="str">
            <v>קיסריה-משיק פ"ת 2A, תקשורת אופטית בין הגנות</v>
          </cell>
          <cell r="D1685">
            <v>46326</v>
          </cell>
        </row>
        <row r="1686">
          <cell r="A1686" t="str">
            <v>WBM-10485</v>
          </cell>
          <cell r="B1686" t="str">
            <v>קיסריה</v>
          </cell>
          <cell r="C1686" t="str">
            <v>קיסריה - משיק עתידים ש 2 ופ"ת ש A2, יישום 2 דרכי קשר במעגל 400 ק"ו 3 קצוות, שדה A2</v>
          </cell>
          <cell r="D1686">
            <v>46326</v>
          </cell>
        </row>
        <row r="1687">
          <cell r="A1687" t="str">
            <v>WBM-10526</v>
          </cell>
          <cell r="B1687" t="str">
            <v>קיסריה</v>
          </cell>
          <cell r="C1687" t="str">
            <v>בוטל- קיסריה- משיק לשפיים שדה 3, יישום דרך קשר בין הגנות בשדה 6</v>
          </cell>
          <cell r="D1687">
            <v>45321</v>
          </cell>
        </row>
        <row r="1688">
          <cell r="A1688" t="str">
            <v>WBM-10534</v>
          </cell>
          <cell r="B1688" t="str">
            <v>קיסריה</v>
          </cell>
          <cell r="C1688" t="str">
            <v>קיסריה - החלפת לוח חלוקה ראשי 380 וולט, תיקון בקר ומפסק גנרטור מתח נמוך</v>
          </cell>
          <cell r="D1688">
            <v>46326</v>
          </cell>
        </row>
        <row r="1689">
          <cell r="A1689" t="str">
            <v>WBM-10536</v>
          </cell>
          <cell r="B1689" t="str">
            <v>קיסריה</v>
          </cell>
          <cell r="C1689" t="str">
            <v>קיסריה- שדה 19, פרוק הגנות LZ31, RELDIST. משיק ליזרעאל שדה 1 וליקנעם שדה 7</v>
          </cell>
          <cell r="D1689">
            <v>46326</v>
          </cell>
        </row>
        <row r="1690">
          <cell r="A1690" t="str">
            <v>WBM-00350-052</v>
          </cell>
          <cell r="B1690" t="str">
            <v>קיסריה</v>
          </cell>
          <cell r="C1690" t="str">
            <v>קיסריה - החלפת מבודד מתח גבוה תקול</v>
          </cell>
          <cell r="D1690">
            <v>46295</v>
          </cell>
        </row>
        <row r="1691">
          <cell r="A1691" t="str">
            <v>WBM-00884-026</v>
          </cell>
          <cell r="B1691" t="str">
            <v>קיסריה</v>
          </cell>
          <cell r="C1691" t="str">
            <v>קיסריה - החלפת מזח</v>
          </cell>
          <cell r="D1691">
            <v>45713</v>
          </cell>
        </row>
        <row r="1692">
          <cell r="A1692" t="str">
            <v>WBM-01341-005</v>
          </cell>
          <cell r="B1692" t="str">
            <v>קיסריה</v>
          </cell>
          <cell r="C1692" t="str">
            <v>קיסריה - שיפוץ מסדרי GIS</v>
          </cell>
          <cell r="D1692">
            <v>47664</v>
          </cell>
        </row>
        <row r="1693">
          <cell r="A1693" t="str">
            <v>WBM-10456-032</v>
          </cell>
          <cell r="B1693" t="str">
            <v>קיסריה</v>
          </cell>
          <cell r="C1693" t="str">
            <v>קיסריה- הוספת מתמרים ב-4 פ"צ</v>
          </cell>
          <cell r="D1693">
            <v>46752</v>
          </cell>
        </row>
        <row r="1694">
          <cell r="A1694" t="str">
            <v>WBM-40295-040</v>
          </cell>
          <cell r="B1694" t="str">
            <v>קיסריה</v>
          </cell>
          <cell r="C1694" t="str">
            <v>קיסריה - החלפת2  סוללות מצברים 510AH</v>
          </cell>
          <cell r="D1694">
            <v>46387</v>
          </cell>
        </row>
        <row r="1695">
          <cell r="A1695" t="str">
            <v>WBM-60088-034</v>
          </cell>
          <cell r="B1695" t="str">
            <v>קיסריה</v>
          </cell>
          <cell r="C1695" t="str">
            <v>קיסריה - התקנת תשתית ביוב</v>
          </cell>
          <cell r="D1695">
            <v>46173</v>
          </cell>
        </row>
        <row r="1696">
          <cell r="A1696" t="str">
            <v>WBM-60092-001</v>
          </cell>
          <cell r="B1696" t="str">
            <v>קיסריה</v>
          </cell>
          <cell r="C1696" t="str">
            <v>קיסריה- בדיקות/טיפול/פינוי מכלי אש בגז</v>
          </cell>
          <cell r="D1696">
            <v>46387</v>
          </cell>
        </row>
        <row r="1697">
          <cell r="A1697" t="str">
            <v>WBM-60107-041</v>
          </cell>
          <cell r="B1697" t="str">
            <v>קיסריה</v>
          </cell>
          <cell r="C1697" t="str">
            <v>קיסריה - החלפת מנעולים אלק.מגנטיים באלק.</v>
          </cell>
          <cell r="D1697">
            <v>45482</v>
          </cell>
        </row>
        <row r="1698">
          <cell r="A1698" t="str">
            <v>WBM-60118-004</v>
          </cell>
          <cell r="B1698" t="str">
            <v>קיסריה</v>
          </cell>
          <cell r="C1698" t="str">
            <v>קיסריה - שיפור מערכת הארקה</v>
          </cell>
          <cell r="D1698">
            <v>46721</v>
          </cell>
        </row>
        <row r="1699">
          <cell r="A1699" t="str">
            <v>WBM-60119-002</v>
          </cell>
          <cell r="B1699" t="str">
            <v>קיסריה</v>
          </cell>
          <cell r="C1699" t="str">
            <v>קיסריה - החלפת גלאי קרן בגלאים מתכווננים</v>
          </cell>
          <cell r="D1699">
            <v>46173</v>
          </cell>
        </row>
        <row r="1700">
          <cell r="A1700" t="str">
            <v>WBM-80002-023</v>
          </cell>
          <cell r="B1700" t="str">
            <v>קיסריה</v>
          </cell>
          <cell r="C1700" t="str">
            <v>קיסריה 400 - הסבות</v>
          </cell>
          <cell r="D1700">
            <v>46356</v>
          </cell>
        </row>
        <row r="1701">
          <cell r="A1701" t="str">
            <v>WBM-80002-040</v>
          </cell>
          <cell r="B1701" t="str">
            <v>קיסריה</v>
          </cell>
          <cell r="C1701" t="str">
            <v>קיסריה CN - הסבות</v>
          </cell>
          <cell r="D1701">
            <v>46112</v>
          </cell>
        </row>
        <row r="1702">
          <cell r="A1702" t="str">
            <v>WBM-80002-041</v>
          </cell>
          <cell r="B1702" t="str">
            <v>קיסריה</v>
          </cell>
          <cell r="C1702" t="str">
            <v>קיסריה 22 - הסבות</v>
          </cell>
          <cell r="D1702">
            <v>46387</v>
          </cell>
        </row>
        <row r="1703">
          <cell r="A1703" t="str">
            <v>WBM-40621</v>
          </cell>
          <cell r="B1703" t="str">
            <v>קיסריה</v>
          </cell>
          <cell r="C1703" t="str">
            <v>קיסריה - התאמת יציאת שדה 35  והתקנת סוללת קבלים מודולארית 2X5  מגוא''ר</v>
          </cell>
          <cell r="D1703">
            <v>46387</v>
          </cell>
        </row>
        <row r="1704">
          <cell r="A1704" t="str">
            <v>WBM-60130-040</v>
          </cell>
          <cell r="B1704" t="str">
            <v>קיסריה</v>
          </cell>
          <cell r="C1704" t="str">
            <v>קיסריה - התקנת מפסק פטריה להפסקת מערכת החשמל בחירום</v>
          </cell>
          <cell r="D1704">
            <v>46568</v>
          </cell>
        </row>
        <row r="1705">
          <cell r="A1705" t="str">
            <v>WBM-10604-001</v>
          </cell>
          <cell r="B1705" t="str">
            <v>קיסריה</v>
          </cell>
          <cell r="C1705" t="str">
            <v>קיסריה - מוכנות וכשירות דיזל גנרטורים</v>
          </cell>
          <cell r="D1705">
            <v>45644</v>
          </cell>
        </row>
        <row r="1706">
          <cell r="A1706" t="str">
            <v>WBM-10689</v>
          </cell>
          <cell r="B1706" t="str">
            <v>קיסריה</v>
          </cell>
          <cell r="C1706" t="str">
            <v>קיסריה – אינטגרציה של מכולת מ"ג למסדרים הקיימים ב-SCS.</v>
          </cell>
          <cell r="D1706">
            <v>46326</v>
          </cell>
        </row>
        <row r="1707">
          <cell r="A1707" t="str">
            <v>WBM-10690</v>
          </cell>
          <cell r="B1707" t="str">
            <v>קיסריה</v>
          </cell>
          <cell r="C1707" t="str">
            <v>קיסריה – שדרוג SCS והחלפת הגנות מ"ג.</v>
          </cell>
          <cell r="D1707">
            <v>46752</v>
          </cell>
        </row>
        <row r="1708">
          <cell r="A1708" t="str">
            <v>WBM-60205-034</v>
          </cell>
          <cell r="B1708" t="str">
            <v>קיסריה</v>
          </cell>
          <cell r="C1708" t="str">
            <v>קיסריה - ניטור הצפות</v>
          </cell>
          <cell r="D1708">
            <v>46175</v>
          </cell>
        </row>
        <row r="1709">
          <cell r="A1709" t="str">
            <v>WBM-60116-059</v>
          </cell>
          <cell r="B1709" t="str">
            <v>קיסריה</v>
          </cell>
          <cell r="C1709" t="str">
            <v>קיסריה 161- מערכת גילוי וכיבוי אש אוטומטית CERBERUS</v>
          </cell>
          <cell r="D1709">
            <v>46387</v>
          </cell>
        </row>
        <row r="1710">
          <cell r="A1710" t="str">
            <v>WBM-60116-060</v>
          </cell>
          <cell r="B1710" t="str">
            <v>קיסריה</v>
          </cell>
          <cell r="C1710" t="str">
            <v>קיסריה 400 - מערכת גילוי וכיבוי אש אוטומטית CERBERUS</v>
          </cell>
          <cell r="D1710">
            <v>46387</v>
          </cell>
        </row>
        <row r="1711">
          <cell r="A1711" t="str">
            <v>WBM-10781</v>
          </cell>
          <cell r="B1711" t="str">
            <v>קיסריה</v>
          </cell>
          <cell r="C1711" t="str">
            <v>קיסריה – משיק לארעית חפר שדה 5, יישום דרך קשר אופטית בין הגנות בשדה  7</v>
          </cell>
          <cell r="D1711">
            <v>46111</v>
          </cell>
        </row>
        <row r="1712">
          <cell r="A1712" t="str">
            <v>WBM-10829</v>
          </cell>
          <cell r="B1712" t="str">
            <v>קיסריה</v>
          </cell>
          <cell r="C1712" t="str">
            <v>קיסריה ש' 6- משיק לתחמ"ש חפר שדה 5, יישום תקשורת אופטית בין הגנות במעגל (מרחק+דיפ)</v>
          </cell>
          <cell r="D1712">
            <v>46387</v>
          </cell>
        </row>
        <row r="1713">
          <cell r="A1713" t="str">
            <v>WBM-10830</v>
          </cell>
          <cell r="B1713" t="str">
            <v>קיסריה</v>
          </cell>
          <cell r="C1713" t="str">
            <v>קיסריה ש' 7- משיק לתחמ"ש חפר שדה 9, יש ליישם תקשורת אופטית בין הגנות במעגל (מרחק+דיפ)</v>
          </cell>
          <cell r="D1713">
            <v>46387</v>
          </cell>
        </row>
        <row r="1714">
          <cell r="A1714" t="str">
            <v>WBO-412-LN2</v>
          </cell>
          <cell r="B1714" t="str">
            <v>קטע רותם -פריקלאס</v>
          </cell>
          <cell r="C1714" t="str">
            <v>קטע רותם-פריקלאס-רקונסטרוקצית קו 110</v>
          </cell>
          <cell r="D1714">
            <v>41956</v>
          </cell>
        </row>
        <row r="1715">
          <cell r="A1715" t="str">
            <v>WBO-412</v>
          </cell>
          <cell r="B1715" t="str">
            <v>קטע רותם -פריקלאס</v>
          </cell>
          <cell r="C1715" t="str">
            <v>קטע רותם -פריקלאס-הקמת קטע קו 161 ק"ו</v>
          </cell>
          <cell r="D1715">
            <v>42670</v>
          </cell>
        </row>
        <row r="1716">
          <cell r="A1716">
            <v>392780</v>
          </cell>
          <cell r="B1716" t="str">
            <v>קטורה</v>
          </cell>
          <cell r="C1716" t="str">
            <v>קטורה-קליטת תח"כ בהספק של 40 מגוו"ט</v>
          </cell>
          <cell r="D1716">
            <v>42093</v>
          </cell>
        </row>
        <row r="1717">
          <cell r="A1717" t="str">
            <v>WBE-201</v>
          </cell>
          <cell r="B1717" t="str">
            <v>קטורה</v>
          </cell>
          <cell r="C1717" t="str">
            <v>קטורה-הוספת שנאי  50 מגוו"א</v>
          </cell>
          <cell r="D1717">
            <v>47847</v>
          </cell>
        </row>
        <row r="1718">
          <cell r="A1718" t="str">
            <v>WBC-209</v>
          </cell>
          <cell r="B1718" t="str">
            <v>קטורה</v>
          </cell>
          <cell r="C1718" t="str">
            <v>קטורה-בוטל - אישור תוכנית מתאר להרחבת התחנה</v>
          </cell>
        </row>
        <row r="1719">
          <cell r="A1719" t="str">
            <v>WEC-005</v>
          </cell>
          <cell r="B1719" t="str">
            <v>קטורה</v>
          </cell>
          <cell r="C1719" t="str">
            <v>קטורה-הקמת תחנת משנה חיצונית 161/24 ק"ו</v>
          </cell>
          <cell r="D1719">
            <v>42093</v>
          </cell>
        </row>
        <row r="1720">
          <cell r="A1720" t="str">
            <v>WBM-10316-051</v>
          </cell>
          <cell r="B1720" t="str">
            <v>קטורה</v>
          </cell>
          <cell r="C1720" t="str">
            <v>קטורה-חיבור רושמי הפרעות למתג מנהלת</v>
          </cell>
          <cell r="D1720">
            <v>45607</v>
          </cell>
        </row>
        <row r="1721">
          <cell r="A1721" t="str">
            <v>WBM-80014-016</v>
          </cell>
          <cell r="B1721" t="str">
            <v>קטורה</v>
          </cell>
          <cell r="C1721" t="str">
            <v>קטורה - שדרוג SCS</v>
          </cell>
          <cell r="D1721">
            <v>45743</v>
          </cell>
        </row>
        <row r="1722">
          <cell r="A1722" t="str">
            <v>WBM-60128-013</v>
          </cell>
          <cell r="B1722" t="str">
            <v>קטורה</v>
          </cell>
          <cell r="C1722" t="str">
            <v>קטורה - בוטל - שדרוג ותוספות מיגון בתחמשים פרטיים</v>
          </cell>
        </row>
        <row r="1723">
          <cell r="A1723" t="str">
            <v>WBM-60128-002</v>
          </cell>
          <cell r="B1723" t="str">
            <v>קטורה</v>
          </cell>
          <cell r="C1723" t="str">
            <v>קטורה - שדרוג ותוספות מיגון בתחמשים פרטיים</v>
          </cell>
          <cell r="D1723">
            <v>46175</v>
          </cell>
        </row>
        <row r="1724">
          <cell r="A1724" t="str">
            <v>WBM-10745</v>
          </cell>
          <cell r="B1724" t="str">
            <v>קטורה</v>
          </cell>
          <cell r="C1724" t="str">
            <v>קטורה - משיק ליוטבתה שדה 9,  יישום 2 דרכי קשר בין הגנות לפחות אחת מהן אופטית בשדה 1</v>
          </cell>
          <cell r="D1724">
            <v>46326</v>
          </cell>
        </row>
        <row r="1725">
          <cell r="A1725" t="str">
            <v>WBD-097</v>
          </cell>
          <cell r="B1725" t="str">
            <v>קוממיות ניידת</v>
          </cell>
          <cell r="C1725" t="str">
            <v>קוממיות-הוקפא - תכנון הצבת ניידת (שחר)</v>
          </cell>
        </row>
        <row r="1726">
          <cell r="A1726" t="str">
            <v>WBD-097-ST2</v>
          </cell>
          <cell r="B1726" t="str">
            <v>קוממיות ניידת</v>
          </cell>
          <cell r="C1726" t="str">
            <v>קוממיות - הוקפא - פירוק תחמ"ש ניידת</v>
          </cell>
        </row>
        <row r="1727">
          <cell r="A1727" t="str">
            <v>WBO-630</v>
          </cell>
          <cell r="B1727" t="str">
            <v>קוים ברח' הנפט אשדוד</v>
          </cell>
          <cell r="C1727" t="str">
            <v>קוים ברח' הנפט אשדוד-עע"א-הגבהת קוים</v>
          </cell>
          <cell r="D1727">
            <v>47118</v>
          </cell>
        </row>
        <row r="1728">
          <cell r="A1728" t="str">
            <v>WBN-451</v>
          </cell>
          <cell r="B1728" t="str">
            <v>קוים במחלף קסם</v>
          </cell>
          <cell r="C1728" t="str">
            <v>קוים במחלף קסם-עע"א-הגבהת קווי 400 ק"ו</v>
          </cell>
          <cell r="D1728">
            <v>46149</v>
          </cell>
        </row>
        <row r="1729">
          <cell r="A1729" t="str">
            <v>WBO-835</v>
          </cell>
          <cell r="B1729" t="str">
            <v>קו תקומה(שקמה)-נתיבות</v>
          </cell>
          <cell r="C1729" t="str">
            <v>קו תקומה(שקמה)- נתיבות-הקמת קו 161 ק"ו דו מעגלי</v>
          </cell>
          <cell r="D1729">
            <v>48699</v>
          </cell>
        </row>
        <row r="1730">
          <cell r="A1730" t="str">
            <v>WBO-838</v>
          </cell>
          <cell r="B1730" t="str">
            <v>קו תקומה(שקמה)-נתיבות</v>
          </cell>
          <cell r="C1730" t="str">
            <v>קו תקומה(שקמה)-נתיבות-שדרוג הקו  לסוג 322/32 ACSS</v>
          </cell>
          <cell r="D1730">
            <v>48699</v>
          </cell>
        </row>
        <row r="1731">
          <cell r="A1731" t="str">
            <v>WBO-835-ST2</v>
          </cell>
          <cell r="B1731" t="str">
            <v>קו תקומה(שקמה)-נתיבות</v>
          </cell>
          <cell r="C1731" t="str">
            <v>קו תקומה(שקמה)-נתיבות-שולב ב-wbt-003-קידום תוכנית מתאר</v>
          </cell>
        </row>
        <row r="1732">
          <cell r="A1732" t="str">
            <v>WBO-837</v>
          </cell>
          <cell r="B1732" t="str">
            <v>קו תקומה(שקמה)-יכיני-שדרות צומת כרמיה</v>
          </cell>
          <cell r="C1732" t="str">
            <v>קו תקומה(שקמה)- יכיני-שדרות/צומת כרמיה- הקמת קו דו-מעגלי</v>
          </cell>
          <cell r="D1732">
            <v>48699</v>
          </cell>
        </row>
        <row r="1733">
          <cell r="A1733" t="str">
            <v>WBO-837-ST2</v>
          </cell>
          <cell r="B1733" t="str">
            <v>קו תקומה(שקמה)-יכיני-שדרות צומת כרמיה</v>
          </cell>
          <cell r="C1733" t="str">
            <v>קו תקומה(שקמה)-יכיני-שדרות/צומת כרמיה- שולב ב-wbt-003-קידום תוכנית מתאר</v>
          </cell>
        </row>
        <row r="1734">
          <cell r="A1734" t="str">
            <v>WBO-834</v>
          </cell>
          <cell r="B1734" t="str">
            <v>קו תקומה(שקמה)-זמורות</v>
          </cell>
          <cell r="C1734" t="str">
            <v>קו תקומה(שקמה)-זמורות-הקמת קו דו-מעגלי חדש</v>
          </cell>
          <cell r="D1734">
            <v>48699</v>
          </cell>
        </row>
        <row r="1735">
          <cell r="A1735" t="str">
            <v>WBO-834-ST2</v>
          </cell>
          <cell r="B1735" t="str">
            <v>קו תקומה(שקמה)-זמורות</v>
          </cell>
          <cell r="C1735" t="str">
            <v>קו תקומה(שקמה)-זמורות-שולב ב-wbt-003-הכנת תוכנית מתאר</v>
          </cell>
        </row>
        <row r="1736">
          <cell r="A1736" t="str">
            <v>WBO-836</v>
          </cell>
          <cell r="B1736" t="str">
            <v>קו תקומה(שקמה)-ב"ש מערב/אופקים</v>
          </cell>
          <cell r="C1736" t="str">
            <v>קו תקומה(שקמה)-ב"ש מערב/אופקים-הקמת קו 161 ק"ו דו מעגלי</v>
          </cell>
          <cell r="D1736">
            <v>48699</v>
          </cell>
        </row>
        <row r="1737">
          <cell r="A1737" t="str">
            <v>WBO-836-ST2</v>
          </cell>
          <cell r="B1737" t="str">
            <v>קו תקומה(שקמה)-ב"ש מערב/אופקים</v>
          </cell>
          <cell r="C1737" t="str">
            <v>קו תקומה(שקמה)-ב"ש מערב/אופקים-שולב ב-wbt-003-קידום תוכנית מתאר</v>
          </cell>
        </row>
        <row r="1738">
          <cell r="A1738" t="str">
            <v>WBO-421</v>
          </cell>
          <cell r="B1738" t="str">
            <v>קו תנובות-שער אפריים</v>
          </cell>
          <cell r="C1738" t="str">
            <v>קו תנובות-שער אפריים-הארכת המסעף - הפעלה</v>
          </cell>
          <cell r="D1738">
            <v>45146</v>
          </cell>
        </row>
        <row r="1739">
          <cell r="A1739" t="str">
            <v>WBO-511</v>
          </cell>
          <cell r="B1739" t="str">
            <v>קו תמרית (עתידית) - מצדה</v>
          </cell>
          <cell r="C1739" t="str">
            <v>קו תמרית(עתידית)-מצדה-בוטל- הקמת קו דו-מעגלי</v>
          </cell>
        </row>
        <row r="1740">
          <cell r="A1740" t="str">
            <v>WBO-401-ST3</v>
          </cell>
          <cell r="B1740" t="str">
            <v>קו תמנע-אילת</v>
          </cell>
          <cell r="C1740" t="str">
            <v>קו-תמנע אילת-פירוק-התאמת למתכונת עבודה-א</v>
          </cell>
          <cell r="D1740">
            <v>44826</v>
          </cell>
        </row>
        <row r="1741">
          <cell r="A1741" t="str">
            <v>WBO-521</v>
          </cell>
          <cell r="B1741" t="str">
            <v>קו תמנע-אילת</v>
          </cell>
          <cell r="C1741" t="str">
            <v>קו תמנע-אילת-העברת קו משדה 3 לשדה 1</v>
          </cell>
          <cell r="D1741">
            <v>44642</v>
          </cell>
        </row>
        <row r="1742">
          <cell r="A1742" t="str">
            <v>WBO-401</v>
          </cell>
          <cell r="B1742" t="str">
            <v>קו תמנע-אילת</v>
          </cell>
          <cell r="C1742" t="str">
            <v>קו תמנע-אילת-קו 161 ק"ו, 23 ק"מ</v>
          </cell>
          <cell r="D1742">
            <v>44642</v>
          </cell>
        </row>
        <row r="1743">
          <cell r="A1743" t="str">
            <v>WBO-401-ST4</v>
          </cell>
          <cell r="B1743" t="str">
            <v>קו תמנע-אילת</v>
          </cell>
          <cell r="C1743" t="str">
            <v>קו-תמנע אילת-בוטל-פירוק-התאמת למתכונת</v>
          </cell>
          <cell r="D1743">
            <v>44824</v>
          </cell>
        </row>
        <row r="1744">
          <cell r="A1744" t="str">
            <v>WBO-413-LN4</v>
          </cell>
          <cell r="B1744" t="str">
            <v>קו תל גיבורים-איילון</v>
          </cell>
          <cell r="C1744" t="str">
            <v>קו תל גיבורים-איילון</v>
          </cell>
          <cell r="D1744">
            <v>42442</v>
          </cell>
        </row>
        <row r="1745">
          <cell r="A1745" t="str">
            <v>WBO-634</v>
          </cell>
          <cell r="B1745" t="str">
            <v>קו תל גיבורים-איילון</v>
          </cell>
          <cell r="C1745" t="str">
            <v>קו איילון-תל גיבורים-תגבור יכולת</v>
          </cell>
          <cell r="D1745">
            <v>47118</v>
          </cell>
        </row>
        <row r="1746">
          <cell r="A1746" t="str">
            <v>WBO-646</v>
          </cell>
          <cell r="B1746" t="str">
            <v>קו תל גיבורים-איילון</v>
          </cell>
          <cell r="C1746" t="str">
            <v>קווים איילון-קריה/תל גיבורים- העתקה עע"א</v>
          </cell>
          <cell r="D1746">
            <v>45678</v>
          </cell>
        </row>
        <row r="1747">
          <cell r="A1747" t="str">
            <v>WBO-084</v>
          </cell>
          <cell r="B1747" t="str">
            <v>קו תל אור-בית שאן</v>
          </cell>
          <cell r="C1747" t="str">
            <v>קו תל אור-בית שאן-מוקפא-הקמת קו עם תיילים 2*593,</v>
          </cell>
        </row>
        <row r="1748">
          <cell r="A1748" t="str">
            <v>WBO-083</v>
          </cell>
          <cell r="B1748" t="str">
            <v>קו תל אור-בית שאן</v>
          </cell>
          <cell r="C1748" t="str">
            <v>קו תל אור-בית שאן- שדרוג הקו לסוג ACSS 322/32</v>
          </cell>
          <cell r="D1748">
            <v>45915</v>
          </cell>
        </row>
        <row r="1749">
          <cell r="A1749" t="str">
            <v>WBO-024</v>
          </cell>
          <cell r="B1749" t="str">
            <v>קו תל אור-בית שאן</v>
          </cell>
          <cell r="C1749" t="str">
            <v>קו תל אור-בית שאן-uprating של הקו</v>
          </cell>
          <cell r="D1749">
            <v>42185</v>
          </cell>
        </row>
        <row r="1750">
          <cell r="A1750" t="str">
            <v>WBO-096</v>
          </cell>
          <cell r="B1750" t="str">
            <v>קו תל אביטל-שדה אליעזר</v>
          </cell>
          <cell r="C1750" t="str">
            <v>קו תל אביטל-שדה אליעזר-מוקפא-קידום סטטוטורי בלבד של הקמת קו דו-מעגלי</v>
          </cell>
        </row>
        <row r="1751">
          <cell r="A1751" t="str">
            <v>WBO-624</v>
          </cell>
          <cell r="B1751" t="str">
            <v>קו ת''א דרום-תל גיבורים</v>
          </cell>
          <cell r="C1751" t="str">
            <v>קו ת"א דרום-תל גיבורים,עע"א, העתקת עמוד</v>
          </cell>
          <cell r="D1751">
            <v>45155</v>
          </cell>
        </row>
        <row r="1752">
          <cell r="A1752" t="str">
            <v>WBO-518</v>
          </cell>
          <cell r="B1752" t="str">
            <v>קו ת''א דרום-תל גיבורים</v>
          </cell>
          <cell r="C1752" t="str">
            <v>קו תל גיבורים-ת"א דרום-חולון-עע"א-בוטל</v>
          </cell>
        </row>
        <row r="1753">
          <cell r="A1753" t="str">
            <v>WBO-674</v>
          </cell>
          <cell r="B1753" t="str">
            <v>קו שפיים-בית יהושע</v>
          </cell>
          <cell r="C1753" t="str">
            <v>קו שפיים-בית יהושע- עע"א -העתקת הכפלת מסילת החוף 3068-3083</v>
          </cell>
          <cell r="D1753">
            <v>46752</v>
          </cell>
        </row>
        <row r="1754">
          <cell r="A1754" t="str">
            <v>WBO-430</v>
          </cell>
          <cell r="B1754" t="str">
            <v>קו שוהם-אבנת</v>
          </cell>
          <cell r="C1754" t="str">
            <v>קו שוהם-אבנת-uprating ל-100 מעלות.</v>
          </cell>
          <cell r="D1754">
            <v>43018</v>
          </cell>
        </row>
        <row r="1755">
          <cell r="A1755">
            <v>9825</v>
          </cell>
          <cell r="B1755" t="str">
            <v>קו רעננה-הוד השרון</v>
          </cell>
          <cell r="C1755" t="str">
            <v>קו רעננה-הוד השרון</v>
          </cell>
          <cell r="D1755">
            <v>41038</v>
          </cell>
        </row>
        <row r="1756">
          <cell r="A1756" t="str">
            <v>WBO-852</v>
          </cell>
          <cell r="B1756" t="str">
            <v>קו רמת חובב-מצפה רמון</v>
          </cell>
          <cell r="C1756" t="str">
            <v>קו רמת חובב-מצפה רמון-תגבור יכולת (Uprating) קו דו מעגלי 161 ק"ו</v>
          </cell>
          <cell r="D1756">
            <v>47847</v>
          </cell>
        </row>
        <row r="1757">
          <cell r="A1757" t="str">
            <v>WBO-432</v>
          </cell>
          <cell r="B1757" t="str">
            <v>קו רמת חובב-מכתשים</v>
          </cell>
          <cell r="C1757" t="str">
            <v>קו רמת חובב-מכתשים-uprating באורך 6.5 ק"</v>
          </cell>
          <cell r="D1757">
            <v>42246</v>
          </cell>
        </row>
        <row r="1758">
          <cell r="A1758" t="str">
            <v>WBO-427</v>
          </cell>
          <cell r="B1758" t="str">
            <v>קו רמת חובב-באר שבע מערב</v>
          </cell>
          <cell r="C1758" t="str">
            <v>קו רמת חובב-באר שבע מערב-רקונסטרוקציה</v>
          </cell>
          <cell r="D1758">
            <v>44363</v>
          </cell>
        </row>
        <row r="1759">
          <cell r="A1759" t="str">
            <v>WBO-428-ST2</v>
          </cell>
          <cell r="B1759" t="str">
            <v>קו רמת חובב-אשלים</v>
          </cell>
          <cell r="C1759" t="str">
            <v>קו רמת חובב-אשלים-הקמת קו  מהמסדר עד PV</v>
          </cell>
          <cell r="D1759">
            <v>43047</v>
          </cell>
        </row>
        <row r="1760">
          <cell r="A1760" t="str">
            <v>WBO-428-ST5</v>
          </cell>
          <cell r="B1760" t="str">
            <v>קו רמת חובב-אשלים</v>
          </cell>
          <cell r="C1760" t="str">
            <v>קו רמת חובב-אשלים-קו חד מעגלי לח.פלוט A</v>
          </cell>
          <cell r="D1760">
            <v>42901</v>
          </cell>
        </row>
        <row r="1761">
          <cell r="A1761" t="str">
            <v>WBO-428-ST3</v>
          </cell>
          <cell r="B1761" t="str">
            <v>קו רמת חובב-אשלים</v>
          </cell>
          <cell r="C1761" t="str">
            <v>קו רמת חובב-אשלים-הקמת קו מהמסעף למ.שדה</v>
          </cell>
          <cell r="D1761">
            <v>42765</v>
          </cell>
        </row>
        <row r="1762">
          <cell r="A1762" t="str">
            <v>WBO-428-ST4</v>
          </cell>
          <cell r="B1762" t="str">
            <v>קו רמת חובב-אשלים</v>
          </cell>
          <cell r="C1762" t="str">
            <v>קו רמת חובב-אשלים-בוטל- הקמת קו לפלוט B</v>
          </cell>
          <cell r="D1762">
            <v>41285</v>
          </cell>
        </row>
        <row r="1763">
          <cell r="A1763" t="str">
            <v>WBO-428</v>
          </cell>
          <cell r="B1763" t="str">
            <v>קו רמת חובב-אשלים</v>
          </cell>
          <cell r="C1763" t="str">
            <v>קו ר.חובב-אשלים-חיבור המסדר המשותף למע</v>
          </cell>
          <cell r="D1763">
            <v>42641</v>
          </cell>
        </row>
        <row r="1764">
          <cell r="A1764" t="str">
            <v>WBO-470</v>
          </cell>
          <cell r="B1764" t="str">
            <v>קו רמת חובב-אשלים</v>
          </cell>
          <cell r="C1764" t="str">
            <v>קו רמת חובב-אשלים-הקמת  קו מ.שדה -ר.חובב</v>
          </cell>
          <cell r="D1764">
            <v>46051</v>
          </cell>
        </row>
        <row r="1765">
          <cell r="A1765" t="str">
            <v>WBO-470-ST2</v>
          </cell>
          <cell r="B1765" t="str">
            <v>קו רמת חובב-אשלים</v>
          </cell>
          <cell r="C1765" t="str">
            <v>הקמת קו רמת חובב-אשלים- ללא חישמול</v>
          </cell>
          <cell r="D1765">
            <v>45673</v>
          </cell>
        </row>
        <row r="1766">
          <cell r="A1766" t="str">
            <v>WBO-851</v>
          </cell>
          <cell r="B1766" t="str">
            <v>קו רמת חובב-אשלים</v>
          </cell>
          <cell r="C1766" t="str">
            <v>קו רמת חובב-נווה מדבר-אשלים -שדרוג הקו לסוג BOBOLINK 725/50</v>
          </cell>
          <cell r="D1766">
            <v>47847</v>
          </cell>
        </row>
        <row r="1767">
          <cell r="A1767" t="str">
            <v>WBO-549</v>
          </cell>
          <cell r="B1767" t="str">
            <v>קו רמת חובב- דימונה</v>
          </cell>
          <cell r="C1767" t="str">
            <v>קו דימונה-רמת חובב-UPRATING באורך 30 ק"מ</v>
          </cell>
          <cell r="D1767">
            <v>45382</v>
          </cell>
        </row>
        <row r="1768">
          <cell r="A1768" t="str">
            <v>WBO-671</v>
          </cell>
          <cell r="B1768" t="str">
            <v>קו רמת חובב- באר שבע</v>
          </cell>
          <cell r="C1768" t="str">
            <v>קו רמת חובב-באר שבע- הטמנת קו עילי לתת-קרקעי</v>
          </cell>
          <cell r="D1768">
            <v>47514</v>
          </cell>
        </row>
        <row r="1769">
          <cell r="A1769" t="str">
            <v>WBO-478</v>
          </cell>
          <cell r="B1769" t="str">
            <v>קו רמת חובב- באר שבע</v>
          </cell>
          <cell r="C1769" t="str">
            <v>קו רמת חובב-ב"ש-שדרוג הקו לסוג ACSS Bobolink 725/50*</v>
          </cell>
          <cell r="D1769">
            <v>45991</v>
          </cell>
        </row>
        <row r="1770">
          <cell r="A1770" t="str">
            <v>WBO-478-ST2</v>
          </cell>
          <cell r="B1770" t="str">
            <v>קו רמת חובב- באר שבע</v>
          </cell>
          <cell r="C1770" t="str">
            <v>קו רמת חובב-באר שבע-בוטל-קבלת הרשאות.</v>
          </cell>
        </row>
        <row r="1771">
          <cell r="A1771" t="str">
            <v>WBO-671-ST2</v>
          </cell>
          <cell r="B1771" t="str">
            <v>קו רמת חובב- באר שבע</v>
          </cell>
          <cell r="C1771" t="str">
            <v>קו רמת חובב- באר שבע-קידום סטטוטורי לקטע תת-קרקעי</v>
          </cell>
          <cell r="D1771">
            <v>46387</v>
          </cell>
        </row>
        <row r="1772">
          <cell r="A1772" t="str">
            <v>WBO-683</v>
          </cell>
          <cell r="B1772" t="str">
            <v>קו רמת חובב- באר שבע</v>
          </cell>
          <cell r="C1772" t="str">
            <v>קו רמת חובב-באר שבע- הקמת טרמינלים ופירוק</v>
          </cell>
          <cell r="D1772">
            <v>47514</v>
          </cell>
        </row>
        <row r="1773">
          <cell r="A1773" t="str">
            <v>WBO-519</v>
          </cell>
          <cell r="B1773" t="str">
            <v>קו רמת גן-ת''א צפון</v>
          </cell>
          <cell r="C1773" t="str">
            <v>קו רמת גן-ת"א צפון-עע"א- שכונת חרוזים</v>
          </cell>
          <cell r="D1773">
            <v>44392</v>
          </cell>
        </row>
        <row r="1774">
          <cell r="A1774" t="str">
            <v>WBO-223</v>
          </cell>
          <cell r="B1774" t="str">
            <v>קו רמת גן-ת''א צפון</v>
          </cell>
          <cell r="C1774" t="str">
            <v>קו רמת גן-ת"א צפון-עע"א-שכונת לחרוזים</v>
          </cell>
          <cell r="D1774">
            <v>44392</v>
          </cell>
        </row>
        <row r="1775">
          <cell r="A1775" t="str">
            <v>WBO-484</v>
          </cell>
          <cell r="B1775" t="str">
            <v>קו רמת אביב-עתידים</v>
          </cell>
          <cell r="C1775" t="str">
            <v>קו רמת אביב-עתידים-עע"א-העתקה627-628</v>
          </cell>
          <cell r="D1775">
            <v>43069</v>
          </cell>
        </row>
        <row r="1776">
          <cell r="A1776" t="str">
            <v>WBO-593</v>
          </cell>
          <cell r="B1776" t="str">
            <v>קו רמת אביב-עתידים</v>
          </cell>
          <cell r="C1776" t="str">
            <v>קו ר.אביב-ת"א צפון-עתידים-עע"א-העתקה 608</v>
          </cell>
          <cell r="D1776">
            <v>44308</v>
          </cell>
        </row>
        <row r="1777">
          <cell r="A1777" t="str">
            <v>WBO-402</v>
          </cell>
          <cell r="B1777" t="str">
            <v>קו רמת אביב-עתידים</v>
          </cell>
          <cell r="C1777" t="str">
            <v>קו ר.אביב-עתידים-רקונסטרוקציה</v>
          </cell>
          <cell r="D1777">
            <v>44890</v>
          </cell>
        </row>
        <row r="1778">
          <cell r="A1778" t="str">
            <v>WBN-404</v>
          </cell>
          <cell r="B1778" t="str">
            <v>קו רוטנברג-אחוזם</v>
          </cell>
          <cell r="C1778" t="str">
            <v>קו רוטנברג-אחוזם-מוקפא -מקו ר.חובב-צפית</v>
          </cell>
        </row>
        <row r="1779">
          <cell r="A1779" t="str">
            <v>WBO-645</v>
          </cell>
          <cell r="B1779" t="str">
            <v>קו רדינג ד'-רמת אביב-ירקון</v>
          </cell>
          <cell r="C1779" t="str">
            <v>קו רדינג ד-רמת אביב-תכנון העתקה קטע קו באזור רמת אביב-הוקפא</v>
          </cell>
        </row>
        <row r="1780">
          <cell r="A1780" t="str">
            <v>WBO-821-ST2</v>
          </cell>
          <cell r="B1780" t="str">
            <v>קו קרית המודיעין-רותם</v>
          </cell>
          <cell r="C1780" t="str">
            <v>קו קרית המודיעין-רותם-  קידום תכנית מתאר</v>
          </cell>
          <cell r="D1780">
            <v>46873</v>
          </cell>
        </row>
        <row r="1781">
          <cell r="A1781" t="str">
            <v>WBO-821</v>
          </cell>
          <cell r="B1781" t="str">
            <v>קו קרית המודיעין-רותם</v>
          </cell>
          <cell r="C1781" t="str">
            <v>קו קרית המודיעין-ערד-תכנון בניה מחדש, 35 ק"מ</v>
          </cell>
          <cell r="D1781">
            <v>46873</v>
          </cell>
        </row>
        <row r="1782">
          <cell r="A1782" t="str">
            <v>WBO-022</v>
          </cell>
          <cell r="B1782" t="str">
            <v>קו קריות-צור שלום-נעמן</v>
          </cell>
          <cell r="C1782" t="str">
            <v>קו קריות-צ.שלום-נעמן-החלפת תייל.ל-acss</v>
          </cell>
          <cell r="D1782">
            <v>42005</v>
          </cell>
        </row>
        <row r="1783">
          <cell r="A1783" t="str">
            <v>WBO-014</v>
          </cell>
          <cell r="B1783" t="str">
            <v>קו קצרין-עמק הבכא</v>
          </cell>
          <cell r="C1783" t="str">
            <v>קו קצרין-עמק הבכא-תייל  774 סג-אל,25 ק"</v>
          </cell>
          <cell r="D1783">
            <v>44523</v>
          </cell>
        </row>
        <row r="1784">
          <cell r="A1784" t="str">
            <v>WBO-154</v>
          </cell>
          <cell r="B1784" t="str">
            <v>קו קציעות-אשלים</v>
          </cell>
          <cell r="C1784" t="str">
            <v>קו קציעות-אשלים-הוקפא-הקמת קו דו-מעגלי 161 ק"ו</v>
          </cell>
        </row>
        <row r="1785">
          <cell r="A1785" t="str">
            <v>WBO-328</v>
          </cell>
          <cell r="B1785" t="str">
            <v>קו קישון-רוממה</v>
          </cell>
          <cell r="C1785" t="str">
            <v>קו קישון-רוממה-שינוי סכמת חיבור רוממה לקישון</v>
          </cell>
          <cell r="D1785">
            <v>47483</v>
          </cell>
        </row>
        <row r="1786">
          <cell r="A1786" t="str">
            <v>WBO-465</v>
          </cell>
          <cell r="B1786" t="str">
            <v>קו קיסריה-תנובות</v>
          </cell>
          <cell r="C1786" t="str">
            <v>קטע קיסריה-תנובות-3-כביש 57 -תנובות-161</v>
          </cell>
          <cell r="D1786">
            <v>44654</v>
          </cell>
        </row>
        <row r="1787">
          <cell r="A1787" t="str">
            <v>WBN-007</v>
          </cell>
          <cell r="B1787" t="str">
            <v>קו קיסריה-תנובות</v>
          </cell>
          <cell r="C1787" t="str">
            <v>קטע קיסריה-קטעים 1-2 עד עמ'  45066</v>
          </cell>
          <cell r="D1787">
            <v>44654</v>
          </cell>
        </row>
        <row r="1788">
          <cell r="A1788" t="str">
            <v>WBN-014</v>
          </cell>
          <cell r="B1788" t="str">
            <v>קו קיסריה-תנובות</v>
          </cell>
          <cell r="C1788" t="str">
            <v>קו 400 קיסריה-פ"ת-עע"א-הצטלבות רכבת מזרח</v>
          </cell>
          <cell r="D1788">
            <v>44392</v>
          </cell>
        </row>
        <row r="1789">
          <cell r="A1789" t="str">
            <v>WBN-008</v>
          </cell>
          <cell r="B1789" t="str">
            <v>קו קיסריה-תנובות</v>
          </cell>
          <cell r="C1789" t="str">
            <v>קו 400 קיסריה-פ"ת-עע"א-הצטלבות רכבת מזרח</v>
          </cell>
          <cell r="D1789">
            <v>44012</v>
          </cell>
        </row>
        <row r="1790">
          <cell r="A1790" t="str">
            <v>WBN-416</v>
          </cell>
          <cell r="B1790" t="str">
            <v>קו קיסריה-תנובות</v>
          </cell>
          <cell r="C1790" t="str">
            <v>קטע קיסריה-תנובות 2- בוטל-גב.המחוז-כב'57</v>
          </cell>
          <cell r="D1790">
            <v>43038</v>
          </cell>
        </row>
        <row r="1791">
          <cell r="A1791" t="str">
            <v>WBB-041</v>
          </cell>
          <cell r="B1791" t="str">
            <v>קו קיסריה-שרון</v>
          </cell>
          <cell r="C1791" t="str">
            <v>קו קיסריה-שרון-החלפת התיילים ל-760 ACSS</v>
          </cell>
          <cell r="D1791">
            <v>40332</v>
          </cell>
        </row>
        <row r="1792">
          <cell r="A1792" t="str">
            <v>WBA-098</v>
          </cell>
          <cell r="B1792" t="str">
            <v>קו קיסריה-מ''ד</v>
          </cell>
          <cell r="C1792" t="str">
            <v>קו קיסריה-מ"ד-העתקת מעגלים</v>
          </cell>
          <cell r="D1792">
            <v>41277</v>
          </cell>
        </row>
        <row r="1793">
          <cell r="A1793" t="str">
            <v>WBO-015</v>
          </cell>
          <cell r="B1793" t="str">
            <v>קו קיסריה-מ''ד</v>
          </cell>
          <cell r="C1793" t="str">
            <v>קו קיסריה-מ"ד- העתקת מעגלים כחול ולבן</v>
          </cell>
          <cell r="D1793">
            <v>42493</v>
          </cell>
        </row>
        <row r="1794">
          <cell r="A1794" t="str">
            <v>WBB-068</v>
          </cell>
          <cell r="B1794" t="str">
            <v>קו קיסריה-יהלום</v>
          </cell>
          <cell r="C1794" t="str">
            <v>קו קיסריה-יהלום-החלפת התיילים ל-760 ACSS</v>
          </cell>
          <cell r="D1794">
            <v>41311</v>
          </cell>
        </row>
        <row r="1795">
          <cell r="A1795" t="str">
            <v>WBO-003</v>
          </cell>
          <cell r="B1795" t="str">
            <v>קו קיסריה-זמיר</v>
          </cell>
          <cell r="C1795" t="str">
            <v>קו קיסריה-זמיר-העתקת קווים,7.5  ק"מ</v>
          </cell>
          <cell r="D1795">
            <v>42810</v>
          </cell>
        </row>
        <row r="1796">
          <cell r="A1796" t="str">
            <v>WBO-661</v>
          </cell>
          <cell r="B1796" t="str">
            <v>קו קיסריה - רעננה</v>
          </cell>
          <cell r="C1796" t="str">
            <v>קו קיסריה-רעננה-העתקת קווים בבני דרור/פרוטאה</v>
          </cell>
          <cell r="D1796">
            <v>46873</v>
          </cell>
        </row>
        <row r="1797">
          <cell r="A1797" t="str">
            <v>WBO-661-ST2</v>
          </cell>
          <cell r="B1797" t="str">
            <v>קו קיסריה - רעננה</v>
          </cell>
          <cell r="C1797" t="str">
            <v>קו קיסריה-רעננה-בחינת העתק קוים בני דרור</v>
          </cell>
          <cell r="D1797">
            <v>45687</v>
          </cell>
        </row>
        <row r="1798">
          <cell r="A1798" t="str">
            <v>WBO-661-ST1</v>
          </cell>
          <cell r="B1798" t="str">
            <v>קו קיסריה - רעננה</v>
          </cell>
          <cell r="C1798" t="str">
            <v>קו קיסריה-רעננה-פירוק  קווים באיזור בני דרור/פרוטאה</v>
          </cell>
          <cell r="D1798">
            <v>47057</v>
          </cell>
        </row>
        <row r="1799">
          <cell r="A1799">
            <v>9233</v>
          </cell>
          <cell r="B1799" t="str">
            <v>קו צפית-רמת חובב-מישור רותם</v>
          </cell>
          <cell r="C1799" t="str">
            <v>קו צפית-רמת חובב-מישור רותם-תכנון</v>
          </cell>
          <cell r="D1799">
            <v>41090</v>
          </cell>
        </row>
        <row r="1800">
          <cell r="A1800" t="str">
            <v>WBN-428</v>
          </cell>
          <cell r="B1800" t="str">
            <v>קו צפית-רמת חובב-מישור רותם</v>
          </cell>
          <cell r="C1800" t="str">
            <v>קו צפית-רמת חובב-מישור רותם-בוטל</v>
          </cell>
          <cell r="D1800">
            <v>36164</v>
          </cell>
        </row>
        <row r="1801">
          <cell r="A1801" t="str">
            <v>WBN-430</v>
          </cell>
          <cell r="B1801" t="str">
            <v>קו צפית-רמת חובב-מישור רותם</v>
          </cell>
          <cell r="C1801" t="str">
            <v>קו צפית-רמת חובב-מישור רותם-בוטל</v>
          </cell>
          <cell r="D1801">
            <v>36164</v>
          </cell>
        </row>
        <row r="1802">
          <cell r="A1802" t="str">
            <v>WBN-432</v>
          </cell>
          <cell r="B1802" t="str">
            <v>קו צפית-רמת חובב-מישור רותם</v>
          </cell>
          <cell r="C1802" t="str">
            <v>קו צפית-רמת חובב-מישור רותם-בוטל</v>
          </cell>
          <cell r="D1802">
            <v>36164</v>
          </cell>
        </row>
        <row r="1803">
          <cell r="A1803" t="str">
            <v>WBN-401-ST2</v>
          </cell>
          <cell r="B1803" t="str">
            <v>קו צפית-רמת חובב-מישור רותם</v>
          </cell>
          <cell r="C1803" t="str">
            <v>קו צפית-רמת חובב-מישור רותם- בוטל - הפעלה ב-400</v>
          </cell>
        </row>
        <row r="1804">
          <cell r="A1804" t="str">
            <v>WBN-401</v>
          </cell>
          <cell r="B1804" t="str">
            <v>קו צפית-רמת חובב-מישור רותם</v>
          </cell>
          <cell r="C1804" t="str">
            <v>קו צפית-רמת חובב-1-מישור רותם-צפית-מנוחה</v>
          </cell>
          <cell r="D1804">
            <v>45452</v>
          </cell>
        </row>
        <row r="1805">
          <cell r="A1805" t="str">
            <v>WBN-427</v>
          </cell>
          <cell r="B1805" t="str">
            <v>קו צפית-רמת חובב-מישור רותם</v>
          </cell>
          <cell r="C1805" t="str">
            <v>קו צפית-רמת חובב-2-מיש.רותם-מנוחה-להבים</v>
          </cell>
          <cell r="D1805">
            <v>45452</v>
          </cell>
        </row>
        <row r="1806">
          <cell r="A1806" t="str">
            <v>WBN-429</v>
          </cell>
          <cell r="B1806" t="str">
            <v>קו צפית-רמת חובב-מישור רותם</v>
          </cell>
          <cell r="C1806" t="str">
            <v>קו צפית-רמת חובב-3-מיש. רותם-להבים-ע.שרה</v>
          </cell>
          <cell r="D1806">
            <v>45452</v>
          </cell>
        </row>
        <row r="1807">
          <cell r="A1807" t="str">
            <v>WBN-431</v>
          </cell>
          <cell r="B1807" t="str">
            <v>קו צפית-רמת חובב-מישור רותם</v>
          </cell>
          <cell r="C1807" t="str">
            <v>קו צפית-רמת חובב-4-מיש.רותם-ע.שרה-דימונה</v>
          </cell>
          <cell r="D1807">
            <v>45452</v>
          </cell>
        </row>
        <row r="1808">
          <cell r="A1808" t="str">
            <v>WBO-543</v>
          </cell>
          <cell r="B1808" t="str">
            <v>קו צפית-רמת חובב-מישור רותם</v>
          </cell>
          <cell r="C1808" t="str">
            <v>קו צפית-רמת חובב-מישור רותם-איתן-מנוחה - בוטל</v>
          </cell>
        </row>
        <row r="1809">
          <cell r="A1809" t="str">
            <v>WBN-433</v>
          </cell>
          <cell r="B1809" t="str">
            <v>קו צפית-רמת חובב-מישור רותם</v>
          </cell>
          <cell r="C1809" t="str">
            <v>קו צפית-רמת חובב-5-בוטל-מיש.רותם-דימונה-</v>
          </cell>
          <cell r="D1809">
            <v>36526</v>
          </cell>
        </row>
        <row r="1810">
          <cell r="A1810" t="str">
            <v>WBO-558</v>
          </cell>
          <cell r="B1810" t="str">
            <v>קו צפית-חבצלת</v>
          </cell>
          <cell r="C1810" t="str">
            <v>קו צפית-חבצלת -עע"א- העתקות קווים</v>
          </cell>
          <cell r="D1810">
            <v>44469</v>
          </cell>
        </row>
        <row r="1811">
          <cell r="A1811" t="str">
            <v>WBO-501</v>
          </cell>
          <cell r="B1811" t="str">
            <v>קו צפית-חבצלת</v>
          </cell>
          <cell r="C1811" t="str">
            <v>קו צפית-חבצלת-uprating ל-100 מעלות</v>
          </cell>
          <cell r="D1811">
            <v>43940</v>
          </cell>
        </row>
        <row r="1812">
          <cell r="A1812" t="str">
            <v>WBO-618</v>
          </cell>
          <cell r="B1812" t="str">
            <v>קו צפית-גאליה</v>
          </cell>
          <cell r="C1812" t="str">
            <v>קו צפית-פלשת-גאליה- עע"א, הע' קטע 1742-49</v>
          </cell>
          <cell r="D1812">
            <v>46387</v>
          </cell>
        </row>
        <row r="1813">
          <cell r="A1813" t="str">
            <v>WBO-628</v>
          </cell>
          <cell r="B1813" t="str">
            <v>קו צפית-גאליה</v>
          </cell>
          <cell r="C1813" t="str">
            <v>קו צפית-פלשת-גאליה-עע"א-העתקת עמ' 15396-</v>
          </cell>
          <cell r="D1813">
            <v>46752</v>
          </cell>
        </row>
        <row r="1814">
          <cell r="A1814" t="str">
            <v>WBO-578</v>
          </cell>
          <cell r="B1814" t="str">
            <v>קו צפית-גאליה</v>
          </cell>
          <cell r="C1814" t="str">
            <v>קו צפית-גאליה-uprating ל-100מעלות</v>
          </cell>
          <cell r="D1814">
            <v>44704</v>
          </cell>
        </row>
        <row r="1815">
          <cell r="A1815" t="str">
            <v>WBO-552</v>
          </cell>
          <cell r="B1815" t="str">
            <v>קו צפית-איתן</v>
          </cell>
          <cell r="C1815" t="str">
            <v>קו צפית-איתן-UPRATING של מעגל שחור</v>
          </cell>
          <cell r="D1815">
            <v>45774</v>
          </cell>
        </row>
        <row r="1816">
          <cell r="A1816" t="str">
            <v>WBO-425</v>
          </cell>
          <cell r="B1816" t="str">
            <v>קו צפית-איתן</v>
          </cell>
          <cell r="C1816" t="str">
            <v>קו צפית-איתן-UPRATING של הקו-ירוק-כחול</v>
          </cell>
          <cell r="D1816">
            <v>44348</v>
          </cell>
        </row>
        <row r="1817">
          <cell r="A1817" t="str">
            <v>WBO-602</v>
          </cell>
          <cell r="B1817" t="str">
            <v>קו צפית-אינטל 2</v>
          </cell>
          <cell r="C1817" t="str">
            <v>קו צפית- אינטל 2 -UPRATING של מעגל אדום</v>
          </cell>
          <cell r="D1817">
            <v>45774</v>
          </cell>
        </row>
        <row r="1818">
          <cell r="A1818" t="str">
            <v>WBO-435</v>
          </cell>
          <cell r="B1818" t="str">
            <v>קו צפית-אבן ספיר</v>
          </cell>
          <cell r="C1818" t="str">
            <v>קו צפית-אבן ספיר-דרום-uprating כ-13.8ק"מ</v>
          </cell>
          <cell r="D1818">
            <v>43314</v>
          </cell>
        </row>
        <row r="1819">
          <cell r="A1819" t="str">
            <v>WBO-829-ST2</v>
          </cell>
          <cell r="B1819" t="str">
            <v>קו צומת כרמיה-(נתיבות,אופקים,ב</v>
          </cell>
          <cell r="C1819" t="str">
            <v>קו בשור נתיבות-צומת כרמיה-הכנת תוכנית מתאר</v>
          </cell>
          <cell r="D1819">
            <v>46387</v>
          </cell>
        </row>
        <row r="1820">
          <cell r="A1820" t="str">
            <v>WBO-623</v>
          </cell>
          <cell r="B1820" t="str">
            <v>קו צומת כרמיה-(נתיבות,אופקים,ב</v>
          </cell>
          <cell r="C1820" t="str">
            <v>קו בשור-נתיבות-צ.כרמיה-בוטל-ק. סטטוטורי</v>
          </cell>
          <cell r="D1820">
            <v>44477</v>
          </cell>
        </row>
        <row r="1821">
          <cell r="A1821" t="str">
            <v>WBO-829</v>
          </cell>
          <cell r="B1821" t="str">
            <v>קו צומת כרמיה-(נתיבות,אופקים,ב</v>
          </cell>
          <cell r="C1821" t="str">
            <v>קו בשור נתיבות-צומת כרמיה-הקמת קו דו מעגלי 161 ק"ו*, כ-40 ק"מ 2 תיילים לפאזה</v>
          </cell>
          <cell r="D1821">
            <v>48029</v>
          </cell>
        </row>
        <row r="1822">
          <cell r="A1822" t="str">
            <v>WBO-832</v>
          </cell>
          <cell r="B1822" t="str">
            <v>קו צומת כרמיה - שדרות</v>
          </cell>
          <cell r="C1822" t="str">
            <v>קו צומת-כרמיה -שדרות –מוקפא- עמוד 9463-הצמדת מעגלים</v>
          </cell>
        </row>
        <row r="1823">
          <cell r="A1823" t="str">
            <v>WBO-826</v>
          </cell>
          <cell r="B1823" t="str">
            <v>קו צומת כרמיה - שדרות</v>
          </cell>
          <cell r="C1823" t="str">
            <v>קו צומת כרמיה-שדרות- שדרוג קו לסוג 322/32 ACSS</v>
          </cell>
          <cell r="D1823">
            <v>46752</v>
          </cell>
        </row>
        <row r="1824">
          <cell r="A1824" t="str">
            <v>WBO-589</v>
          </cell>
          <cell r="B1824" t="str">
            <v>קו צ.כרמיה-נתיבות</v>
          </cell>
          <cell r="C1824" t="str">
            <v>קו צומת כרמיה-נתיבות-שדרוג קו  ל-322/32 ACSS*</v>
          </cell>
          <cell r="D1824">
            <v>46752</v>
          </cell>
        </row>
        <row r="1825">
          <cell r="A1825" t="str">
            <v>WBO-580</v>
          </cell>
          <cell r="B1825" t="str">
            <v>קו צ.כרמיה-נתיבות</v>
          </cell>
          <cell r="C1825" t="str">
            <v>קו נתיבות-צומת כרמיה-UPRATING א.17 ק"מ</v>
          </cell>
          <cell r="D1825">
            <v>44525</v>
          </cell>
        </row>
        <row r="1826">
          <cell r="A1826" t="str">
            <v>WBO-475</v>
          </cell>
          <cell r="B1826" t="str">
            <v>קו פ''ת-ראש העין</v>
          </cell>
          <cell r="C1826" t="str">
            <v>קו פתח תקוה-ראש העין-UPRATING , אורך 10</v>
          </cell>
          <cell r="D1826">
            <v>43773</v>
          </cell>
        </row>
        <row r="1827">
          <cell r="A1827" t="str">
            <v>WBO-476</v>
          </cell>
          <cell r="B1827" t="str">
            <v>קו פ''ת-כפר סבא</v>
          </cell>
          <cell r="C1827" t="str">
            <v>קו פ"ת-כפר סבא-UPRATING , אורך 10 ק"מ</v>
          </cell>
          <cell r="D1827">
            <v>43622</v>
          </cell>
        </row>
        <row r="1828">
          <cell r="A1828" t="str">
            <v>WBO-568</v>
          </cell>
          <cell r="B1828" t="str">
            <v>קו פתח תקוה-רמת גן</v>
          </cell>
          <cell r="C1828" t="str">
            <v>קו פתח תקוה-רמת גן-עע"א-העתקת  1086-1090</v>
          </cell>
          <cell r="D1828">
            <v>44681</v>
          </cell>
        </row>
        <row r="1829">
          <cell r="A1829" t="str">
            <v>WDB-04COM59</v>
          </cell>
          <cell r="B1829" t="str">
            <v>קו פתח תקוה-ירקון</v>
          </cell>
          <cell r="C1829" t="str">
            <v>קו פ"ת-ירקון עד עמוד 3150-החלפת תייל האר</v>
          </cell>
          <cell r="D1829">
            <v>41850</v>
          </cell>
        </row>
        <row r="1830">
          <cell r="A1830" t="str">
            <v>WBN-418</v>
          </cell>
          <cell r="B1830" t="str">
            <v>קו פתח תקוה-חפר</v>
          </cell>
          <cell r="C1830" t="str">
            <v>קטעים תת-קר. 400 ק"ו באזור פרוטאה-מוקפא</v>
          </cell>
        </row>
        <row r="1831">
          <cell r="A1831" t="str">
            <v>WBN-436</v>
          </cell>
          <cell r="B1831" t="str">
            <v>קו פתח תקוה - קיסריה</v>
          </cell>
          <cell r="C1831" t="str">
            <v>קו 400 ק"ו קיסריה-פ"ת-עע"א-העתקת 40314</v>
          </cell>
          <cell r="D1831">
            <v>44910</v>
          </cell>
        </row>
        <row r="1832">
          <cell r="A1832" t="str">
            <v>WBN-443</v>
          </cell>
          <cell r="B1832" t="str">
            <v>קו פתח תקוה - קיסריה</v>
          </cell>
          <cell r="C1832" t="str">
            <v>קו 400 ק"ו פ"ת-קיסריה-עע"א-העתקה 40311</v>
          </cell>
          <cell r="D1832">
            <v>44910</v>
          </cell>
        </row>
        <row r="1833">
          <cell r="A1833" t="str">
            <v>WBN-440</v>
          </cell>
          <cell r="B1833" t="str">
            <v>קו פתח תקוה - קיסריה</v>
          </cell>
          <cell r="C1833" t="str">
            <v>קו 400 ק"ו פ"ת-קיסריה-עע"א-העתקה 40322</v>
          </cell>
          <cell r="D1833">
            <v>44910</v>
          </cell>
        </row>
        <row r="1834">
          <cell r="A1834" t="str">
            <v>WBN-437</v>
          </cell>
          <cell r="B1834" t="str">
            <v>קו פתח תקוה - קיסריה</v>
          </cell>
          <cell r="C1834" t="str">
            <v>קו 400 ק"ו קיסריה-פ"ת-עע"א-העתקת 40306</v>
          </cell>
          <cell r="D1834">
            <v>44518</v>
          </cell>
        </row>
        <row r="1835">
          <cell r="A1835" t="str">
            <v>WBN-446</v>
          </cell>
          <cell r="B1835" t="str">
            <v>קו פתח תקוה - קיסריה</v>
          </cell>
          <cell r="C1835" t="str">
            <v>קו 400 ק"ו קיסריה-פתח תקוה-עע"א- הגבהת ק</v>
          </cell>
          <cell r="D1835">
            <v>44505</v>
          </cell>
        </row>
        <row r="1836">
          <cell r="A1836" t="str">
            <v>WBN-613</v>
          </cell>
          <cell r="B1836" t="str">
            <v>קו פתח תקוה - קיסריה</v>
          </cell>
          <cell r="C1836" t="str">
            <v>קו 400 ק"ו קיסריה-פתח תקווה-עע"א - הקמת עמוד 40618A ופירוק 40618 עמוד בכביש 652 עתידי לטובת סלילת כביש 652</v>
          </cell>
          <cell r="D1836">
            <v>46537</v>
          </cell>
        </row>
        <row r="1837">
          <cell r="A1837" t="str">
            <v>WBO-224</v>
          </cell>
          <cell r="B1837" t="str">
            <v>קו פתח תקוה - אונו</v>
          </cell>
          <cell r="C1837" t="str">
            <v>כבל באם המושבות -עע"א- העתקת 2 מעגלי כבלים</v>
          </cell>
          <cell r="D1837">
            <v>45442</v>
          </cell>
        </row>
        <row r="1838">
          <cell r="A1838" t="str">
            <v>wbo-254</v>
          </cell>
          <cell r="B1838" t="str">
            <v>קו פתח תקוה - אונו</v>
          </cell>
          <cell r="C1838" t="str">
            <v>כבל באם המושבות -עע"א- טרמינלים ופירוק</v>
          </cell>
          <cell r="D1838">
            <v>45442</v>
          </cell>
        </row>
        <row r="1839">
          <cell r="A1839" t="str">
            <v>WDB-04COM57</v>
          </cell>
          <cell r="B1839" t="str">
            <v>קו פ''ת-אייל-שער אפריים</v>
          </cell>
          <cell r="C1839" t="str">
            <v>קו פ"ת-אייל-שער אפריים-החלפת תייל הארקה</v>
          </cell>
          <cell r="D1839">
            <v>46021</v>
          </cell>
        </row>
        <row r="1840">
          <cell r="A1840" t="str">
            <v>WBO-561</v>
          </cell>
          <cell r="B1840" t="str">
            <v>קו פ''ת-אייל-שער אפריים</v>
          </cell>
          <cell r="C1840" t="str">
            <v>כניסה לשער אפריים-עע"א-העתקת 2841-2843</v>
          </cell>
          <cell r="D1840">
            <v>43927</v>
          </cell>
        </row>
        <row r="1841">
          <cell r="A1841" t="str">
            <v>WBO-560</v>
          </cell>
          <cell r="B1841" t="str">
            <v>קו פ''ת-אייל-שער אפריים</v>
          </cell>
          <cell r="C1841" t="str">
            <v>כניסה לשער אפריים-עע"א-העתקת עמ' 3166</v>
          </cell>
          <cell r="D1841">
            <v>43915</v>
          </cell>
        </row>
        <row r="1842">
          <cell r="A1842" t="str">
            <v>WBO-032</v>
          </cell>
          <cell r="B1842" t="str">
            <v>קו פוריה-תל אור</v>
          </cell>
          <cell r="C1842" t="str">
            <v>קו פוריה-תל אור-uprating של הקו ל-100 מע</v>
          </cell>
          <cell r="D1842">
            <v>42050</v>
          </cell>
        </row>
        <row r="1843">
          <cell r="A1843" t="str">
            <v>WBO-358</v>
          </cell>
          <cell r="B1843" t="str">
            <v>קו פוריה-תל אור</v>
          </cell>
          <cell r="C1843" t="str">
            <v>קו פוריה-תל אור-החלפת תילים ל ACSS Curlew</v>
          </cell>
          <cell r="D1843">
            <v>47847</v>
          </cell>
        </row>
        <row r="1844">
          <cell r="A1844" t="str">
            <v>WBO-356</v>
          </cell>
          <cell r="B1844" t="str">
            <v>קו פוריה-כינרות</v>
          </cell>
          <cell r="C1844" t="str">
            <v>קו פוריה-כינרות-הצמדת מעגלים</v>
          </cell>
          <cell r="D1844">
            <v>47847</v>
          </cell>
        </row>
        <row r="1845">
          <cell r="A1845" t="str">
            <v>WBO-357</v>
          </cell>
          <cell r="B1845" t="str">
            <v>קו פוריה-כינרות</v>
          </cell>
          <cell r="C1845" t="str">
            <v>קו פוריה-כינרות-החלפת תילים ל- ACSS Curlew</v>
          </cell>
          <cell r="D1845">
            <v>47847</v>
          </cell>
        </row>
        <row r="1846">
          <cell r="A1846" t="str">
            <v>WBO-404</v>
          </cell>
          <cell r="B1846" t="str">
            <v>קו פארן-יוטבתה</v>
          </cell>
          <cell r="C1846" t="str">
            <v>קו פארן-יוטבתה - הקמת 61 ק"ו,46 ק"מ</v>
          </cell>
          <cell r="D1846">
            <v>43147</v>
          </cell>
        </row>
        <row r="1847">
          <cell r="A1847" t="str">
            <v>WBO-404-ST1</v>
          </cell>
          <cell r="B1847" t="str">
            <v>קו פארן-יוטבתה</v>
          </cell>
          <cell r="C1847" t="str">
            <v>קו פארן-יוטבתה - פרוק קטע ,46 ק"מ</v>
          </cell>
          <cell r="D1847">
            <v>43147</v>
          </cell>
        </row>
        <row r="1848">
          <cell r="A1848" t="str">
            <v>WBO-522</v>
          </cell>
          <cell r="B1848" t="str">
            <v>קו פארן-אילת</v>
          </cell>
          <cell r="C1848" t="str">
            <v>קו פארן-אילת-ביטול הצמדה בקו דו-מעג</v>
          </cell>
          <cell r="D1848">
            <v>44642</v>
          </cell>
        </row>
        <row r="1849">
          <cell r="A1849" t="str">
            <v>WBO-229</v>
          </cell>
          <cell r="B1849" t="str">
            <v>קו עתידים-הכפר הירוק/הרצליה</v>
          </cell>
          <cell r="C1849" t="str">
            <v>קו עתידים-הכפר הירוק/הרצליה- כבלים</v>
          </cell>
          <cell r="D1849">
            <v>45247</v>
          </cell>
        </row>
        <row r="1850">
          <cell r="A1850" t="str">
            <v>WBO-538</v>
          </cell>
          <cell r="B1850" t="str">
            <v>קו עתידים-אבנת-מכבית</v>
          </cell>
          <cell r="C1850" t="str">
            <v>קו עתידים-אבנת-מכבית-העתקת עמוד 1552</v>
          </cell>
          <cell r="D1850">
            <v>44711</v>
          </cell>
        </row>
        <row r="1851">
          <cell r="A1851" t="str">
            <v>WBO-695</v>
          </cell>
          <cell r="B1851" t="str">
            <v>קו עתידים-אבנת-מכבית</v>
          </cell>
          <cell r="C1851" t="str">
            <v>קו עתידים-אבנת-מכבית-עע"א, העתקת עמודי מ"ע  ע"ח עיריית בני ברק</v>
          </cell>
          <cell r="D1851">
            <v>46418</v>
          </cell>
        </row>
        <row r="1852">
          <cell r="A1852" t="str">
            <v>WBO-815</v>
          </cell>
          <cell r="B1852" t="str">
            <v>קו ערד-רותם-צ.צפית</v>
          </cell>
          <cell r="C1852" t="str">
            <v>קו ערד-צ.צפית-רותם-מתחמ"ש ערד עד עמוד 15530</v>
          </cell>
          <cell r="D1852">
            <v>47573</v>
          </cell>
        </row>
        <row r="1853">
          <cell r="A1853" t="str">
            <v>WBO-816</v>
          </cell>
          <cell r="B1853" t="str">
            <v>קו ערד-רותם-צ.צפית</v>
          </cell>
          <cell r="C1853" t="str">
            <v>קו ערד-צ.צפית-מתחמ"ש פריקלאס(עמוד 15535)עד תחמ"ש רותם</v>
          </cell>
          <cell r="D1853">
            <v>47573</v>
          </cell>
        </row>
        <row r="1854">
          <cell r="A1854" t="str">
            <v>WBO-817</v>
          </cell>
          <cell r="B1854" t="str">
            <v>קו ערד-רותם-צ.צפית</v>
          </cell>
          <cell r="C1854" t="str">
            <v>קו ערד-צ. צפית-רותם-מעמוד 15535 עד לפני עמוד 15537</v>
          </cell>
          <cell r="D1854">
            <v>47573</v>
          </cell>
        </row>
        <row r="1855">
          <cell r="A1855" t="str">
            <v>WBO-815-ST2</v>
          </cell>
          <cell r="B1855" t="str">
            <v>קו ערד-רותם-צ.צפית</v>
          </cell>
          <cell r="C1855" t="str">
            <v>קו ערד-צ. צפית-שולב ב-wbt-002-קידום תוכנית מתאר</v>
          </cell>
        </row>
        <row r="1856">
          <cell r="A1856" t="str">
            <v>WBO-816-ST2</v>
          </cell>
          <cell r="B1856" t="str">
            <v>קו ערד-רותם-צ.צפית</v>
          </cell>
          <cell r="C1856" t="str">
            <v>קו ערד-צ. צפית-שולב ב-wbt-002-מרותם לעמוד 15535,קידום תוכנית מתאר</v>
          </cell>
        </row>
        <row r="1857">
          <cell r="A1857" t="str">
            <v>WBO-817-ST2</v>
          </cell>
          <cell r="B1857" t="str">
            <v>קו ערד-רותם-צ.צפית</v>
          </cell>
          <cell r="C1857" t="str">
            <v>קו ערד-צ. צפית-רותם-שולב ב-wbt-002-מעמ' 15535 עד עמ' 15540 (צ. צפית)-תוכנית מתאר</v>
          </cell>
        </row>
        <row r="1858">
          <cell r="A1858" t="str">
            <v>WBO-903</v>
          </cell>
          <cell r="B1858" t="str">
            <v>קו ערד-רותם-צ.צפית</v>
          </cell>
          <cell r="C1858" t="str">
            <v>קו ערד-צ. צפית-רותם-קטע ערד-עד עמוד 15530-מקטע תת-קרקעי</v>
          </cell>
          <cell r="D1858">
            <v>47573</v>
          </cell>
        </row>
        <row r="1859">
          <cell r="A1859" t="str">
            <v>WBO-902</v>
          </cell>
          <cell r="B1859" t="str">
            <v>קו ערד-רותם-צ.צפית</v>
          </cell>
          <cell r="C1859" t="str">
            <v>קו ערד-צ. צפית-רותם- הקמת עמודי טרמינלים</v>
          </cell>
          <cell r="D1859">
            <v>47573</v>
          </cell>
        </row>
        <row r="1860">
          <cell r="A1860" t="str">
            <v>WBO-816-ST1</v>
          </cell>
          <cell r="B1860" t="str">
            <v>קו ערד-רותם-צ.צפית</v>
          </cell>
          <cell r="C1860" t="str">
            <v>קו ערד-צ.צפית- פירוק קו חד-מעגלי</v>
          </cell>
          <cell r="D1860">
            <v>47573</v>
          </cell>
        </row>
        <row r="1861">
          <cell r="A1861" t="str">
            <v>WBO-817-ST1</v>
          </cell>
          <cell r="B1861" t="str">
            <v>קו ערד-רותם-צ.צפית</v>
          </cell>
          <cell r="C1861" t="str">
            <v>קו ערד-צ. צפית-רותם-פירוק קו דו-מעגלי בין עמודים 15535 עד 15537</v>
          </cell>
          <cell r="D1861">
            <v>47573</v>
          </cell>
        </row>
        <row r="1862">
          <cell r="A1862" t="str">
            <v>WBO-603</v>
          </cell>
          <cell r="B1862" t="str">
            <v>קו ערד-איתן/נבטים</v>
          </cell>
          <cell r="C1862" t="str">
            <v>קו ערד-איתן/נבטים- עע"א-הוקפא - העת  6779 – 6781</v>
          </cell>
        </row>
        <row r="1863">
          <cell r="A1863" t="str">
            <v>WBO-555</v>
          </cell>
          <cell r="B1863" t="str">
            <v>קו עמק חפר/יהלום- קיסריה</v>
          </cell>
          <cell r="C1863" t="str">
            <v>קו יהלום/חפר-קיסריה-עע"א-בוטל- העתקות קווים</v>
          </cell>
        </row>
        <row r="1864">
          <cell r="A1864" t="str">
            <v>WBO-092</v>
          </cell>
          <cell r="B1864" t="str">
            <v>קו עין חרוד-דרור בהט</v>
          </cell>
          <cell r="C1864" t="str">
            <v>קו עין חרוד-דרור בהט-שדרוג קו 161 ק"ו לסוג ACSS Bobolink 725/50</v>
          </cell>
          <cell r="D1864">
            <v>47483</v>
          </cell>
        </row>
        <row r="1865">
          <cell r="A1865" t="str">
            <v>WBA-018</v>
          </cell>
          <cell r="B1865" t="str">
            <v>קו סתריה-נשר רמלה</v>
          </cell>
          <cell r="C1865" t="str">
            <v>קו סתריה-נשר רמלה</v>
          </cell>
          <cell r="D1865">
            <v>36525</v>
          </cell>
        </row>
        <row r="1866">
          <cell r="A1866" t="str">
            <v>WDB-04COM61</v>
          </cell>
          <cell r="B1866" t="str">
            <v>קו סתריה-כפר אוריה</v>
          </cell>
          <cell r="C1866" t="str">
            <v>קו סתריה-כפר אוריה-החלפת תיל הארקה</v>
          </cell>
          <cell r="D1866">
            <v>42758</v>
          </cell>
        </row>
        <row r="1867">
          <cell r="A1867" t="str">
            <v>WBO-691</v>
          </cell>
          <cell r="B1867" t="str">
            <v>קו סתריה-כפר אוריה</v>
          </cell>
          <cell r="C1867" t="str">
            <v>מעגל סתריה-כפר אוריה-תגבור (Uprating) של המעגל צהוב ל 100 מעלות</v>
          </cell>
          <cell r="D1867">
            <v>46568</v>
          </cell>
        </row>
        <row r="1868">
          <cell r="A1868" t="str">
            <v>WBO-636</v>
          </cell>
          <cell r="B1868" t="str">
            <v>קו סתריה-חבצלת</v>
          </cell>
          <cell r="C1868" t="str">
            <v>קו חבצלת-סתריה- תגבור יכולת המעגל</v>
          </cell>
          <cell r="D1868">
            <v>46387</v>
          </cell>
        </row>
        <row r="1869">
          <cell r="A1869" t="str">
            <v>WBO-463</v>
          </cell>
          <cell r="B1869" t="str">
            <v>קו סדום-מצדה</v>
          </cell>
          <cell r="C1869" t="str">
            <v>קו סדום-מצדה prms-העתקת קטע חד מעגלי</v>
          </cell>
          <cell r="D1869">
            <v>42088</v>
          </cell>
        </row>
        <row r="1870">
          <cell r="A1870" t="str">
            <v>WBO-407</v>
          </cell>
          <cell r="B1870" t="str">
            <v>קו סדום-מצדה</v>
          </cell>
          <cell r="C1870" t="str">
            <v>קו סדום-מצדה-העתקת קטע קו 161 קו</v>
          </cell>
          <cell r="D1870">
            <v>43496</v>
          </cell>
        </row>
        <row r="1871">
          <cell r="A1871" t="str">
            <v>WBO-456</v>
          </cell>
          <cell r="B1871" t="str">
            <v>קו סדום-מצדה</v>
          </cell>
          <cell r="C1871" t="str">
            <v>קו סדום-מצדה-מוקפא-uprating ס.צפון-נווה</v>
          </cell>
        </row>
        <row r="1872">
          <cell r="A1872" t="str">
            <v>WBO-822</v>
          </cell>
          <cell r="B1872" t="str">
            <v>קו סדום צפון-צומת צפית</v>
          </cell>
          <cell r="C1872" t="str">
            <v>קו סדום צפון-צומת צפית-בוטל-בניית קו דו</v>
          </cell>
          <cell r="D1872">
            <v>44602</v>
          </cell>
        </row>
        <row r="1873">
          <cell r="A1873" t="str">
            <v>WBO-822-ST2</v>
          </cell>
          <cell r="B1873" t="str">
            <v>קו סדום צפון-צומת צפית</v>
          </cell>
          <cell r="C1873" t="str">
            <v>קו סדום צפון-צומת צפית-בוטל-קבלת הרשאות</v>
          </cell>
          <cell r="D1873">
            <v>44607</v>
          </cell>
        </row>
        <row r="1874">
          <cell r="A1874" t="str">
            <v>WBO-492</v>
          </cell>
          <cell r="B1874" t="str">
            <v>קו סדום צפון-סדום דרום</v>
          </cell>
          <cell r="C1874" t="str">
            <v>קו סדום צפון-סדום דרום-uprating, כ-2 ק"מ</v>
          </cell>
          <cell r="D1874">
            <v>42643</v>
          </cell>
        </row>
        <row r="1875">
          <cell r="A1875" t="str">
            <v>WBO-503</v>
          </cell>
          <cell r="B1875" t="str">
            <v>קו סדום צפון-כורנוב-מצדה</v>
          </cell>
          <cell r="C1875" t="str">
            <v>קו סדום צפון-כורנוב-מצדה-בוטל-החל.מבדדים</v>
          </cell>
          <cell r="D1875">
            <v>42551</v>
          </cell>
        </row>
        <row r="1876">
          <cell r="A1876" t="str">
            <v>WBO-540</v>
          </cell>
          <cell r="B1876" t="str">
            <v>קו סדום צפון-כורנוב</v>
          </cell>
          <cell r="C1876" t="str">
            <v>קו מצדה-סדום צפון-כורנוב-עע"א-העתקה</v>
          </cell>
          <cell r="D1876">
            <v>44077</v>
          </cell>
        </row>
        <row r="1877">
          <cell r="A1877" t="str">
            <v>WBO-436</v>
          </cell>
          <cell r="B1877" t="str">
            <v>קו סדום צפון-כורנוב</v>
          </cell>
          <cell r="C1877" t="str">
            <v>קו סדום צפון-כורנוב-מוקפא-uprating</v>
          </cell>
        </row>
        <row r="1878">
          <cell r="A1878" t="str">
            <v>WBO-642</v>
          </cell>
          <cell r="B1878" t="str">
            <v>קו סדום צפון - תמרית (עתידית)</v>
          </cell>
          <cell r="C1878" t="str">
            <v>קו סדום צפון-תמרית-בוטל-לכיוון תחמ"ש תמרית</v>
          </cell>
        </row>
        <row r="1879">
          <cell r="A1879" t="str">
            <v>LN2-WBA-352</v>
          </cell>
          <cell r="B1879" t="str">
            <v>קו סדום דרום-ספיר ניידת</v>
          </cell>
          <cell r="C1879" t="str">
            <v>קו סדום צפון-אתר ספיר-מקו.אמריקה למ.עידן</v>
          </cell>
          <cell r="D1879">
            <v>40030</v>
          </cell>
        </row>
        <row r="1880">
          <cell r="A1880">
            <v>356152</v>
          </cell>
          <cell r="B1880" t="str">
            <v>קו נתיבות-עזה</v>
          </cell>
          <cell r="C1880" t="str">
            <v>קו נתיבות-עזה</v>
          </cell>
          <cell r="D1880">
            <v>36707</v>
          </cell>
        </row>
        <row r="1881">
          <cell r="A1881" t="str">
            <v>WBO-030-LN2</v>
          </cell>
          <cell r="B1881" t="str">
            <v>קו נצרת-ציפורית</v>
          </cell>
          <cell r="C1881" t="str">
            <v>קו נצרת-ציפורית-החל' תיילים בכניסה לנצרת</v>
          </cell>
          <cell r="D1881">
            <v>43895</v>
          </cell>
        </row>
        <row r="1882">
          <cell r="A1882" t="str">
            <v>WBO-030-ST2</v>
          </cell>
          <cell r="B1882" t="str">
            <v>קו נצרת-ציפורית</v>
          </cell>
          <cell r="C1882" t="str">
            <v>קו נצרת-ציפורית-פירוק</v>
          </cell>
          <cell r="D1882">
            <v>45519</v>
          </cell>
        </row>
        <row r="1883">
          <cell r="A1883" t="str">
            <v>WBO-067</v>
          </cell>
          <cell r="B1883" t="str">
            <v>קו נצרת-ציפורית</v>
          </cell>
          <cell r="C1883" t="str">
            <v>קו נצרת-ציפורית-עע"אהצטל רק"ל-פורטל-1516</v>
          </cell>
          <cell r="D1883">
            <v>45020</v>
          </cell>
        </row>
        <row r="1884">
          <cell r="A1884" t="str">
            <v>WBO-030</v>
          </cell>
          <cell r="B1884" t="str">
            <v>קו נצרת-ציפורית</v>
          </cell>
          <cell r="C1884" t="str">
            <v>קו נצרת-ציפורית-העתקת קווי 161, 6 ק"מ</v>
          </cell>
          <cell r="D1884">
            <v>44897</v>
          </cell>
        </row>
        <row r="1885">
          <cell r="A1885" t="str">
            <v>WBO-064</v>
          </cell>
          <cell r="B1885" t="str">
            <v>קו נצרת-ציפורית</v>
          </cell>
          <cell r="C1885" t="str">
            <v>קו נצרת-ציפורית-uprating  של קו דו-מעגלי</v>
          </cell>
          <cell r="D1885">
            <v>44880</v>
          </cell>
        </row>
        <row r="1886">
          <cell r="A1886" t="str">
            <v>WBO-043</v>
          </cell>
          <cell r="B1886" t="str">
            <v>קו נצרת-ציפורית</v>
          </cell>
          <cell r="C1886" t="str">
            <v>קו נצרת-ציפורית-עעא-הצטלרק"ל-עמ' 27-1526</v>
          </cell>
          <cell r="D1886">
            <v>44722</v>
          </cell>
        </row>
        <row r="1887">
          <cell r="A1887" t="str">
            <v>WBO-020</v>
          </cell>
          <cell r="B1887" t="str">
            <v>קו נצרת-ציפורית</v>
          </cell>
          <cell r="C1887" t="str">
            <v>קו נצרת-ציפורית-מוקפא-החלפת התיילים</v>
          </cell>
        </row>
        <row r="1888">
          <cell r="A1888" t="str">
            <v>WBO-060</v>
          </cell>
          <cell r="B1888" t="str">
            <v>קו נעמן-משגב</v>
          </cell>
          <cell r="C1888" t="str">
            <v>קו נעמן-משגב-עע"א-ה בא.ג'דידה מזרח-בוטל</v>
          </cell>
        </row>
        <row r="1889">
          <cell r="A1889" t="str">
            <v>WBO-074</v>
          </cell>
          <cell r="B1889" t="str">
            <v>קו נעמן-כברי</v>
          </cell>
          <cell r="C1889" t="str">
            <v>"קו נעמן-כברי uprating  מנעמן לעמוד 4135"</v>
          </cell>
          <cell r="D1889">
            <v>45853</v>
          </cell>
        </row>
        <row r="1890">
          <cell r="A1890" t="str">
            <v>WBO-097</v>
          </cell>
          <cell r="B1890" t="str">
            <v>קו נעמן-כברי</v>
          </cell>
          <cell r="C1890" t="str">
            <v>"קו נעמן-כברי uprating מעמוד 4135 לכברי"</v>
          </cell>
          <cell r="D1890">
            <v>45853</v>
          </cell>
        </row>
        <row r="1891">
          <cell r="A1891" t="str">
            <v>WBO-061</v>
          </cell>
          <cell r="B1891" t="str">
            <v>קו נעמן-כברי</v>
          </cell>
          <cell r="C1891" t="str">
            <v>קו נעמן-כברי-עע"א-בא.ג'דידה מערב- בוטל</v>
          </cell>
        </row>
        <row r="1892">
          <cell r="A1892" t="str">
            <v>WBO-592</v>
          </cell>
          <cell r="B1892" t="str">
            <v>קו מתחם הבננה-נתניה</v>
          </cell>
          <cell r="C1892" t="str">
            <v>קו במתחם הבננה-עע"א-עמ' 3035 – 3043</v>
          </cell>
          <cell r="D1892">
            <v>44930</v>
          </cell>
        </row>
        <row r="1893">
          <cell r="A1893" t="str">
            <v>WBO-675</v>
          </cell>
          <cell r="B1893" t="str">
            <v>קו מתחם הבננה-נתניה</v>
          </cell>
          <cell r="C1893" t="str">
            <v>כבל בנתניה מזרח -עע"א- הנחת 2 מעגלי כבלים 2 כבלים לפאזה</v>
          </cell>
          <cell r="D1893">
            <v>46265</v>
          </cell>
        </row>
        <row r="1894">
          <cell r="A1894" t="str">
            <v>WBO-676</v>
          </cell>
          <cell r="B1894" t="str">
            <v>קו מתחם הבננה-נתניה</v>
          </cell>
          <cell r="C1894" t="str">
            <v>כבל בנתניה מזרח -עע"א- טרמינלים ופירוק</v>
          </cell>
          <cell r="D1894">
            <v>46265</v>
          </cell>
        </row>
        <row r="1895">
          <cell r="A1895" t="str">
            <v>WBO-677</v>
          </cell>
          <cell r="B1895" t="str">
            <v>קו מתחם הבננה-נתניה</v>
          </cell>
          <cell r="C1895" t="str">
            <v>כבל נתניה מזרח-תכנון לשמירת מקום לשוחת כבלים</v>
          </cell>
          <cell r="D1895">
            <v>46265</v>
          </cell>
        </row>
        <row r="1896">
          <cell r="A1896" t="str">
            <v>WBO-528</v>
          </cell>
          <cell r="B1896" t="str">
            <v>קו מתחם ביג ב''ש</v>
          </cell>
          <cell r="C1896" t="str">
            <v>קו באיזור מתחם ביג ב"ש-עע"א- קו 4 מעגלים</v>
          </cell>
          <cell r="D1896">
            <v>46387</v>
          </cell>
        </row>
        <row r="1897">
          <cell r="A1897" t="str">
            <v>WBO-033</v>
          </cell>
          <cell r="B1897" t="str">
            <v>קו משגב-כרמיאל</v>
          </cell>
          <cell r="C1897" t="str">
            <v>קו בר לב-משגב-כרמיאל-העתקה בהר כרמי</v>
          </cell>
          <cell r="D1897">
            <v>42369</v>
          </cell>
        </row>
        <row r="1898">
          <cell r="A1898" t="str">
            <v>WBO-134</v>
          </cell>
          <cell r="B1898" t="str">
            <v>קו מרכז מסחרי אשתאול</v>
          </cell>
          <cell r="C1898" t="str">
            <v>העתקת קטע במרכז מסחרי אשתאול -עע"א-עילי</v>
          </cell>
          <cell r="D1898">
            <v>43784</v>
          </cell>
        </row>
        <row r="1899">
          <cell r="A1899" t="str">
            <v>WBO-617</v>
          </cell>
          <cell r="B1899" t="str">
            <v>קו מצפה רמון-פארן</v>
          </cell>
          <cell r="C1899" t="str">
            <v>קו מצפה רמון-פארן-עע"א-פירוק קטע הקו העי</v>
          </cell>
          <cell r="D1899">
            <v>45421</v>
          </cell>
        </row>
        <row r="1900">
          <cell r="A1900" t="str">
            <v>WBO-242</v>
          </cell>
          <cell r="B1900" t="str">
            <v>קו מצפה רמון-פארן</v>
          </cell>
          <cell r="C1900" t="str">
            <v>קו מצפה רמון-פארן-הנחת קו תת"ק דו מעגלי</v>
          </cell>
          <cell r="D1900">
            <v>45392</v>
          </cell>
        </row>
        <row r="1901">
          <cell r="A1901" t="str">
            <v>WBO-616</v>
          </cell>
          <cell r="B1901" t="str">
            <v>קו מצפה רמון-פארן</v>
          </cell>
          <cell r="C1901" t="str">
            <v>קו מצפה רמון-פארן-הקמת 2 עמודי טרמינל</v>
          </cell>
          <cell r="D1901">
            <v>45392</v>
          </cell>
        </row>
        <row r="1902">
          <cell r="A1902" t="str">
            <v>WBO-403-ST4</v>
          </cell>
          <cell r="B1902" t="str">
            <v>קו מצפה רמון-פארן</v>
          </cell>
          <cell r="C1902" t="str">
            <v>קו מצפה רמון-פארן-אורך כ-44.5 ק"מ-מ.לבן</v>
          </cell>
          <cell r="D1902">
            <v>44609</v>
          </cell>
        </row>
        <row r="1903">
          <cell r="A1903" t="str">
            <v>WBO-403</v>
          </cell>
          <cell r="B1903" t="str">
            <v>קו מצפה רמון-פארן</v>
          </cell>
          <cell r="C1903" t="str">
            <v>קו מצפה רמון-פארן-אורך כ-44.5 ק"מ</v>
          </cell>
          <cell r="D1903">
            <v>44609</v>
          </cell>
        </row>
        <row r="1904">
          <cell r="A1904" t="str">
            <v>WBO-403-ST3</v>
          </cell>
          <cell r="B1904" t="str">
            <v>קו מצפה רמון-פארן</v>
          </cell>
          <cell r="C1904" t="str">
            <v>קו מצפה רמון-פארן-אורך כ-44.5 ק"מ- שחור</v>
          </cell>
          <cell r="D1904">
            <v>44559</v>
          </cell>
        </row>
        <row r="1905">
          <cell r="A1905" t="str">
            <v>WBO-853</v>
          </cell>
          <cell r="B1905" t="str">
            <v>קו מצפה רמון-פארן</v>
          </cell>
          <cell r="C1905" t="str">
            <v>קו מצפה רמון-פארן-תגבור יכולת (Uprating) קו דו מעגלי 161 ק"ו</v>
          </cell>
          <cell r="D1905">
            <v>47847</v>
          </cell>
        </row>
        <row r="1906">
          <cell r="A1906" t="str">
            <v>WBO-400</v>
          </cell>
          <cell r="B1906" t="str">
            <v>קו מצדה-ערד</v>
          </cell>
          <cell r="C1906" t="str">
            <v>קו מצדה-ערד-בוטל-הקמת קו מערד לשפך זוהר</v>
          </cell>
          <cell r="D1906">
            <v>36526</v>
          </cell>
        </row>
        <row r="1907">
          <cell r="A1907" t="str">
            <v>WBO-157</v>
          </cell>
          <cell r="B1907" t="str">
            <v>קו מעלה אפריים – תעשיה אדומים</v>
          </cell>
          <cell r="C1907" t="str">
            <v>קו מעלה אפריים-תעשיה אדומים-בוטל-הקמת קו דו-מ</v>
          </cell>
        </row>
        <row r="1908">
          <cell r="A1908" t="str">
            <v>WBO-157-ST2</v>
          </cell>
          <cell r="B1908" t="str">
            <v>קו מעלה אפריים – תעשיה אדומים</v>
          </cell>
          <cell r="C1908" t="str">
            <v>קו מעלה אפריים-תעשיה אדומים-בוטל - איתור ותיאום</v>
          </cell>
        </row>
        <row r="1909">
          <cell r="A1909" t="str">
            <v>WBN-103</v>
          </cell>
          <cell r="B1909" t="str">
            <v>קו מעלה אפריים – תעשיה אדומים</v>
          </cell>
          <cell r="C1909" t="str">
            <v>קו מעלה אפריים-תעשיה אדומים-הקמת קו דו-מעגלי 400 ק"ו, והפעלתו ה-161 ק"ו</v>
          </cell>
          <cell r="D1909">
            <v>47482</v>
          </cell>
        </row>
        <row r="1910">
          <cell r="A1910" t="str">
            <v>WBN-103-ST2</v>
          </cell>
          <cell r="B1910" t="str">
            <v>קו מעלה אפריים – תעשיה אדומים</v>
          </cell>
          <cell r="C1910" t="str">
            <v>קו מעלה אפריים-תעשיה אדומים-איתור ותיאום תוואי של הקו</v>
          </cell>
          <cell r="D1910">
            <v>46022</v>
          </cell>
        </row>
        <row r="1911">
          <cell r="A1911" t="str">
            <v>WBO-159</v>
          </cell>
          <cell r="B1911" t="str">
            <v>קו מעלה אפריים – הדרי שאן</v>
          </cell>
          <cell r="C1911" t="str">
            <v>קו מעלה אפריים-הדרי שאן-בוטל - קידום סטטוטורי ב</v>
          </cell>
        </row>
        <row r="1912">
          <cell r="A1912" t="str">
            <v>WBO-158</v>
          </cell>
          <cell r="B1912" t="str">
            <v>קו מעלה אפריים – הדרי שאן</v>
          </cell>
          <cell r="C1912" t="str">
            <v>קו מעלה אפריים-הדרי שאן-בוטל - איתור ותיאום תוו</v>
          </cell>
        </row>
        <row r="1913">
          <cell r="A1913" t="str">
            <v>WBN-104</v>
          </cell>
          <cell r="B1913" t="str">
            <v>קו מעלה אפריים – הדרי שאן</v>
          </cell>
          <cell r="C1913" t="str">
            <v>איתור ותיאום תוואי 400 ק"ו של הקו בקטע מעלה אפריים–קו הירוק</v>
          </cell>
          <cell r="D1913">
            <v>45866</v>
          </cell>
        </row>
        <row r="1914">
          <cell r="A1914" t="str">
            <v>WBN-105</v>
          </cell>
          <cell r="B1914" t="str">
            <v>קו מעלה אפריים – הדרי שאן</v>
          </cell>
          <cell r="C1914" t="str">
            <v>קו מעלה אפריים-הדרי שאן-קידום סטטוטורי בקטע קו הירוק-הדרי שאן</v>
          </cell>
          <cell r="D1914">
            <v>46568</v>
          </cell>
        </row>
        <row r="1915">
          <cell r="A1915" t="str">
            <v>WBA-082</v>
          </cell>
          <cell r="B1915" t="str">
            <v>קו מחז''מ רותם-דימונה</v>
          </cell>
          <cell r="C1915" t="str">
            <v>קו מחז"מ רותם-דימונה</v>
          </cell>
          <cell r="D1915">
            <v>41357</v>
          </cell>
        </row>
        <row r="1916">
          <cell r="A1916" t="str">
            <v>WBO-099</v>
          </cell>
          <cell r="B1916" t="str">
            <v>קו מחז"מ חיפה-חיפה ג'-קישון</v>
          </cell>
          <cell r="C1916" t="str">
            <v>קו מחז"מ חיפה-חיפה ג'-קישון-עע"א-העתקת עמוד 4345 במרכזית לב המפרץ</v>
          </cell>
          <cell r="D1916">
            <v>46356</v>
          </cell>
        </row>
        <row r="1917">
          <cell r="A1917" t="str">
            <v>WBO-347</v>
          </cell>
          <cell r="B1917" t="str">
            <v>קו מחז"מ חיפה-חיפה ג'-קישון</v>
          </cell>
          <cell r="C1917" t="str">
            <v>קו מחז"מ חיפה-חיפה ג'-קישון-חיבור 2 מעגלים ממחז"מ חיפה לקישון</v>
          </cell>
          <cell r="D1917">
            <v>46752</v>
          </cell>
        </row>
        <row r="1918">
          <cell r="A1918" t="str">
            <v>WBO-329</v>
          </cell>
          <cell r="B1918" t="str">
            <v>קו מבואות גלבוע-בית שאן</v>
          </cell>
          <cell r="C1918" t="str">
            <v>קו מבואות גלבוע-בית שאן-כולל מסעף לעין חרוד - קידום סטטוטורי</v>
          </cell>
          <cell r="D1918">
            <v>48578</v>
          </cell>
        </row>
        <row r="1919">
          <cell r="A1919" t="str">
            <v>WBN-015</v>
          </cell>
          <cell r="B1919" t="str">
            <v>קו מ"ד-חפר</v>
          </cell>
          <cell r="C1919" t="str">
            <v>קו מ"ד-חפר-UPRATING ל-80 מעלות, קטע 5 ק"מ חד-מעגלי וקטע 20 ק"מ דו- מעגלי</v>
          </cell>
          <cell r="D1919">
            <v>47664</v>
          </cell>
        </row>
        <row r="1920">
          <cell r="A1920" t="str">
            <v>WBB-307</v>
          </cell>
          <cell r="B1920" t="str">
            <v>קו לוד-מודיעין</v>
          </cell>
          <cell r="C1920" t="str">
            <v>קו לוד-מודיעין-הפעלת מעגלים</v>
          </cell>
          <cell r="D1920">
            <v>41571</v>
          </cell>
        </row>
        <row r="1921">
          <cell r="A1921" t="str">
            <v>WBO-086</v>
          </cell>
          <cell r="B1921" t="str">
            <v>קו כרמיאל-כמון-צפת</v>
          </cell>
          <cell r="C1921" t="str">
            <v>קו כרמיאל-כמון-צפת-שדרוג הקו לסוג ACSS 322/32</v>
          </cell>
          <cell r="D1921">
            <v>47118</v>
          </cell>
        </row>
        <row r="1922">
          <cell r="A1922" t="str">
            <v>WBO-023</v>
          </cell>
          <cell r="B1922" t="str">
            <v>קו כרמיאל-כמון-צפת</v>
          </cell>
          <cell r="C1922" t="str">
            <v>קו כרמיאל-כמון-צפת-uprating של הקו*</v>
          </cell>
          <cell r="D1922">
            <v>45046</v>
          </cell>
        </row>
        <row r="1923">
          <cell r="A1923" t="str">
            <v>WBO-571</v>
          </cell>
          <cell r="B1923" t="str">
            <v>קו כפר סבא-עמנואל</v>
          </cell>
          <cell r="C1923" t="str">
            <v>קו כפר סבא-עמנואל--עע"א- העתקת 2831-2832</v>
          </cell>
          <cell r="D1923">
            <v>44518</v>
          </cell>
        </row>
        <row r="1924">
          <cell r="A1924" t="str">
            <v>WBO-554</v>
          </cell>
          <cell r="B1924" t="str">
            <v>קו כפר סבא-עמנואל</v>
          </cell>
          <cell r="C1924" t="str">
            <v>קו כפר סבא-עמנואל- עע"א-העתקת עמ' 2835</v>
          </cell>
          <cell r="D1924">
            <v>44186</v>
          </cell>
        </row>
        <row r="1925">
          <cell r="A1925" t="str">
            <v>WDB-04COM58</v>
          </cell>
          <cell r="B1925" t="str">
            <v>קו כפר אוריה-הרטוב</v>
          </cell>
          <cell r="C1925" t="str">
            <v>קו כפר אוריה-הרטוב</v>
          </cell>
          <cell r="D1925">
            <v>41274</v>
          </cell>
        </row>
        <row r="1926">
          <cell r="A1926" t="str">
            <v>WBO-095</v>
          </cell>
          <cell r="B1926" t="str">
            <v>קו כנרות-ציפורית</v>
          </cell>
          <cell r="C1926" t="str">
            <v>קו כנרות-ציפורית-שידרוג ל-100 מעלות, 12.</v>
          </cell>
          <cell r="D1926">
            <v>47847</v>
          </cell>
        </row>
        <row r="1927">
          <cell r="A1927" t="str">
            <v>WBO-065</v>
          </cell>
          <cell r="B1927" t="str">
            <v>קו כנרות-ציפורית</v>
          </cell>
          <cell r="C1927" t="str">
            <v>קו כנרות-ציפורית-הצמדת מע' והחלפת תילים</v>
          </cell>
          <cell r="D1927">
            <v>44864</v>
          </cell>
        </row>
        <row r="1928">
          <cell r="A1928" t="str">
            <v>WBO-070</v>
          </cell>
          <cell r="B1928" t="str">
            <v>קו כנרות-כורסי</v>
          </cell>
          <cell r="C1928" t="str">
            <v>קו כנרות-כורסי-החלפת מבדדים ב-18 עמודים</v>
          </cell>
          <cell r="D1928">
            <v>45657</v>
          </cell>
        </row>
        <row r="1929">
          <cell r="A1929" t="str">
            <v>WBO-070-ST2</v>
          </cell>
          <cell r="B1929" t="str">
            <v>קו כנרות-כורסי</v>
          </cell>
          <cell r="C1929" t="str">
            <v>קו כנרות- יהודיה -כורסי-תליית תיל הארקה</v>
          </cell>
          <cell r="D1929">
            <v>45657</v>
          </cell>
        </row>
        <row r="1930">
          <cell r="A1930" t="str">
            <v>WBO-070-ST1</v>
          </cell>
          <cell r="B1930" t="str">
            <v>קו כנרות-כורסי</v>
          </cell>
          <cell r="C1930" t="str">
            <v>קו כנרות-כורסי-החלפת מבדדים ב-18 עמודים</v>
          </cell>
          <cell r="D1930">
            <v>44621</v>
          </cell>
        </row>
        <row r="1931">
          <cell r="A1931" t="str">
            <v>WBO-041</v>
          </cell>
          <cell r="B1931" t="str">
            <v>קו כנרות -חולה</v>
          </cell>
          <cell r="C1931" t="str">
            <v>קו חולה-ראש פינה-בניה מחדש ,17 ק"מ</v>
          </cell>
          <cell r="D1931">
            <v>44154</v>
          </cell>
        </row>
        <row r="1932">
          <cell r="A1932" t="str">
            <v>WBO-009</v>
          </cell>
          <cell r="B1932" t="str">
            <v>קו כנרות -חולה</v>
          </cell>
          <cell r="C1932" t="str">
            <v>קו כנרות-ראש פינה-בניה מחדש ,13 ק"מ</v>
          </cell>
          <cell r="D1932">
            <v>43460</v>
          </cell>
        </row>
        <row r="1933">
          <cell r="A1933" t="str">
            <v>WBO-576</v>
          </cell>
          <cell r="B1933" t="str">
            <v>קו כנות-ביתר</v>
          </cell>
          <cell r="C1933" t="str">
            <v>קו כנות-ביתר-החלפת תיילים ל-322/32 ACSS</v>
          </cell>
          <cell r="D1933">
            <v>44880</v>
          </cell>
        </row>
        <row r="1934">
          <cell r="A1934" t="str">
            <v>WBO-056</v>
          </cell>
          <cell r="B1934" t="str">
            <v>קו כנורות-צפת</v>
          </cell>
          <cell r="C1934" t="str">
            <v>קו כינרות-צפת-שדרוג הקו לסוג 322/32 ACSS*</v>
          </cell>
          <cell r="D1934">
            <v>45560</v>
          </cell>
        </row>
        <row r="1935">
          <cell r="A1935" t="str">
            <v>WBO-081</v>
          </cell>
          <cell r="B1935" t="str">
            <v>קו כינרות-צלמון</v>
          </cell>
          <cell r="C1935" t="str">
            <v>קו כינרות-צלמון-uprating של המעגל הכחול,</v>
          </cell>
          <cell r="D1935">
            <v>45146</v>
          </cell>
        </row>
        <row r="1936">
          <cell r="A1936" t="str">
            <v>WBO-806</v>
          </cell>
          <cell r="B1936" t="str">
            <v>קו כינרות-יהודיה</v>
          </cell>
          <cell r="C1936" t="str">
            <v>קו כינרות-יהודיה -הוקפא-בניה מחדש של קטע קו</v>
          </cell>
        </row>
        <row r="1937">
          <cell r="A1937" t="str">
            <v>WBO-806-ST2</v>
          </cell>
          <cell r="B1937" t="str">
            <v>קו כינרות-יהודיה</v>
          </cell>
          <cell r="C1937" t="str">
            <v>קו כינרות-יהודיה-הוקפא - הכנת תוכנית מתאר</v>
          </cell>
        </row>
        <row r="1938">
          <cell r="A1938" t="str">
            <v>WBO-088</v>
          </cell>
          <cell r="B1938" t="str">
            <v>קו כינרות-גליל</v>
          </cell>
          <cell r="C1938" t="str">
            <v>קו כינורות-גליל-הקמה מחדש בין כנורות לעמוד 12145</v>
          </cell>
          <cell r="D1938">
            <v>47118</v>
          </cell>
        </row>
        <row r="1939">
          <cell r="A1939" t="str">
            <v>WBO-331</v>
          </cell>
          <cell r="B1939" t="str">
            <v>קו כינרות-גליל</v>
          </cell>
          <cell r="C1939" t="str">
            <v>קו כינורות-גליל-שדרוג הקו לסוג ACSS Curlew 522/68</v>
          </cell>
          <cell r="D1939">
            <v>47118</v>
          </cell>
        </row>
        <row r="1940">
          <cell r="A1940" t="str">
            <v>WBO-082</v>
          </cell>
          <cell r="B1940" t="str">
            <v>קו כורסי-יהודיה</v>
          </cell>
          <cell r="C1940" t="str">
            <v>קו כורסי-יהודיה- UPRATING של קו דו-מעגלי,10 ק"מ</v>
          </cell>
          <cell r="D1940">
            <v>47299</v>
          </cell>
        </row>
        <row r="1941">
          <cell r="A1941" t="str">
            <v>WBO-082-ST2</v>
          </cell>
          <cell r="B1941" t="str">
            <v>קו כורסי-יהודיה</v>
          </cell>
          <cell r="C1941" t="str">
            <v>קו כורסי-יהודיה-תכנון ובדיקת ישימות של UPRATING של קו דו-מעגלי,10 ק"מ</v>
          </cell>
          <cell r="D1941">
            <v>45657</v>
          </cell>
        </row>
        <row r="1942">
          <cell r="A1942" t="str">
            <v>WBO-454</v>
          </cell>
          <cell r="B1942" t="str">
            <v>קו ירקון-הכפר הירוק-הרצליה</v>
          </cell>
          <cell r="C1942" t="str">
            <v>קו עתידים-הכ.הירוק-הרצליה-upratig של הקו</v>
          </cell>
          <cell r="D1942">
            <v>43406</v>
          </cell>
        </row>
        <row r="1943">
          <cell r="A1943" t="str">
            <v>WBO-553</v>
          </cell>
          <cell r="B1943" t="str">
            <v>קו ירקון-הכפר הירוק-הרצליה</v>
          </cell>
          <cell r="C1943" t="str">
            <v>קו עתידים-הכפר הירוק/הרצליה-שידרוג הקו לסוג ACSS 725/50*</v>
          </cell>
          <cell r="D1943">
            <v>46752</v>
          </cell>
        </row>
        <row r="1944">
          <cell r="A1944" t="str">
            <v>WBO-610</v>
          </cell>
          <cell r="B1944" t="str">
            <v>קו ירקון-הכפר הירוק-הרצליה</v>
          </cell>
          <cell r="C1944" t="str">
            <v>קו עתידים-הכפר הירוק/הרצליה-טרמינלים</v>
          </cell>
          <cell r="D1944">
            <v>45247</v>
          </cell>
        </row>
        <row r="1945">
          <cell r="A1945" t="str">
            <v>WDB-04COM56</v>
          </cell>
          <cell r="B1945" t="str">
            <v>קו ירקון-הכפר הירוק</v>
          </cell>
          <cell r="C1945" t="str">
            <v>קו עתידים-הכפר הירוק</v>
          </cell>
          <cell r="D1945">
            <v>41277</v>
          </cell>
        </row>
        <row r="1946">
          <cell r="A1946" t="str">
            <v>WBA-006-LN2</v>
          </cell>
          <cell r="B1946" t="str">
            <v>קו ירקון-בארות יצחק</v>
          </cell>
          <cell r="C1946" t="str">
            <v>קו עתידים-בארות יצחק- קטע ג.שמואל-ירקון</v>
          </cell>
          <cell r="D1946">
            <v>40543</v>
          </cell>
        </row>
        <row r="1947">
          <cell r="A1947" t="str">
            <v>WBO-453</v>
          </cell>
          <cell r="B1947" t="str">
            <v>קו ירקון-בארות יצחק</v>
          </cell>
          <cell r="C1947" t="str">
            <v>קו עתידים-בוטל-בארות יצחק-ע15430 -15433</v>
          </cell>
        </row>
        <row r="1948">
          <cell r="A1948" t="str">
            <v>WBO-112</v>
          </cell>
          <cell r="B1948" t="str">
            <v>קו ירושלים ד'-עטרות</v>
          </cell>
          <cell r="C1948" t="str">
            <v>קו ירושלים ד-עטרות-uprating באורך 7.1 ק"</v>
          </cell>
          <cell r="D1948">
            <v>43100</v>
          </cell>
        </row>
        <row r="1949">
          <cell r="A1949" t="str">
            <v>WBO-140</v>
          </cell>
          <cell r="B1949" t="str">
            <v>קו ירושלים ד-נחל צופים</v>
          </cell>
          <cell r="C1949" t="str">
            <v>קו ירושלים ד-נחל צופים-uprating מע' כחול</v>
          </cell>
          <cell r="D1949">
            <v>43951</v>
          </cell>
        </row>
        <row r="1950">
          <cell r="A1950" t="str">
            <v>WBO-147</v>
          </cell>
          <cell r="B1950" t="str">
            <v>קו ירושלים ד'-אבן ספיר</v>
          </cell>
          <cell r="C1950" t="str">
            <v>קו אבן ספיר-ירושלים ד-שדרוג הקו לסוג 322/32 ACSS*</v>
          </cell>
          <cell r="D1950">
            <v>46568</v>
          </cell>
        </row>
        <row r="1951">
          <cell r="A1951" t="str">
            <v>WBO-105-LN2</v>
          </cell>
          <cell r="B1951" t="str">
            <v>קו ירושלים ג'-ביתר</v>
          </cell>
          <cell r="C1951" t="str">
            <v>קו ירושלים ג'-ביתר-uprating</v>
          </cell>
          <cell r="D1951">
            <v>43038</v>
          </cell>
        </row>
        <row r="1952">
          <cell r="A1952" t="str">
            <v>WBO-612</v>
          </cell>
          <cell r="B1952" t="str">
            <v>קו ירושלים ג'-ביתר</v>
          </cell>
          <cell r="C1952" t="str">
            <v>מעגל ירושלים ג'-ביתר- שדרוג הקן לסוג 322/32 ACSS -אדום*</v>
          </cell>
          <cell r="D1952">
            <v>45755</v>
          </cell>
        </row>
        <row r="1953">
          <cell r="A1953" t="str">
            <v>WBO-658</v>
          </cell>
          <cell r="B1953" t="str">
            <v>קו ירושלים ג' - ירושלים ה'</v>
          </cell>
          <cell r="C1953" t="str">
            <v>העתקה באזור גשר 22 - עע"א-העתקת עמוד</v>
          </cell>
          <cell r="D1953">
            <v>45995</v>
          </cell>
        </row>
        <row r="1954">
          <cell r="A1954" t="str">
            <v>WBO-151</v>
          </cell>
          <cell r="B1954" t="str">
            <v>קו ירושלים ג' - ירושלים ה'</v>
          </cell>
          <cell r="C1954" t="str">
            <v>קו ירושלים ג-ירושלים ה-עע"א-העתקת כבלים</v>
          </cell>
          <cell r="D1954">
            <v>45397</v>
          </cell>
        </row>
        <row r="1955">
          <cell r="A1955" t="str">
            <v>WBO-310</v>
          </cell>
          <cell r="B1955" t="str">
            <v>קו יזרעאל-נילית-ר.גבריא</v>
          </cell>
          <cell r="C1955" t="str">
            <v>קו יזרעאל-נילית-ר.גבריאל-עע"א-הטמנ-שריד</v>
          </cell>
          <cell r="D1955">
            <v>43037</v>
          </cell>
        </row>
        <row r="1956">
          <cell r="A1956" t="str">
            <v>WBO-313</v>
          </cell>
          <cell r="B1956" t="str">
            <v>קו יזרעאל-נילית-ר.גבריא</v>
          </cell>
          <cell r="C1956" t="str">
            <v>קו יזרעאל-נילית-ר.גבריאל-עע"א-שכונה מערב</v>
          </cell>
          <cell r="D1956">
            <v>44420</v>
          </cell>
        </row>
        <row r="1957">
          <cell r="A1957" t="str">
            <v>WBO-018</v>
          </cell>
          <cell r="B1957" t="str">
            <v>קו יזרעאל-נילית</v>
          </cell>
          <cell r="C1957" t="str">
            <v>קו לרמת גבריאל-הקמת תוספת חד-מעגלית.</v>
          </cell>
          <cell r="D1957">
            <v>43709</v>
          </cell>
        </row>
        <row r="1958">
          <cell r="A1958" t="str">
            <v>WBO-010</v>
          </cell>
          <cell r="B1958" t="str">
            <v>קו יזרעאל-נילית</v>
          </cell>
          <cell r="C1958" t="str">
            <v>קו יזרעאל-נילית-התאמת קו לעבודה במ"ע</v>
          </cell>
          <cell r="D1958">
            <v>43585</v>
          </cell>
        </row>
        <row r="1959">
          <cell r="A1959" t="str">
            <v>WBO-059</v>
          </cell>
          <cell r="B1959" t="str">
            <v>קו יזרעאל-מנשה</v>
          </cell>
          <cell r="C1959" t="str">
            <v>קו יזרעאל-מנשה-uprating  של קו חד-מעגלי</v>
          </cell>
          <cell r="D1959">
            <v>45189</v>
          </cell>
        </row>
        <row r="1960">
          <cell r="A1960" t="str">
            <v>9999-LN25</v>
          </cell>
          <cell r="B1960" t="str">
            <v>קו יזרעאל-מגדל העמק</v>
          </cell>
          <cell r="C1960" t="str">
            <v>קו יזרעאל-מגדל העמק-הצמדת מעגלים</v>
          </cell>
          <cell r="D1960">
            <v>40529</v>
          </cell>
        </row>
        <row r="1961">
          <cell r="A1961" t="str">
            <v>WBO-091</v>
          </cell>
          <cell r="B1961" t="str">
            <v>קו יזרעאל-מגדל העמק</v>
          </cell>
          <cell r="C1961" t="str">
            <v>קו יזרעאל-מגדל העמק-הטמנת קטע קו מעמוד 702 עד עמודT.17757</v>
          </cell>
          <cell r="D1961">
            <v>47421</v>
          </cell>
        </row>
        <row r="1962">
          <cell r="A1962" t="str">
            <v>WBO-091-ST2</v>
          </cell>
          <cell r="B1962" t="str">
            <v>קו יזרעאל-מגדל העמק</v>
          </cell>
          <cell r="C1962" t="str">
            <v>קו יזרעאל - מגדל העמק-הכנת תוכנית מתאר-במזרח מגדל העמק</v>
          </cell>
          <cell r="D1962">
            <v>46387</v>
          </cell>
        </row>
        <row r="1963">
          <cell r="A1963" t="str">
            <v>WBO-049</v>
          </cell>
          <cell r="B1963" t="str">
            <v>קו יזרעאל-מגדל העמק</v>
          </cell>
          <cell r="C1963" t="str">
            <v>קו יזרעאל-מגדל העמק-עע"א-העתקת עמ' 702</v>
          </cell>
          <cell r="D1963">
            <v>43646</v>
          </cell>
        </row>
        <row r="1964">
          <cell r="A1964" t="str">
            <v>WBO-322</v>
          </cell>
          <cell r="B1964" t="str">
            <v>קו יזרעאל-מגדל העמק</v>
          </cell>
          <cell r="C1964" t="str">
            <v>קו יזרעאל - מגדל העמק-מבוטל-עע"א-קידום סטטוטורי בלבד של תוואי מערבי</v>
          </cell>
          <cell r="D1964">
            <v>45291</v>
          </cell>
        </row>
        <row r="1965">
          <cell r="A1965" t="str">
            <v>WBO-323</v>
          </cell>
          <cell r="B1965" t="str">
            <v>קו יזרעאל-מגדל העמק</v>
          </cell>
          <cell r="C1965" t="str">
            <v>קו יזרעאל-מגדל העמק- הקמת 2 עמודי טרמינל דו-מעגליים בקצוות הקטע המוטמן</v>
          </cell>
          <cell r="D1965">
            <v>47422</v>
          </cell>
        </row>
        <row r="1966">
          <cell r="A1966" t="str">
            <v>WBO-409</v>
          </cell>
          <cell r="B1966" t="str">
            <v>קו יוטבתה-תמנע</v>
          </cell>
          <cell r="C1966" t="str">
            <v>קו יוטבתה-תמנע-קו 161 ק"ו, אורך 23 ק"מ</v>
          </cell>
          <cell r="D1966">
            <v>43156</v>
          </cell>
        </row>
        <row r="1967">
          <cell r="A1967" t="str">
            <v>9999-LN106</v>
          </cell>
          <cell r="B1967" t="str">
            <v>קו יהלום-קיסריה</v>
          </cell>
          <cell r="C1967" t="str">
            <v>קו יהלום-קיסריה-החלפת התיילים ל-760 ACSS</v>
          </cell>
          <cell r="D1967">
            <v>41311</v>
          </cell>
        </row>
        <row r="1968">
          <cell r="A1968" t="str">
            <v>WBO-548</v>
          </cell>
          <cell r="B1968" t="str">
            <v>קו יבנה-נמל אשדוד</v>
          </cell>
          <cell r="C1968" t="str">
            <v>העתקת עמ' לביצוע כביש כניסה לנ.אשדוד-עע"</v>
          </cell>
          <cell r="D1968">
            <v>43944</v>
          </cell>
        </row>
        <row r="1969">
          <cell r="A1969" t="str">
            <v>WDB-04COM55</v>
          </cell>
          <cell r="B1969" t="str">
            <v>קו יבנה-מחז''מ אשכול</v>
          </cell>
          <cell r="C1969" t="str">
            <v>קו יבנה-מחז"מ אשכול</v>
          </cell>
          <cell r="D1969">
            <v>40193</v>
          </cell>
        </row>
        <row r="1970">
          <cell r="A1970" t="str">
            <v>WBB-314</v>
          </cell>
          <cell r="B1970" t="str">
            <v>קו יבנה-הרטוב</v>
          </cell>
          <cell r="C1970" t="str">
            <v>קו יבנה-הרטוב-בניה מחדש מעמ' 9013</v>
          </cell>
          <cell r="D1970">
            <v>41274</v>
          </cell>
        </row>
        <row r="1971">
          <cell r="A1971" t="str">
            <v>WBO-431</v>
          </cell>
          <cell r="B1971" t="str">
            <v>קו יבנה-הרטוב</v>
          </cell>
          <cell r="C1971" t="str">
            <v>קו יבנה-הרטוב-החל' תיילים לACSS ושדרוג</v>
          </cell>
          <cell r="D1971">
            <v>44357</v>
          </cell>
        </row>
        <row r="1972">
          <cell r="A1972" t="str">
            <v>WBO-431-LN2</v>
          </cell>
          <cell r="B1972" t="str">
            <v>קו יבנה-הרטוב</v>
          </cell>
          <cell r="C1972" t="str">
            <v>קו יבנה-הרטוב--שולב-החלפת תיילים ל-ACSS</v>
          </cell>
          <cell r="D1972">
            <v>42735</v>
          </cell>
        </row>
        <row r="1973">
          <cell r="A1973" t="str">
            <v>WBO-437</v>
          </cell>
          <cell r="B1973" t="str">
            <v>קו יבנה-גן שורק</v>
          </cell>
          <cell r="C1973" t="str">
            <v>קו יבנה-גן שורק-uprating ל-100 מעלות</v>
          </cell>
          <cell r="D1973">
            <v>42704</v>
          </cell>
        </row>
        <row r="1974">
          <cell r="A1974" t="str">
            <v>WDB-04COM60</v>
          </cell>
          <cell r="B1974" t="str">
            <v>קו יבנה-גן שורק</v>
          </cell>
          <cell r="C1974" t="str">
            <v>קו יבנה-גן שורק-מוקפא-החלפת תייל הארקה</v>
          </cell>
          <cell r="D1974">
            <v>42004</v>
          </cell>
        </row>
        <row r="1975">
          <cell r="A1975" t="str">
            <v>WBO-467</v>
          </cell>
          <cell r="B1975" t="str">
            <v>קו יבנה-בז''ן-אתגל</v>
          </cell>
          <cell r="C1975" t="str">
            <v>קו יבנה-בז"ן-אתגל-בוטל-uprating של הקו</v>
          </cell>
          <cell r="D1975">
            <v>41974</v>
          </cell>
        </row>
        <row r="1976">
          <cell r="A1976" t="str">
            <v>WBO-222</v>
          </cell>
          <cell r="B1976" t="str">
            <v>קו יבנה-אשדוד-צומת כרמיה</v>
          </cell>
          <cell r="C1976" t="str">
            <v>כבל אזור אשקלון-עע"א-  הטמנת קטע כבל-קשור ל WBO-542</v>
          </cell>
          <cell r="D1976">
            <v>46387</v>
          </cell>
        </row>
        <row r="1977">
          <cell r="A1977" t="str">
            <v>WBO-542</v>
          </cell>
          <cell r="B1977" t="str">
            <v>קו יבנה-אשדוד-צומת כרמיה</v>
          </cell>
          <cell r="C1977" t="str">
            <v>קו אזור אשקלון-עע"א-הע' 6735-6742 -קשור ל wbo-222</v>
          </cell>
          <cell r="D1977">
            <v>46387</v>
          </cell>
        </row>
        <row r="1978">
          <cell r="A1978" t="str">
            <v>WBO-414</v>
          </cell>
          <cell r="B1978" t="str">
            <v>קו יבנה-אשדוד</v>
          </cell>
          <cell r="C1978" t="str">
            <v>קו יבנה-אשדוד-הקמת קו 4 מעגלים</v>
          </cell>
          <cell r="D1978">
            <v>43605</v>
          </cell>
        </row>
        <row r="1979">
          <cell r="A1979" t="str">
            <v>WBO-663</v>
          </cell>
          <cell r="B1979" t="str">
            <v>קו חפר-תנובות</v>
          </cell>
          <cell r="C1979" t="str">
            <v>קו חפר-תנובות-הטמנה באזור כפר יונה</v>
          </cell>
          <cell r="D1979">
            <v>46873</v>
          </cell>
        </row>
        <row r="1980">
          <cell r="A1980" t="str">
            <v>WBO-510</v>
          </cell>
          <cell r="B1980" t="str">
            <v>קו חפר-תנובות</v>
          </cell>
          <cell r="C1980" t="str">
            <v>קו חפר-תנובות-הקמת קטע עילי וטרמינלים 161 ק"ו</v>
          </cell>
          <cell r="D1980">
            <v>46873</v>
          </cell>
        </row>
        <row r="1981">
          <cell r="A1981" t="str">
            <v>WBO-867</v>
          </cell>
          <cell r="B1981" t="str">
            <v>קו חפר-תנובות</v>
          </cell>
          <cell r="C1981" t="str">
            <v>קו חפר-תנובות-חיבור בתרחיש חירום לקו חפר-תנובות לכיוון קיסריה</v>
          </cell>
          <cell r="D1981">
            <v>46873</v>
          </cell>
        </row>
        <row r="1982">
          <cell r="A1982" t="str">
            <v>WBO-804</v>
          </cell>
          <cell r="B1982" t="str">
            <v>קו חספין-תל אור</v>
          </cell>
          <cell r="C1982" t="str">
            <v>קו חספין-תל-אור-תיילים 593*2 סג-אל, אורך 25 ק"מ וטרמינלים</v>
          </cell>
          <cell r="D1982">
            <v>47847</v>
          </cell>
        </row>
        <row r="1983">
          <cell r="A1983" t="str">
            <v>WBO-805</v>
          </cell>
          <cell r="B1983" t="str">
            <v>קו חספין-תל אור</v>
          </cell>
          <cell r="C1983" t="str">
            <v>קו חספין-תל-אור-הנחת 2 מעגלי כבלים תת-קרקעיים</v>
          </cell>
          <cell r="D1983">
            <v>47847</v>
          </cell>
        </row>
        <row r="1984">
          <cell r="A1984" t="str">
            <v>WBO-045</v>
          </cell>
          <cell r="B1984" t="str">
            <v>קו חיפה ג-קישון</v>
          </cell>
          <cell r="C1984" t="str">
            <v>קו חיפה ג'-קישון-עע"א-הצת. באזור לב המפר</v>
          </cell>
          <cell r="D1984">
            <v>43251</v>
          </cell>
        </row>
        <row r="1985">
          <cell r="A1985" t="str">
            <v>WBO-537</v>
          </cell>
          <cell r="B1985" t="str">
            <v>קו חולון-התפלה שורק</v>
          </cell>
          <cell r="C1985" t="str">
            <v>קו חולון-התפלה שורק,אשכול-עע"א-העתקה</v>
          </cell>
          <cell r="D1985">
            <v>44344</v>
          </cell>
        </row>
        <row r="1986">
          <cell r="A1986" t="str">
            <v>WBO-567</v>
          </cell>
          <cell r="B1986" t="str">
            <v>קו חולון-התפלה שורק</v>
          </cell>
          <cell r="C1986" t="str">
            <v>קו חולון-התפלה שורק- עע"א-העתקת6965-6966</v>
          </cell>
          <cell r="D1986">
            <v>44343</v>
          </cell>
        </row>
        <row r="1987">
          <cell r="A1987" t="str">
            <v>WBO-643</v>
          </cell>
          <cell r="B1987" t="str">
            <v>קו חולון-גן שורק</v>
          </cell>
          <cell r="C1987" t="str">
            <v>קו חולון – גן שורק- -שינויים באזור קניונ</v>
          </cell>
          <cell r="D1987">
            <v>46356</v>
          </cell>
        </row>
        <row r="1988">
          <cell r="A1988" t="str">
            <v>WBO-013</v>
          </cell>
          <cell r="B1988" t="str">
            <v>קו חולה-מנרה</v>
          </cell>
          <cell r="C1988" t="str">
            <v>חולה-מנרה החלפת תיילים ליכולת גבוהה מסוג HTLS על עמודים קיימים</v>
          </cell>
          <cell r="D1988">
            <v>47057</v>
          </cell>
        </row>
        <row r="1989">
          <cell r="A1989" t="str">
            <v>WBO-013-ST1</v>
          </cell>
          <cell r="B1989" t="str">
            <v>קו חולה-מנרה</v>
          </cell>
          <cell r="C1989" t="str">
            <v>קו חולה-מנרה- בוטל - פירוק קו לאור בניה מחדש</v>
          </cell>
        </row>
        <row r="1990">
          <cell r="A1990" t="str">
            <v>WBO-351</v>
          </cell>
          <cell r="B1990" t="str">
            <v>קו חולה-מנרה</v>
          </cell>
          <cell r="C1990" t="str">
            <v>הצלבה באזור חולה-ביצוע הצלבה בין המעגלים קצרין - מנרה וחולה - גליל.</v>
          </cell>
          <cell r="D1990">
            <v>46783</v>
          </cell>
        </row>
        <row r="1991">
          <cell r="A1991" t="str">
            <v>WBO-101</v>
          </cell>
          <cell r="B1991" t="str">
            <v>קו חברון-איתן</v>
          </cell>
          <cell r="C1991" t="str">
            <v>קו חברון-איתן-uprating של הקו</v>
          </cell>
          <cell r="D1991">
            <v>43454</v>
          </cell>
        </row>
        <row r="1992">
          <cell r="A1992" t="str">
            <v>WBO-108</v>
          </cell>
          <cell r="B1992" t="str">
            <v>קו חברון-איתן</v>
          </cell>
          <cell r="C1992" t="str">
            <v>קו חברון-איתן-הקמת קטע קו חד-מעגלי כמעקף</v>
          </cell>
          <cell r="D1992">
            <v>42992</v>
          </cell>
        </row>
        <row r="1993">
          <cell r="A1993" t="str">
            <v>WBO-135</v>
          </cell>
          <cell r="B1993" t="str">
            <v>קו חברון-איתן</v>
          </cell>
          <cell r="C1993" t="str">
            <v>קו איתן(תרקומיא)-(קרית ארבע)חברון הקמת קטע קו דו מעגלי</v>
          </cell>
          <cell r="D1993">
            <v>47847</v>
          </cell>
        </row>
        <row r="1994">
          <cell r="A1994" t="str">
            <v>WBO-131</v>
          </cell>
          <cell r="B1994" t="str">
            <v>קו חברון-איתן</v>
          </cell>
          <cell r="C1994" t="str">
            <v>קו איתן(תרקומיא)-(קרית ארבע)חברון-2 ק"מ</v>
          </cell>
          <cell r="D1994">
            <v>44135</v>
          </cell>
        </row>
        <row r="1995">
          <cell r="A1995" t="str">
            <v>WBO-085</v>
          </cell>
          <cell r="B1995" t="str">
            <v>קו זבולון-צלמון</v>
          </cell>
          <cell r="C1995" t="str">
            <v>קו זבולון-צלמון-השדרוג הקו לסוג 322/32 ACSS-ו- uprating</v>
          </cell>
          <cell r="D1995">
            <v>48213</v>
          </cell>
        </row>
        <row r="1996">
          <cell r="A1996" t="str">
            <v>WBO-052</v>
          </cell>
          <cell r="B1996" t="str">
            <v>קו זבולון-צלמון</v>
          </cell>
          <cell r="C1996" t="str">
            <v>קו זבולון-שפרעם-צלמון-החלפת 8 עמודים</v>
          </cell>
          <cell r="D1996">
            <v>44007</v>
          </cell>
        </row>
        <row r="1997">
          <cell r="A1997" t="str">
            <v>WBO-026</v>
          </cell>
          <cell r="B1997" t="str">
            <v>קו זבולון-צלמון</v>
          </cell>
          <cell r="C1997" t="str">
            <v>קו זבולון-צלמון עעא-הוספת עמודים בקו</v>
          </cell>
          <cell r="D1997">
            <v>41973</v>
          </cell>
        </row>
        <row r="1998">
          <cell r="A1998" t="str">
            <v>WBO-004</v>
          </cell>
          <cell r="B1998" t="str">
            <v>קו זבולון-צלמון</v>
          </cell>
          <cell r="C1998" t="str">
            <v>קו זבולון-צלמון-בוטל-העתק קוים הר ממגור</v>
          </cell>
          <cell r="D1998">
            <v>40577</v>
          </cell>
        </row>
        <row r="1999">
          <cell r="A1999" t="str">
            <v>WBO-004-LN2</v>
          </cell>
          <cell r="B1999" t="str">
            <v>קו זבולון-צלמון</v>
          </cell>
          <cell r="C1999" t="str">
            <v>קו זבולון-צלמון-העתקת קווים באזור שפרעם</v>
          </cell>
          <cell r="D1999">
            <v>42004</v>
          </cell>
        </row>
        <row r="2000">
          <cell r="A2000" t="str">
            <v>WBO-004-LN3</v>
          </cell>
          <cell r="B2000" t="str">
            <v>קו זבולון-צלמון</v>
          </cell>
          <cell r="C2000" t="str">
            <v>קו זבולון-צלמון-העתקת קווים באזור עראבה</v>
          </cell>
          <cell r="D2000">
            <v>41455</v>
          </cell>
        </row>
        <row r="2001">
          <cell r="A2001" t="str">
            <v>WBO-004-LN4</v>
          </cell>
          <cell r="B2001" t="str">
            <v>קו זבולון-צלמון</v>
          </cell>
          <cell r="C2001" t="str">
            <v>קו זבולון-צלמון-רקונסטרוק.-צלמון-דיר חנא</v>
          </cell>
          <cell r="D2001">
            <v>41455</v>
          </cell>
        </row>
        <row r="2002">
          <cell r="A2002" t="str">
            <v>WBO-332</v>
          </cell>
          <cell r="B2002" t="str">
            <v>קו זבולון-צלמון</v>
          </cell>
          <cell r="C2002" t="str">
            <v>קו זבולון-צלמון -עע"א-העתקת קטע קו חד-מעגלי ליד מצפה עדי</v>
          </cell>
          <cell r="D2002">
            <v>46265</v>
          </cell>
        </row>
        <row r="2003">
          <cell r="A2003" t="str">
            <v>WBO-339</v>
          </cell>
          <cell r="B2003" t="str">
            <v>קו זבולון-צלמון</v>
          </cell>
          <cell r="C2003" t="str">
            <v>קו זבולון-צלמון-חיבור תחמ"ש צלמון בסכימה זמנית</v>
          </cell>
          <cell r="D2003">
            <v>46752</v>
          </cell>
        </row>
        <row r="2004">
          <cell r="A2004" t="str">
            <v>WBO-340</v>
          </cell>
          <cell r="B2004" t="str">
            <v>קו זבולון-צלמון</v>
          </cell>
          <cell r="C2004" t="str">
            <v>קו זבולון-צלמון-הקמת קו דו-מעגלי בקטעים</v>
          </cell>
          <cell r="D2004">
            <v>48213</v>
          </cell>
        </row>
        <row r="2005">
          <cell r="A2005" t="str">
            <v>WBO-341</v>
          </cell>
          <cell r="B2005" t="str">
            <v>קו זבולון-צלמון</v>
          </cell>
          <cell r="C2005" t="str">
            <v>קו זבולון-צלמון- הסטות באזורים שפרעם ודמיידה</v>
          </cell>
          <cell r="D2005">
            <v>48213</v>
          </cell>
        </row>
        <row r="2006">
          <cell r="A2006" t="str">
            <v>WBO-343</v>
          </cell>
          <cell r="B2006" t="str">
            <v>קו זבולון-צלמון</v>
          </cell>
          <cell r="C2006" t="str">
            <v>קו זבולון-צלמון-קטע באזור עראבה ודייר חנה, שלב שני</v>
          </cell>
          <cell r="D2006">
            <v>48213</v>
          </cell>
        </row>
        <row r="2007">
          <cell r="A2007" t="str">
            <v>WBA-101</v>
          </cell>
          <cell r="B2007" t="str">
            <v>קו זבולון-נילית-מגדל העמק</v>
          </cell>
          <cell r="C2007" t="str">
            <v>קו זבולון-נילית-מגדל העמק-uprating</v>
          </cell>
          <cell r="D2007">
            <v>41736</v>
          </cell>
        </row>
        <row r="2008">
          <cell r="A2008" t="str">
            <v>WBO-089</v>
          </cell>
          <cell r="B2008" t="str">
            <v>קו זבולון-נילית-מגדל העמק</v>
          </cell>
          <cell r="C2008" t="str">
            <v>קו זבולון-נילית- שדרוג קו  לסוג 322/32 ACSS</v>
          </cell>
          <cell r="D2008">
            <v>47118</v>
          </cell>
        </row>
        <row r="2009">
          <cell r="A2009" t="str">
            <v>WBO-344</v>
          </cell>
          <cell r="B2009" t="str">
            <v>קו זבולון-נילית-מגדל העמק</v>
          </cell>
          <cell r="C2009" t="str">
            <v>קו זבולון-נילית-מגדל העמק-עע"א - העתקת עמוד מתח עליון מספר 14082 לטובת הקמת מפרידן (הרחבת כביש 75) סמוך למגדל העמק</v>
          </cell>
          <cell r="D2009">
            <v>46072</v>
          </cell>
        </row>
        <row r="2010">
          <cell r="A2010" t="str">
            <v>WBO-354</v>
          </cell>
          <cell r="B2010" t="str">
            <v>קו זבולון-יאסיף/אבלים-נעמן</v>
          </cell>
          <cell r="C2010" t="str">
            <v>קו זבולון-יאסיף/אבלים-נעמן-עע"א- העתקה בכביש 6- בין עמודים 1/40697A-1/40697</v>
          </cell>
          <cell r="D2010">
            <v>46356</v>
          </cell>
        </row>
        <row r="2011">
          <cell r="A2011" t="str">
            <v>WBH-013</v>
          </cell>
          <cell r="B2011" t="str">
            <v>קו זבולון-בר לב-נעמן</v>
          </cell>
          <cell r="C2011" t="str">
            <v>קו זבולון-בר לב-נעמן</v>
          </cell>
          <cell r="D2011">
            <v>41067</v>
          </cell>
        </row>
        <row r="2012">
          <cell r="A2012" t="str">
            <v>WBO-333</v>
          </cell>
          <cell r="B2012" t="str">
            <v>קו זבולון-בר לב-נעמן</v>
          </cell>
          <cell r="C2012" t="str">
            <v>קו זבולון-בר לב-נעמן-עע"א-חוצה ישראל-העתקת קטע קו  במתכונת 400 ק"ו</v>
          </cell>
          <cell r="D2012">
            <v>47118</v>
          </cell>
        </row>
        <row r="2013">
          <cell r="A2013" t="str">
            <v>WBO-842</v>
          </cell>
          <cell r="B2013" t="str">
            <v>קו זבולון-בר לב-נעמן</v>
          </cell>
          <cell r="C2013" t="str">
            <v>קו זבולון-נעמן-שדרוג קו לסוג ACSS 322/32</v>
          </cell>
          <cell r="D2013">
            <v>46934</v>
          </cell>
        </row>
        <row r="2014">
          <cell r="A2014" t="str">
            <v>WBO-062</v>
          </cell>
          <cell r="B2014" t="str">
            <v>קו זבולון-בר לב</v>
          </cell>
          <cell r="C2014" t="str">
            <v>קו זבולון-בר לב-החלפת  תיילים ל-ACSS</v>
          </cell>
          <cell r="D2014">
            <v>44920</v>
          </cell>
        </row>
        <row r="2015">
          <cell r="A2015" t="str">
            <v>WBO-075</v>
          </cell>
          <cell r="B2015" t="str">
            <v>קו זבולון - קריות</v>
          </cell>
          <cell r="C2015" t="str">
            <v>קו זבולון-קריות-משיק גליל מע-שדרוג 80 מ</v>
          </cell>
          <cell r="D2015">
            <v>44803</v>
          </cell>
        </row>
        <row r="2016">
          <cell r="A2016" t="str">
            <v>WBB-058</v>
          </cell>
          <cell r="B2016" t="str">
            <v>קו זבולון - קישון</v>
          </cell>
          <cell r="C2016" t="str">
            <v>קו זבולון-קישון-uprating של הקו ,4.5 ק"מ</v>
          </cell>
          <cell r="D2016">
            <v>41665</v>
          </cell>
        </row>
        <row r="2017">
          <cell r="A2017" t="str">
            <v>WBA-111</v>
          </cell>
          <cell r="B2017" t="str">
            <v>קו זבולון - נצרת</v>
          </cell>
          <cell r="C2017" t="str">
            <v>קו זבולון - נצרת-UPRATING של הקו</v>
          </cell>
          <cell r="D2017">
            <v>41693</v>
          </cell>
        </row>
        <row r="2018">
          <cell r="A2018" t="str">
            <v>WBO-087</v>
          </cell>
          <cell r="B2018" t="str">
            <v>קו זבולון - נצרת</v>
          </cell>
          <cell r="C2018" t="str">
            <v>קו זבולון-נצרת-שדרוג הקו לסוג  ACSS Curlew 522/68</v>
          </cell>
          <cell r="D2018">
            <v>47483</v>
          </cell>
        </row>
        <row r="2019">
          <cell r="A2019" t="str">
            <v>WBO-321</v>
          </cell>
          <cell r="B2019" t="str">
            <v>קו זבולון - נצרת</v>
          </cell>
          <cell r="C2019" t="str">
            <v>קו זבולון-נצרת, עע"א-העתקת עמודים 17073-17077 -תיילים סג'-אל' 593 ממ"ר</v>
          </cell>
          <cell r="D2019">
            <v>46752</v>
          </cell>
        </row>
        <row r="2020">
          <cell r="A2020" t="str">
            <v>WBO-068</v>
          </cell>
          <cell r="B2020" t="str">
            <v>קו זבולון - נצרת</v>
          </cell>
          <cell r="C2020" t="str">
            <v>קו זבולון-נצרת-עע"א-העתקת קטע 17090-91</v>
          </cell>
          <cell r="D2020">
            <v>44864</v>
          </cell>
        </row>
        <row r="2021">
          <cell r="A2021" t="str">
            <v>WBO-069</v>
          </cell>
          <cell r="B2021" t="str">
            <v>קו זבולון - נצרת</v>
          </cell>
          <cell r="C2021" t="str">
            <v>קו זבולון-נצרת-עע"א-מנצרת ל17101B,17101A</v>
          </cell>
          <cell r="D2021">
            <v>44864</v>
          </cell>
        </row>
        <row r="2022">
          <cell r="A2022" t="str">
            <v>WBO-488</v>
          </cell>
          <cell r="B2022" t="str">
            <v>קו הרצליה-שפיים-בית יהושע-נתני</v>
          </cell>
          <cell r="C2022" t="str">
            <v>קו הרצליה-בית יהושע-עע"א-העתקת 3067-3068</v>
          </cell>
          <cell r="D2022">
            <v>42916</v>
          </cell>
        </row>
        <row r="2023">
          <cell r="A2023" t="str">
            <v>WBO-477</v>
          </cell>
          <cell r="B2023" t="str">
            <v>קו הרצליה-שפיים-בית יהושע-נתני</v>
          </cell>
          <cell r="C2023" t="str">
            <v>קו הרצליה-שפיים-בית יהושע-נתניה-uprating</v>
          </cell>
          <cell r="D2023">
            <v>42852</v>
          </cell>
        </row>
        <row r="2024">
          <cell r="A2024" t="str">
            <v>WBO-539</v>
          </cell>
          <cell r="B2024" t="str">
            <v>קו הרצליה-שפיים-בית יהושע-נתני</v>
          </cell>
          <cell r="C2024" t="str">
            <v>העתקה בכפר שמריהו-עע"א - בוטל</v>
          </cell>
          <cell r="D2024">
            <v>44196</v>
          </cell>
        </row>
        <row r="2025">
          <cell r="A2025" t="str">
            <v>WBO-586</v>
          </cell>
          <cell r="B2025" t="str">
            <v>קו הרצליה-רמת השרון-הכפר הירוק</v>
          </cell>
          <cell r="C2025" t="str">
            <v>קו הכפר הירוק-הרצליה-עע"א-עמ'3121 –3123</v>
          </cell>
          <cell r="D2025">
            <v>44803</v>
          </cell>
        </row>
        <row r="2026">
          <cell r="A2026" t="str">
            <v>WDB-04COM53</v>
          </cell>
          <cell r="B2026" t="str">
            <v>קו הרטוב-כנות</v>
          </cell>
          <cell r="C2026" t="str">
            <v>קו הרטוב-כנות-בוטל-החלפת ת.הארקה מהרטוב</v>
          </cell>
          <cell r="D2026">
            <v>40180</v>
          </cell>
        </row>
        <row r="2027">
          <cell r="A2027" t="str">
            <v>WDB-04COM54</v>
          </cell>
          <cell r="B2027" t="str">
            <v>קו הרטוב-כנות</v>
          </cell>
          <cell r="C2027" t="str">
            <v>קו הרטוב-כנות-בוטל-החלפת תייל הארקה-כנות</v>
          </cell>
          <cell r="D2027">
            <v>40180</v>
          </cell>
        </row>
        <row r="2028">
          <cell r="A2028" t="str">
            <v>WBO-625</v>
          </cell>
          <cell r="B2028" t="str">
            <v>קו הרטוב-ירושלים ג'</v>
          </cell>
          <cell r="C2028" t="str">
            <v>התאמת קו 161 ק"ו-עע"א-קו הכחול-גשר מודעי</v>
          </cell>
          <cell r="D2028">
            <v>44681</v>
          </cell>
        </row>
        <row r="2029">
          <cell r="A2029" t="str">
            <v>WBO-106</v>
          </cell>
          <cell r="B2029" t="str">
            <v>קו הרטוב-יבנה</v>
          </cell>
          <cell r="C2029" t="str">
            <v>קו הרטוב-יבנה-החלפת  ל-ACSS יבנה-הרטוב</v>
          </cell>
          <cell r="D2029">
            <v>44728</v>
          </cell>
        </row>
        <row r="2030">
          <cell r="A2030" t="str">
            <v>WBO-246</v>
          </cell>
          <cell r="B2030" t="str">
            <v>קו דן-הרצליה/עתידים</v>
          </cell>
          <cell r="C2030" t="str">
            <v>קו דן-הרצליה/עתידים-הנחת מסעף תת"ק מתחמ"ג דן (מורשה) למעגלים עיליים עתידים והרצליה</v>
          </cell>
          <cell r="D2030">
            <v>47848</v>
          </cell>
        </row>
        <row r="2031">
          <cell r="A2031" t="str">
            <v>WBO-887</v>
          </cell>
          <cell r="B2031" t="str">
            <v>קו דן-הרצליה/עתידים</v>
          </cell>
          <cell r="C2031" t="str">
            <v>קו דן-הרצליה/עתידים-פירוק קו דו-מעגלי בציר דן (מורשה) - עתידים - הכפר הירוק - הרצליה</v>
          </cell>
          <cell r="D2031">
            <v>48760</v>
          </cell>
        </row>
        <row r="2032">
          <cell r="A2032" t="str">
            <v>WBO-881</v>
          </cell>
          <cell r="B2032" t="str">
            <v>קו דן-הרצליה/עתידים</v>
          </cell>
          <cell r="C2032" t="str">
            <v>קו דן-הרצליה/עתידים-מסעף עילי מתחמ"ג דן (מורשה) למעגלים עיליים עתידים והרצליה</v>
          </cell>
          <cell r="D2032">
            <v>47847</v>
          </cell>
        </row>
        <row r="2033">
          <cell r="A2033" t="str">
            <v>WBO-249</v>
          </cell>
          <cell r="B2033" t="str">
            <v>קו דן-הרצליה (רב מכר)</v>
          </cell>
          <cell r="C2033" t="str">
            <v>שולב בפרויקט אחר- קו דן-הרצליה (רב מכר)-הנחת 2 מעגלי 161 ק</v>
          </cell>
        </row>
        <row r="2034">
          <cell r="A2034" t="str">
            <v>WBO-243</v>
          </cell>
          <cell r="B2034" t="str">
            <v>קו דן-הוד השרון/שביב</v>
          </cell>
          <cell r="C2034" t="str">
            <v>קו דן-הוד השרון/שביב-הנחת מסעף תת"ק מתחמ"ג דן (מורשה) למעגלים עיליים הוד השרון ושביב</v>
          </cell>
          <cell r="D2034">
            <v>47848</v>
          </cell>
        </row>
        <row r="2035">
          <cell r="A2035" t="str">
            <v>WBO-880</v>
          </cell>
          <cell r="B2035" t="str">
            <v>קו דן-הוד השרון/שביב</v>
          </cell>
          <cell r="C2035" t="str">
            <v>קו דן-הוד השרון/שביב-מסעף עילי מתחמ"ג דן (מורשה) למעגלים עיליים הוד השרון ושביב</v>
          </cell>
          <cell r="D2035">
            <v>47847</v>
          </cell>
        </row>
        <row r="2036">
          <cell r="A2036" t="str">
            <v>WBO-883</v>
          </cell>
          <cell r="B2036" t="str">
            <v>קו דן-הוד השרון/שביב</v>
          </cell>
          <cell r="C2036" t="str">
            <v>קו דן-הוד השרון/שביב-שינוי חיבורים קו דו-מעגלי תחמ"ג דן (מורשה) - הוד השרון ושביב</v>
          </cell>
          <cell r="D2036">
            <v>48578</v>
          </cell>
        </row>
        <row r="2037">
          <cell r="A2037" t="str">
            <v>WBO-814</v>
          </cell>
          <cell r="B2037" t="str">
            <v>קו דימונה-רותם דשנים</v>
          </cell>
          <cell r="C2037" t="str">
            <v>קו דימונה-רותם דשנים-אפרייטינג של קו ל-100 מעלות, 16 ק"מ</v>
          </cell>
          <cell r="D2037">
            <v>45807</v>
          </cell>
        </row>
        <row r="2038">
          <cell r="A2038" t="str">
            <v>WBO-814-ST2</v>
          </cell>
          <cell r="B2038" t="str">
            <v>קו דימונה-רותם דשנים</v>
          </cell>
          <cell r="C2038" t="str">
            <v>קו דימונה-רותם דשנים-בוטל - קבלת הרשאות -  אין צורך בהרשאות פרויקט אפרייטינג</v>
          </cell>
        </row>
        <row r="2039">
          <cell r="A2039" t="str">
            <v>WBO-479</v>
          </cell>
          <cell r="B2039" t="str">
            <v>קו דימונה-פארן</v>
          </cell>
          <cell r="C2039" t="str">
            <v>שיקום רגלי עמודים בקו דימונה-פארן</v>
          </cell>
          <cell r="D2039">
            <v>43707</v>
          </cell>
        </row>
        <row r="2040">
          <cell r="A2040" t="str">
            <v>WBO-604</v>
          </cell>
          <cell r="B2040" t="str">
            <v>קו דימונה-נבטים/באר שבע</v>
          </cell>
          <cell r="C2040" t="str">
            <v>קו דימונה-נבטים/ב"ש - בוטל -  עע"א  עמ' 7344– 7342</v>
          </cell>
        </row>
        <row r="2041">
          <cell r="A2041" t="str">
            <v>WBO-820</v>
          </cell>
          <cell r="B2041" t="str">
            <v>קו דימונה-כורנוב-סדום</v>
          </cell>
          <cell r="C2041" t="str">
            <v>קו דימונה-כורנוב-סדום-בנייה מחדש של קו ח</v>
          </cell>
          <cell r="D2041">
            <v>46055</v>
          </cell>
        </row>
        <row r="2042">
          <cell r="A2042" t="str">
            <v>WBO-819</v>
          </cell>
          <cell r="B2042" t="str">
            <v>קו דימונה-כורנוב-סדום</v>
          </cell>
          <cell r="C2042" t="str">
            <v>קו דימונה-כורנוב-סדום-מעמוד 5985 עד לסדום צפון*</v>
          </cell>
          <cell r="D2042">
            <v>47483</v>
          </cell>
        </row>
        <row r="2043">
          <cell r="A2043" t="str">
            <v>WBO-818</v>
          </cell>
          <cell r="B2043" t="str">
            <v>קו דימונה-כורנוב-סדום</v>
          </cell>
          <cell r="C2043" t="str">
            <v>קו דימונה-כורנוב-סדום-מדימונה לעמוד 5985</v>
          </cell>
          <cell r="D2043">
            <v>46387</v>
          </cell>
        </row>
        <row r="2044">
          <cell r="A2044" t="str">
            <v>WBO-820-ST3</v>
          </cell>
          <cell r="B2044" t="str">
            <v>קו דימונה-כורנוב-סדום</v>
          </cell>
          <cell r="C2044" t="str">
            <v>קו דימונה-כורנוב-סדום-פרוק קו 110 ק"ו עמ</v>
          </cell>
          <cell r="D2044">
            <v>45930</v>
          </cell>
        </row>
        <row r="2045">
          <cell r="A2045" t="str">
            <v>WBO-819-ST2</v>
          </cell>
          <cell r="B2045" t="str">
            <v>קו דימונה-כורנוב-סדום</v>
          </cell>
          <cell r="C2045" t="str">
            <v>קו דימונה-כורנוב-סדום-מעמוד 5985 עד לסדום צפון-קבלת הרשאות</v>
          </cell>
          <cell r="D2045">
            <v>45473</v>
          </cell>
        </row>
        <row r="2046">
          <cell r="A2046" t="str">
            <v>WBO-818-ST2</v>
          </cell>
          <cell r="B2046" t="str">
            <v>קו דימונה-כורנוב-סדום</v>
          </cell>
          <cell r="C2046" t="str">
            <v>קו דימונה-בוטל- כורנוב-סדום-מדימונה לעמוד 5985-הרשאות</v>
          </cell>
        </row>
        <row r="2047">
          <cell r="A2047" t="str">
            <v>WBO-819-ST1</v>
          </cell>
          <cell r="B2047" t="str">
            <v>קו דימונה-כורנוב-סדום</v>
          </cell>
          <cell r="C2047" t="str">
            <v>קו דימונה-כורנוב-סדום-מעמוד 5985 עד לסדום צפון-פירוק 20 ק"מ</v>
          </cell>
          <cell r="D2047">
            <v>47664</v>
          </cell>
        </row>
        <row r="2048">
          <cell r="A2048" t="str">
            <v>WBO-912</v>
          </cell>
          <cell r="B2048" t="str">
            <v>קו דימונה-כורנוב</v>
          </cell>
          <cell r="C2048" t="str">
            <v>קו דימונה-כורנוב- הגבהת הקו אשר עובר מעל מתקן אגירה דימונה</v>
          </cell>
          <cell r="D2048">
            <v>46752</v>
          </cell>
        </row>
        <row r="2049">
          <cell r="A2049" t="str">
            <v>WBO-812</v>
          </cell>
          <cell r="B2049" t="str">
            <v>קו דימונה סולארי-פארן</v>
          </cell>
          <cell r="C2049" t="str">
            <v>קו דימונה סולארי-פארן-מעמוד 7552 (צומת צפית) ועד לסדום צפון</v>
          </cell>
          <cell r="D2049">
            <v>46752</v>
          </cell>
        </row>
        <row r="2050">
          <cell r="A2050" t="str">
            <v>WBO-813</v>
          </cell>
          <cell r="B2050" t="str">
            <v>קו דימונה סולארי-פארן</v>
          </cell>
          <cell r="C2050" t="str">
            <v>קו דימונה סולארי-פארן-בניה מחדש מסדום דרום לסדום צפון</v>
          </cell>
          <cell r="D2050">
            <v>47118</v>
          </cell>
        </row>
        <row r="2051">
          <cell r="A2051" t="str">
            <v>WBN-602</v>
          </cell>
          <cell r="B2051" t="str">
            <v>קו דימונה סולארי-פארן</v>
          </cell>
          <cell r="C2051" t="str">
            <v>קו דימונה סולרי-פארן-קטע  דו-מעגלי 400</v>
          </cell>
          <cell r="D2051">
            <v>46387</v>
          </cell>
        </row>
        <row r="2052">
          <cell r="A2052" t="str">
            <v>WBO-839</v>
          </cell>
          <cell r="B2052" t="str">
            <v>קו דימונה סולארי-פארן</v>
          </cell>
          <cell r="C2052" t="str">
            <v>קו דימונה סולרי-פארן-קטע קו דו-מעגלי דימ</v>
          </cell>
          <cell r="D2052">
            <v>46387</v>
          </cell>
        </row>
        <row r="2053">
          <cell r="A2053" t="str">
            <v>WBO-520</v>
          </cell>
          <cell r="B2053" t="str">
            <v>קו דימונה סולארי-פארן</v>
          </cell>
          <cell r="C2053" t="str">
            <v>קו דימונה סולארי-פארן-קטע 7 א' : ספיר-פארן- קטע עילי</v>
          </cell>
          <cell r="D2053">
            <v>47149</v>
          </cell>
        </row>
        <row r="2054">
          <cell r="A2054" t="str">
            <v>WBO-811</v>
          </cell>
          <cell r="B2054" t="str">
            <v>קו דימונה סולארי-פארן</v>
          </cell>
          <cell r="C2054" t="str">
            <v>קו דימונה סולארי-פארן- מעמוד 20252 עד צומת צפית</v>
          </cell>
          <cell r="D2054">
            <v>46387</v>
          </cell>
        </row>
        <row r="2055">
          <cell r="A2055" t="str">
            <v>WBO-469</v>
          </cell>
          <cell r="B2055" t="str">
            <v>קו דימונה סולארי-פארן</v>
          </cell>
          <cell r="C2055" t="str">
            <v>קו דימונה סולארי-פארן-משיק ל-wbo-890-קטע סדום דרום-קול אמריקה(חצבה)</v>
          </cell>
          <cell r="D2055">
            <v>48029</v>
          </cell>
        </row>
        <row r="2056">
          <cell r="A2056" t="str">
            <v>WBO-641</v>
          </cell>
          <cell r="B2056" t="str">
            <v>קו דימונה סולארי-פארן</v>
          </cell>
          <cell r="C2056" t="str">
            <v>קו דימונה סולארי-פארן- קטע חצבה-ספיר ניידת/קבועה</v>
          </cell>
          <cell r="D2056">
            <v>46537</v>
          </cell>
        </row>
        <row r="2057">
          <cell r="A2057" t="str">
            <v>WBO-640</v>
          </cell>
          <cell r="B2057" t="str">
            <v>קו דימונה סולארי-פארן</v>
          </cell>
          <cell r="C2057" t="str">
            <v>קו דימונה סולארי-פארן-חיבור לשדה קו ס.דר</v>
          </cell>
          <cell r="D2057">
            <v>46326</v>
          </cell>
        </row>
        <row r="2058">
          <cell r="A2058" t="str">
            <v>WBO-520-ST2</v>
          </cell>
          <cell r="B2058" t="str">
            <v>קו דימונה סולארי-פארן</v>
          </cell>
          <cell r="C2058" t="str">
            <v>קו דימונה סולארי-פארן-קטע 7ב :הוסב ל wbo-699- ספיר-פארן- קטע תת-קרקעי</v>
          </cell>
        </row>
        <row r="2059">
          <cell r="A2059" t="str">
            <v>WBO-411</v>
          </cell>
          <cell r="B2059" t="str">
            <v>קו דימונה סולארי-פארן</v>
          </cell>
          <cell r="C2059" t="str">
            <v>קו דימונה-פארן-קטע ק.אמריקה-חצבה ניידת</v>
          </cell>
          <cell r="D2059">
            <v>46021</v>
          </cell>
        </row>
        <row r="2060">
          <cell r="A2060" t="str">
            <v>WBO-469-ST1</v>
          </cell>
          <cell r="B2060" t="str">
            <v>קו דימונה סולארי-פארן</v>
          </cell>
          <cell r="C2060" t="str">
            <v>קו דימונה סולארי-פארן- קידום תכנית מתאר של קטע-10 ק"מ</v>
          </cell>
          <cell r="D2060">
            <v>46386</v>
          </cell>
        </row>
        <row r="2061">
          <cell r="A2061" t="str">
            <v>WBO-812-ST2</v>
          </cell>
          <cell r="B2061" t="str">
            <v>קו דימונה סולארי-פארן</v>
          </cell>
          <cell r="C2061" t="str">
            <v>קו דימונה סולארי-פארן-פירוק קטע קו ישן (110 ק"ו) מצומת צפית עד סדום דרום</v>
          </cell>
          <cell r="D2061">
            <v>46964</v>
          </cell>
        </row>
        <row r="2062">
          <cell r="A2062" t="str">
            <v>WBO-813-ST2</v>
          </cell>
          <cell r="B2062" t="str">
            <v>קו דימונה סולארי-פארן</v>
          </cell>
          <cell r="C2062" t="str">
            <v>קו דימונה סולארי-פארן-פירוק קו מסדום דרום לסדום צפון</v>
          </cell>
          <cell r="D2062">
            <v>47299</v>
          </cell>
        </row>
        <row r="2063">
          <cell r="A2063" t="str">
            <v>WBO-520-ST1</v>
          </cell>
          <cell r="B2063" t="str">
            <v>קו דימונה סולארי-פארן</v>
          </cell>
          <cell r="C2063" t="str">
            <v>קו דימונה סולארי-בוטל (שולב)- פארן-קטע 7 א' : ספיר-פארן- קטע עילי</v>
          </cell>
        </row>
        <row r="2064">
          <cell r="A2064" t="str">
            <v>WBO-699</v>
          </cell>
          <cell r="B2064" t="str">
            <v>קו דימונה סולארי-פארן</v>
          </cell>
          <cell r="C2064" t="str">
            <v>קו דימונה סולארי-פארן-קטע 7ב מוקפא- ספיר-פארן- קטע תת-קרקעי</v>
          </cell>
        </row>
        <row r="2065">
          <cell r="A2065" t="str">
            <v>WBO-890</v>
          </cell>
          <cell r="B2065" t="str">
            <v>קו דימונה סולארי-פארן</v>
          </cell>
          <cell r="C2065" t="str">
            <v>קו דימונה סולארי-פארן-משיק לפרויקט wbo-469 - הקמת קו דו-מעגלי מסדום דרום לסדום צפון</v>
          </cell>
          <cell r="D2065">
            <v>47664</v>
          </cell>
        </row>
        <row r="2066">
          <cell r="A2066" t="str">
            <v>WBO-696</v>
          </cell>
          <cell r="B2066" t="str">
            <v>קו דימונה- דימונה סולארי</v>
          </cell>
          <cell r="C2066" t="str">
            <v>קו דימונה-דימונה סולארי-שלישי-שינוי גישורים, מתיחת תיילים</v>
          </cell>
          <cell r="D2066">
            <v>45720</v>
          </cell>
        </row>
        <row r="2067">
          <cell r="A2067" t="str">
            <v>WBO-843</v>
          </cell>
          <cell r="B2067" t="str">
            <v>קו דימונה- דימונה סולארי</v>
          </cell>
          <cell r="C2067" t="str">
            <v>בוטל קו דימונה-דימונה סולארי-התקנת 2 חיישני טמפרטורה של חברת MICCA</v>
          </cell>
        </row>
        <row r="2068">
          <cell r="A2068" t="str">
            <v>WBO-850</v>
          </cell>
          <cell r="B2068" t="str">
            <v>קו דימונה- דימונה סולארי</v>
          </cell>
          <cell r="C2068" t="str">
            <v>קו דימונה-דימונה סולארי- שדרוג קו 161 ק"ו לסוג ACSS Bobolink 725/50</v>
          </cell>
          <cell r="D2068">
            <v>47117</v>
          </cell>
        </row>
        <row r="2069">
          <cell r="A2069" t="str">
            <v>WBO-639</v>
          </cell>
          <cell r="B2069" t="str">
            <v>קו גן-שורק – שורק 900</v>
          </cell>
          <cell r="C2069" t="str">
            <v>קו גן שורק-שורק 900-הקמת 2 קווי 161 ק"ו דו מעגליים</v>
          </cell>
          <cell r="D2069">
            <v>46964</v>
          </cell>
        </row>
        <row r="2070">
          <cell r="A2070" t="str">
            <v>WBO-252</v>
          </cell>
          <cell r="B2070" t="str">
            <v>קו גן-שורק – שורק 900</v>
          </cell>
          <cell r="C2070" t="str">
            <v>קו גן שורק-שורק 900-הנחת 4 מעגלי כבלים</v>
          </cell>
          <cell r="D2070">
            <v>46964</v>
          </cell>
        </row>
        <row r="2071">
          <cell r="A2071" t="str">
            <v>WBO-252-ST1</v>
          </cell>
          <cell r="B2071" t="str">
            <v>קו גן-שורק – שורק 900</v>
          </cell>
          <cell r="C2071" t="str">
            <v>קו גן שורק-שורק 900-בדיקת ישימות הנחת 4 מעגלי כבלים</v>
          </cell>
          <cell r="D2071">
            <v>45322</v>
          </cell>
        </row>
        <row r="2072">
          <cell r="A2072" t="str">
            <v>WBO-639-ST1</v>
          </cell>
          <cell r="B2072" t="str">
            <v>קו גן-שורק – שורק 900</v>
          </cell>
          <cell r="C2072" t="str">
            <v>קו גן שורק-שורק 900-בדיקת ישימות הקמת 2 קווי 161 ק"ו דו מעגליים</v>
          </cell>
          <cell r="D2072">
            <v>45322</v>
          </cell>
        </row>
        <row r="2073">
          <cell r="A2073" t="str">
            <v>WBO-505</v>
          </cell>
          <cell r="B2073" t="str">
            <v>קו גן שורק-ראשל''צ- איילון</v>
          </cell>
          <cell r="C2073" t="str">
            <v>קו גן שורק-ראשל"צ- איילון-בוטל</v>
          </cell>
        </row>
        <row r="2074">
          <cell r="A2074" t="str">
            <v>WBO-201</v>
          </cell>
          <cell r="B2074" t="str">
            <v>קו גן שורק-ויקטוריה</v>
          </cell>
          <cell r="C2074" t="str">
            <v>קו גן שורק-ראשון מזרח-הנחת 2 מעגלי כבלים</v>
          </cell>
          <cell r="D2074">
            <v>43530</v>
          </cell>
        </row>
        <row r="2075">
          <cell r="A2075" t="str">
            <v>WBO-419</v>
          </cell>
          <cell r="B2075" t="str">
            <v>קו גן שורק-ויקטוריה</v>
          </cell>
          <cell r="C2075" t="str">
            <v>קו ג.שורק-ראשון מזרח-הקמת טרמינלים</v>
          </cell>
          <cell r="D2075">
            <v>43530</v>
          </cell>
        </row>
        <row r="2076">
          <cell r="A2076" t="str">
            <v>WBO-459</v>
          </cell>
          <cell r="B2076" t="str">
            <v>קו גן שורק-אזור ראשון מזרח</v>
          </cell>
          <cell r="C2076" t="str">
            <v>קו גן שורק-אזור ראשון מזרח-בוטל-תכנון</v>
          </cell>
        </row>
        <row r="2077">
          <cell r="A2077" t="str">
            <v>WBO-566</v>
          </cell>
          <cell r="B2077" t="str">
            <v>קו גן שורק- ת''א מזרח</v>
          </cell>
          <cell r="C2077" t="str">
            <v>קו גן שורק-ת"א מזרח-עע"א-העתקת עמ'A5862</v>
          </cell>
          <cell r="D2077">
            <v>44157</v>
          </cell>
        </row>
        <row r="2078">
          <cell r="A2078" t="str">
            <v>WBA-012-LN2</v>
          </cell>
          <cell r="B2078" t="str">
            <v>קו גן שורק- סתריה קבוע</v>
          </cell>
          <cell r="C2078" t="str">
            <v>קו גן שורק- סתריה קבוע-הפעלת קו 161 ק"ו</v>
          </cell>
          <cell r="D2078">
            <v>40180</v>
          </cell>
        </row>
        <row r="2079">
          <cell r="A2079" t="str">
            <v>WBO-536</v>
          </cell>
          <cell r="B2079" t="str">
            <v>קו גן שורק- חולון</v>
          </cell>
          <cell r="C2079" t="str">
            <v>קו גן שורק-חולון,קניונים-עע"א-העתקה רכבת</v>
          </cell>
          <cell r="D2079">
            <v>44344</v>
          </cell>
        </row>
        <row r="2080">
          <cell r="A2080" t="str">
            <v>WBN-002</v>
          </cell>
          <cell r="B2080" t="str">
            <v>קו גליל-קיסריה</v>
          </cell>
          <cell r="C2080" t="str">
            <v>קו בנימינה-רגבים-מקו גליל-קיסריה-קטע 2</v>
          </cell>
          <cell r="D2080">
            <v>46537</v>
          </cell>
        </row>
        <row r="2081">
          <cell r="A2081" t="str">
            <v>WBN-003</v>
          </cell>
          <cell r="B2081" t="str">
            <v>קו גליל-קיסריה</v>
          </cell>
          <cell r="C2081" t="str">
            <v>קו רגבים-מגידו-מקו גליל-קיסריה-קטע 3</v>
          </cell>
          <cell r="D2081">
            <v>46538</v>
          </cell>
        </row>
        <row r="2082">
          <cell r="A2082" t="str">
            <v>WBN-004</v>
          </cell>
          <cell r="B2082" t="str">
            <v>קו גליל-קיסריה</v>
          </cell>
          <cell r="C2082" t="str">
            <v>קו מגידו-כפר יחזקאל-קו גליל-קיסריה-קטע 4</v>
          </cell>
          <cell r="D2082">
            <v>46537</v>
          </cell>
        </row>
        <row r="2083">
          <cell r="A2083" t="str">
            <v>WBN-005</v>
          </cell>
          <cell r="B2083" t="str">
            <v>קו גליל-קיסריה</v>
          </cell>
          <cell r="C2083" t="str">
            <v>קו גליל-קיסריה-קטע 5-כפר יחזקאל- שרונה</v>
          </cell>
          <cell r="D2083">
            <v>46537</v>
          </cell>
        </row>
        <row r="2084">
          <cell r="A2084" t="str">
            <v>WBN-006</v>
          </cell>
          <cell r="B2084" t="str">
            <v>קו גליל-קיסריה</v>
          </cell>
          <cell r="C2084" t="str">
            <v>קו גליל-קיסריה-קטע 6-שרונה-תחמ"ג גליל</v>
          </cell>
          <cell r="D2084">
            <v>46537</v>
          </cell>
        </row>
        <row r="2085">
          <cell r="A2085" t="str">
            <v>WBN-001</v>
          </cell>
          <cell r="B2085" t="str">
            <v>קו גליל-קיסריה</v>
          </cell>
          <cell r="C2085" t="str">
            <v>קו קיסריה-בנימינה-מקו גליל-קיסריה-קטע 1</v>
          </cell>
          <cell r="D2085">
            <v>46537</v>
          </cell>
        </row>
        <row r="2086">
          <cell r="A2086" t="str">
            <v>WBN-005-ST2</v>
          </cell>
          <cell r="B2086" t="str">
            <v>קו גליל-קיסריה</v>
          </cell>
          <cell r="C2086" t="str">
            <v>קו גליל-קיסריה-קטע 5-תקון רצועת קו-כ.קיש</v>
          </cell>
          <cell r="D2086">
            <v>44466</v>
          </cell>
        </row>
        <row r="2087">
          <cell r="A2087" t="str">
            <v>WDB-04COM52</v>
          </cell>
          <cell r="B2087" t="str">
            <v>קו גזר-פתח תקוה</v>
          </cell>
          <cell r="C2087" t="str">
            <v>קו גזר-פתח תקוה-החלפת תייל הארקה</v>
          </cell>
          <cell r="D2087">
            <v>40180</v>
          </cell>
        </row>
        <row r="2088">
          <cell r="A2088" t="str">
            <v>WBA-367</v>
          </cell>
          <cell r="B2088" t="str">
            <v>קו גזר-סתריה</v>
          </cell>
          <cell r="C2088" t="str">
            <v>מסעף לנשר רמלה-תליית תייל  במעגל שני</v>
          </cell>
          <cell r="D2088">
            <v>41561</v>
          </cell>
        </row>
        <row r="2089">
          <cell r="A2089" t="str">
            <v>WBO-611</v>
          </cell>
          <cell r="B2089" t="str">
            <v>קו גזר-סתריה</v>
          </cell>
          <cell r="C2089" t="str">
            <v>קו גזר-נשר רמלה-סתריה-uprating של הקו</v>
          </cell>
          <cell r="D2089">
            <v>45054</v>
          </cell>
        </row>
        <row r="2090">
          <cell r="A2090" t="str">
            <v>WBO-653</v>
          </cell>
          <cell r="B2090" t="str">
            <v>קו גזר/נתב''ג-ראשון מזרח</v>
          </cell>
          <cell r="C2090" t="str">
            <v>קו גזר/נתב"ג-ראשון מזרח-איתור תוואי לקו</v>
          </cell>
          <cell r="D2090">
            <v>46751</v>
          </cell>
        </row>
        <row r="2091">
          <cell r="A2091" t="str">
            <v>WBO-629</v>
          </cell>
          <cell r="B2091" t="str">
            <v>קו גזר/נתב''ג-ראשון מזרח</v>
          </cell>
          <cell r="C2091" t="str">
            <v>קו גזר/נתב"ג-ראשון מזרח-עע"א-העתקת קטע קו באזור בית דגן</v>
          </cell>
          <cell r="D2091">
            <v>46751</v>
          </cell>
        </row>
        <row r="2092">
          <cell r="A2092" t="str">
            <v>WBB-306</v>
          </cell>
          <cell r="B2092" t="str">
            <v>קו גזר(טרמינלים)-שוהם</v>
          </cell>
          <cell r="C2092" t="str">
            <v>קו גזר(טרמינלים)-שוהם-uprating מעגל כחול</v>
          </cell>
          <cell r="D2092">
            <v>41619</v>
          </cell>
        </row>
        <row r="2093">
          <cell r="A2093" t="str">
            <v>WBO-205</v>
          </cell>
          <cell r="B2093" t="str">
            <v>קו גזר(טרמינלים)-שוהם</v>
          </cell>
          <cell r="C2093" t="str">
            <v>קו גזר(טרמינלים)-שוהם-החלפת כבלים</v>
          </cell>
          <cell r="D2093">
            <v>42440</v>
          </cell>
        </row>
        <row r="2094">
          <cell r="A2094" t="str">
            <v>WBO-529</v>
          </cell>
          <cell r="B2094" t="str">
            <v>קו גזר(טרמינלים)-שוהם</v>
          </cell>
          <cell r="C2094" t="str">
            <v>קו גזר-לוד/שוהם-רקונסטרקציה קו-4 מעגלי</v>
          </cell>
          <cell r="D2094">
            <v>46387</v>
          </cell>
        </row>
        <row r="2095">
          <cell r="A2095" t="str">
            <v>WBO-619</v>
          </cell>
          <cell r="B2095" t="str">
            <v>קו גזר(טרמינלים)-סתריה</v>
          </cell>
          <cell r="C2095" t="str">
            <v>קו גזר-(טרמינלים)-נשר רמלה/סתריה</v>
          </cell>
          <cell r="D2095">
            <v>45279</v>
          </cell>
        </row>
        <row r="2096">
          <cell r="A2096" t="str">
            <v>WBO-237</v>
          </cell>
          <cell r="B2096" t="str">
            <v>קו גזר(טרמינלים)-סתריה</v>
          </cell>
          <cell r="C2096" t="str">
            <v>כבל גזר-נשר רמלה/סתריה-הטמנה- אשכול-קו 4</v>
          </cell>
          <cell r="D2096">
            <v>46568</v>
          </cell>
        </row>
        <row r="2097">
          <cell r="A2097" t="str">
            <v>WBO-205-LN2</v>
          </cell>
          <cell r="B2097" t="str">
            <v>קו גזר(טרמינלים) -מודיעין</v>
          </cell>
          <cell r="C2097" t="str">
            <v>קו גזר(טרמינלים) -מודיעין-החלפת כבלים</v>
          </cell>
          <cell r="D2097">
            <v>42440</v>
          </cell>
        </row>
        <row r="2098">
          <cell r="A2098" t="str">
            <v>WBO-429</v>
          </cell>
          <cell r="B2098" t="str">
            <v>קו גזר(טרמינלים) -מודיעין</v>
          </cell>
          <cell r="C2098" t="str">
            <v>קו גזר(טר')-מודיעין-uprating כ-8 ק"מ</v>
          </cell>
          <cell r="D2098">
            <v>43055</v>
          </cell>
        </row>
        <row r="2099">
          <cell r="A2099" t="str">
            <v>WBO-551</v>
          </cell>
          <cell r="B2099" t="str">
            <v>קו גזר (טרמינלים) - לוד</v>
          </cell>
          <cell r="C2099" t="str">
            <v>הפרדה 202-כפר חב"ד-עע"א-הגבהת קו</v>
          </cell>
          <cell r="D2099">
            <v>43951</v>
          </cell>
        </row>
        <row r="2100">
          <cell r="A2100" t="str">
            <v>WBO-420-LN2</v>
          </cell>
          <cell r="B2100" t="str">
            <v>קו בשור-ניר יצחק</v>
          </cell>
          <cell r="C2100" t="str">
            <v>קו בשור-ניר יצחק-הקמת קטע ביציאה מבשור</v>
          </cell>
          <cell r="D2100">
            <v>42480</v>
          </cell>
        </row>
        <row r="2101">
          <cell r="A2101" t="str">
            <v>WBO-420-LN1</v>
          </cell>
          <cell r="B2101" t="str">
            <v>קו בשור-ניר יצחק</v>
          </cell>
          <cell r="C2101" t="str">
            <v>קו בשור-ניר יצחק-התאמת קטע מע.אדום למ"ע</v>
          </cell>
          <cell r="D2101">
            <v>42480</v>
          </cell>
        </row>
        <row r="2102">
          <cell r="A2102" t="str">
            <v>WBO-433</v>
          </cell>
          <cell r="B2102" t="str">
            <v>קו בשור-ניר יצחק</v>
          </cell>
          <cell r="C2102" t="str">
            <v>קו בשור-ניר יצחק-uprating כ-5 ק"מ</v>
          </cell>
          <cell r="D2102">
            <v>42439</v>
          </cell>
        </row>
        <row r="2103">
          <cell r="A2103" t="str">
            <v>WBO-809</v>
          </cell>
          <cell r="B2103" t="str">
            <v>קו בשור-ניר יצחק</v>
          </cell>
          <cell r="C2103" t="str">
            <v>קו בשור-ניר יצחק-בוטל-שולב wbo-594</v>
          </cell>
          <cell r="D2103">
            <v>44592</v>
          </cell>
        </row>
        <row r="2104">
          <cell r="A2104" t="str">
            <v>WBO-594</v>
          </cell>
          <cell r="B2104" t="str">
            <v>קו בשור-ניר יצחק</v>
          </cell>
          <cell r="C2104" t="str">
            <v>קו בשור-ניר יצחק קבועה-הקמת קו דו מעגלי</v>
          </cell>
          <cell r="D2104">
            <v>46691</v>
          </cell>
        </row>
        <row r="2105">
          <cell r="A2105" t="str">
            <v>WBO-594-ST1</v>
          </cell>
          <cell r="B2105" t="str">
            <v>קו בשור-ניר יצחק</v>
          </cell>
          <cell r="C2105" t="str">
            <v>קו בשור-ניר יצחק קבועה-קידום תכנית מתאר</v>
          </cell>
          <cell r="D2105">
            <v>45515</v>
          </cell>
        </row>
        <row r="2106">
          <cell r="A2106" t="str">
            <v>WBO-594-ST2</v>
          </cell>
          <cell r="B2106" t="str">
            <v>קו בשור-ניר יצחק</v>
          </cell>
          <cell r="C2106" t="str">
            <v>קו בשור-ניר יצחק קבועה-פירוק קטע קו חד–מעגלי מעמוד 6571 לניר יצחק ארעית</v>
          </cell>
          <cell r="D2106">
            <v>46782</v>
          </cell>
        </row>
        <row r="2107">
          <cell r="A2107" t="str">
            <v>WBO-830</v>
          </cell>
          <cell r="B2107" t="str">
            <v>קו בשור-אופקים</v>
          </cell>
          <cell r="C2107" t="str">
            <v>קו בשור-אופקים-הקמת קו דו מעגלי 161 ק"ו 593X2  סג-אל 2 תיילם לפאזה</v>
          </cell>
          <cell r="D2107">
            <v>47848</v>
          </cell>
        </row>
        <row r="2108">
          <cell r="A2108" t="str">
            <v>WBO-831</v>
          </cell>
          <cell r="B2108" t="str">
            <v>קו בשור-אופקים</v>
          </cell>
          <cell r="C2108" t="str">
            <v>קו בשור-אופקים-הטמנת קטע קו באזור אופקים (מעגל אחד)</v>
          </cell>
          <cell r="D2108">
            <v>47848</v>
          </cell>
        </row>
        <row r="2109">
          <cell r="A2109" t="str">
            <v>WBO-830-ST2</v>
          </cell>
          <cell r="B2109" t="str">
            <v>קו בשור-אופקים</v>
          </cell>
          <cell r="C2109" t="str">
            <v>קו בשור-אופקים-שולב ב-wbt-041-הכנת תוכנית מתאר להקמת קו דו מעגלי 161</v>
          </cell>
        </row>
        <row r="2110">
          <cell r="A2110" t="str">
            <v>WBO-831-ST2</v>
          </cell>
          <cell r="B2110" t="str">
            <v>קו בשור-אופקים</v>
          </cell>
          <cell r="C2110" t="str">
            <v>קו בשור-אופקים-שולב ב-WBT-041-הכנת תוכנית מתאר להטמנת קטע קו באזור אופקים</v>
          </cell>
        </row>
        <row r="2111">
          <cell r="A2111" t="str">
            <v>WBO-622</v>
          </cell>
          <cell r="B2111" t="str">
            <v>קו בשור-אופקים</v>
          </cell>
          <cell r="C2111" t="str">
            <v>קו בשור-אופקים-בוטל- קידום סטוטוטורי</v>
          </cell>
          <cell r="D2111">
            <v>44477</v>
          </cell>
        </row>
        <row r="2112">
          <cell r="A2112" t="str">
            <v>WBO-626</v>
          </cell>
          <cell r="B2112" t="str">
            <v>קו בשור-אופקים</v>
          </cell>
          <cell r="C2112" t="str">
            <v>קו בשור-אופקים-בוטל-הקמת קו דו מעגלי</v>
          </cell>
          <cell r="D2112">
            <v>44600</v>
          </cell>
        </row>
        <row r="2113">
          <cell r="A2113" t="str">
            <v>WBO-627</v>
          </cell>
          <cell r="B2113" t="str">
            <v>קו בשור-אופקים</v>
          </cell>
          <cell r="C2113" t="str">
            <v>קו בשור-אופקים-בוטל-הטמנת קטע קו באזור</v>
          </cell>
          <cell r="D2113">
            <v>44600</v>
          </cell>
        </row>
        <row r="2114">
          <cell r="A2114">
            <v>269167</v>
          </cell>
          <cell r="B2114" t="str">
            <v>קו בשור-אופקים</v>
          </cell>
          <cell r="C2114" t="str">
            <v>קו בשור-אופקים- בוטל - קידום סטוטוטורי לקו -</v>
          </cell>
        </row>
        <row r="2115">
          <cell r="A2115" t="str">
            <v>WBO-515</v>
          </cell>
          <cell r="B2115" t="str">
            <v>קו בשור-אופקים</v>
          </cell>
          <cell r="C2115" t="str">
            <v>קו בשור-אופקים-עע"א-הקמת טרמינלים</v>
          </cell>
          <cell r="D2115">
            <v>43320</v>
          </cell>
        </row>
        <row r="2116">
          <cell r="A2116" t="str">
            <v>WDB-04COM51</v>
          </cell>
          <cell r="B2116" t="str">
            <v>קו בשור-אופקים</v>
          </cell>
          <cell r="C2116" t="str">
            <v>קו בשור-אופקים-החלפת תייל הארקה</v>
          </cell>
          <cell r="D2116">
            <v>40180</v>
          </cell>
        </row>
        <row r="2117">
          <cell r="A2117" t="str">
            <v>WBO-221</v>
          </cell>
          <cell r="B2117" t="str">
            <v>קו בשור-אופקים</v>
          </cell>
          <cell r="C2117" t="str">
            <v>קו בשור-אופקים-עע"א-הטמנת כבל באז.אופקים</v>
          </cell>
          <cell r="D2117">
            <v>43320</v>
          </cell>
        </row>
        <row r="2118">
          <cell r="A2118" t="str">
            <v>WBO-590</v>
          </cell>
          <cell r="B2118" t="str">
            <v>קו בשור-אופקים</v>
          </cell>
          <cell r="C2118" t="str">
            <v>קו בשור-אופקים--UPRATING של הקו</v>
          </cell>
          <cell r="D2118">
            <v>44895</v>
          </cell>
        </row>
        <row r="2119">
          <cell r="A2119" t="str">
            <v>WBO-585</v>
          </cell>
          <cell r="B2119" t="str">
            <v>קו בשור-אופקים</v>
          </cell>
          <cell r="C2119" t="str">
            <v>קו בשור-אופקים-עע"א- עמ' 10787-10774</v>
          </cell>
          <cell r="D2119">
            <v>44803</v>
          </cell>
        </row>
        <row r="2120">
          <cell r="A2120" t="str">
            <v>WBO-591</v>
          </cell>
          <cell r="B2120" t="str">
            <v>קו בשור- נתיבות</v>
          </cell>
          <cell r="C2120" t="str">
            <v>קו בשור-נתיבות--UPRATING של הקו</v>
          </cell>
          <cell r="D2120">
            <v>44924</v>
          </cell>
        </row>
        <row r="2121">
          <cell r="A2121" t="str">
            <v>WBO-105</v>
          </cell>
          <cell r="B2121" t="str">
            <v>קו ביתר-כנות</v>
          </cell>
          <cell r="C2121" t="str">
            <v>קו ביתר-כנות-uprating ל-100 מעלות.</v>
          </cell>
          <cell r="D2121">
            <v>43100</v>
          </cell>
        </row>
        <row r="2122">
          <cell r="A2122" t="str">
            <v>WBO-142</v>
          </cell>
          <cell r="B2122" t="str">
            <v>קו ביתר-כנות</v>
          </cell>
          <cell r="C2122" t="str">
            <v>קו ביתר-כנות-שדרוג הקו לסוג 322/32 ACSS</v>
          </cell>
          <cell r="D2122">
            <v>46387</v>
          </cell>
        </row>
        <row r="2123">
          <cell r="A2123" t="str">
            <v>WBA-042</v>
          </cell>
          <cell r="B2123" t="str">
            <v>קו ביתר-חברון</v>
          </cell>
          <cell r="C2123" t="str">
            <v>קו ביתר-חברון-הפעלת מעגל שני</v>
          </cell>
          <cell r="D2123">
            <v>42876</v>
          </cell>
        </row>
        <row r="2124">
          <cell r="A2124" t="str">
            <v>LN1-WBA-042</v>
          </cell>
          <cell r="B2124" t="str">
            <v>קו ביתר-חברון</v>
          </cell>
          <cell r="C2124" t="str">
            <v>קו ביתר-חברון-הקמת קו דו-מעגלי 161</v>
          </cell>
          <cell r="D2124">
            <v>41088</v>
          </cell>
        </row>
        <row r="2125">
          <cell r="A2125" t="str">
            <v>WBO-031</v>
          </cell>
          <cell r="B2125" t="str">
            <v>קו בית שאן-עין חרוד-יזרעאל</v>
          </cell>
          <cell r="C2125" t="str">
            <v>קו ב.שאן-ע.חרוד-יזרעאל-uprating</v>
          </cell>
          <cell r="D2125">
            <v>43184</v>
          </cell>
        </row>
        <row r="2126">
          <cell r="A2126" t="str">
            <v>WBO-413-LN3</v>
          </cell>
          <cell r="B2126" t="str">
            <v>קו בארות יצחק-אור יהודה-איילון</v>
          </cell>
          <cell r="C2126" t="str">
            <v>קו בארות יצחק-אור יהודה-איילון</v>
          </cell>
          <cell r="D2126">
            <v>42338</v>
          </cell>
        </row>
        <row r="2127">
          <cell r="A2127" t="str">
            <v>WBB-305</v>
          </cell>
          <cell r="B2127" t="str">
            <v>קו באר שבע-רמת חובב</v>
          </cell>
          <cell r="C2127" t="str">
            <v>קו באר שבע-רמת חובב-UPRATIN 'אורך 10 ק"מ</v>
          </cell>
          <cell r="D2127">
            <v>41556</v>
          </cell>
        </row>
        <row r="2128">
          <cell r="A2128" t="str">
            <v>WDB-04COM50</v>
          </cell>
          <cell r="B2128" t="str">
            <v>קו באר שבע-ערד</v>
          </cell>
          <cell r="C2128" t="str">
            <v>קו באר שבע-ערד-החלפת תיל הארקה</v>
          </cell>
          <cell r="D2128">
            <v>40180</v>
          </cell>
        </row>
        <row r="2129">
          <cell r="A2129" t="str">
            <v>WBO-405</v>
          </cell>
          <cell r="B2129" t="str">
            <v>קו באר שבע צפון-באר שבע</v>
          </cell>
          <cell r="C2129" t="str">
            <v>קו באר שבע צפון-באר שבע-הקמת קו דו-מעגל</v>
          </cell>
          <cell r="D2129">
            <v>42159</v>
          </cell>
        </row>
        <row r="2130">
          <cell r="A2130" t="str">
            <v>WEB-59</v>
          </cell>
          <cell r="B2130" t="str">
            <v>קו באר שבע צפון - באר שבע</v>
          </cell>
          <cell r="C2130" t="str">
            <v>קו באר שבע צפון - באר שבע-הקמת טרמינלים</v>
          </cell>
          <cell r="D2130">
            <v>42159</v>
          </cell>
        </row>
        <row r="2131">
          <cell r="A2131" t="str">
            <v>WBO-441</v>
          </cell>
          <cell r="B2131" t="str">
            <v>קו באר שבע צפון - באר שבע</v>
          </cell>
          <cell r="C2131" t="str">
            <v>קו ב"ש צפון -ב"ש-בוטל-הקמת טרמ.קמפוס צהל</v>
          </cell>
          <cell r="D2131">
            <v>40928</v>
          </cell>
        </row>
        <row r="2132">
          <cell r="A2132" t="str">
            <v>WBO-213</v>
          </cell>
          <cell r="B2132" t="str">
            <v>קו באר שבע צפון - באר שבע</v>
          </cell>
          <cell r="C2132" t="str">
            <v>קו באר שבע צפון-באר שבע-הטמנת קטע-צ</v>
          </cell>
          <cell r="D2132">
            <v>42159</v>
          </cell>
        </row>
        <row r="2133">
          <cell r="A2133" t="str">
            <v>WBO-212</v>
          </cell>
          <cell r="B2133" t="str">
            <v>קו באר שבע צפון - באר שבע</v>
          </cell>
          <cell r="C2133" t="str">
            <v>קו באר שבע צפון-באר שבע-הטמנת קטע-קמפוס.</v>
          </cell>
          <cell r="D2133">
            <v>42159</v>
          </cell>
        </row>
        <row r="2134">
          <cell r="A2134" t="str">
            <v>WBB-302</v>
          </cell>
          <cell r="B2134" t="str">
            <v>קו באר שבע מערב-נתיבות</v>
          </cell>
          <cell r="C2134" t="str">
            <v>קו באר שבע מערב-נתיבות-uprating מ.כחול</v>
          </cell>
          <cell r="D2134">
            <v>41578</v>
          </cell>
        </row>
        <row r="2135">
          <cell r="A2135" t="str">
            <v>WBO-828</v>
          </cell>
          <cell r="B2135" t="str">
            <v>קו באר שבע מערב-נתיבות</v>
          </cell>
          <cell r="C2135" t="str">
            <v>קו נתיבות-באר שבע מערב-uprating קטע מעגל</v>
          </cell>
          <cell r="D2135">
            <v>45385</v>
          </cell>
        </row>
        <row r="2136">
          <cell r="A2136" t="str">
            <v>WBO-574</v>
          </cell>
          <cell r="B2136" t="str">
            <v>קו אתגל-ניר גלים</v>
          </cell>
          <cell r="C2136" t="str">
            <v>קו אתגל-ניר גלים-upratin ל-100 מע'</v>
          </cell>
          <cell r="D2136">
            <v>44543</v>
          </cell>
        </row>
        <row r="2137">
          <cell r="A2137" t="str">
            <v>WBO-825</v>
          </cell>
          <cell r="B2137" t="str">
            <v>קו אשקלון-צומת כרמיה</v>
          </cell>
          <cell r="C2137" t="str">
            <v>קו אשקלון-צומת כרמיה-תגבור יכולת המעגל</v>
          </cell>
          <cell r="D2137">
            <v>47299</v>
          </cell>
        </row>
        <row r="2138">
          <cell r="A2138" t="str">
            <v>WBO-635</v>
          </cell>
          <cell r="B2138" t="str">
            <v>קו אשקלון-ניר גלים</v>
          </cell>
          <cell r="C2138" t="str">
            <v>קו  אשקלון -ניר גלים-תגבור יכולת המעגל,</v>
          </cell>
          <cell r="D2138">
            <v>47299</v>
          </cell>
        </row>
        <row r="2139">
          <cell r="A2139" t="str">
            <v>WBA-019</v>
          </cell>
          <cell r="B2139" t="str">
            <v>קו אשכול ג'-יבנה</v>
          </cell>
          <cell r="C2139" t="str">
            <v>קו אשכול ג'-יבנה-הוקפא-העתקת קו אשכול ג'</v>
          </cell>
          <cell r="D2139">
            <v>40180</v>
          </cell>
        </row>
        <row r="2140">
          <cell r="A2140" t="str">
            <v>WBO-651</v>
          </cell>
          <cell r="B2140" t="str">
            <v>קו אשדוד-צומת כרמיה</v>
          </cell>
          <cell r="C2140" t="str">
            <v>קו אשדוד-צומת כרמיה-תגבור יכולת המעגל</v>
          </cell>
          <cell r="D2140">
            <v>47299</v>
          </cell>
        </row>
        <row r="2141">
          <cell r="A2141" t="str">
            <v>WBO-547</v>
          </cell>
          <cell r="B2141" t="str">
            <v>קו אשדוד-צומת כרמיה</v>
          </cell>
          <cell r="C2141" t="str">
            <v>קו באזור אשקלון- עע"א-העתקת עמוד 6724</v>
          </cell>
          <cell r="D2141">
            <v>45020</v>
          </cell>
        </row>
        <row r="2142">
          <cell r="A2142" t="str">
            <v>WBO-530</v>
          </cell>
          <cell r="B2142" t="str">
            <v>קו אשדוד-צומת כרמיה</v>
          </cell>
          <cell r="C2142" t="str">
            <v>קו באזור אשקלון- עע"א-הע 6720-6722-בוטל</v>
          </cell>
        </row>
        <row r="2143">
          <cell r="A2143" t="str">
            <v>WBO-139</v>
          </cell>
          <cell r="B2143" t="str">
            <v>קו אריאל-גזר</v>
          </cell>
          <cell r="C2143" t="str">
            <v>קו אריאל-גזר-שדרוג הקו לסוג 322/32 ACSS ושדרוג*</v>
          </cell>
          <cell r="D2143">
            <v>46934</v>
          </cell>
        </row>
        <row r="2144">
          <cell r="A2144" t="str">
            <v>WBO-588</v>
          </cell>
          <cell r="B2144" t="str">
            <v>קו אריאל-גזר</v>
          </cell>
          <cell r="C2144" t="str">
            <v>קו אריאל-גזר-uprating של מעגל לבן</v>
          </cell>
          <cell r="D2144">
            <v>46387</v>
          </cell>
        </row>
        <row r="2145">
          <cell r="A2145" t="str">
            <v>WBO-236</v>
          </cell>
          <cell r="B2145" t="str">
            <v>קו אריאל-גזר</v>
          </cell>
          <cell r="C2145" t="str">
            <v>קו אריאל-גזר-החלפת כבלים בכניסה לגזר</v>
          </cell>
          <cell r="D2145">
            <v>46387</v>
          </cell>
        </row>
        <row r="2146">
          <cell r="A2146" t="str">
            <v>wbo-139-st1</v>
          </cell>
          <cell r="B2146" t="str">
            <v>קו אריאל-גזר</v>
          </cell>
          <cell r="C2146" t="str">
            <v>קו אריאל-גזר-שינוי סכמת חיבור כפר סבא למעגל הסמוך</v>
          </cell>
          <cell r="D2146">
            <v>45383</v>
          </cell>
        </row>
        <row r="2147">
          <cell r="A2147" t="str">
            <v>WBO-687</v>
          </cell>
          <cell r="B2147" t="str">
            <v>קו אריאל- מעלה אפריים</v>
          </cell>
          <cell r="C2147" t="str">
            <v>קו אריאל-מעלה אפריים-עע"א-מוקפא - העתקת עמוד מתיחה אחד 19125</v>
          </cell>
        </row>
        <row r="2148">
          <cell r="A2148" t="str">
            <v>WBO-019</v>
          </cell>
          <cell r="B2148" t="str">
            <v>קו אלון תבור-תל אור</v>
          </cell>
          <cell r="C2148" t="str">
            <v>קו אלון תבור-תל אור-uprating של הקו</v>
          </cell>
          <cell r="D2148">
            <v>43419</v>
          </cell>
        </row>
        <row r="2149">
          <cell r="A2149" t="str">
            <v>WBO-093</v>
          </cell>
          <cell r="B2149" t="str">
            <v>קו אלון תבור-עין חרוד</v>
          </cell>
          <cell r="C2149" t="str">
            <v>קו אלון תבור-גבעת המורה-עין חרוד- העתקה באזור נאעורה</v>
          </cell>
          <cell r="D2149">
            <v>45959</v>
          </cell>
        </row>
        <row r="2150">
          <cell r="A2150" t="str">
            <v>WBO-055</v>
          </cell>
          <cell r="B2150" t="str">
            <v>קו אלון תבור-נצרת</v>
          </cell>
          <cell r="C2150" t="str">
            <v>קו אלון תבור-נצרת שני-הקמת קו דו מעגלי</v>
          </cell>
          <cell r="D2150">
            <v>45354</v>
          </cell>
        </row>
        <row r="2151">
          <cell r="A2151" t="str">
            <v>WBO-021</v>
          </cell>
          <cell r="B2151" t="str">
            <v>קו אלון תבור-נצרת</v>
          </cell>
          <cell r="C2151" t="str">
            <v>קו אלון תבור-נצרת-החלפת תיילים ל-ACSS</v>
          </cell>
          <cell r="D2151">
            <v>43419</v>
          </cell>
        </row>
        <row r="2152">
          <cell r="A2152" t="str">
            <v>WBO-327</v>
          </cell>
          <cell r="B2152" t="str">
            <v>קו אלון תבור-נצרת</v>
          </cell>
          <cell r="C2152" t="str">
            <v>קו אלון תבור-נצרת-העתקות תיילים וסיבים אופטיים לפינוי קורות באלון תבור</v>
          </cell>
          <cell r="D2152">
            <v>46387</v>
          </cell>
        </row>
        <row r="2153">
          <cell r="A2153" t="str">
            <v>WBB-053</v>
          </cell>
          <cell r="B2153" t="str">
            <v>קו אלון תבור - עין חרוד</v>
          </cell>
          <cell r="C2153" t="str">
            <v>קו אלון תבור-עין חרוד-uprating של הקו</v>
          </cell>
          <cell r="D2153">
            <v>41637</v>
          </cell>
        </row>
        <row r="2154">
          <cell r="A2154" t="str">
            <v>WBO-090</v>
          </cell>
          <cell r="B2154" t="str">
            <v>קו אלון תבור - עין חרוד</v>
          </cell>
          <cell r="C2154" t="str">
            <v>קו אלון תבור-עין חרוד-שדרוג הקו לסוג 322/32 ACSS</v>
          </cell>
          <cell r="D2154">
            <v>47118</v>
          </cell>
        </row>
        <row r="2155">
          <cell r="A2155" t="str">
            <v>WBO-093-ST2</v>
          </cell>
          <cell r="B2155" t="str">
            <v>קו אלון תבור - עין חרוד</v>
          </cell>
          <cell r="C2155" t="str">
            <v>קו אלון תבור-גבעת המורה-עין חרוד-פירוקים באורך 1.4 ק"מ</v>
          </cell>
          <cell r="D2155">
            <v>46537</v>
          </cell>
        </row>
        <row r="2156">
          <cell r="A2156" t="str">
            <v>WBN-607</v>
          </cell>
          <cell r="B2156" t="str">
            <v>קו איתן-תעשיה אדומים</v>
          </cell>
          <cell r="C2156" t="str">
            <v>קו איתן-תעשיה אדומים- בדיקת ישימות להקמת קו 400 ק"ו והפעלתו ב-161 ק"ו</v>
          </cell>
          <cell r="D2156">
            <v>46752</v>
          </cell>
        </row>
        <row r="2157">
          <cell r="A2157" t="str">
            <v>WBO-525</v>
          </cell>
          <cell r="B2157" t="str">
            <v>קו איתן-צפית</v>
          </cell>
          <cell r="C2157" t="str">
            <v>קו איתן-צפית- בניה מחדש</v>
          </cell>
          <cell r="D2157">
            <v>46386</v>
          </cell>
        </row>
        <row r="2158">
          <cell r="A2158" t="str">
            <v>WBO-606</v>
          </cell>
          <cell r="B2158" t="str">
            <v>קו איתן-צפית</v>
          </cell>
          <cell r="C2158" t="str">
            <v>קו איתן-ק.גת-צפית-עע"א- בנית מעקף</v>
          </cell>
          <cell r="D2158">
            <v>45393</v>
          </cell>
        </row>
        <row r="2159">
          <cell r="A2159" t="str">
            <v>WBO-682</v>
          </cell>
          <cell r="B2159" t="str">
            <v>קו איתן-צפית</v>
          </cell>
          <cell r="C2159" t="str">
            <v>קו איתן-צפית- שדרוג הקו לסוג ACSS Bobolink  725/50*</v>
          </cell>
          <cell r="D2159">
            <v>46387</v>
          </cell>
        </row>
        <row r="2160">
          <cell r="A2160" t="str">
            <v>WBO-525-ST1</v>
          </cell>
          <cell r="B2160" t="str">
            <v>קו איתן-צפית</v>
          </cell>
          <cell r="C2160" t="str">
            <v>קו איתן-צפית--פירוק קו לאור בניה מחדש</v>
          </cell>
          <cell r="D2160">
            <v>46568</v>
          </cell>
        </row>
        <row r="2161">
          <cell r="A2161" t="str">
            <v>WBO-824</v>
          </cell>
          <cell r="B2161" t="str">
            <v>קו איתן-צומת כרמיה</v>
          </cell>
          <cell r="C2161" t="str">
            <v>קו איתן-צומת כרמיה-שדרוג קו לסוג 322/32 ACSS</v>
          </cell>
          <cell r="D2161">
            <v>47118</v>
          </cell>
        </row>
        <row r="2162">
          <cell r="A2162" t="str">
            <v>WBO-824-ST1</v>
          </cell>
          <cell r="B2162" t="str">
            <v>קו איתן-צומת כרמיה</v>
          </cell>
          <cell r="C2162" t="str">
            <v>קו איתן-צומת כרמיה-שדרוג הקו לסוג 322/32 ACSS ל- 200 מעלות  (במעגל הכחול)</v>
          </cell>
          <cell r="D2162">
            <v>46873</v>
          </cell>
        </row>
        <row r="2163">
          <cell r="A2163" t="str">
            <v>WBO-824-ST2</v>
          </cell>
          <cell r="B2163" t="str">
            <v>קו איתן-צומת כרמיה</v>
          </cell>
          <cell r="C2163" t="str">
            <v>קו איתן-צומת כרמיה-שדרוג הקו לסוג 322/32 ACSS ל- 200 מעלות (במעגל הירוק)</v>
          </cell>
          <cell r="D2163">
            <v>47118</v>
          </cell>
        </row>
        <row r="2164">
          <cell r="A2164" t="str">
            <v>WBO-434</v>
          </cell>
          <cell r="B2164" t="str">
            <v>קו איתן-חברון</v>
          </cell>
          <cell r="C2164" t="str">
            <v>קו איתן-חברון-uprating ל-90 מעלות</v>
          </cell>
          <cell r="D2164">
            <v>43585</v>
          </cell>
        </row>
        <row r="2165">
          <cell r="A2165" t="str">
            <v>WBO-575</v>
          </cell>
          <cell r="B2165" t="str">
            <v>קו איתן-חברון</v>
          </cell>
          <cell r="C2165" t="str">
            <v>קו איתן-חברון-uprating ל-100מעלות</v>
          </cell>
          <cell r="D2165">
            <v>44915</v>
          </cell>
        </row>
        <row r="2166">
          <cell r="A2166" t="str">
            <v>WBO-426-ST3</v>
          </cell>
          <cell r="B2166" t="str">
            <v>קו איתן-זמורות</v>
          </cell>
          <cell r="C2166" t="str">
            <v>קו איתן-זמורות-פירוקים</v>
          </cell>
          <cell r="D2166">
            <v>45447</v>
          </cell>
        </row>
        <row r="2167">
          <cell r="A2167" t="str">
            <v>WBO-426-LN2</v>
          </cell>
          <cell r="B2167" t="str">
            <v>קו איתן-זמורות</v>
          </cell>
          <cell r="C2167" t="str">
            <v>קו איתן-זמורות-uprating מזמורות ל-3305</v>
          </cell>
          <cell r="D2167">
            <v>45063</v>
          </cell>
        </row>
        <row r="2168">
          <cell r="A2168" t="str">
            <v>WBO-426</v>
          </cell>
          <cell r="B2168" t="str">
            <v>קו איתן-זמורות</v>
          </cell>
          <cell r="C2168" t="str">
            <v>קו איתן-זמורות-רקונסטרוקציה של קו דו-מעג</v>
          </cell>
          <cell r="D2168">
            <v>45063</v>
          </cell>
        </row>
        <row r="2169">
          <cell r="A2169" t="str">
            <v>WBN-404-ST2</v>
          </cell>
          <cell r="B2169" t="str">
            <v>קו איתן-זיקים-מתקן התפלת מים</v>
          </cell>
          <cell r="C2169" t="str">
            <v>קו איתן-זיקים-מוקפא-מתקן התפלה-העתקת ק"מ</v>
          </cell>
          <cell r="D2169">
            <v>41820</v>
          </cell>
        </row>
        <row r="2170">
          <cell r="A2170" t="str">
            <v>WBO-410</v>
          </cell>
          <cell r="B2170" t="str">
            <v>קו איתן-ב''ש צפון</v>
          </cell>
          <cell r="C2170" t="str">
            <v>קו איתן-ב"ש צפון-הקמת קו דו-מעגלי 161 ק"</v>
          </cell>
          <cell r="D2170">
            <v>43795</v>
          </cell>
        </row>
        <row r="2171">
          <cell r="A2171" t="str">
            <v>WBO-498</v>
          </cell>
          <cell r="B2171" t="str">
            <v>קו איתן-באר שבע-דימונה</v>
          </cell>
          <cell r="C2171" t="str">
            <v>קו איתן-דימונה-עע"א-הקמת טרמינלים</v>
          </cell>
          <cell r="D2171">
            <v>42884</v>
          </cell>
        </row>
        <row r="2172">
          <cell r="A2172" t="str">
            <v>WBO-480</v>
          </cell>
          <cell r="B2172" t="str">
            <v>קו איתן-באר שבע-דימונה</v>
          </cell>
          <cell r="C2172" t="str">
            <v>קו איתן-דימונה-בוטל-upraring ל-100 מעלות</v>
          </cell>
          <cell r="D2172">
            <v>41691</v>
          </cell>
        </row>
        <row r="2173">
          <cell r="A2173" t="str">
            <v>WBO-215</v>
          </cell>
          <cell r="B2173" t="str">
            <v>קו איתן-באר שבע-דימונה</v>
          </cell>
          <cell r="C2173" t="str">
            <v>קו איתן-דימונה-עע"א- הטמנת כבל בא.דימונה</v>
          </cell>
          <cell r="D2173">
            <v>42884</v>
          </cell>
        </row>
        <row r="2174">
          <cell r="A2174" t="str">
            <v>WBO-670</v>
          </cell>
          <cell r="B2174" t="str">
            <v>קו איתן-באר שבע-דימונה</v>
          </cell>
          <cell r="C2174" t="str">
            <v>קו איתן-דימונה-קטע תל שבע-דימונה-קידום סט</v>
          </cell>
          <cell r="D2174">
            <v>46418</v>
          </cell>
        </row>
        <row r="2175">
          <cell r="A2175" t="str">
            <v>WBO-483</v>
          </cell>
          <cell r="B2175" t="str">
            <v>קו איתן-באר שבע-דימונה</v>
          </cell>
          <cell r="C2175" t="str">
            <v>קו איתן-דימונה-בניה מחדש</v>
          </cell>
          <cell r="D2175">
            <v>47056</v>
          </cell>
        </row>
        <row r="2176">
          <cell r="A2176" t="str">
            <v>WBO-483-ST2</v>
          </cell>
          <cell r="B2176" t="str">
            <v>קו איתן-באר שבע-דימונה</v>
          </cell>
          <cell r="C2176" t="str">
            <v>קו איתן-דימונה-אישור תכנית מתאר באזור תל שבע-דימונה, בוטל</v>
          </cell>
        </row>
        <row r="2177">
          <cell r="A2177" t="str">
            <v>WBO-241</v>
          </cell>
          <cell r="B2177" t="str">
            <v>קו איתן-באר שבע-דימונה</v>
          </cell>
          <cell r="C2177" t="str">
            <v>קו איתן-דימונה-הטמנת קטע תת-קרקעי באורך כ- 1.6 ק"מ</v>
          </cell>
          <cell r="D2177">
            <v>46387</v>
          </cell>
        </row>
        <row r="2178">
          <cell r="A2178" t="str">
            <v>WBO-669</v>
          </cell>
          <cell r="B2178" t="str">
            <v>קו איתן-באר שבע-דימונה</v>
          </cell>
          <cell r="C2178" t="str">
            <v>מוקפא - קו איתן-דימונה-העתקה בתוואי חדש במקטעים לקיה ותל שבע</v>
          </cell>
        </row>
        <row r="2179">
          <cell r="A2179" t="str">
            <v>WBO-669-ST2</v>
          </cell>
          <cell r="B2179" t="str">
            <v>קו איתן-באר שבע-דימונה</v>
          </cell>
          <cell r="C2179" t="str">
            <v>קו איתן-דימונה-קידום סטטוטורי -מקטעים לקיה ותל שבע</v>
          </cell>
          <cell r="D2179">
            <v>46568</v>
          </cell>
        </row>
        <row r="2180">
          <cell r="A2180" t="str">
            <v>wbo-255</v>
          </cell>
          <cell r="B2180" t="str">
            <v>קו איתן-באר שבע-דימונה</v>
          </cell>
          <cell r="C2180" t="str">
            <v>קו איתן-דימונה-תכנון הטמנת קטע תת-קרקעי , 0.65 ק"מ</v>
          </cell>
          <cell r="D2180">
            <v>45237</v>
          </cell>
        </row>
        <row r="2181">
          <cell r="A2181" t="str">
            <v>WBO-679</v>
          </cell>
          <cell r="B2181" t="str">
            <v>קו איתן-באר שבע-דימונה</v>
          </cell>
          <cell r="C2181" t="str">
            <v>קו איתן-דימונה-הקמת טרמינלים לחיבור הקטע העילי</v>
          </cell>
          <cell r="D2181">
            <v>46387</v>
          </cell>
        </row>
        <row r="2182">
          <cell r="A2182" t="str">
            <v>WBO-697</v>
          </cell>
          <cell r="B2182" t="str">
            <v>קו איתן-באר שבע-דימונה</v>
          </cell>
          <cell r="C2182" t="str">
            <v>קו איתן-דימונה-הסטת תוואי בעומר-מעמוד 3480 לעמוד 6772</v>
          </cell>
          <cell r="D2182">
            <v>46386</v>
          </cell>
        </row>
        <row r="2183">
          <cell r="A2183" t="str">
            <v>WBO-698</v>
          </cell>
          <cell r="B2183" t="str">
            <v>קו איתן-באר שבע-דימונה</v>
          </cell>
          <cell r="C2183" t="str">
            <v>קו איתן-דימונה-הסטת תוואי בעומר-מעמוד 6772 לאזור עמוד 3475A</v>
          </cell>
          <cell r="D2183">
            <v>46751</v>
          </cell>
        </row>
        <row r="2184">
          <cell r="A2184" t="str">
            <v>WBO-564</v>
          </cell>
          <cell r="B2184" t="str">
            <v>קו איתן- אספקת אוויר</v>
          </cell>
          <cell r="C2184" t="str">
            <v>קו איתן-אספקת אוויר-העתקת עמוד 7977</v>
          </cell>
          <cell r="D2184">
            <v>44896</v>
          </cell>
        </row>
        <row r="2185">
          <cell r="A2185" t="str">
            <v>WBO-605</v>
          </cell>
          <cell r="B2185" t="str">
            <v>קו איתן - אינטל 2</v>
          </cell>
          <cell r="C2185" t="str">
            <v>קו איתן-אספקת אויר-uprating ל-100 מעלות</v>
          </cell>
          <cell r="D2185">
            <v>45374</v>
          </cell>
        </row>
        <row r="2186">
          <cell r="A2186" t="str">
            <v>WBO-577</v>
          </cell>
          <cell r="B2186" t="str">
            <v>קו איתן - אינטל 2</v>
          </cell>
          <cell r="C2186" t="str">
            <v>קו איתן-אינטל 2-שדרוג קו לסוג ACSS 322/32 במעגל לבן*</v>
          </cell>
          <cell r="D2186">
            <v>45638</v>
          </cell>
        </row>
        <row r="2187">
          <cell r="A2187" t="str">
            <v>WBO-844</v>
          </cell>
          <cell r="B2187" t="str">
            <v>קו איתן - אינטל 2</v>
          </cell>
          <cell r="C2187" t="str">
            <v>בוטל קו איתן-אינטל 2-התקנת חיישן טמפרטורה של חברת MICCA במעגל הלבן</v>
          </cell>
        </row>
        <row r="2188">
          <cell r="A2188" t="str">
            <v>WDB-04COM49</v>
          </cell>
          <cell r="B2188" t="str">
            <v>קו אילת-אילת חוף</v>
          </cell>
          <cell r="C2188" t="str">
            <v>קו אילת-אילת חוף-החלפת תייל הארקה</v>
          </cell>
          <cell r="D2188">
            <v>40180</v>
          </cell>
        </row>
        <row r="2189">
          <cell r="A2189" t="str">
            <v>WBO-512</v>
          </cell>
          <cell r="B2189" t="str">
            <v>קו איילון-קריה (טרמינלים)</v>
          </cell>
          <cell r="C2189" t="str">
            <v>העתקת  עמוד 1159 בקו קריה-איילון-עע"א</v>
          </cell>
          <cell r="D2189">
            <v>43220</v>
          </cell>
        </row>
        <row r="2190">
          <cell r="A2190" t="str">
            <v>WBO-583</v>
          </cell>
          <cell r="B2190" t="str">
            <v>קו איילון-קריה (טרמינלים)</v>
          </cell>
          <cell r="C2190" t="str">
            <v>קו איילון-ת"א מזרח-עע"א-העתקת 2 קווי 161</v>
          </cell>
          <cell r="D2190">
            <v>44305</v>
          </cell>
        </row>
        <row r="2191">
          <cell r="A2191" t="str">
            <v>WBH-003-LN5</v>
          </cell>
          <cell r="B2191" t="str">
            <v>קו איילון-פתח תקוה</v>
          </cell>
          <cell r="C2191" t="str">
            <v>קו איילון-פתח תקוה- השלמת קטע קו 400 ק"ו</v>
          </cell>
          <cell r="D2191">
            <v>41670</v>
          </cell>
        </row>
        <row r="2192">
          <cell r="A2192" t="str">
            <v>WBH-003-LN6</v>
          </cell>
          <cell r="B2192" t="str">
            <v>קו איילון-פתח תקוה</v>
          </cell>
          <cell r="C2192" t="str">
            <v>קו איילון-פתח תקוה-פרוק עמודים</v>
          </cell>
          <cell r="D2192">
            <v>41669</v>
          </cell>
        </row>
        <row r="2193">
          <cell r="A2193" t="str">
            <v>WBN-405-ST2</v>
          </cell>
          <cell r="B2193" t="str">
            <v>קו איילון-פתח תקוה</v>
          </cell>
          <cell r="C2193" t="str">
            <v>קו איילון-פ"ת-הפעלת מעגל שני ב-400</v>
          </cell>
          <cell r="D2193">
            <v>44890</v>
          </cell>
        </row>
        <row r="2194">
          <cell r="A2194" t="str">
            <v>WBN-411</v>
          </cell>
          <cell r="B2194" t="str">
            <v>קו איילון-פתח תקוה</v>
          </cell>
          <cell r="C2194" t="str">
            <v>קו איילון-פתח תקווה-השלמת קו בכניסה לפ"ת</v>
          </cell>
          <cell r="D2194">
            <v>42338</v>
          </cell>
        </row>
        <row r="2195">
          <cell r="A2195" t="str">
            <v>WBN-405</v>
          </cell>
          <cell r="B2195" t="str">
            <v>קו איילון-פתח תקוה</v>
          </cell>
          <cell r="C2195" t="str">
            <v>קו איילון-פתח תקוה-הפעלת  מעגל  ב-400</v>
          </cell>
          <cell r="D2195">
            <v>42338</v>
          </cell>
        </row>
        <row r="2196">
          <cell r="A2196" t="str">
            <v>WBN-200</v>
          </cell>
          <cell r="B2196" t="str">
            <v>קו איילון-פתח תקוה</v>
          </cell>
          <cell r="C2196" t="str">
            <v>בוטל - קו איילון-פ"ת-שולב ב-wbn-450הקמת קטע תת קרקעי 400 ק"ו</v>
          </cell>
        </row>
        <row r="2197">
          <cell r="A2197" t="str">
            <v>WBO-413-LN1</v>
          </cell>
          <cell r="B2197" t="str">
            <v>קו איילון-עתידים</v>
          </cell>
          <cell r="C2197" t="str">
            <v>קו איילון-עתידים-הצמדת מעגלים וקו חד-מעג</v>
          </cell>
          <cell r="D2197">
            <v>42180</v>
          </cell>
        </row>
        <row r="2198">
          <cell r="A2198" t="str">
            <v>WBO-499</v>
          </cell>
          <cell r="B2198" t="str">
            <v>קו איילון-אור יהודה</v>
          </cell>
          <cell r="C2198" t="str">
            <v>קו איילון-אור יהודה-uprating ל-100 מעלות</v>
          </cell>
          <cell r="D2198">
            <v>43940</v>
          </cell>
        </row>
        <row r="2199">
          <cell r="A2199" t="str">
            <v>WBO-044</v>
          </cell>
          <cell r="B2199" t="str">
            <v>קו אור עקיבא-קיסריה</v>
          </cell>
          <cell r="C2199" t="str">
            <v>קו אור עקיבא-קיסריה-פעילות סטאטוטורית</v>
          </cell>
          <cell r="D2199">
            <v>43139</v>
          </cell>
        </row>
        <row r="2200">
          <cell r="A2200" t="str">
            <v>WBO-218</v>
          </cell>
          <cell r="B2200" t="str">
            <v>קו אור יהודה-בארות יצחק</v>
          </cell>
          <cell r="C2200" t="str">
            <v>קו א.הודה-בארות יצחק-בוטל-כבלים בא.יהודה</v>
          </cell>
          <cell r="D2200">
            <v>40178</v>
          </cell>
        </row>
        <row r="2201">
          <cell r="A2201" t="str">
            <v>WBO-408</v>
          </cell>
          <cell r="B2201" t="str">
            <v>קו אור יהודה-בארות יצחק</v>
          </cell>
          <cell r="C2201" t="str">
            <v>קו אור יהודה-בארות יצחק-רקונס. של קטע קו</v>
          </cell>
          <cell r="D2201">
            <v>43900</v>
          </cell>
        </row>
        <row r="2202">
          <cell r="A2202" t="str">
            <v>WBO-217</v>
          </cell>
          <cell r="B2202" t="str">
            <v>קו אור יהודה-בארות יצחק</v>
          </cell>
          <cell r="C2202" t="str">
            <v>קו א.יהודה-בא.יצחק-כבלים ביהוד וא.יהודה</v>
          </cell>
          <cell r="D2202">
            <v>43819</v>
          </cell>
        </row>
        <row r="2203">
          <cell r="A2203" t="str">
            <v>WBO-408-ST3</v>
          </cell>
          <cell r="B2203" t="str">
            <v>קו אור יהודה-בארות יצחק</v>
          </cell>
          <cell r="C2203" t="str">
            <v>קו אור יהודה-בארות יצחק-טרמינלים</v>
          </cell>
          <cell r="D2203">
            <v>43819</v>
          </cell>
        </row>
        <row r="2204">
          <cell r="A2204" t="str">
            <v>WBO-408-ST2</v>
          </cell>
          <cell r="B2204" t="str">
            <v>קו אור יהודה-בארות יצחק</v>
          </cell>
          <cell r="C2204" t="str">
            <v>קו אור יהודה-בארות יצחק-הקמת טרמינלים</v>
          </cell>
          <cell r="D2204">
            <v>43819</v>
          </cell>
        </row>
        <row r="2205">
          <cell r="A2205" t="str">
            <v>WBO-833</v>
          </cell>
          <cell r="B2205" t="str">
            <v>קו אופקים-שדרות</v>
          </cell>
          <cell r="C2205" t="str">
            <v>קו אופקים–שדרות - שדרוג הקו לסוג 322/32 ACSS</v>
          </cell>
          <cell r="D2205">
            <v>47299</v>
          </cell>
        </row>
        <row r="2206">
          <cell r="A2206" t="str">
            <v>WBO-572</v>
          </cell>
          <cell r="B2206" t="str">
            <v>קו אופקים-שדרות</v>
          </cell>
          <cell r="C2206" t="str">
            <v>קו אופקים-שדרות--שינוי סכמת ח.שדרות</v>
          </cell>
          <cell r="D2206">
            <v>45790</v>
          </cell>
        </row>
        <row r="2207">
          <cell r="A2207" t="str">
            <v>WBO-833-ST2</v>
          </cell>
          <cell r="B2207" t="str">
            <v>קו אופקים-שדרות</v>
          </cell>
          <cell r="C2207" t="str">
            <v>קו אופקים-שדרות-מקטע בין יכיני למלילות:</v>
          </cell>
          <cell r="D2207">
            <v>46752</v>
          </cell>
        </row>
        <row r="2208">
          <cell r="A2208" t="str">
            <v>WBO-584</v>
          </cell>
          <cell r="B2208" t="str">
            <v>קו אופקים-שדרות</v>
          </cell>
          <cell r="C2208" t="str">
            <v>קו אופקים-שדרות-UPRATING של קטע קו</v>
          </cell>
          <cell r="D2208">
            <v>44479</v>
          </cell>
        </row>
        <row r="2209">
          <cell r="A2209" t="str">
            <v>WBO-833-ST1</v>
          </cell>
          <cell r="B2209" t="str">
            <v>קו אופקים-שדרות</v>
          </cell>
          <cell r="C2209" t="str">
            <v>קו אופקים-שדרות-מקטע בין שדרות ליכיני</v>
          </cell>
          <cell r="D2209">
            <v>46387</v>
          </cell>
        </row>
        <row r="2210">
          <cell r="A2210" t="str">
            <v>WBO-833-ST3</v>
          </cell>
          <cell r="B2210" t="str">
            <v>קו אופקים-שדרות</v>
          </cell>
          <cell r="C2210" t="str">
            <v>קו אופקים-שדרות-מקטע בין מלילות לאופקים:</v>
          </cell>
          <cell r="D2210">
            <v>47299</v>
          </cell>
        </row>
        <row r="2211">
          <cell r="A2211" t="str">
            <v>WBO-827</v>
          </cell>
          <cell r="B2211" t="str">
            <v>קו אופקים-באר שבע מערב</v>
          </cell>
          <cell r="C2211" t="str">
            <v>קו אופקים-באר שבע מערב- שדרוג הקו לסוג 322/32 ACSS</v>
          </cell>
          <cell r="D2211">
            <v>46934</v>
          </cell>
        </row>
        <row r="2212">
          <cell r="A2212" t="str">
            <v>WBO-141</v>
          </cell>
          <cell r="B2212" t="str">
            <v>קו אבן ספיר-שער הגיא</v>
          </cell>
          <cell r="C2212" t="str">
            <v>קו אבן ספיר-שער הגיא-uprating מע' ירוק</v>
          </cell>
          <cell r="D2212">
            <v>46387</v>
          </cell>
        </row>
        <row r="2213">
          <cell r="A2213" t="str">
            <v>WBO-109</v>
          </cell>
          <cell r="B2213" t="str">
            <v>קו אבן ספיר-ירושלים ב' 161 ק''ו</v>
          </cell>
          <cell r="C2213" t="str">
            <v>כביש 16 (עע"א)-העתקת קווים</v>
          </cell>
          <cell r="D2213">
            <v>43464</v>
          </cell>
        </row>
        <row r="2214">
          <cell r="A2214" t="str">
            <v>WBN-617</v>
          </cell>
          <cell r="B2214" t="str">
            <v>קו אבן ספיר-חרובית</v>
          </cell>
          <cell r="C2214" t="str">
            <v>קו אבן ספיר-חרובית-החלפת מבדדים בקו 400 ק"ו</v>
          </cell>
          <cell r="D2214">
            <v>47299</v>
          </cell>
        </row>
        <row r="2215">
          <cell r="A2215" t="str">
            <v>WBO-146</v>
          </cell>
          <cell r="B2215" t="str">
            <v>קו אבן ספיר -(גבעת שאול)-ירושל</v>
          </cell>
          <cell r="C2215" t="str">
            <v>קו אבן ספיר -ג.שאול -י-ם ד-בוטל-ל-acss</v>
          </cell>
        </row>
        <row r="2216">
          <cell r="A2216" t="str">
            <v>WBO-104</v>
          </cell>
          <cell r="B2216" t="str">
            <v>קו אבן ספיר - צפית</v>
          </cell>
          <cell r="C2216" t="str">
            <v>קו אבן ספיר-צפית-ירושלים-uprating</v>
          </cell>
          <cell r="D2216">
            <v>43100</v>
          </cell>
        </row>
        <row r="2217">
          <cell r="A2217">
            <v>4515</v>
          </cell>
          <cell r="B2217" t="str">
            <v>קו 400 ק''ו צפית-רוטנברג</v>
          </cell>
          <cell r="C2217" t="str">
            <v>קו 400 ק"ו צפית-רוטנברג- uprating</v>
          </cell>
          <cell r="D2217">
            <v>41589</v>
          </cell>
        </row>
        <row r="2218">
          <cell r="A2218" t="str">
            <v>WDB-04COM62</v>
          </cell>
          <cell r="B2218" t="str">
            <v>קו 400 ק''ו צפית-רוטנברג</v>
          </cell>
          <cell r="C2218" t="str">
            <v>קו 400 ק"ו צפית-רוטנברג-החלפת תייל הארקה</v>
          </cell>
          <cell r="D2218">
            <v>42855</v>
          </cell>
        </row>
        <row r="2219">
          <cell r="A2219" t="str">
            <v>WDB-04COM2</v>
          </cell>
          <cell r="B2219" t="str">
            <v>קו 400 ק''ו צפית-רוטנברג</v>
          </cell>
          <cell r="C2219" t="str">
            <v>קו 400 ק"ו צפית-רוטנברג</v>
          </cell>
          <cell r="D2219">
            <v>41589</v>
          </cell>
        </row>
        <row r="2220">
          <cell r="A2220" t="str">
            <v>WBN-413-ST1</v>
          </cell>
          <cell r="B2220" t="str">
            <v>קו 400 ק''ו צפית-גזר</v>
          </cell>
          <cell r="C2220" t="str">
            <v>קו 400 ק"ו צפית-גזר-  uprating.</v>
          </cell>
          <cell r="D2220">
            <v>42551</v>
          </cell>
        </row>
        <row r="2221">
          <cell r="A2221" t="str">
            <v>WBN-417</v>
          </cell>
          <cell r="B2221" t="str">
            <v>קו 400 ק''ו צפית-גזר</v>
          </cell>
          <cell r="C2221" t="str">
            <v>קו צפית-גזר- 400 ק"ו שני</v>
          </cell>
          <cell r="D2221">
            <v>45646</v>
          </cell>
        </row>
        <row r="2222">
          <cell r="A2222" t="str">
            <v>WBN-413</v>
          </cell>
          <cell r="B2222" t="str">
            <v>קו 400 ק''ו צפית-גזר</v>
          </cell>
          <cell r="C2222" t="str">
            <v>קו 400 ק"ו צפית-גזר- uprating.40124-4012</v>
          </cell>
          <cell r="D2222">
            <v>43965</v>
          </cell>
        </row>
        <row r="2223">
          <cell r="A2223" t="str">
            <v>WBN-101</v>
          </cell>
          <cell r="B2223" t="str">
            <v>קו 400 ק''ו ירושלים-צפית</v>
          </cell>
          <cell r="C2223" t="str">
            <v>קו 400 ק"ו ירושלים-צפית-מקטע 1- טל שחר-בית שמש (מאזור עמוד 43318 עד אזור עמוד 9130)</v>
          </cell>
          <cell r="D2223">
            <v>48213</v>
          </cell>
        </row>
        <row r="2224">
          <cell r="A2224" t="str">
            <v>WBN-101-ST1</v>
          </cell>
          <cell r="B2224" t="str">
            <v>קו 400 ק''ו ירושלים-צפית</v>
          </cell>
          <cell r="C2224" t="str">
            <v>קו 400 ק"ו ירושלים-צפית-מחוז י-ם--שולב ב-wbt-039-סטטוטור</v>
          </cell>
        </row>
        <row r="2225">
          <cell r="A2225" t="str">
            <v>WBN-414-ST1</v>
          </cell>
          <cell r="B2225" t="str">
            <v>קו 400 ק''ו ירושלים-צפית</v>
          </cell>
          <cell r="C2225" t="str">
            <v>קו 400 ירושלים-צפית-בוטל-מחוז דרום-סטט</v>
          </cell>
          <cell r="D2225">
            <v>43646</v>
          </cell>
        </row>
        <row r="2226">
          <cell r="A2226" t="str">
            <v>WBN-414</v>
          </cell>
          <cell r="B2226" t="str">
            <v>קו 400 ק''ו ירושלים-צפית</v>
          </cell>
          <cell r="C2226" t="str">
            <v>קו 400 ק"ו ירושלים-צפית-בוטל-מחוז דרום</v>
          </cell>
          <cell r="D2226">
            <v>44500</v>
          </cell>
        </row>
        <row r="2227">
          <cell r="A2227" t="str">
            <v>WBN-106</v>
          </cell>
          <cell r="B2227" t="str">
            <v>קו 400 ק''ו ירושלים-צפית</v>
          </cell>
          <cell r="C2227" t="str">
            <v>קו 400 ק"ו ירושלים-צפית-מקטע 2-בית שמש- שמורת דולב (מאזור עמוד 9130 עד אזור עמוד 41849)</v>
          </cell>
          <cell r="D2227">
            <v>48213</v>
          </cell>
        </row>
        <row r="2228">
          <cell r="A2228" t="str">
            <v>WBN-107</v>
          </cell>
          <cell r="B2228" t="str">
            <v>קו 400 ק''ו ירושלים-צפית</v>
          </cell>
          <cell r="C2228" t="str">
            <v>קו 400 ק"ו ירושלים-צפית-מקטע 3-שמורת דולב-תחמ"ג אבן ספיר (מאזור עמוד 41849 עד תחמ"ג אבן ספיר)</v>
          </cell>
          <cell r="D2228">
            <v>48213</v>
          </cell>
        </row>
        <row r="2229">
          <cell r="A2229" t="str">
            <v>WBN-108</v>
          </cell>
          <cell r="B2229" t="str">
            <v>קו 400 ק''ו ירושלים-צפית</v>
          </cell>
          <cell r="C2229" t="str">
            <v>קו 400 ק"ו ירושלים-צפית-מקטע 4-תחמ"ג אבן ספיר- תחמ"ג ירושלים</v>
          </cell>
          <cell r="D2229">
            <v>48213</v>
          </cell>
        </row>
        <row r="2230">
          <cell r="A2230" t="str">
            <v>WBN-423</v>
          </cell>
          <cell r="B2230" t="str">
            <v>קו 400 ק''ו חוצה גוש דן</v>
          </cell>
          <cell r="C2230" t="str">
            <v>קו 400 חוצה גוש דן-הכנת תוכנית מתאר</v>
          </cell>
          <cell r="D2230">
            <v>43707</v>
          </cell>
        </row>
        <row r="2231">
          <cell r="A2231" t="str">
            <v>WBN-010</v>
          </cell>
          <cell r="B2231" t="str">
            <v>קו 400 ק''ו זבולון-יבור</v>
          </cell>
          <cell r="C2231" t="str">
            <v>קו 400 ק"ו זבולון-יבור-בוטל-קידום סטאטוטורי</v>
          </cell>
        </row>
        <row r="2232">
          <cell r="A2232" t="str">
            <v>WBN-425</v>
          </cell>
          <cell r="B2232" t="str">
            <v>קו 400 ק''ו גן שורק-איילון</v>
          </cell>
          <cell r="C2232" t="str">
            <v>קו 400 ק"ו גן שורק-איילון-שדרוג קו 400 ק"ו לסוג 3*322/32 ACSS</v>
          </cell>
          <cell r="D2232">
            <v>47848</v>
          </cell>
        </row>
        <row r="2233">
          <cell r="A2233" t="str">
            <v>WBN-438</v>
          </cell>
          <cell r="B2233" t="str">
            <v>קו 400 ק''ו גן שורק-איילון</v>
          </cell>
          <cell r="C2233" t="str">
            <v>קו 400 ק"ו גן שורק-איילון-עע"א-העת.41171</v>
          </cell>
          <cell r="D2233">
            <v>44291</v>
          </cell>
        </row>
        <row r="2234">
          <cell r="A2234" t="str">
            <v>WBN-410</v>
          </cell>
          <cell r="B2234" t="str">
            <v>קו 400 ק''ו גזר-קאסם</v>
          </cell>
          <cell r="C2234" t="str">
            <v>קו גזר-קסם- הקמת קו דו-מעגלי 400 ק"ו שני בפרוזדור הקו הקיים</v>
          </cell>
          <cell r="D2234">
            <v>46752</v>
          </cell>
        </row>
        <row r="2235">
          <cell r="A2235" t="str">
            <v>WBN-420</v>
          </cell>
          <cell r="B2235" t="str">
            <v>קו 400 ק''ו גזר-קאסם</v>
          </cell>
          <cell r="C2235" t="str">
            <v>קו גזר-קאסם--מוקפא-קטע תת-קרקעי  400 ק"ו</v>
          </cell>
        </row>
        <row r="2236">
          <cell r="A2236" t="str">
            <v>WBN-412</v>
          </cell>
          <cell r="B2236" t="str">
            <v>קו 400 ק''ו גזר-פ''ת</v>
          </cell>
          <cell r="C2236" t="str">
            <v>קו 400 ק"ו גזר-פ"ת-uprating באורך 32 ק"מ</v>
          </cell>
          <cell r="D2236">
            <v>43447</v>
          </cell>
        </row>
        <row r="2237">
          <cell r="A2237" t="str">
            <v>WBN-439</v>
          </cell>
          <cell r="B2237" t="str">
            <v>קו 400 ק''ו גזר-פ''ת</v>
          </cell>
          <cell r="C2237" t="str">
            <v>קו 400 ק"ו גזר-פ.תקוה -uprating מע' כחול</v>
          </cell>
          <cell r="D2237">
            <v>46387</v>
          </cell>
        </row>
        <row r="2238">
          <cell r="A2238" t="str">
            <v>WBN-447</v>
          </cell>
          <cell r="B2238" t="str">
            <v>קו 400 ק''ו גזר-חרובית/ב.טוביה</v>
          </cell>
          <cell r="C2238" t="str">
            <v>קו 400 גזר-חרובית/באר טוביה-עע"א-ה 40104</v>
          </cell>
          <cell r="D2238">
            <v>45646</v>
          </cell>
        </row>
        <row r="2239">
          <cell r="A2239" t="str">
            <v>WBN-601</v>
          </cell>
          <cell r="B2239" t="str">
            <v>קו 400 ק"ו תקומה(שקמה)-גן שורק</v>
          </cell>
          <cell r="C2239" t="str">
            <v>קו 400 ק"ו תקומה(שקמה)-גן שורק-קטע קו תקומה(שקמה)-ניר גלים-הקמת קו דו-מעגלי-47 ק"מ</v>
          </cell>
          <cell r="D2239">
            <v>48699</v>
          </cell>
        </row>
        <row r="2240">
          <cell r="A2240" t="str">
            <v>WBN-601-ST2</v>
          </cell>
          <cell r="B2240" t="str">
            <v>קו 400 ק"ו תקומה(שקמה)-גן שורק</v>
          </cell>
          <cell r="C2240" t="str">
            <v>קו 400 ק"ו תקומה(שקמה)-גן שורק-שולב ב-wbt-003-קידום סטטוטורי-קידום תוכנית מתאר</v>
          </cell>
        </row>
        <row r="2241">
          <cell r="A2241" t="str">
            <v>WBO-838-ST2</v>
          </cell>
          <cell r="B2241" t="str">
            <v>קו 400 ק"ו תקומה(שקמה)-גן שורק</v>
          </cell>
          <cell r="C2241" t="str">
            <v>קו 400 ק"ו תקומה(שקמה)-גן שורק-שולב ב-wbt-003-קידום תוכנית מתאר</v>
          </cell>
        </row>
        <row r="2242">
          <cell r="A2242" t="str">
            <v>WBN-618</v>
          </cell>
          <cell r="B2242" t="str">
            <v>קו 400 ק"ו תקומה(שקמה)-גן שורק</v>
          </cell>
          <cell r="C2242" t="str">
            <v>קו 400 ק"ו תקומה(שקמה)-גן שורק-קטע ניר גלים-גן שורק -הקמת קו דו-מעגלי 400 ק"ו, 13 ק"מ והפעלתו ב-161 ק"ו בשלב ראשון</v>
          </cell>
          <cell r="D2242">
            <v>47847</v>
          </cell>
        </row>
        <row r="2243">
          <cell r="A2243" t="str">
            <v>WBN-608</v>
          </cell>
          <cell r="B2243" t="str">
            <v>קו 400 ק"ו פתח תקוה-עתידים</v>
          </cell>
          <cell r="C2243" t="str">
            <v>מעגל פתח תקוה-עתידים-שדרוג קו  400 ק"ו  לסוג 3*322/32 ACSS</v>
          </cell>
          <cell r="D2243">
            <v>47664</v>
          </cell>
        </row>
        <row r="2244">
          <cell r="A2244" t="str">
            <v>WBN-609</v>
          </cell>
          <cell r="B2244" t="str">
            <v>קו 400 ק"ו פתח תקוה-עתידים</v>
          </cell>
          <cell r="C2244" t="str">
            <v>מעגל פתח תקווה-עתידים-אפרייטינג ל-100 מעלות קטע קו עתידים עד עמוד 40281</v>
          </cell>
          <cell r="D2244">
            <v>47664</v>
          </cell>
        </row>
        <row r="2245">
          <cell r="A2245" t="str">
            <v>WBN-016</v>
          </cell>
          <cell r="B2245" t="str">
            <v>קו 400 ק"ו מבואות גלבוע-קאסם/פ</v>
          </cell>
          <cell r="C2245" t="str">
            <v>קו 400 ק"ו מבואות גלבוע-קסם/פ"ת- קידום סטטוטורי בלבד של קו שלישי</v>
          </cell>
          <cell r="D2245">
            <v>46387</v>
          </cell>
        </row>
        <row r="2246">
          <cell r="A2246" t="str">
            <v>WBN-450</v>
          </cell>
          <cell r="B2246" t="str">
            <v>קו 400 ק"ו גן שורק-איילון-דן(ת</v>
          </cell>
          <cell r="C2246" t="str">
            <v>קו 400 ק"ו גן שורק-איילון-דן(תת"ל 110)-ה</v>
          </cell>
          <cell r="D2246">
            <v>50040</v>
          </cell>
        </row>
        <row r="2247">
          <cell r="A2247" t="str">
            <v>WBN-449</v>
          </cell>
          <cell r="B2247" t="str">
            <v>קו 400 ק"ו גן שורק-איילון-דן(ת</v>
          </cell>
          <cell r="C2247" t="str">
            <v>קו 400 ק"ו גן שורק-דן -הקמת קו 400 ק"ו דו-מעגלי תת"ק</v>
          </cell>
          <cell r="D2247">
            <v>50040</v>
          </cell>
        </row>
        <row r="2248">
          <cell r="A2248" t="str">
            <v>WBN-415</v>
          </cell>
          <cell r="B2248" t="str">
            <v>קו 400  ק''ו קיסריה-חפר</v>
          </cell>
          <cell r="C2248" t="str">
            <v>קו גזר -חפר, פתח תקוה-קיסריה: מסעף לחפר4</v>
          </cell>
          <cell r="D2248">
            <v>46873</v>
          </cell>
        </row>
        <row r="2249">
          <cell r="A2249" t="str">
            <v>WBN-007-LN2</v>
          </cell>
          <cell r="B2249" t="str">
            <v>קו 400  ק''ו קיסריה-חפר</v>
          </cell>
          <cell r="C2249" t="str">
            <v>קטע קיסריה-תנובות-הפעלה ב-400--בוטל</v>
          </cell>
          <cell r="D2249">
            <v>41701</v>
          </cell>
        </row>
        <row r="2250">
          <cell r="A2250" t="str">
            <v>WBN-416-LN2</v>
          </cell>
          <cell r="B2250" t="str">
            <v>קו 400  ק''ו קיסריה-חפר</v>
          </cell>
          <cell r="C2250" t="str">
            <v>קטע קיסריה-תנובות-הפעלה-400-כביש57-תנובו</v>
          </cell>
          <cell r="D2250">
            <v>43981</v>
          </cell>
        </row>
        <row r="2251">
          <cell r="A2251" t="str">
            <v>WBN-415-ST1</v>
          </cell>
          <cell r="B2251" t="str">
            <v>קו 400  ק''ו קיסריה-חפר</v>
          </cell>
          <cell r="C2251" t="str">
            <v>קו גזר -חפר, פתח תקוה-קיסריה: מסעף לחפר-פירוקים</v>
          </cell>
          <cell r="D2251">
            <v>47057</v>
          </cell>
        </row>
        <row r="2252">
          <cell r="A2252" t="str">
            <v>WBC-113</v>
          </cell>
          <cell r="B2252" t="str">
            <v>קדמת השרון</v>
          </cell>
          <cell r="C2252" t="str">
            <v>קדמת השרון-הקמת תחמ"ש פנימית 161/24 ק"ו</v>
          </cell>
          <cell r="D2252">
            <v>48151</v>
          </cell>
        </row>
        <row r="2253">
          <cell r="A2253" t="str">
            <v>WBC-081</v>
          </cell>
          <cell r="B2253" t="str">
            <v>קדימה</v>
          </cell>
          <cell r="C2253" t="str">
            <v>קדימה- הקמת תחמ"ש פנימית</v>
          </cell>
          <cell r="D2253">
            <v>47482</v>
          </cell>
        </row>
        <row r="2254">
          <cell r="A2254">
            <v>372801</v>
          </cell>
          <cell r="B2254" t="str">
            <v>קדומים</v>
          </cell>
          <cell r="C2254" t="str">
            <v>קדומים- הקמת תחמ"ש חיציונית 161/36 ק"ו</v>
          </cell>
          <cell r="D2254">
            <v>40681</v>
          </cell>
        </row>
        <row r="2255">
          <cell r="A2255" t="str">
            <v>HIS-012</v>
          </cell>
          <cell r="B2255" t="str">
            <v>צפת</v>
          </cell>
          <cell r="C2255" t="str">
            <v>צפת</v>
          </cell>
          <cell r="D2255">
            <v>40908</v>
          </cell>
        </row>
        <row r="2256">
          <cell r="A2256" t="str">
            <v>WBE-107</v>
          </cell>
          <cell r="B2256" t="str">
            <v>צפת</v>
          </cell>
          <cell r="C2256" t="str">
            <v>צפת-מוקפא-החלפת שנאי  33 ל-50 מגוו"א</v>
          </cell>
          <cell r="D2256">
            <v>44742</v>
          </cell>
        </row>
        <row r="2257">
          <cell r="A2257" t="str">
            <v>WDB-04COM10</v>
          </cell>
          <cell r="B2257" t="str">
            <v>צפת</v>
          </cell>
          <cell r="C2257" t="str">
            <v>צפת-הנחת כבל סיב אופטי OPGW (לגליל)</v>
          </cell>
          <cell r="D2257">
            <v>46537</v>
          </cell>
        </row>
        <row r="2258">
          <cell r="A2258" t="str">
            <v>WBM-40323</v>
          </cell>
          <cell r="B2258" t="str">
            <v>צפת</v>
          </cell>
          <cell r="C2258" t="str">
            <v>צפת - התאמת שדות 5,7-8,11 ליכולת  1440 א'.</v>
          </cell>
          <cell r="D2258">
            <v>47118</v>
          </cell>
        </row>
        <row r="2259">
          <cell r="A2259" t="str">
            <v>WBM-40311</v>
          </cell>
          <cell r="B2259" t="str">
            <v>צפת</v>
          </cell>
          <cell r="C2259" t="str">
            <v>צפת - התאמה שדה 3 ליכולת  1600 א' שדה 2 החלפת מ""מ פ""צ</v>
          </cell>
          <cell r="D2259">
            <v>46295</v>
          </cell>
        </row>
        <row r="2260">
          <cell r="A2260" t="str">
            <v>WBM-00580</v>
          </cell>
          <cell r="B2260" t="str">
            <v>צפת</v>
          </cell>
          <cell r="C2260" t="str">
            <v>צפת-שולב - התאמת שדה קיים לכנרות לשדה לגליל</v>
          </cell>
          <cell r="D2260">
            <v>43831</v>
          </cell>
        </row>
        <row r="2261">
          <cell r="A2261" t="str">
            <v>WBM-00313</v>
          </cell>
          <cell r="B2261" t="str">
            <v>צפת</v>
          </cell>
          <cell r="C2261" t="str">
            <v>צפת - החלפת סליל כיבוי של שנאי 524</v>
          </cell>
          <cell r="D2261">
            <v>46203</v>
          </cell>
        </row>
        <row r="2262">
          <cell r="A2262" t="str">
            <v>WBM-40488</v>
          </cell>
          <cell r="B2262" t="str">
            <v>צפת</v>
          </cell>
          <cell r="C2262" t="str">
            <v>צפת - משיק ל-  WBO-086 שדות 5+11 התאמת פורטלים</v>
          </cell>
          <cell r="D2262">
            <v>47118</v>
          </cell>
        </row>
        <row r="2263">
          <cell r="A2263" t="str">
            <v>WBM-00558</v>
          </cell>
          <cell r="B2263" t="str">
            <v>צפת</v>
          </cell>
          <cell r="C2263" t="str">
            <v>צפת - הזנת תאורת חירום ז"י.</v>
          </cell>
          <cell r="D2263">
            <v>46188</v>
          </cell>
        </row>
        <row r="2264">
          <cell r="A2264" t="str">
            <v>WBM-40184</v>
          </cell>
          <cell r="B2264" t="str">
            <v>צפת</v>
          </cell>
          <cell r="C2264" t="str">
            <v>צפת - בוטל - החלפת 20 הגנות מ"ג</v>
          </cell>
          <cell r="D2264">
            <v>43831</v>
          </cell>
        </row>
        <row r="2265">
          <cell r="A2265" t="str">
            <v>WBM-60063</v>
          </cell>
          <cell r="B2265" t="str">
            <v>צפת</v>
          </cell>
          <cell r="C2265" t="str">
            <v>צפת - עיגון ארונות פיקוד ושנאים</v>
          </cell>
          <cell r="D2265">
            <v>46203</v>
          </cell>
        </row>
        <row r="2266">
          <cell r="A2266" t="str">
            <v>WBM-40185</v>
          </cell>
          <cell r="B2266" t="str">
            <v>צפת</v>
          </cell>
          <cell r="C2266" t="str">
            <v>צפת - החלפת ציוד בשדות 14+12+10+9+6</v>
          </cell>
          <cell r="D2266">
            <v>46752</v>
          </cell>
        </row>
        <row r="2267">
          <cell r="A2267" t="str">
            <v>WBM-00557</v>
          </cell>
          <cell r="B2267" t="str">
            <v>צפת</v>
          </cell>
          <cell r="C2267" t="str">
            <v>צפת - בוטל החלפת מגיני ברק מ"ג של השנאים.</v>
          </cell>
          <cell r="D2267">
            <v>43861</v>
          </cell>
        </row>
        <row r="2268">
          <cell r="A2268" t="str">
            <v>WBM-00108</v>
          </cell>
          <cell r="B2268" t="str">
            <v>צפת</v>
          </cell>
          <cell r="C2268" t="str">
            <v>צפת - החלפת גדר רשת רגילה בהיקף התחמ"ש.</v>
          </cell>
          <cell r="D2268">
            <v>45908</v>
          </cell>
        </row>
        <row r="2269">
          <cell r="A2269" t="str">
            <v>WBM-10250</v>
          </cell>
          <cell r="B2269" t="str">
            <v>צפת</v>
          </cell>
          <cell r="C2269" t="str">
            <v>צפת - החלפת משנק בשדה 3 - משיק wbo-056</v>
          </cell>
          <cell r="D2269">
            <v>46203</v>
          </cell>
        </row>
        <row r="2270">
          <cell r="A2270" t="str">
            <v>WBM-10194</v>
          </cell>
          <cell r="B2270" t="str">
            <v>צפת</v>
          </cell>
          <cell r="C2270" t="str">
            <v>צפת--משיק לאר"ן שד. 9+3 התאמת שדות</v>
          </cell>
          <cell r="D2270">
            <v>45600</v>
          </cell>
        </row>
        <row r="2271">
          <cell r="A2271" t="str">
            <v>WBM-10188</v>
          </cell>
          <cell r="B2271" t="str">
            <v>צפת</v>
          </cell>
          <cell r="C2271" t="str">
            <v>צפת - שולב- החלפת משנק בשדה 11 - משיק ל WBO-023</v>
          </cell>
        </row>
        <row r="2272">
          <cell r="A2272" t="str">
            <v>WBM-60098</v>
          </cell>
          <cell r="B2272" t="str">
            <v>צפת</v>
          </cell>
          <cell r="C2272" t="str">
            <v>צפת - כיסוי תעלות ניקוז</v>
          </cell>
          <cell r="D2272">
            <v>44910</v>
          </cell>
        </row>
        <row r="2273">
          <cell r="A2273" t="str">
            <v>WBM-00829</v>
          </cell>
          <cell r="B2273" t="str">
            <v>צפת</v>
          </cell>
          <cell r="C2273" t="str">
            <v>צפת - התקנת מערכת טמ"ס</v>
          </cell>
          <cell r="D2273">
            <v>44406</v>
          </cell>
        </row>
        <row r="2274">
          <cell r="A2274" t="str">
            <v>WBM-01219</v>
          </cell>
          <cell r="B2274" t="str">
            <v>צפת</v>
          </cell>
          <cell r="C2274" t="str">
            <v>צפת-החלפת רושמי הפרעות INDACTIC</v>
          </cell>
          <cell r="D2274">
            <v>43345</v>
          </cell>
        </row>
        <row r="2275">
          <cell r="A2275" t="str">
            <v>WBG-092-017</v>
          </cell>
          <cell r="B2275" t="str">
            <v>צפת</v>
          </cell>
          <cell r="C2275" t="str">
            <v>צפת-שדרוג הגנת מרחק REL316*4</v>
          </cell>
          <cell r="D2275">
            <v>41881</v>
          </cell>
        </row>
        <row r="2276">
          <cell r="A2276" t="str">
            <v>WBG-092-019</v>
          </cell>
          <cell r="B2276" t="str">
            <v>צפת</v>
          </cell>
          <cell r="C2276" t="str">
            <v>צפת-הקמת טבעת om 20  כחלק מרשת מרבבים</v>
          </cell>
          <cell r="D2276">
            <v>41633</v>
          </cell>
        </row>
        <row r="2277">
          <cell r="A2277" t="str">
            <v>WBG-092-014</v>
          </cell>
          <cell r="B2277" t="str">
            <v>צפת</v>
          </cell>
          <cell r="C2277" t="str">
            <v>צפת-מגוף ניתוק אספקת מים לכיבוי אש</v>
          </cell>
          <cell r="D2277">
            <v>41553</v>
          </cell>
        </row>
        <row r="2278">
          <cell r="A2278" t="str">
            <v>WBG-092-015</v>
          </cell>
          <cell r="B2278" t="str">
            <v>צפת</v>
          </cell>
          <cell r="C2278" t="str">
            <v>צפת-החלפת מפס"ז מ"ג ב-3 שד' של ס"ק</v>
          </cell>
          <cell r="D2278">
            <v>41017</v>
          </cell>
        </row>
        <row r="2279">
          <cell r="A2279" t="str">
            <v>WBM-01240</v>
          </cell>
          <cell r="B2279" t="str">
            <v>צפת</v>
          </cell>
          <cell r="C2279" t="str">
            <v>צפת - בוטל-מאצרות שמן קבועות לשנאים</v>
          </cell>
          <cell r="D2279">
            <v>42902</v>
          </cell>
        </row>
        <row r="2280">
          <cell r="A2280" t="str">
            <v>WBM-30005</v>
          </cell>
          <cell r="B2280" t="str">
            <v>צפת</v>
          </cell>
          <cell r="C2280" t="str">
            <v>צפת-בוטל-גדר-אלקטרונית  (ביטחון)</v>
          </cell>
          <cell r="D2280">
            <v>43094</v>
          </cell>
        </row>
        <row r="2281">
          <cell r="A2281" t="str">
            <v>WBM-10294</v>
          </cell>
          <cell r="B2281" t="str">
            <v>צפת</v>
          </cell>
          <cell r="C2281" t="str">
            <v>צפת-בוטל-התאמת תיילים-מהדקים-פור'WBO-056</v>
          </cell>
          <cell r="D2281">
            <v>44593</v>
          </cell>
        </row>
        <row r="2282">
          <cell r="A2282">
            <v>522719</v>
          </cell>
          <cell r="B2282" t="str">
            <v>צפת</v>
          </cell>
          <cell r="C2282" t="str">
            <v>צפת-התקנת מערכת התראה בטחונית</v>
          </cell>
          <cell r="D2282">
            <v>39721</v>
          </cell>
        </row>
        <row r="2283">
          <cell r="A2283">
            <v>522732</v>
          </cell>
          <cell r="B2283" t="str">
            <v>צפת</v>
          </cell>
          <cell r="C2283" t="str">
            <v>צפת-התקנת מאווררים בארונות פיקוד והגנה</v>
          </cell>
          <cell r="D2283">
            <v>40311</v>
          </cell>
        </row>
        <row r="2284">
          <cell r="A2284" t="str">
            <v>WBG-092-007</v>
          </cell>
          <cell r="B2284" t="str">
            <v>צפת</v>
          </cell>
          <cell r="C2284" t="str">
            <v>צפת-שינויים בחיווט רושם הפרעות קיים</v>
          </cell>
          <cell r="D2284">
            <v>38352</v>
          </cell>
        </row>
        <row r="2285">
          <cell r="A2285" t="str">
            <v>WBG-092-016</v>
          </cell>
          <cell r="B2285" t="str">
            <v>צפת</v>
          </cell>
          <cell r="C2285" t="str">
            <v>צפת-הוספת הגנת מרחק שנייה בשד':3,5,9,11.</v>
          </cell>
          <cell r="D2285">
            <v>39994</v>
          </cell>
        </row>
        <row r="2286">
          <cell r="A2286" t="str">
            <v>WBM-00559</v>
          </cell>
          <cell r="B2286" t="str">
            <v>צפת</v>
          </cell>
          <cell r="C2286" t="str">
            <v>צפת-בוטל שיפור מערכת הארקת בתחמ"ש</v>
          </cell>
          <cell r="D2286">
            <v>39798</v>
          </cell>
        </row>
        <row r="2287">
          <cell r="A2287" t="str">
            <v>WBM-00315</v>
          </cell>
          <cell r="B2287" t="str">
            <v>צפת</v>
          </cell>
          <cell r="C2287" t="str">
            <v>צפת-הוספת הגנת מרחק שנייה בשד':3,9,11</v>
          </cell>
          <cell r="D2287">
            <v>42778</v>
          </cell>
        </row>
        <row r="2288">
          <cell r="A2288" t="str">
            <v>WBM-00314</v>
          </cell>
          <cell r="B2288" t="str">
            <v>צפת</v>
          </cell>
          <cell r="C2288" t="str">
            <v>צפת-הגנת מרחק שנייה בש' 5 וישום הש.עומס</v>
          </cell>
          <cell r="D2288">
            <v>42729</v>
          </cell>
        </row>
        <row r="2289">
          <cell r="A2289" t="str">
            <v>WBE-186</v>
          </cell>
          <cell r="B2289" t="str">
            <v>צפת</v>
          </cell>
          <cell r="C2289" t="str">
            <v>צפת -התקנת שנאי רביעי 161/24 ק"ו, 50 מגוו"א</v>
          </cell>
          <cell r="D2289">
            <v>46203</v>
          </cell>
        </row>
        <row r="2290">
          <cell r="A2290" t="str">
            <v>WBM-10491</v>
          </cell>
          <cell r="B2290" t="str">
            <v>צפת</v>
          </cell>
          <cell r="C2290" t="str">
            <v>צפת - הקמת בנין מסדרי מ"ג</v>
          </cell>
          <cell r="D2290">
            <v>47118</v>
          </cell>
        </row>
        <row r="2291">
          <cell r="A2291" t="str">
            <v>WBM-10579</v>
          </cell>
          <cell r="B2291" t="str">
            <v>צפת</v>
          </cell>
          <cell r="C2291" t="str">
            <v>צפת - התקנת הגנת מרחק שדה 5 (משיק לתחמ"ש כרמיאל שדה 13)</v>
          </cell>
          <cell r="D2291">
            <v>47117</v>
          </cell>
        </row>
        <row r="2292">
          <cell r="A2292" t="str">
            <v>WBM-00350-051</v>
          </cell>
          <cell r="B2292" t="str">
            <v>צפת</v>
          </cell>
          <cell r="C2292" t="str">
            <v>צפת - החלפת מטען תקול של סוללה 30A 220.</v>
          </cell>
          <cell r="D2292">
            <v>46022</v>
          </cell>
        </row>
        <row r="2293">
          <cell r="A2293" t="str">
            <v>WBM-00885-113</v>
          </cell>
          <cell r="B2293" t="str">
            <v>צפת</v>
          </cell>
          <cell r="C2293" t="str">
            <v>צפת - בוטל- התכולה תקבע בהתאם לבדיקת מת"י</v>
          </cell>
        </row>
        <row r="2294">
          <cell r="A2294" t="str">
            <v>WBM-40295-049</v>
          </cell>
          <cell r="B2294" t="str">
            <v>צפת</v>
          </cell>
          <cell r="C2294" t="str">
            <v>צפת - החלפת סוללות מצברים</v>
          </cell>
          <cell r="D2294">
            <v>46721</v>
          </cell>
        </row>
        <row r="2295">
          <cell r="A2295" t="str">
            <v>WBM-60008-070</v>
          </cell>
          <cell r="B2295" t="str">
            <v>צפת</v>
          </cell>
          <cell r="C2295" t="str">
            <v>צפת - מערכת בקרה וגדר אלקטרונית</v>
          </cell>
          <cell r="D2295">
            <v>46022</v>
          </cell>
        </row>
        <row r="2296">
          <cell r="A2296" t="str">
            <v>WBM-60118-031</v>
          </cell>
          <cell r="B2296" t="str">
            <v>צפת</v>
          </cell>
          <cell r="C2296" t="str">
            <v>צפת - שיפור מערכת הארקה</v>
          </cell>
          <cell r="D2296">
            <v>47118</v>
          </cell>
        </row>
        <row r="2297">
          <cell r="A2297" t="str">
            <v>WBM-60130-039</v>
          </cell>
          <cell r="B2297" t="str">
            <v>צפת</v>
          </cell>
          <cell r="C2297" t="str">
            <v>צפת - התקנת מפסק פטריה להפסקת מערכת החשמל בחירום</v>
          </cell>
          <cell r="D2297">
            <v>46568</v>
          </cell>
        </row>
        <row r="2298">
          <cell r="A2298" t="str">
            <v>WBM-20004-037</v>
          </cell>
          <cell r="B2298" t="str">
            <v>צפת</v>
          </cell>
          <cell r="C2298" t="str">
            <v>צפת - תיקון פירצות בגדר</v>
          </cell>
          <cell r="D2298">
            <v>45930</v>
          </cell>
        </row>
        <row r="2299">
          <cell r="A2299" t="str">
            <v>WBM-60088-006</v>
          </cell>
          <cell r="B2299" t="str">
            <v>צפת</v>
          </cell>
          <cell r="C2299" t="str">
            <v>צפת - מאצרות ל-3 שנאים ומסדרי אפס</v>
          </cell>
          <cell r="D2299">
            <v>46326</v>
          </cell>
        </row>
        <row r="2300">
          <cell r="A2300" t="str">
            <v>WBM-10687</v>
          </cell>
          <cell r="B2300" t="str">
            <v>צפת</v>
          </cell>
          <cell r="C2300" t="str">
            <v>צפת - התקנת הגנת פ"צ וכשל מפסק (BFP)</v>
          </cell>
          <cell r="D2300">
            <v>47483</v>
          </cell>
        </row>
        <row r="2301">
          <cell r="A2301" t="str">
            <v>WBM-10716</v>
          </cell>
          <cell r="B2301" t="str">
            <v>צפת</v>
          </cell>
          <cell r="C2301" t="str">
            <v>צפת – הרחבת תשתיות פיקוד</v>
          </cell>
          <cell r="D2301">
            <v>46203</v>
          </cell>
        </row>
        <row r="2302">
          <cell r="A2302" t="str">
            <v>WBM-10717</v>
          </cell>
          <cell r="B2302" t="str">
            <v>צפת</v>
          </cell>
          <cell r="C2302" t="str">
            <v>צפת – החלפת ארון חלוקות</v>
          </cell>
          <cell r="D2302">
            <v>46203</v>
          </cell>
        </row>
        <row r="2303">
          <cell r="A2303" t="str">
            <v>WBM-10718</v>
          </cell>
          <cell r="B2303" t="str">
            <v>צפת</v>
          </cell>
          <cell r="C2303" t="str">
            <v>צפת – השלמת מערכת SCS עבור מסדר 161 ק"ו</v>
          </cell>
          <cell r="D2303">
            <v>47483</v>
          </cell>
        </row>
        <row r="2304">
          <cell r="A2304" t="str">
            <v>WBM-70047</v>
          </cell>
          <cell r="B2304" t="str">
            <v>צפת</v>
          </cell>
          <cell r="C2304" t="str">
            <v>צפת- שדרוג שדה 9 ליכולת 1600 א'</v>
          </cell>
          <cell r="D2304">
            <v>46752</v>
          </cell>
        </row>
        <row r="2305">
          <cell r="A2305" t="str">
            <v>0212736</v>
          </cell>
          <cell r="B2305" t="str">
            <v>צפית</v>
          </cell>
          <cell r="C2305" t="str">
            <v>uoe6a-צפית עיבוי ושדרוג עמוד השדרה</v>
          </cell>
          <cell r="D2305">
            <v>42369</v>
          </cell>
        </row>
        <row r="2306">
          <cell r="A2306" t="str">
            <v>WBE-085-ST2</v>
          </cell>
          <cell r="B2306" t="str">
            <v>צפית</v>
          </cell>
          <cell r="C2306" t="str">
            <v>צפית- החלפת שנאי שני 33 ל-50 מגוו"א</v>
          </cell>
          <cell r="D2306">
            <v>43976</v>
          </cell>
        </row>
        <row r="2307">
          <cell r="A2307" t="str">
            <v>WBE-085</v>
          </cell>
          <cell r="B2307" t="str">
            <v>צפית</v>
          </cell>
          <cell r="C2307" t="str">
            <v>צפית החלפת 2 שנאים- בשני שלבים</v>
          </cell>
          <cell r="D2307">
            <v>43976</v>
          </cell>
        </row>
        <row r="2308">
          <cell r="A2308" t="str">
            <v>WBE-148</v>
          </cell>
          <cell r="B2308" t="str">
            <v>צפית</v>
          </cell>
          <cell r="C2308" t="str">
            <v>צפית-החלפת מנתקים, מ"ז ומ"מ 400 ק"ו</v>
          </cell>
          <cell r="D2308">
            <v>46843</v>
          </cell>
        </row>
        <row r="2309">
          <cell r="A2309" t="str">
            <v>HIS-011</v>
          </cell>
          <cell r="B2309" t="str">
            <v>צפית</v>
          </cell>
          <cell r="C2309" t="str">
            <v>צפית</v>
          </cell>
          <cell r="D2309">
            <v>40908</v>
          </cell>
        </row>
        <row r="2310">
          <cell r="A2310" t="str">
            <v>WDA-1-PA16</v>
          </cell>
          <cell r="B2310" t="str">
            <v>צפית</v>
          </cell>
          <cell r="C2310" t="str">
            <v>צפית-החלפה של יחידת קצה של פיקוח ארצי</v>
          </cell>
          <cell r="D2310">
            <v>42369</v>
          </cell>
        </row>
        <row r="2311">
          <cell r="A2311" t="str">
            <v>WDA-1-PA01</v>
          </cell>
          <cell r="B2311" t="str">
            <v>צפית</v>
          </cell>
          <cell r="C2311" t="str">
            <v>צפית-החלפה של יחידת קצה</v>
          </cell>
          <cell r="D2311">
            <v>41577</v>
          </cell>
        </row>
        <row r="2312">
          <cell r="A2312" t="str">
            <v>WDB-04COM4</v>
          </cell>
          <cell r="B2312" t="str">
            <v>צפית</v>
          </cell>
          <cell r="C2312" t="str">
            <v>צפית-הנחת כבל סיב אופטי מרמת חובב</v>
          </cell>
          <cell r="D2312">
            <v>43830</v>
          </cell>
        </row>
        <row r="2313">
          <cell r="A2313" t="str">
            <v>WDB-04COM5</v>
          </cell>
          <cell r="B2313" t="str">
            <v>צפית</v>
          </cell>
          <cell r="C2313" t="str">
            <v>צפית-הנחת כבל סיב אופטי מרוטנברג</v>
          </cell>
          <cell r="D2313">
            <v>42003</v>
          </cell>
        </row>
        <row r="2314">
          <cell r="A2314" t="str">
            <v>WBM-10392</v>
          </cell>
          <cell r="B2314" t="str">
            <v>צפית</v>
          </cell>
          <cell r="C2314" t="str">
            <v>צפית 400-התא.שדה B6 לקליטת מעגל  מגזר</v>
          </cell>
          <cell r="D2314">
            <v>45645</v>
          </cell>
        </row>
        <row r="2315">
          <cell r="A2315" t="str">
            <v>WBL-007-015</v>
          </cell>
          <cell r="B2315" t="str">
            <v>צפית</v>
          </cell>
          <cell r="C2315" t="str">
            <v>צפית-החלפת מ"ב בשלישוני של אוטושנאים</v>
          </cell>
          <cell r="D2315">
            <v>41363</v>
          </cell>
        </row>
        <row r="2316">
          <cell r="A2316" t="str">
            <v>WBM-10391</v>
          </cell>
          <cell r="B2316" t="str">
            <v>צפית</v>
          </cell>
          <cell r="C2316" t="str">
            <v>צפית 400-בוטל-התא.ש. 7A לקליטת מעגל</v>
          </cell>
        </row>
        <row r="2317">
          <cell r="A2317" t="str">
            <v>WBM-40262</v>
          </cell>
          <cell r="B2317" t="str">
            <v>צפית</v>
          </cell>
          <cell r="C2317" t="str">
            <v>צפית-החלפת שרשראות מבודדי מתיחה 400 ק"ו</v>
          </cell>
          <cell r="D2317">
            <v>46598</v>
          </cell>
        </row>
        <row r="2318">
          <cell r="A2318" t="str">
            <v>WBM-40265</v>
          </cell>
          <cell r="B2318" t="str">
            <v>צפית</v>
          </cell>
          <cell r="C2318" t="str">
            <v>צפית -161 ק"ו - הוספת הגנות פ"צ</v>
          </cell>
          <cell r="D2318">
            <v>46568</v>
          </cell>
        </row>
        <row r="2319">
          <cell r="A2319" t="str">
            <v>WBM-10134</v>
          </cell>
          <cell r="B2319" t="str">
            <v>צפית</v>
          </cell>
          <cell r="C2319" t="str">
            <v>צפית - 161 ק"ו החלפת מתמרים</v>
          </cell>
          <cell r="D2319">
            <v>46568</v>
          </cell>
        </row>
        <row r="2320">
          <cell r="A2320" t="str">
            <v>WBM-40268</v>
          </cell>
          <cell r="B2320" t="str">
            <v>צפית</v>
          </cell>
          <cell r="C2320" t="str">
            <v>צפית 400 ק"ו - החלפת הגנת פ"צ.</v>
          </cell>
          <cell r="D2320">
            <v>46477</v>
          </cell>
        </row>
        <row r="2321">
          <cell r="A2321" t="str">
            <v>WBM-10277</v>
          </cell>
          <cell r="B2321" t="str">
            <v>צפית</v>
          </cell>
          <cell r="C2321" t="str">
            <v>צפית -התאמת תיילים-מהדקים-פורטליםWBO-525</v>
          </cell>
          <cell r="D2321">
            <v>46387</v>
          </cell>
        </row>
        <row r="2322">
          <cell r="A2322" t="str">
            <v>WBM-40487</v>
          </cell>
          <cell r="B2322" t="str">
            <v>צפית</v>
          </cell>
          <cell r="C2322" t="str">
            <v>צפית -החלפת ציוד 161 ק"ו-שדות 6,9</v>
          </cell>
          <cell r="D2322">
            <v>46477</v>
          </cell>
        </row>
        <row r="2323">
          <cell r="A2323" t="str">
            <v>WBM-00210</v>
          </cell>
          <cell r="B2323" t="str">
            <v>צפית</v>
          </cell>
          <cell r="C2323" t="str">
            <v>צפית-בניית קירות אש להפרדה</v>
          </cell>
          <cell r="D2323">
            <v>46752</v>
          </cell>
        </row>
        <row r="2324">
          <cell r="A2324" t="str">
            <v>WBM-00951</v>
          </cell>
          <cell r="B2324" t="str">
            <v>צפית</v>
          </cell>
          <cell r="C2324" t="str">
            <v>צפית-פירוק ה.מרחק והתקנת ה.מרחק  ודיפ.4A</v>
          </cell>
          <cell r="D2324">
            <v>45808</v>
          </cell>
        </row>
        <row r="2325">
          <cell r="A2325" t="str">
            <v>WBM-00209</v>
          </cell>
          <cell r="B2325" t="str">
            <v>צפית</v>
          </cell>
          <cell r="C2325" t="str">
            <v>צפית-התאמת לוח חלוקה ז"י.</v>
          </cell>
          <cell r="D2325">
            <v>46477</v>
          </cell>
        </row>
        <row r="2326">
          <cell r="A2326" t="str">
            <v>WBM-40244</v>
          </cell>
          <cell r="B2326" t="str">
            <v>צפית</v>
          </cell>
          <cell r="C2326" t="str">
            <v>צפית- החלפת מתמרים של מסדר  400 ק"ו</v>
          </cell>
          <cell r="D2326">
            <v>45652</v>
          </cell>
        </row>
        <row r="2327">
          <cell r="A2327" t="str">
            <v>WBM-10300</v>
          </cell>
          <cell r="B2327" t="str">
            <v>צפית</v>
          </cell>
          <cell r="C2327" t="str">
            <v>צפית-התא' תייל-מהדקים-פורטלWBN-401</v>
          </cell>
          <cell r="D2327">
            <v>45452</v>
          </cell>
        </row>
        <row r="2328">
          <cell r="A2328" t="str">
            <v>WBM-00556</v>
          </cell>
          <cell r="B2328" t="str">
            <v>צפית</v>
          </cell>
          <cell r="C2328" t="str">
            <v>צפית - החלפת הגנת מרחק מדגם LZ31</v>
          </cell>
          <cell r="D2328">
            <v>46326</v>
          </cell>
        </row>
        <row r="2329">
          <cell r="A2329" t="str">
            <v>WBM-00949</v>
          </cell>
          <cell r="B2329" t="str">
            <v>צפית</v>
          </cell>
          <cell r="C2329" t="str">
            <v>צפית- פירוק והחלפת ה.מרחק בשדה 3B.</v>
          </cell>
          <cell r="D2329">
            <v>46387</v>
          </cell>
        </row>
        <row r="2330">
          <cell r="A2330" t="str">
            <v>WBM-40486</v>
          </cell>
          <cell r="B2330" t="str">
            <v>צפית</v>
          </cell>
          <cell r="C2330" t="str">
            <v>צפית -החלפת ציוד 161 ק"ו-בשדה 2</v>
          </cell>
          <cell r="D2330">
            <v>46477</v>
          </cell>
        </row>
        <row r="2331">
          <cell r="A2331" t="str">
            <v>WBM-40264</v>
          </cell>
          <cell r="B2331" t="str">
            <v>צפית</v>
          </cell>
          <cell r="C2331" t="str">
            <v>צפית - החלפת הגנת שנאי מסוג DT93</v>
          </cell>
          <cell r="D2331">
            <v>46477</v>
          </cell>
        </row>
        <row r="2332">
          <cell r="A2332" t="str">
            <v>WBM-40517</v>
          </cell>
          <cell r="B2332" t="str">
            <v>צפית</v>
          </cell>
          <cell r="C2332" t="str">
            <v>צפית 400 ק"ו– החלפת מ"מ ומ"ז בדיא.7,8</v>
          </cell>
          <cell r="D2332">
            <v>46356</v>
          </cell>
        </row>
        <row r="2333">
          <cell r="A2333" t="str">
            <v>WBM-60113</v>
          </cell>
          <cell r="B2333" t="str">
            <v>צפית</v>
          </cell>
          <cell r="C2333" t="str">
            <v>תחמ"ג צפית – בניית קיר מגן</v>
          </cell>
          <cell r="D2333">
            <v>46476</v>
          </cell>
        </row>
        <row r="2334">
          <cell r="A2334" t="str">
            <v>WBM-80012</v>
          </cell>
          <cell r="B2334" t="str">
            <v>צפית</v>
          </cell>
          <cell r="C2334" t="str">
            <v>צפית- חיבור אופטי לצומת אנרגיה</v>
          </cell>
          <cell r="D2334">
            <v>45231</v>
          </cell>
        </row>
        <row r="2335">
          <cell r="A2335" t="str">
            <v>WBM-40485</v>
          </cell>
          <cell r="B2335" t="str">
            <v>צפית</v>
          </cell>
          <cell r="C2335" t="str">
            <v>צפית -החל' ציוד 161 ק"ו בש' 3,4,13,21,22</v>
          </cell>
          <cell r="D2335">
            <v>46568</v>
          </cell>
        </row>
        <row r="2336">
          <cell r="A2336" t="str">
            <v>WBM-40485-ST1</v>
          </cell>
          <cell r="B2336" t="str">
            <v>צפית</v>
          </cell>
          <cell r="C2336" t="str">
            <v>צפית 161 ק"ו- החלפת ציוד 161 ק"ו בשד' 13</v>
          </cell>
          <cell r="D2336">
            <v>45138</v>
          </cell>
        </row>
        <row r="2337">
          <cell r="A2337" t="str">
            <v>WBM-40485-ST2</v>
          </cell>
          <cell r="B2337" t="str">
            <v>צפית</v>
          </cell>
          <cell r="C2337" t="str">
            <v>צפית-161ק"ו- החלפת ציוד בשדות 21,22</v>
          </cell>
          <cell r="D2337">
            <v>46568</v>
          </cell>
        </row>
        <row r="2338">
          <cell r="A2338" t="str">
            <v>WBM-40485-ST3</v>
          </cell>
          <cell r="B2338" t="str">
            <v>צפית</v>
          </cell>
          <cell r="C2338" t="str">
            <v>צפית 161 ק"ו- החלפת ציוד 161 ק"ו שד' 3,4</v>
          </cell>
          <cell r="D2338">
            <v>46356</v>
          </cell>
        </row>
        <row r="2339">
          <cell r="A2339" t="str">
            <v>WBM-10452</v>
          </cell>
          <cell r="B2339" t="str">
            <v>צפית</v>
          </cell>
          <cell r="C2339" t="str">
            <v>צפית  400-משיק גזר 400 b8+התא.הגנות.שB6</v>
          </cell>
          <cell r="D2339">
            <v>45621</v>
          </cell>
        </row>
        <row r="2340">
          <cell r="A2340" t="str">
            <v>WBM-00950</v>
          </cell>
          <cell r="B2340" t="str">
            <v>צפית</v>
          </cell>
          <cell r="C2340" t="str">
            <v>צפית-התקנת תקשורת בין הגנות 400 לרוטנברג</v>
          </cell>
          <cell r="D2340">
            <v>45261</v>
          </cell>
        </row>
        <row r="2341">
          <cell r="A2341" t="str">
            <v>WBM-40489</v>
          </cell>
          <cell r="B2341" t="str">
            <v>צפית</v>
          </cell>
          <cell r="C2341" t="str">
            <v>צפית  - החלפת ציוד 161 ק"ו בשדה 14</v>
          </cell>
          <cell r="D2341">
            <v>46356</v>
          </cell>
        </row>
        <row r="2342">
          <cell r="A2342" t="str">
            <v>WBM-10344</v>
          </cell>
          <cell r="B2342" t="str">
            <v>צפית</v>
          </cell>
          <cell r="C2342" t="str">
            <v>צפית  400-התאמת שדה 7A למעגל+החלפת הגנות</v>
          </cell>
          <cell r="D2342">
            <v>45474</v>
          </cell>
        </row>
        <row r="2343">
          <cell r="A2343" t="str">
            <v>WBM-10330</v>
          </cell>
          <cell r="B2343" t="str">
            <v>צפית</v>
          </cell>
          <cell r="C2343" t="str">
            <v>צפית-משיק ללכיש- שדה 5, תק.אופטית בין הגנות</v>
          </cell>
          <cell r="D2343">
            <v>46295</v>
          </cell>
        </row>
        <row r="2344">
          <cell r="A2344" t="str">
            <v>WBM-10414</v>
          </cell>
          <cell r="B2344" t="str">
            <v>צפית</v>
          </cell>
          <cell r="C2344" t="str">
            <v>צפית-משיק נבטים-הח.הגנה+תקש.בין הגנ.ש13</v>
          </cell>
          <cell r="D2344">
            <v>45062</v>
          </cell>
        </row>
        <row r="2345">
          <cell r="A2345" t="str">
            <v>WBM-10337</v>
          </cell>
          <cell r="B2345" t="str">
            <v>צפית</v>
          </cell>
          <cell r="C2345" t="str">
            <v>צפית--משיק רוטנברג B3-תקש.אופט.בין הגנות</v>
          </cell>
          <cell r="D2345">
            <v>45046</v>
          </cell>
        </row>
        <row r="2346">
          <cell r="A2346" t="str">
            <v>WBM-10265</v>
          </cell>
          <cell r="B2346" t="str">
            <v>צפית</v>
          </cell>
          <cell r="C2346" t="str">
            <v>צפית  משיק לצ. אנרגיה, החלפת הגנות ש. A8</v>
          </cell>
          <cell r="D2346">
            <v>44867</v>
          </cell>
        </row>
        <row r="2347">
          <cell r="A2347" t="str">
            <v>0287400</v>
          </cell>
          <cell r="B2347" t="str">
            <v>צפית</v>
          </cell>
          <cell r="C2347" t="str">
            <v>צפית 161 ק"ו- החלפת ציוד 161 ק"ו בשד' 13</v>
          </cell>
          <cell r="D2347">
            <v>44834</v>
          </cell>
        </row>
        <row r="2348">
          <cell r="A2348" t="str">
            <v>WBM-01335</v>
          </cell>
          <cell r="B2348" t="str">
            <v>צפית</v>
          </cell>
          <cell r="C2348" t="str">
            <v>צפית-החלפת 9 מפסקים 400 ק"ו</v>
          </cell>
          <cell r="D2348">
            <v>44649</v>
          </cell>
        </row>
        <row r="2349">
          <cell r="A2349" t="str">
            <v>WBM-10183</v>
          </cell>
          <cell r="B2349" t="str">
            <v>צפית</v>
          </cell>
          <cell r="C2349" t="str">
            <v>צפית -משיק לבית שמש.הגנ. לדיפ.+תק' (ש22)</v>
          </cell>
          <cell r="D2349">
            <v>44649</v>
          </cell>
        </row>
        <row r="2350">
          <cell r="A2350" t="str">
            <v>WBM-60003</v>
          </cell>
          <cell r="B2350" t="str">
            <v>צפית</v>
          </cell>
          <cell r="C2350" t="str">
            <v>צפית- שיפור לחץ המים</v>
          </cell>
          <cell r="D2350">
            <v>44407</v>
          </cell>
        </row>
        <row r="2351">
          <cell r="A2351" t="str">
            <v>WBM-01404</v>
          </cell>
          <cell r="B2351" t="str">
            <v>צפית</v>
          </cell>
          <cell r="C2351" t="str">
            <v>צפית - עיגון 6 אוטו-שנאים חד פאזיים</v>
          </cell>
          <cell r="D2351">
            <v>44356</v>
          </cell>
        </row>
        <row r="2352">
          <cell r="A2352" t="str">
            <v>WBM-40291</v>
          </cell>
          <cell r="B2352" t="str">
            <v>צפית</v>
          </cell>
          <cell r="C2352" t="str">
            <v>צפית - החלפת הגנת מרחק לדיפ' בשדה 13</v>
          </cell>
          <cell r="D2352">
            <v>44183</v>
          </cell>
        </row>
        <row r="2353">
          <cell r="A2353" t="str">
            <v>WBM-70005</v>
          </cell>
          <cell r="B2353" t="str">
            <v>צפית</v>
          </cell>
          <cell r="C2353" t="str">
            <v>צפית - החלפת הגנה לדיפרנצאלית בשדה 2</v>
          </cell>
          <cell r="D2353">
            <v>44145</v>
          </cell>
        </row>
        <row r="2354">
          <cell r="A2354" t="str">
            <v>WBM-40290</v>
          </cell>
          <cell r="B2354" t="str">
            <v>צפית</v>
          </cell>
          <cell r="C2354" t="str">
            <v>צפית - החלפת הגנת מרחק לדיפ' בשדה 6</v>
          </cell>
          <cell r="D2354">
            <v>44129</v>
          </cell>
        </row>
        <row r="2355">
          <cell r="A2355" t="str">
            <v>WBM-00835</v>
          </cell>
          <cell r="B2355" t="str">
            <v>צפית</v>
          </cell>
          <cell r="C2355" t="str">
            <v>צפית-איטום בורות ספיגה</v>
          </cell>
          <cell r="D2355">
            <v>44012</v>
          </cell>
        </row>
        <row r="2356">
          <cell r="A2356" t="str">
            <v>WBM-01223</v>
          </cell>
          <cell r="B2356" t="str">
            <v>צפית</v>
          </cell>
          <cell r="C2356" t="str">
            <v>צפית-החלפת הגנת שנאי DT92 כולל יתרת זרם</v>
          </cell>
          <cell r="D2356">
            <v>43976</v>
          </cell>
        </row>
        <row r="2357">
          <cell r="A2357" t="str">
            <v>WBM-01011</v>
          </cell>
          <cell r="B2357" t="str">
            <v>צפית</v>
          </cell>
          <cell r="C2357" t="str">
            <v>צפית-החלפת  מגיני ברק  מ"ג.</v>
          </cell>
          <cell r="D2357">
            <v>43976</v>
          </cell>
        </row>
        <row r="2358">
          <cell r="A2358" t="str">
            <v>WBM-01340</v>
          </cell>
          <cell r="B2358" t="str">
            <v>צפית</v>
          </cell>
          <cell r="C2358" t="str">
            <v>צפית-הוספת הגנה דיפרנציאלית בשדה 3B</v>
          </cell>
          <cell r="D2358">
            <v>43888</v>
          </cell>
        </row>
        <row r="2359">
          <cell r="A2359" t="str">
            <v>WBM-01224</v>
          </cell>
          <cell r="B2359" t="str">
            <v>צפית</v>
          </cell>
          <cell r="C2359" t="str">
            <v>צפית- שדרוג הגנות מרחק בשדות 21,22</v>
          </cell>
          <cell r="D2359">
            <v>43781</v>
          </cell>
        </row>
        <row r="2360">
          <cell r="A2360" t="str">
            <v>WBM-01130</v>
          </cell>
          <cell r="B2360" t="str">
            <v>צפית</v>
          </cell>
          <cell r="C2360" t="str">
            <v>צפית- החלפת הגנת מ"ע בשדה 14</v>
          </cell>
          <cell r="D2360">
            <v>43775</v>
          </cell>
        </row>
        <row r="2361">
          <cell r="A2361" t="str">
            <v>WBM-01228</v>
          </cell>
          <cell r="B2361" t="str">
            <v>צפית</v>
          </cell>
          <cell r="C2361" t="str">
            <v>צפית-החלפת הגנות בשדה 9 לסוגת</v>
          </cell>
          <cell r="D2361">
            <v>43642</v>
          </cell>
        </row>
        <row r="2362">
          <cell r="A2362" t="str">
            <v>WBM-40230</v>
          </cell>
          <cell r="B2362" t="str">
            <v>צפית</v>
          </cell>
          <cell r="C2362" t="str">
            <v>צפית -  החלפת שרשראות מבודדים</v>
          </cell>
          <cell r="D2362">
            <v>43615</v>
          </cell>
        </row>
        <row r="2363">
          <cell r="A2363" t="str">
            <v>WBM-00160</v>
          </cell>
          <cell r="B2363" t="str">
            <v>צפית</v>
          </cell>
          <cell r="C2363" t="str">
            <v>צפית-עיגון לעמידה בפני רעידת אדמה</v>
          </cell>
          <cell r="D2363">
            <v>43237</v>
          </cell>
        </row>
        <row r="2364">
          <cell r="A2364" t="str">
            <v>WBM-00212</v>
          </cell>
          <cell r="B2364" t="str">
            <v>צפית</v>
          </cell>
          <cell r="C2364" t="str">
            <v>צפית-משיק לחרובית שלב 10+11 בשדה 7B.</v>
          </cell>
          <cell r="D2364">
            <v>42277</v>
          </cell>
        </row>
        <row r="2365">
          <cell r="A2365" t="str">
            <v>WBM-00211</v>
          </cell>
          <cell r="B2365" t="str">
            <v>צפית</v>
          </cell>
          <cell r="C2365" t="str">
            <v>צפית-משיק לחרובית, שלב 9 בשדה 3B.</v>
          </cell>
          <cell r="D2365">
            <v>42131</v>
          </cell>
        </row>
        <row r="2366">
          <cell r="A2366" t="str">
            <v>WBL-007-035</v>
          </cell>
          <cell r="B2366" t="str">
            <v>צפית</v>
          </cell>
          <cell r="C2366" t="str">
            <v>צפית-התקנת מערכת FRD</v>
          </cell>
          <cell r="D2366">
            <v>41029</v>
          </cell>
        </row>
        <row r="2367">
          <cell r="A2367" t="str">
            <v>WBL-007-901</v>
          </cell>
          <cell r="B2367" t="str">
            <v>צפית</v>
          </cell>
          <cell r="C2367" t="str">
            <v>צפית- הפיכת ה.דיפר. מ-3 ל-2 קצוות</v>
          </cell>
          <cell r="D2367">
            <v>40990</v>
          </cell>
        </row>
        <row r="2368">
          <cell r="A2368" t="str">
            <v>0287956</v>
          </cell>
          <cell r="B2368" t="str">
            <v>צפית</v>
          </cell>
          <cell r="C2368" t="str">
            <v>צפית  400-בוטל-מ.גזר 400-הת שדה 6B</v>
          </cell>
        </row>
        <row r="2369">
          <cell r="A2369" t="str">
            <v>WBM-40127</v>
          </cell>
          <cell r="B2369" t="str">
            <v>צפית</v>
          </cell>
          <cell r="C2369" t="str">
            <v>צפית-בוטל-החלפת מנתקים, מ"ז ומ"מ 400 ק"ו</v>
          </cell>
          <cell r="D2369">
            <v>43115</v>
          </cell>
        </row>
        <row r="2370">
          <cell r="A2370" t="str">
            <v>WBM-40128</v>
          </cell>
          <cell r="B2370" t="str">
            <v>צפית</v>
          </cell>
          <cell r="C2370" t="str">
            <v>צפית-בוטל - החלפת מפס"ז ומ"ז 161 ק"ו</v>
          </cell>
          <cell r="D2370">
            <v>43115</v>
          </cell>
        </row>
        <row r="2371">
          <cell r="A2371" t="str">
            <v>0256520</v>
          </cell>
          <cell r="B2371" t="str">
            <v>צפית</v>
          </cell>
          <cell r="C2371" t="str">
            <v>צפית - החלפת הגנות קווים</v>
          </cell>
          <cell r="D2371">
            <v>36164</v>
          </cell>
        </row>
        <row r="2372">
          <cell r="A2372">
            <v>536510</v>
          </cell>
          <cell r="B2372" t="str">
            <v>צפית</v>
          </cell>
          <cell r="C2372" t="str">
            <v>צפית-התקנת 4 יח' ממסרים מהירים</v>
          </cell>
          <cell r="D2372">
            <v>38076</v>
          </cell>
        </row>
        <row r="2373">
          <cell r="A2373" t="str">
            <v>WBM-00552</v>
          </cell>
          <cell r="B2373" t="str">
            <v>צפית</v>
          </cell>
          <cell r="C2373" t="str">
            <v>צפית-בטל-התקנת מערכת התראה ביטחונית</v>
          </cell>
          <cell r="D2373">
            <v>39751</v>
          </cell>
        </row>
        <row r="2374">
          <cell r="A2374">
            <v>536544</v>
          </cell>
          <cell r="B2374" t="str">
            <v>צפית</v>
          </cell>
          <cell r="C2374" t="str">
            <v>צפית-החלפת מערכת התראות</v>
          </cell>
          <cell r="D2374">
            <v>39598</v>
          </cell>
        </row>
        <row r="2375">
          <cell r="A2375" t="str">
            <v>WBM-00554</v>
          </cell>
          <cell r="B2375" t="str">
            <v>צפית</v>
          </cell>
          <cell r="C2375" t="str">
            <v>צפית-בוטל-התקנת מצוף התראה למיכל דלק</v>
          </cell>
          <cell r="D2375">
            <v>39646</v>
          </cell>
        </row>
        <row r="2376">
          <cell r="A2376" t="str">
            <v>WBM-00555</v>
          </cell>
          <cell r="B2376" t="str">
            <v>צפית</v>
          </cell>
          <cell r="C2376" t="str">
            <v>צפית--בוטל-התקנת מאווררים בארונות פיקוד</v>
          </cell>
          <cell r="D2376">
            <v>40311</v>
          </cell>
        </row>
        <row r="2377">
          <cell r="A2377" t="str">
            <v>WBL-007-043</v>
          </cell>
          <cell r="B2377" t="str">
            <v>צפית</v>
          </cell>
          <cell r="C2377" t="str">
            <v>צפית-ב-3B:יצירת 2 דרכי תקשורת בין ה.מרחק</v>
          </cell>
          <cell r="D2377">
            <v>41669</v>
          </cell>
        </row>
        <row r="2378">
          <cell r="A2378" t="str">
            <v>WBM-00553</v>
          </cell>
          <cell r="B2378" t="str">
            <v>צפית</v>
          </cell>
          <cell r="C2378" t="str">
            <v>צפית-בוטל-עיגון אוטושנאי חד-פאזי עתודה</v>
          </cell>
          <cell r="D2378">
            <v>41249</v>
          </cell>
        </row>
        <row r="2379">
          <cell r="A2379" t="str">
            <v>WBM-00551</v>
          </cell>
          <cell r="B2379" t="str">
            <v>צפית</v>
          </cell>
          <cell r="C2379" t="str">
            <v>צפית-בוטל-עיגון דיזל גנרטור</v>
          </cell>
          <cell r="D2379">
            <v>41249</v>
          </cell>
        </row>
        <row r="2380">
          <cell r="A2380" t="str">
            <v>WBL-007-040</v>
          </cell>
          <cell r="B2380" t="str">
            <v>צפית</v>
          </cell>
          <cell r="C2380" t="str">
            <v>צפית-החלפת הגנות בדיאמטר C06</v>
          </cell>
          <cell r="D2380">
            <v>38092</v>
          </cell>
        </row>
        <row r="2381">
          <cell r="A2381" t="str">
            <v>WBE-085-ST1</v>
          </cell>
          <cell r="B2381" t="str">
            <v>צפית</v>
          </cell>
          <cell r="C2381" t="str">
            <v>צפית- החלפת שנאי ראשון 33 ל-50 מגוו"א</v>
          </cell>
          <cell r="D2381">
            <v>43921</v>
          </cell>
        </row>
        <row r="2382">
          <cell r="A2382" t="str">
            <v>WBK-010</v>
          </cell>
          <cell r="B2382" t="str">
            <v>צפית</v>
          </cell>
          <cell r="C2382" t="str">
            <v>צפית-השלמת שדה 11 לצורך חיבור מחז"מ</v>
          </cell>
          <cell r="D2382">
            <v>41090</v>
          </cell>
        </row>
        <row r="2383">
          <cell r="A2383" t="str">
            <v>WBL-007-042</v>
          </cell>
          <cell r="B2383" t="str">
            <v>צפית</v>
          </cell>
          <cell r="C2383" t="str">
            <v>צפית-פירוק שנאי קישור 400/161 ק"ו</v>
          </cell>
          <cell r="D2383">
            <v>41424</v>
          </cell>
        </row>
        <row r="2384">
          <cell r="A2384" t="str">
            <v>WBM-00670</v>
          </cell>
          <cell r="B2384" t="str">
            <v>צפית</v>
          </cell>
          <cell r="C2384" t="str">
            <v>צפית-בוטל-התקנת תקשורת בין הגנות ( 3B)</v>
          </cell>
          <cell r="D2384">
            <v>41182</v>
          </cell>
        </row>
        <row r="2385">
          <cell r="A2385" t="str">
            <v>WBM-10466</v>
          </cell>
          <cell r="B2385" t="str">
            <v>צפית</v>
          </cell>
          <cell r="C2385" t="str">
            <v>צפית 400 ק"ו, שדה 7B- משיק לדימונה סולארי 400 ק"ו שדה 7, תקשורת אופטית בין הגנות</v>
          </cell>
          <cell r="D2385">
            <v>45496</v>
          </cell>
        </row>
        <row r="2386">
          <cell r="A2386" t="str">
            <v>WBM-40489-ST1</v>
          </cell>
          <cell r="B2386" t="str">
            <v>צפית</v>
          </cell>
          <cell r="C2386" t="str">
            <v>צפית  - החלפת ציוד הצמדה בשדה 14</v>
          </cell>
          <cell r="D2386">
            <v>45371</v>
          </cell>
        </row>
        <row r="2387">
          <cell r="A2387" t="str">
            <v>WBM-40489-ST2</v>
          </cell>
          <cell r="B2387" t="str">
            <v>צפית</v>
          </cell>
          <cell r="C2387" t="str">
            <v>צפית  - החלפת ציוד 161 ק"ו בשדה 14</v>
          </cell>
          <cell r="D2387">
            <v>46356</v>
          </cell>
        </row>
        <row r="2388">
          <cell r="A2388" t="str">
            <v>WBM-40537</v>
          </cell>
          <cell r="B2388" t="str">
            <v>צפית</v>
          </cell>
          <cell r="C2388" t="str">
            <v>צפית- החלפת מבודדים של אוטושנאים 452,453 ורזרבי</v>
          </cell>
          <cell r="D2388">
            <v>46477</v>
          </cell>
        </row>
        <row r="2389">
          <cell r="A2389" t="str">
            <v>WBM-00885-094</v>
          </cell>
          <cell r="B2389" t="str">
            <v>צפית</v>
          </cell>
          <cell r="C2389" t="str">
            <v>צפית - בוטל תיקון מערכת המים</v>
          </cell>
        </row>
        <row r="2390">
          <cell r="A2390" t="str">
            <v>WBM-10315-029</v>
          </cell>
          <cell r="B2390" t="str">
            <v>צפית</v>
          </cell>
          <cell r="C2390" t="str">
            <v>צפית - החלפת מזגנים</v>
          </cell>
          <cell r="D2390">
            <v>45621</v>
          </cell>
        </row>
        <row r="2391">
          <cell r="A2391" t="str">
            <v>WBM-10456-004</v>
          </cell>
          <cell r="B2391" t="str">
            <v>צפית</v>
          </cell>
          <cell r="C2391" t="str">
            <v>צפית - הוספת מתמרים -2 פ"צ</v>
          </cell>
          <cell r="D2391">
            <v>46356</v>
          </cell>
        </row>
        <row r="2392">
          <cell r="A2392" t="str">
            <v>WBM-40521-012</v>
          </cell>
          <cell r="B2392" t="str">
            <v>צפית</v>
          </cell>
          <cell r="C2392" t="str">
            <v>צפית - החלפת 2 שנאי הארקה</v>
          </cell>
          <cell r="D2392">
            <v>46721</v>
          </cell>
        </row>
        <row r="2393">
          <cell r="A2393" t="str">
            <v>WBM-60130-072</v>
          </cell>
          <cell r="B2393" t="str">
            <v>צפית</v>
          </cell>
          <cell r="C2393" t="str">
            <v>צפית - התקנת מפסק פטריה להפסקת מערכת החשמל בחירום</v>
          </cell>
          <cell r="D2393">
            <v>46568</v>
          </cell>
        </row>
        <row r="2394">
          <cell r="A2394" t="str">
            <v>WBM-10663-006</v>
          </cell>
          <cell r="B2394" t="str">
            <v>צפית</v>
          </cell>
          <cell r="C2394" t="str">
            <v>צפית- החלפת מטענים</v>
          </cell>
          <cell r="D2394">
            <v>45838</v>
          </cell>
        </row>
        <row r="2395">
          <cell r="A2395" t="str">
            <v>WBM-40637-030</v>
          </cell>
          <cell r="B2395" t="str">
            <v>צפית</v>
          </cell>
          <cell r="C2395" t="str">
            <v>צפית-החלפת רושמי הפרעות קיימים מדגם IDM-T3 לרושמים חדשים מדגם IDM+</v>
          </cell>
          <cell r="D2395">
            <v>46996</v>
          </cell>
        </row>
        <row r="2396">
          <cell r="A2396" t="str">
            <v>WBM-10818</v>
          </cell>
          <cell r="B2396" t="str">
            <v>צפית</v>
          </cell>
          <cell r="C2396" t="str">
            <v>צפית- משיק לשחר שדה 3- התקנת הגנת מרחק ויישום תקשורת אופטית בשדה 13</v>
          </cell>
          <cell r="D2396">
            <v>46752</v>
          </cell>
        </row>
        <row r="2397">
          <cell r="A2397" t="str">
            <v>WBM-10831</v>
          </cell>
          <cell r="B2397" t="str">
            <v>צפית</v>
          </cell>
          <cell r="C2397" t="str">
            <v>צפית ש' 2- משיק לתחמ"ש תימורים שדה 7, יישום תקשורת אופטית בין הגנות במעגל (מרחק+דיפ)</v>
          </cell>
          <cell r="D2397">
            <v>46691</v>
          </cell>
        </row>
        <row r="2398">
          <cell r="A2398" t="str">
            <v>HIS-184</v>
          </cell>
          <cell r="B2398" t="str">
            <v>צלמון פרטית</v>
          </cell>
          <cell r="C2398" t="str">
            <v>צלמון-פרטית</v>
          </cell>
          <cell r="D2398">
            <v>40908</v>
          </cell>
        </row>
        <row r="2399">
          <cell r="A2399" t="str">
            <v>WDA-1-PA12</v>
          </cell>
          <cell r="B2399" t="str">
            <v>צלמון</v>
          </cell>
          <cell r="C2399" t="str">
            <v>צלמון-החלפה של יחידת קצה של פיקוח ארצי</v>
          </cell>
          <cell r="D2399">
            <v>41789</v>
          </cell>
        </row>
        <row r="2400">
          <cell r="A2400" t="str">
            <v>WBM-40324</v>
          </cell>
          <cell r="B2400" t="str">
            <v>צלמון</v>
          </cell>
          <cell r="C2400" t="str">
            <v>צלמון-התאמת שדות 1,5 ליכולת 1440 א'</v>
          </cell>
          <cell r="D2400">
            <v>47118</v>
          </cell>
        </row>
        <row r="2401">
          <cell r="A2401" t="str">
            <v>WBM-10369</v>
          </cell>
          <cell r="B2401" t="str">
            <v>צלמון</v>
          </cell>
          <cell r="C2401" t="str">
            <v>צלמון-הת' תיילים-מהדקים-פורט' wbo-340</v>
          </cell>
          <cell r="D2401">
            <v>48213</v>
          </cell>
        </row>
        <row r="2402">
          <cell r="A2402" t="str">
            <v>WBM-10019</v>
          </cell>
          <cell r="B2402" t="str">
            <v>צלמון</v>
          </cell>
          <cell r="C2402" t="str">
            <v>צלמון-התקנת רושם הפרעות 161 ק"ו</v>
          </cell>
          <cell r="D2402">
            <v>46477</v>
          </cell>
        </row>
        <row r="2403">
          <cell r="A2403" t="str">
            <v>WBG-091-003</v>
          </cell>
          <cell r="B2403" t="str">
            <v>צלמון</v>
          </cell>
          <cell r="C2403" t="str">
            <v>צלמון-שידרוג  הציוד שבאחריות חח"י-שלב א'</v>
          </cell>
          <cell r="D2403">
            <v>41319</v>
          </cell>
        </row>
        <row r="2404">
          <cell r="A2404" t="str">
            <v>WBG-091-006</v>
          </cell>
          <cell r="B2404" t="str">
            <v>צלמון</v>
          </cell>
          <cell r="C2404" t="str">
            <v>צלמון-התקנת ארון ז"י 48 וולט</v>
          </cell>
          <cell r="D2404">
            <v>41319</v>
          </cell>
        </row>
        <row r="2405">
          <cell r="A2405" t="str">
            <v>WBG-091-001</v>
          </cell>
          <cell r="B2405" t="str">
            <v>צלמון</v>
          </cell>
          <cell r="C2405" t="str">
            <v>צלמון-התקנת ציוד קשר הג.מרחק בקו לכינרות</v>
          </cell>
          <cell r="D2405">
            <v>37985</v>
          </cell>
        </row>
        <row r="2406">
          <cell r="A2406" t="str">
            <v>WBG-091-001-ST2</v>
          </cell>
          <cell r="B2406" t="str">
            <v>צלמון</v>
          </cell>
          <cell r="C2406" t="str">
            <v>צלמון-התקנת ציוד קשר הג.מרחק בקו לזבולון</v>
          </cell>
          <cell r="D2406">
            <v>39447</v>
          </cell>
        </row>
        <row r="2407">
          <cell r="A2407" t="str">
            <v>WBG-091-003-ST2</v>
          </cell>
          <cell r="B2407" t="str">
            <v>צלמון</v>
          </cell>
          <cell r="C2407" t="str">
            <v>צלמון-שידרוג  הציוד שבאחריות חח"י-שלב ב'</v>
          </cell>
          <cell r="D2407">
            <v>41274</v>
          </cell>
        </row>
        <row r="2408">
          <cell r="A2408" t="str">
            <v>WBG-091-005</v>
          </cell>
          <cell r="B2408" t="str">
            <v>צלמון</v>
          </cell>
          <cell r="C2408" t="str">
            <v>צלמון-התקנת תקשורת מנהלתית</v>
          </cell>
          <cell r="D2408">
            <v>40632</v>
          </cell>
        </row>
        <row r="2409">
          <cell r="A2409" t="str">
            <v>WBM-80014-002</v>
          </cell>
          <cell r="B2409" t="str">
            <v>צלמון</v>
          </cell>
          <cell r="C2409" t="str">
            <v>צלמון - בוטל - שדרוג SCS</v>
          </cell>
          <cell r="D2409">
            <v>44927</v>
          </cell>
        </row>
        <row r="2410">
          <cell r="A2410" t="str">
            <v>WBM-10654</v>
          </cell>
          <cell r="B2410" t="str">
            <v>צלמון</v>
          </cell>
          <cell r="C2410" t="str">
            <v>צלמון - משיק לגליל (מזרחי) 2, התקנת הגנה דיפרנציאלית ויישום דרך קשר אופטית בין הגנות בשדה 5</v>
          </cell>
          <cell r="D2410">
            <v>46538</v>
          </cell>
        </row>
        <row r="2411">
          <cell r="A2411" t="str">
            <v>HIS-131</v>
          </cell>
          <cell r="B2411" t="str">
            <v>ציפורית</v>
          </cell>
          <cell r="C2411" t="str">
            <v>ציפורית</v>
          </cell>
          <cell r="D2411">
            <v>40908</v>
          </cell>
        </row>
        <row r="2412">
          <cell r="A2412" t="str">
            <v>WBE-221</v>
          </cell>
          <cell r="B2412" t="str">
            <v>ציפורית</v>
          </cell>
          <cell r="C2412" t="str">
            <v>ציפורית-התקנת שנאי רביעי (524) 50 מגוו"א 161/24 ק"ו.</v>
          </cell>
          <cell r="D2412">
            <v>46568</v>
          </cell>
        </row>
        <row r="2413">
          <cell r="A2413" t="str">
            <v>WBE-220</v>
          </cell>
          <cell r="B2413" t="str">
            <v>ציפורית</v>
          </cell>
          <cell r="C2413" t="str">
            <v>ציפורית – תוספת שנאי שלישי 50 מגוו"א</v>
          </cell>
          <cell r="D2413">
            <v>45652</v>
          </cell>
        </row>
        <row r="2414">
          <cell r="A2414" t="str">
            <v>WBE-103</v>
          </cell>
          <cell r="B2414" t="str">
            <v>ציפורית</v>
          </cell>
          <cell r="C2414" t="str">
            <v>ציפורית-הקמת שדה 161 ק"ו מס' 9 לנצרת</v>
          </cell>
          <cell r="D2414">
            <v>44897</v>
          </cell>
        </row>
        <row r="2415">
          <cell r="A2415" t="str">
            <v>WDA-1-02-15-27</v>
          </cell>
          <cell r="B2415" t="str">
            <v>ציפורית</v>
          </cell>
          <cell r="C2415" t="str">
            <v>ציפורית בוטל-החלפת יחידת קצה פיקוח ארצי</v>
          </cell>
          <cell r="D2415">
            <v>43373</v>
          </cell>
        </row>
        <row r="2416">
          <cell r="A2416" t="str">
            <v>WBM-00814</v>
          </cell>
          <cell r="B2416" t="str">
            <v>ציפורית</v>
          </cell>
          <cell r="C2416" t="str">
            <v>ציפורית-בוטל-החלפת ציוד בשדה 11</v>
          </cell>
          <cell r="D2416">
            <v>40730</v>
          </cell>
        </row>
        <row r="2417">
          <cell r="A2417" t="str">
            <v>WBM-00312</v>
          </cell>
          <cell r="B2417" t="str">
            <v>ציפורית</v>
          </cell>
          <cell r="C2417" t="str">
            <v>ציפורית-בוטל - החלפת 2 סלילי כיבוי ל-150 א'</v>
          </cell>
          <cell r="D2417">
            <v>44531</v>
          </cell>
        </row>
        <row r="2418">
          <cell r="A2418" t="str">
            <v>WBM-00548</v>
          </cell>
          <cell r="B2418" t="str">
            <v>ציפורית</v>
          </cell>
          <cell r="C2418" t="str">
            <v>ציפורית-הזנת תאורת חירום ז"י.</v>
          </cell>
          <cell r="D2418">
            <v>46188</v>
          </cell>
        </row>
        <row r="2419">
          <cell r="A2419" t="str">
            <v>WBM-10018</v>
          </cell>
          <cell r="B2419" t="str">
            <v>ציפורית</v>
          </cell>
          <cell r="C2419" t="str">
            <v>ציפורית -החלפת רושם הפרעות 161 ק"ו</v>
          </cell>
          <cell r="D2419">
            <v>46691</v>
          </cell>
        </row>
        <row r="2420">
          <cell r="A2420" t="str">
            <v>WBM-60064</v>
          </cell>
          <cell r="B2420" t="str">
            <v>ציפורית</v>
          </cell>
          <cell r="C2420" t="str">
            <v>ציפורית - עיגון ארונות פיקוד ושנאים</v>
          </cell>
          <cell r="D2420">
            <v>47483</v>
          </cell>
        </row>
        <row r="2421">
          <cell r="A2421" t="str">
            <v>WBM-00549</v>
          </cell>
          <cell r="B2421" t="str">
            <v>ציפורית</v>
          </cell>
          <cell r="C2421" t="str">
            <v>ציפורית-התקנת 2 הגנת פ"צ 161 ק"ו</v>
          </cell>
          <cell r="D2421">
            <v>47118</v>
          </cell>
        </row>
        <row r="2422">
          <cell r="A2422" t="str">
            <v>WBM-40013</v>
          </cell>
          <cell r="B2422" t="str">
            <v>ציפורית</v>
          </cell>
          <cell r="C2422" t="str">
            <v>ציפורית-בוטל -החלפת הגנות שנאי DT92</v>
          </cell>
          <cell r="D2422">
            <v>44197</v>
          </cell>
        </row>
        <row r="2423">
          <cell r="A2423" t="str">
            <v>WBM-10314</v>
          </cell>
          <cell r="B2423" t="str">
            <v>ציפורית</v>
          </cell>
          <cell r="C2423" t="str">
            <v>ציפורית-משיק לנצרת ש11-התקנת הג.די שדה 5</v>
          </cell>
          <cell r="D2423">
            <v>44895</v>
          </cell>
        </row>
        <row r="2424">
          <cell r="A2424" t="str">
            <v>0243083</v>
          </cell>
          <cell r="B2424" t="str">
            <v>ציפורית</v>
          </cell>
          <cell r="C2424" t="str">
            <v>ציפורית - החלפת מערכת SCS</v>
          </cell>
          <cell r="D2424">
            <v>44530</v>
          </cell>
        </row>
        <row r="2425">
          <cell r="A2425" t="str">
            <v>WBM-01174</v>
          </cell>
          <cell r="B2425" t="str">
            <v>ציפורית</v>
          </cell>
          <cell r="C2425" t="str">
            <v>ציפורית-שדרוג מערכות SCS מסוג  UNIX- LON</v>
          </cell>
          <cell r="D2425">
            <v>44168</v>
          </cell>
        </row>
        <row r="2426">
          <cell r="A2426" t="str">
            <v>WBM-01359</v>
          </cell>
          <cell r="B2426" t="str">
            <v>ציפורית</v>
          </cell>
          <cell r="C2426" t="str">
            <v>ציפורית-שיפור אוטומטיקת סלילי כיבוי</v>
          </cell>
          <cell r="D2426">
            <v>43916</v>
          </cell>
        </row>
        <row r="2427">
          <cell r="A2427" t="str">
            <v>WBM-10079</v>
          </cell>
          <cell r="B2427" t="str">
            <v>ציפורית</v>
          </cell>
          <cell r="C2427" t="str">
            <v>ציפורית-בוטל-החלפת גשרי דיודות</v>
          </cell>
          <cell r="D2427">
            <v>43768</v>
          </cell>
        </row>
        <row r="2428">
          <cell r="A2428">
            <v>525426</v>
          </cell>
          <cell r="B2428" t="str">
            <v>ציפורית</v>
          </cell>
          <cell r="C2428" t="str">
            <v>ציפורית-החלפת גשר  דיודות</v>
          </cell>
          <cell r="D2428">
            <v>42185</v>
          </cell>
        </row>
        <row r="2429">
          <cell r="A2429">
            <v>525414</v>
          </cell>
          <cell r="B2429" t="str">
            <v>ציפורית</v>
          </cell>
          <cell r="C2429" t="str">
            <v>ציפורית-החלפת רכזת התראה בטחונית</v>
          </cell>
          <cell r="D2429">
            <v>39721</v>
          </cell>
        </row>
        <row r="2430">
          <cell r="A2430" t="str">
            <v>WBM-00550</v>
          </cell>
          <cell r="B2430" t="str">
            <v>ציפורית</v>
          </cell>
          <cell r="C2430" t="str">
            <v>ציפורית-בוטל שיפור מערכת הארקת בתחמ"ש</v>
          </cell>
          <cell r="D2430">
            <v>39798</v>
          </cell>
        </row>
        <row r="2431">
          <cell r="A2431">
            <v>525424</v>
          </cell>
          <cell r="B2431" t="str">
            <v>ציפורית</v>
          </cell>
          <cell r="C2431" t="str">
            <v>ציפורית-התקנת מאווררים בארונות פיקוד</v>
          </cell>
          <cell r="D2431">
            <v>40311</v>
          </cell>
        </row>
        <row r="2432">
          <cell r="A2432" t="str">
            <v>WBM-60125</v>
          </cell>
          <cell r="B2432" t="str">
            <v>ציפורית</v>
          </cell>
          <cell r="C2432" t="str">
            <v>ציפורית – החלפת לוח חלוקה אל- פסק</v>
          </cell>
          <cell r="D2432">
            <v>45504</v>
          </cell>
        </row>
        <row r="2433">
          <cell r="A2433" t="str">
            <v>WBM-10456-029</v>
          </cell>
          <cell r="B2433" t="str">
            <v>ציפורית</v>
          </cell>
          <cell r="C2433" t="str">
            <v>ציפורית- הוספת מתמרים ב-2 פ"צ</v>
          </cell>
          <cell r="D2433">
            <v>46721</v>
          </cell>
        </row>
        <row r="2434">
          <cell r="A2434" t="str">
            <v>WBM-20004-012</v>
          </cell>
          <cell r="B2434" t="str">
            <v>ציפורית</v>
          </cell>
          <cell r="C2434" t="str">
            <v>ציפורית - שיפור מערכת תאורה בתחמש</v>
          </cell>
          <cell r="D2434">
            <v>45442</v>
          </cell>
        </row>
        <row r="2435">
          <cell r="A2435" t="str">
            <v>WBM-40479-030</v>
          </cell>
          <cell r="B2435" t="str">
            <v>ציפורית</v>
          </cell>
          <cell r="C2435" t="str">
            <v>ציפורית-החלפת 2 בקרי טמפ' וגובה שמן בשנא</v>
          </cell>
          <cell r="D2435">
            <v>47057</v>
          </cell>
        </row>
        <row r="2436">
          <cell r="A2436" t="str">
            <v>WBM-60008-028</v>
          </cell>
          <cell r="B2436" t="str">
            <v>ציפורית</v>
          </cell>
          <cell r="C2436" t="str">
            <v>ציפורית - התקנת טמ"ס וגדר כולל מאמ"ת בלו</v>
          </cell>
          <cell r="D2436">
            <v>45482</v>
          </cell>
        </row>
        <row r="2437">
          <cell r="A2437" t="str">
            <v>WBM-60092-025</v>
          </cell>
          <cell r="B2437" t="str">
            <v>ציפורית</v>
          </cell>
          <cell r="C2437" t="str">
            <v>ציפורית - בדיקות/טיפול/פינוי מכלי אש בגז</v>
          </cell>
          <cell r="D2437">
            <v>46173</v>
          </cell>
        </row>
        <row r="2438">
          <cell r="A2438" t="str">
            <v>WBM-60118-030</v>
          </cell>
          <cell r="B2438" t="str">
            <v>ציפורית</v>
          </cell>
          <cell r="C2438" t="str">
            <v>ציפורית - שיפור מערכת הארקה</v>
          </cell>
          <cell r="D2438">
            <v>47118</v>
          </cell>
        </row>
        <row r="2439">
          <cell r="A2439" t="str">
            <v>WBM-60130-038</v>
          </cell>
          <cell r="B2439" t="str">
            <v>ציפורית</v>
          </cell>
          <cell r="C2439" t="str">
            <v>ציפורית - התקנת מפסק פטריה להפסקת מערכת החשמל בחירום</v>
          </cell>
          <cell r="D2439">
            <v>46568</v>
          </cell>
        </row>
        <row r="2440">
          <cell r="A2440" t="str">
            <v>WBM-40295-084</v>
          </cell>
          <cell r="B2440" t="str">
            <v>ציפורית</v>
          </cell>
          <cell r="C2440" t="str">
            <v>ציפורית - החלפת סוללת מצברים</v>
          </cell>
          <cell r="D2440">
            <v>45626</v>
          </cell>
        </row>
        <row r="2441">
          <cell r="A2441" t="str">
            <v>WBM-60131-002</v>
          </cell>
          <cell r="B2441" t="str">
            <v>ציפורית</v>
          </cell>
          <cell r="C2441" t="str">
            <v>ציפורית- טיפול באופיין מים</v>
          </cell>
          <cell r="D2441">
            <v>46752</v>
          </cell>
        </row>
        <row r="2442">
          <cell r="A2442" t="str">
            <v>WBE-303</v>
          </cell>
          <cell r="B2442" t="str">
            <v>ציפורית</v>
          </cell>
          <cell r="C2442" t="str">
            <v>ציפורית-החלפה שנאי 521</v>
          </cell>
          <cell r="D2442">
            <v>47118</v>
          </cell>
        </row>
        <row r="2443">
          <cell r="A2443" t="str">
            <v>WBE-304</v>
          </cell>
          <cell r="B2443" t="str">
            <v>ציפורית</v>
          </cell>
          <cell r="C2443" t="str">
            <v>ציפורית-החלפה שנאי 522</v>
          </cell>
          <cell r="D2443">
            <v>47483</v>
          </cell>
        </row>
        <row r="2444">
          <cell r="A2444" t="str">
            <v>WBM-10808</v>
          </cell>
          <cell r="B2444" t="str">
            <v>ציפורית</v>
          </cell>
          <cell r="C2444" t="str">
            <v>ציפורית-עבודות משלימות להחלפת שנאי 522</v>
          </cell>
          <cell r="D2444">
            <v>47483</v>
          </cell>
        </row>
        <row r="2445">
          <cell r="A2445" t="str">
            <v>WBM-10811</v>
          </cell>
          <cell r="B2445" t="str">
            <v>ציפורית</v>
          </cell>
          <cell r="C2445" t="str">
            <v>ציפורית-עבודות משלימות להחלפת שנאי 521</v>
          </cell>
          <cell r="D2445">
            <v>47118</v>
          </cell>
        </row>
        <row r="2446">
          <cell r="A2446" t="str">
            <v>WBM-60214</v>
          </cell>
          <cell r="B2446" t="str">
            <v>ציפורית</v>
          </cell>
          <cell r="C2446" t="str">
            <v>ציפורית- החלפת צנרת עקב בלאי מוגבר</v>
          </cell>
          <cell r="D2446">
            <v>46418</v>
          </cell>
        </row>
        <row r="2447">
          <cell r="A2447" t="str">
            <v>WBM-70058</v>
          </cell>
          <cell r="B2447" t="str">
            <v>ציפורית</v>
          </cell>
          <cell r="C2447" t="str">
            <v>ציפורית-התקנת ס"ק מודולרית פנימית 24 ק"ו 2*5 מגווא"ר</v>
          </cell>
          <cell r="D2447">
            <v>47118</v>
          </cell>
        </row>
        <row r="2448">
          <cell r="A2448" t="str">
            <v>WBD-094</v>
          </cell>
          <cell r="B2448" t="str">
            <v>צחר ניידת</v>
          </cell>
          <cell r="C2448" t="str">
            <v>צחר ניידת -הצבת תחמ"ש ניידת  20 מגוו"א</v>
          </cell>
          <cell r="D2448">
            <v>45758</v>
          </cell>
        </row>
        <row r="2449">
          <cell r="A2449" t="str">
            <v>WBD-094-ST2</v>
          </cell>
          <cell r="B2449" t="str">
            <v>צחר ניידת</v>
          </cell>
          <cell r="C2449" t="str">
            <v>צחר - פירוק תחמ"ש ניידת</v>
          </cell>
          <cell r="D2449">
            <v>46418</v>
          </cell>
        </row>
        <row r="2450">
          <cell r="A2450" t="str">
            <v>WBC-007</v>
          </cell>
          <cell r="B2450" t="str">
            <v>צחר</v>
          </cell>
          <cell r="C2450" t="str">
            <v>צחר- הקמת תחמש חיצונית 161/24 ק"ו</v>
          </cell>
          <cell r="D2450">
            <v>46356</v>
          </cell>
        </row>
        <row r="2451">
          <cell r="A2451" t="str">
            <v>WBE-228</v>
          </cell>
          <cell r="B2451" t="str">
            <v>צחר</v>
          </cell>
          <cell r="C2451" t="str">
            <v>צחר-התקנת שנאי שלישי 161/24 50 מגוו"א וסוללת קבלים</v>
          </cell>
          <cell r="D2451">
            <v>47238</v>
          </cell>
        </row>
        <row r="2452">
          <cell r="A2452" t="str">
            <v>WBM-00717</v>
          </cell>
          <cell r="B2452" t="str">
            <v>צחר</v>
          </cell>
          <cell r="C2452" t="str">
            <v>צחר-בוטל-התקנת 2 ס"ק 5*2 מגווא"ר כ"א</v>
          </cell>
          <cell r="D2452">
            <v>39994</v>
          </cell>
        </row>
        <row r="2453">
          <cell r="A2453" t="str">
            <v>WBE-271</v>
          </cell>
          <cell r="B2453" t="str">
            <v>צחר</v>
          </cell>
          <cell r="C2453" t="str">
            <v>צחר-התקנת שנאי רביעי 161/24 50 מגוו"א וסוללת קבלים</v>
          </cell>
          <cell r="D2453">
            <v>48334</v>
          </cell>
        </row>
        <row r="2454">
          <cell r="A2454" t="str">
            <v>WBE-283</v>
          </cell>
          <cell r="B2454" t="str">
            <v>צחר</v>
          </cell>
          <cell r="C2454" t="str">
            <v>צחר-הקמת שדה קו חיבור כבל תת"ק משדה עמיאל</v>
          </cell>
          <cell r="D2454">
            <v>46783</v>
          </cell>
        </row>
        <row r="2455">
          <cell r="A2455" t="str">
            <v>HIS-130</v>
          </cell>
          <cell r="B2455" t="str">
            <v>צור שלום</v>
          </cell>
          <cell r="C2455" t="str">
            <v>צור שלום</v>
          </cell>
          <cell r="D2455">
            <v>40908</v>
          </cell>
        </row>
        <row r="2456">
          <cell r="A2456" t="str">
            <v>WBE-168</v>
          </cell>
          <cell r="B2456" t="str">
            <v>צור שלום</v>
          </cell>
          <cell r="C2456" t="str">
            <v>צור שלום - התקנת שנאי 524 161/24 ק"ו, 50 מגוו"א בשדה 10 בתחמ"ש צור שלום. התקנת סוללות קבלים 2x5 מגווא"ר.</v>
          </cell>
          <cell r="D2456">
            <v>46326</v>
          </cell>
        </row>
        <row r="2457">
          <cell r="A2457" t="str">
            <v>WDA-1-02-15-22</v>
          </cell>
          <cell r="B2457" t="str">
            <v>צור שלום</v>
          </cell>
          <cell r="C2457" t="str">
            <v>צור שלום-החלפת יחידת קצה של פיקוח ארצי</v>
          </cell>
          <cell r="D2457">
            <v>43184</v>
          </cell>
        </row>
        <row r="2458">
          <cell r="A2458" t="str">
            <v>WBM-01266</v>
          </cell>
          <cell r="B2458" t="str">
            <v>צור שלום</v>
          </cell>
          <cell r="C2458" t="str">
            <v>צור שלום-שיפור אוטומטיקת סלילי כיבוי</v>
          </cell>
          <cell r="D2458">
            <v>43901</v>
          </cell>
        </row>
        <row r="2459">
          <cell r="A2459">
            <v>524728</v>
          </cell>
          <cell r="B2459" t="str">
            <v>צור שלום</v>
          </cell>
          <cell r="C2459" t="str">
            <v>צור שלום-התקנת מאווררים בארונות פיקוד</v>
          </cell>
          <cell r="D2459">
            <v>40311</v>
          </cell>
        </row>
        <row r="2460">
          <cell r="A2460" t="str">
            <v>WBM-00803</v>
          </cell>
          <cell r="B2460" t="str">
            <v>צור שלום</v>
          </cell>
          <cell r="C2460" t="str">
            <v>צור שלום-בוטל-החלפת רכזת התראה בטחונית</v>
          </cell>
          <cell r="D2460">
            <v>39537</v>
          </cell>
        </row>
        <row r="2461">
          <cell r="A2461" t="str">
            <v>WBG-089-016</v>
          </cell>
          <cell r="B2461" t="str">
            <v>צור שלום</v>
          </cell>
          <cell r="C2461" t="str">
            <v>צור שלום-הקמת טבעת om 40</v>
          </cell>
          <cell r="D2461">
            <v>41633</v>
          </cell>
        </row>
        <row r="2462">
          <cell r="A2462" t="str">
            <v>WBM-40182</v>
          </cell>
          <cell r="B2462" t="str">
            <v>צור שלום</v>
          </cell>
          <cell r="C2462" t="str">
            <v>צור שלום - הוספת הגנות פ"צ וכשל המפסק</v>
          </cell>
          <cell r="D2462">
            <v>47452</v>
          </cell>
        </row>
        <row r="2463">
          <cell r="A2463" t="str">
            <v>WBM-00546</v>
          </cell>
          <cell r="B2463" t="str">
            <v>צור שלום</v>
          </cell>
          <cell r="C2463" t="str">
            <v>צור שלום - הזנת תאורת חירום ז"י.</v>
          </cell>
          <cell r="D2463">
            <v>46184</v>
          </cell>
        </row>
        <row r="2464">
          <cell r="A2464" t="str">
            <v>WBM-10017</v>
          </cell>
          <cell r="B2464" t="str">
            <v>צור שלום</v>
          </cell>
          <cell r="C2464" t="str">
            <v>צור שלום - התקנת רושם הפרעות 161 ק"ו</v>
          </cell>
          <cell r="D2464">
            <v>46325</v>
          </cell>
        </row>
        <row r="2465">
          <cell r="A2465" t="str">
            <v>WBM-60062</v>
          </cell>
          <cell r="B2465" t="str">
            <v>צור שלום</v>
          </cell>
          <cell r="C2465" t="str">
            <v>צור שלום - עיגון ארונות פיקוד ושנאים</v>
          </cell>
          <cell r="D2465">
            <v>46324</v>
          </cell>
        </row>
        <row r="2466">
          <cell r="A2466" t="str">
            <v>WBM-40126</v>
          </cell>
          <cell r="B2466" t="str">
            <v>צור שלום</v>
          </cell>
          <cell r="C2466" t="str">
            <v>צור שלום - החלפת מערכת SCS</v>
          </cell>
          <cell r="D2466">
            <v>46752</v>
          </cell>
        </row>
        <row r="2467">
          <cell r="A2467" t="str">
            <v>WBM-40181</v>
          </cell>
          <cell r="B2467" t="str">
            <v>צור שלום</v>
          </cell>
          <cell r="C2467" t="str">
            <v>צור שלום - החלפת הגנות שנאים  DT92 ו- IEC 9</v>
          </cell>
          <cell r="D2467">
            <v>46326</v>
          </cell>
        </row>
        <row r="2468">
          <cell r="A2468" t="str">
            <v>WBG-089-010</v>
          </cell>
          <cell r="B2468" t="str">
            <v>צור שלום</v>
          </cell>
          <cell r="C2468" t="str">
            <v>צור שלום-התקנת 2 ממירים 220/60 וולט</v>
          </cell>
          <cell r="D2468">
            <v>41345</v>
          </cell>
        </row>
        <row r="2469">
          <cell r="A2469" t="str">
            <v>WBM-01030</v>
          </cell>
          <cell r="B2469" t="str">
            <v>צור שלום</v>
          </cell>
          <cell r="C2469" t="str">
            <v>צור שלום-עע"א-שולב-החלפת הגנ"דיפ בש'2</v>
          </cell>
          <cell r="D2469">
            <v>43100</v>
          </cell>
        </row>
        <row r="2470">
          <cell r="A2470" t="str">
            <v>WBM-00107</v>
          </cell>
          <cell r="B2470" t="str">
            <v>צור שלום</v>
          </cell>
          <cell r="C2470" t="str">
            <v>צור שלום - בוטל-התקנת מערכת טמ"ס</v>
          </cell>
          <cell r="D2470">
            <v>41759</v>
          </cell>
        </row>
        <row r="2471">
          <cell r="A2471" t="str">
            <v>WBM-00547</v>
          </cell>
          <cell r="B2471" t="str">
            <v>צור שלום</v>
          </cell>
          <cell r="C2471" t="str">
            <v>צור שלום-בוטל שיפור מערכת הארקה בתחמ"ש</v>
          </cell>
          <cell r="D2471">
            <v>39798</v>
          </cell>
        </row>
        <row r="2472">
          <cell r="A2472" t="str">
            <v>WBG-089-014</v>
          </cell>
          <cell r="B2472" t="str">
            <v>צור שלום</v>
          </cell>
          <cell r="C2472" t="str">
            <v>צור שלום-שדרוג הגנת מרחק REL316*4</v>
          </cell>
          <cell r="D2472">
            <v>40298</v>
          </cell>
        </row>
        <row r="2473">
          <cell r="A2473" t="str">
            <v>WBM-00355</v>
          </cell>
          <cell r="B2473" t="str">
            <v>צור שלום</v>
          </cell>
          <cell r="C2473" t="str">
            <v>צור שלום-בוטל-התא.חיבורים לזבולון ולנעמן</v>
          </cell>
          <cell r="D2473">
            <v>39545</v>
          </cell>
        </row>
        <row r="2474">
          <cell r="A2474" t="str">
            <v>WBG-089-017</v>
          </cell>
          <cell r="B2474" t="str">
            <v>צור שלום</v>
          </cell>
          <cell r="C2474" t="str">
            <v>צור שלום-שדרוג הגנת מרחק REL316*4</v>
          </cell>
          <cell r="D2474">
            <v>41262</v>
          </cell>
        </row>
        <row r="2475">
          <cell r="A2475" t="str">
            <v>WBM-10584</v>
          </cell>
          <cell r="B2475" t="str">
            <v>צור שלום</v>
          </cell>
          <cell r="C2475" t="str">
            <v>צור שלום - שדה 9- התקנת הגנת מרחק ודיפרנציאלית-משיק לנעמן שדה 11</v>
          </cell>
          <cell r="D2475">
            <v>46203</v>
          </cell>
        </row>
        <row r="2476">
          <cell r="A2476" t="str">
            <v>WBM-01191-002</v>
          </cell>
          <cell r="B2476" t="str">
            <v>צור שלום</v>
          </cell>
          <cell r="C2476" t="str">
            <v>צור שלום - החלפת טבעת 40 ל- RAD</v>
          </cell>
          <cell r="D2476">
            <v>46387</v>
          </cell>
        </row>
        <row r="2477">
          <cell r="A2477" t="str">
            <v>WBM-10456-014</v>
          </cell>
          <cell r="B2477" t="str">
            <v>צור שלום</v>
          </cell>
          <cell r="C2477" t="str">
            <v>צור שלום - הוספת מתמרים ב-4 פ"צ</v>
          </cell>
          <cell r="D2477">
            <v>46752</v>
          </cell>
        </row>
        <row r="2478">
          <cell r="A2478" t="str">
            <v>WBM-60008-083</v>
          </cell>
          <cell r="B2478" t="str">
            <v>צור שלום</v>
          </cell>
          <cell r="C2478" t="str">
            <v>צור שלום - מע' בקרה, טמ"ס וגדר אלקטרונית</v>
          </cell>
          <cell r="D2478">
            <v>45571</v>
          </cell>
        </row>
        <row r="2479">
          <cell r="A2479" t="str">
            <v>WBM-60100-013</v>
          </cell>
          <cell r="B2479" t="str">
            <v>צור שלום</v>
          </cell>
          <cell r="C2479" t="str">
            <v>צור שלום- החלפת ברזי זרימה של מע' כיבוי</v>
          </cell>
          <cell r="D2479">
            <v>45475</v>
          </cell>
        </row>
        <row r="2480">
          <cell r="A2480" t="str">
            <v>WBM-60118-021</v>
          </cell>
          <cell r="B2480" t="str">
            <v>צור שלום</v>
          </cell>
          <cell r="C2480" t="str">
            <v>צור שלום - שיפור מערכת הארקה</v>
          </cell>
          <cell r="D2480">
            <v>46751</v>
          </cell>
        </row>
        <row r="2481">
          <cell r="A2481" t="str">
            <v>WBM-20004-040</v>
          </cell>
          <cell r="B2481" t="str">
            <v>צור שלום</v>
          </cell>
          <cell r="C2481" t="str">
            <v>צור שלום - תיקון מערכת תאורה</v>
          </cell>
          <cell r="D2481">
            <v>46203</v>
          </cell>
        </row>
        <row r="2482">
          <cell r="A2482" t="str">
            <v>WBM-00885-127</v>
          </cell>
          <cell r="B2482" t="str">
            <v>צור שלום</v>
          </cell>
          <cell r="C2482" t="str">
            <v>צור שלום - בוטל-הסדרת דרישות כבאות</v>
          </cell>
        </row>
        <row r="2483">
          <cell r="A2483" t="str">
            <v>WBM-60130-037</v>
          </cell>
          <cell r="B2483" t="str">
            <v>צור שלום</v>
          </cell>
          <cell r="C2483" t="str">
            <v>צור שלום - התקנת מפסק פטריה להפסקת מערכת החשמל בחירום</v>
          </cell>
          <cell r="D2483">
            <v>46568</v>
          </cell>
        </row>
        <row r="2484">
          <cell r="A2484" t="str">
            <v>WBM-60202-003</v>
          </cell>
          <cell r="B2484" t="str">
            <v>צור שלום</v>
          </cell>
          <cell r="C2484" t="str">
            <v>צור שלום - החלפת לוח פיקוד משאבות ולוח גוקי בתחמשים</v>
          </cell>
          <cell r="D2484">
            <v>46173</v>
          </cell>
        </row>
        <row r="2485">
          <cell r="A2485" t="str">
            <v>WBM-00350-059</v>
          </cell>
          <cell r="B2485" t="str">
            <v>צור שלום</v>
          </cell>
          <cell r="C2485" t="str">
            <v>נושאי - צור שלום החלפת שנאי עקב תקלה</v>
          </cell>
          <cell r="D2485">
            <v>45688</v>
          </cell>
        </row>
        <row r="2486">
          <cell r="A2486" t="str">
            <v>WBM-60205-046</v>
          </cell>
          <cell r="B2486" t="str">
            <v>צור שלום</v>
          </cell>
          <cell r="C2486" t="str">
            <v>צור שלום - ניטור הצפות</v>
          </cell>
          <cell r="D2486">
            <v>46175</v>
          </cell>
        </row>
        <row r="2487">
          <cell r="A2487" t="str">
            <v>WBM-10720</v>
          </cell>
          <cell r="B2487" t="str">
            <v>צור שלום</v>
          </cell>
          <cell r="C2487" t="str">
            <v>שדרוג מערכת פיקוד והגנות מ"ג לקליטת שנאי רביעי.</v>
          </cell>
          <cell r="D2487">
            <v>46326</v>
          </cell>
        </row>
        <row r="2488">
          <cell r="A2488" t="str">
            <v>WBM-00885-151</v>
          </cell>
          <cell r="B2488" t="str">
            <v>צור שלום</v>
          </cell>
          <cell r="C2488" t="str">
            <v>צור שלום-,הגדלת יסוד והחלפת מיכל כיבוי אש ואביזרים והתאמה לתקן</v>
          </cell>
          <cell r="D2488">
            <v>46233</v>
          </cell>
        </row>
        <row r="2489">
          <cell r="A2489" t="str">
            <v>WBM-10773</v>
          </cell>
          <cell r="B2489" t="str">
            <v>צור שלום</v>
          </cell>
          <cell r="C2489" t="str">
            <v>צור שלום- משיק לכברי שדה 11, יישום דרך קשר אופטית זמנית  בין הגנות בשדה 9</v>
          </cell>
          <cell r="D2489">
            <v>46203</v>
          </cell>
        </row>
        <row r="2490">
          <cell r="A2490" t="str">
            <v>HIS-129</v>
          </cell>
          <cell r="B2490" t="str">
            <v>צומת כרמיה</v>
          </cell>
          <cell r="C2490" t="str">
            <v>צומת כרמיה</v>
          </cell>
          <cell r="D2490">
            <v>40908</v>
          </cell>
        </row>
        <row r="2491">
          <cell r="A2491" t="str">
            <v>WBM-80020</v>
          </cell>
          <cell r="B2491" t="str">
            <v>צומת כרמיה</v>
          </cell>
          <cell r="C2491" t="str">
            <v>צומת כרמיה-בוטל-תילים-מהדקיםפורט'wbo-82</v>
          </cell>
          <cell r="D2491">
            <v>44904</v>
          </cell>
        </row>
        <row r="2492">
          <cell r="A2492" t="str">
            <v>WBE-235</v>
          </cell>
          <cell r="B2492" t="str">
            <v>צומת כרמיה</v>
          </cell>
          <cell r="C2492" t="str">
            <v>צומת כרמיה – הקמת 2 שדות מ"ע חדשים והתאמת שדה 1 לזרם 2000 א'. משיק ל-WBO-824, WBO-823 .</v>
          </cell>
          <cell r="D2492">
            <v>46691</v>
          </cell>
        </row>
        <row r="2493">
          <cell r="A2493" t="str">
            <v>WBE-108</v>
          </cell>
          <cell r="B2493" t="str">
            <v>צומת כרמיה</v>
          </cell>
          <cell r="C2493" t="str">
            <v>צומת כרמיה-הוספת שנאי רביעי 50 מגוו"א</v>
          </cell>
          <cell r="D2493">
            <v>45748</v>
          </cell>
        </row>
        <row r="2494">
          <cell r="A2494" t="str">
            <v>WBE-128</v>
          </cell>
          <cell r="B2494" t="str">
            <v>צומת כרמיה</v>
          </cell>
          <cell r="C2494" t="str">
            <v>צומת כרמיה-בוטל-פיילוט-התקנת מתקן אגירת</v>
          </cell>
          <cell r="D2494">
            <v>44082</v>
          </cell>
        </row>
        <row r="2495">
          <cell r="A2495" t="str">
            <v>WBM-70014</v>
          </cell>
          <cell r="B2495" t="str">
            <v>צומת כרמיה</v>
          </cell>
          <cell r="C2495" t="str">
            <v>צומת כרמיה-החלפת משנק שד'מס' 9</v>
          </cell>
          <cell r="D2495">
            <v>44712</v>
          </cell>
        </row>
        <row r="2496">
          <cell r="A2496" t="str">
            <v>WBM-00310</v>
          </cell>
          <cell r="B2496" t="str">
            <v>צומת כרמיה</v>
          </cell>
          <cell r="C2496" t="str">
            <v>צומת כרמיה-התקנת 3 ס"ק  24 ק"ו 2*5 מגווא</v>
          </cell>
          <cell r="D2496">
            <v>47118</v>
          </cell>
        </row>
        <row r="2497">
          <cell r="A2497" t="str">
            <v>WBM-00992</v>
          </cell>
          <cell r="B2497" t="str">
            <v>צומת כרמיה</v>
          </cell>
          <cell r="C2497" t="str">
            <v>צומת כרמיה- בוטל החלפת סליל, כיבוי 24 ק"ו,300א</v>
          </cell>
          <cell r="D2497">
            <v>43861</v>
          </cell>
        </row>
        <row r="2498">
          <cell r="A2498" t="str">
            <v>WBM-01148</v>
          </cell>
          <cell r="B2498" t="str">
            <v>צומת כרמיה</v>
          </cell>
          <cell r="C2498" t="str">
            <v>צומת כרמיה-בוטל - הוספת פיקוד מרחוק לשנאי הארקה</v>
          </cell>
          <cell r="D2498">
            <v>43831</v>
          </cell>
        </row>
        <row r="2499">
          <cell r="A2499" t="str">
            <v>WBM-00311</v>
          </cell>
          <cell r="B2499" t="str">
            <v>צומת כרמיה</v>
          </cell>
          <cell r="C2499" t="str">
            <v>צומת כרמיה-בוטל-החלפת 2 סלילי כיבוי</v>
          </cell>
          <cell r="D2499">
            <v>40374</v>
          </cell>
        </row>
        <row r="2500">
          <cell r="A2500" t="str">
            <v>WBM-01049</v>
          </cell>
          <cell r="B2500" t="str">
            <v>צומת כרמיה</v>
          </cell>
          <cell r="C2500" t="str">
            <v>צומת כרמיה-בוטל החלפת מפסקים מ"ג</v>
          </cell>
          <cell r="D2500">
            <v>44196</v>
          </cell>
        </row>
        <row r="2501">
          <cell r="A2501" t="str">
            <v>WBM-40505</v>
          </cell>
          <cell r="B2501" t="str">
            <v>צומת כרמיה</v>
          </cell>
          <cell r="C2501" t="str">
            <v>צומת כרמיה - החלפת ציוד בשדות 6,10,12</v>
          </cell>
          <cell r="D2501">
            <v>47482</v>
          </cell>
        </row>
        <row r="2502">
          <cell r="A2502" t="str">
            <v>WBM-40252</v>
          </cell>
          <cell r="B2502" t="str">
            <v>צומת כרמיה</v>
          </cell>
          <cell r="C2502" t="str">
            <v>צומת כרמיה - החלפת שרשראות מבודדים</v>
          </cell>
          <cell r="D2502">
            <v>46934</v>
          </cell>
        </row>
        <row r="2503">
          <cell r="A2503" t="str">
            <v>WBM-40267</v>
          </cell>
          <cell r="B2503" t="str">
            <v>צומת כרמיה</v>
          </cell>
          <cell r="C2503" t="str">
            <v>צומת כרמיה-החלפת הגנת פ"צ</v>
          </cell>
          <cell r="D2503">
            <v>45900</v>
          </cell>
        </row>
        <row r="2504">
          <cell r="A2504" t="str">
            <v>WBM-40159</v>
          </cell>
          <cell r="B2504" t="str">
            <v>צומת כרמיה</v>
          </cell>
          <cell r="C2504" t="str">
            <v>צומת כרמיה – התאמת שדה 5 ליכולת 2000 א'.</v>
          </cell>
          <cell r="D2504">
            <v>46752</v>
          </cell>
        </row>
        <row r="2505">
          <cell r="A2505" t="str">
            <v>WBM-10366</v>
          </cell>
          <cell r="B2505" t="str">
            <v>צומת כרמיה</v>
          </cell>
          <cell r="C2505" t="str">
            <v>צומת כרמיה-הת' תיילים-מהדק.-פורט'wbo-826</v>
          </cell>
          <cell r="D2505">
            <v>46387</v>
          </cell>
        </row>
        <row r="2506">
          <cell r="A2506" t="str">
            <v>WBM-10376</v>
          </cell>
          <cell r="B2506" t="str">
            <v>צומת כרמיה</v>
          </cell>
          <cell r="C2506" t="str">
            <v>צומת כרמיה-הת' תיילים-מהדקים-פורט'wbo-824</v>
          </cell>
          <cell r="D2506">
            <v>46873</v>
          </cell>
        </row>
        <row r="2507">
          <cell r="A2507" t="str">
            <v>WBM-40512</v>
          </cell>
          <cell r="B2507" t="str">
            <v>צומת כרמיה</v>
          </cell>
          <cell r="C2507" t="str">
            <v>צומת כרמיה-בוטל החלפת משגוחים  (220 וולט)</v>
          </cell>
        </row>
        <row r="2508">
          <cell r="A2508" t="str">
            <v>WBM-10270</v>
          </cell>
          <cell r="B2508" t="str">
            <v>צומת כרמיה</v>
          </cell>
          <cell r="C2508" t="str">
            <v>צומת כרמיה-התא' תייל'-מהד'-פורט'WBO589</v>
          </cell>
          <cell r="D2508">
            <v>46387</v>
          </cell>
        </row>
        <row r="2509">
          <cell r="A2509" t="str">
            <v>WBM-00544</v>
          </cell>
          <cell r="B2509" t="str">
            <v>צומת כרמיה</v>
          </cell>
          <cell r="C2509" t="str">
            <v>צומת כרמיה-החלפת מגיני ברק מ"ג של שנאים</v>
          </cell>
          <cell r="D2509">
            <v>46265</v>
          </cell>
        </row>
        <row r="2510">
          <cell r="A2510" t="str">
            <v>WBM-01299</v>
          </cell>
          <cell r="B2510" t="str">
            <v>צומת כרמיה</v>
          </cell>
          <cell r="C2510" t="str">
            <v>צומת כרמיה -בוטל -  החלפת הגנות מ"ג מסוג IAC</v>
          </cell>
          <cell r="D2510">
            <v>43860</v>
          </cell>
        </row>
        <row r="2511">
          <cell r="A2511" t="str">
            <v>WBM-40125</v>
          </cell>
          <cell r="B2511" t="str">
            <v>צומת כרמיה</v>
          </cell>
          <cell r="C2511" t="str">
            <v>צומת כרמיה-החלפת הגנת מרחק בשדה 3</v>
          </cell>
          <cell r="D2511">
            <v>45428</v>
          </cell>
        </row>
        <row r="2512">
          <cell r="A2512" t="str">
            <v>WBM-10141</v>
          </cell>
          <cell r="B2512" t="str">
            <v>צומת כרמיה</v>
          </cell>
          <cell r="C2512" t="str">
            <v>צומת כרמיה - בוטל - התקנת מתמרים ב-3 פ"צ</v>
          </cell>
          <cell r="D2512">
            <v>44226</v>
          </cell>
        </row>
        <row r="2513">
          <cell r="A2513" t="str">
            <v>WBM-10362</v>
          </cell>
          <cell r="B2513" t="str">
            <v>צומת כרמיה</v>
          </cell>
          <cell r="C2513" t="str">
            <v>צומת כרמיה-משיק אשק-התק.הג.דיפ.ש13+תקש.</v>
          </cell>
          <cell r="D2513">
            <v>45175</v>
          </cell>
        </row>
        <row r="2514">
          <cell r="A2514" t="str">
            <v>WBM-10349</v>
          </cell>
          <cell r="B2514" t="str">
            <v>צומת כרמיה</v>
          </cell>
          <cell r="C2514" t="str">
            <v>צומת כרמיה- תקשורת אופטית בין הגנות, ש9</v>
          </cell>
          <cell r="D2514">
            <v>46387</v>
          </cell>
        </row>
        <row r="2515">
          <cell r="A2515" t="str">
            <v>WBM-00106</v>
          </cell>
          <cell r="B2515" t="str">
            <v>צומת כרמיה</v>
          </cell>
          <cell r="C2515" t="str">
            <v>צומת כרמיה-התאמת מערכת המים לכיבוי אש</v>
          </cell>
          <cell r="D2515">
            <v>44711</v>
          </cell>
        </row>
        <row r="2516">
          <cell r="A2516" t="str">
            <v>WBM-01201</v>
          </cell>
          <cell r="B2516" t="str">
            <v>צומת כרמיה</v>
          </cell>
          <cell r="C2516" t="str">
            <v>צ כרמיה  הג' מרחק בשד 3,5,9 וצד רוטנברג</v>
          </cell>
          <cell r="D2516">
            <v>44397</v>
          </cell>
        </row>
        <row r="2517">
          <cell r="A2517" t="str">
            <v>WBM-01315</v>
          </cell>
          <cell r="B2517" t="str">
            <v>צומת כרמיה</v>
          </cell>
          <cell r="C2517" t="str">
            <v>צומת כרמיה - החלפת הגנת קווים מסוג LZ31</v>
          </cell>
          <cell r="D2517">
            <v>44388</v>
          </cell>
        </row>
        <row r="2518">
          <cell r="A2518" t="str">
            <v>WBM-01347</v>
          </cell>
          <cell r="B2518" t="str">
            <v>צומת כרמיה</v>
          </cell>
          <cell r="C2518" t="str">
            <v>צומת כרמיה - החלפת רכזת גילוי וכיבוי אש</v>
          </cell>
          <cell r="D2518">
            <v>43870</v>
          </cell>
        </row>
        <row r="2519">
          <cell r="A2519" t="str">
            <v>WBM-01218</v>
          </cell>
          <cell r="B2519" t="str">
            <v>צומת כרמיה</v>
          </cell>
          <cell r="C2519" t="str">
            <v>צומת כרמיה-החלפת רושמי הפרעות INDACTIC</v>
          </cell>
          <cell r="D2519">
            <v>43291</v>
          </cell>
        </row>
        <row r="2520">
          <cell r="A2520" t="str">
            <v>WBG-088-027</v>
          </cell>
          <cell r="B2520" t="str">
            <v>צומת כרמיה</v>
          </cell>
          <cell r="C2520" t="str">
            <v>צומת כרמיה-שדרוג מערכת DVR</v>
          </cell>
          <cell r="D2520">
            <v>41577</v>
          </cell>
        </row>
        <row r="2521">
          <cell r="A2521" t="str">
            <v>WBG-088-008</v>
          </cell>
          <cell r="B2521" t="str">
            <v>צומת כרמיה</v>
          </cell>
          <cell r="C2521" t="str">
            <v>צומת כרמיה-התקנת מערכת מניה</v>
          </cell>
          <cell r="D2521">
            <v>40933</v>
          </cell>
        </row>
        <row r="2522">
          <cell r="A2522" t="str">
            <v>0260526</v>
          </cell>
          <cell r="B2522" t="str">
            <v>צומת כרמיה</v>
          </cell>
          <cell r="C2522" t="str">
            <v>צומת כרמיה-החלפת משנק, שדה 9 (לנתיבות)</v>
          </cell>
          <cell r="D2522">
            <v>36164</v>
          </cell>
        </row>
        <row r="2523">
          <cell r="A2523" t="str">
            <v>0269331</v>
          </cell>
          <cell r="B2523" t="str">
            <v>צומת כרמיה</v>
          </cell>
          <cell r="C2523" t="str">
            <v>צומת כרמיה-בוטל-התא' תייל'-פורט'WBO589</v>
          </cell>
          <cell r="D2523">
            <v>44589</v>
          </cell>
        </row>
        <row r="2524">
          <cell r="A2524" t="str">
            <v>WBM-30020</v>
          </cell>
          <cell r="B2524" t="str">
            <v>צומת כרמיה</v>
          </cell>
          <cell r="C2524" t="str">
            <v>צומת כרמיה- בוטל-התקנת גדר אלקטרונית</v>
          </cell>
          <cell r="D2524">
            <v>43467</v>
          </cell>
        </row>
        <row r="2525">
          <cell r="A2525" t="str">
            <v>WBM-00545</v>
          </cell>
          <cell r="B2525" t="str">
            <v>צומת כרמיה</v>
          </cell>
          <cell r="C2525" t="str">
            <v>צומת כרמיה - בוטל-מאצרות שמן ובור איסוף</v>
          </cell>
          <cell r="D2525">
            <v>41403</v>
          </cell>
        </row>
        <row r="2526">
          <cell r="A2526" t="str">
            <v>WBM-00836</v>
          </cell>
          <cell r="B2526" t="str">
            <v>צומת כרמיה</v>
          </cell>
          <cell r="C2526" t="str">
            <v>צומת כרמיה-בוטל-החלפת 4 מפסקי זרם 24 ק"ו</v>
          </cell>
          <cell r="D2526">
            <v>41320</v>
          </cell>
        </row>
        <row r="2527">
          <cell r="A2527">
            <v>533723</v>
          </cell>
          <cell r="B2527" t="str">
            <v>צומת כרמיה</v>
          </cell>
          <cell r="C2527" t="str">
            <v>צומת כרמיה-בוטל-הת. מערכת התראה ביטחונית</v>
          </cell>
          <cell r="D2527">
            <v>39751</v>
          </cell>
        </row>
        <row r="2528">
          <cell r="A2528">
            <v>533734</v>
          </cell>
          <cell r="B2528" t="str">
            <v>צומת כרמיה</v>
          </cell>
          <cell r="C2528" t="str">
            <v>צומת כרמיה-התקנת מאווררים בארונות פיקוד</v>
          </cell>
          <cell r="D2528">
            <v>40311</v>
          </cell>
        </row>
        <row r="2529">
          <cell r="A2529" t="str">
            <v>WBM-01010</v>
          </cell>
          <cell r="B2529" t="str">
            <v>צומת כרמיה</v>
          </cell>
          <cell r="C2529" t="str">
            <v>צומת כרמיה-בוטל-החלפת 2 סוללות מצברים</v>
          </cell>
          <cell r="D2529">
            <v>40577</v>
          </cell>
        </row>
        <row r="2530">
          <cell r="A2530" t="str">
            <v>WBM-01015</v>
          </cell>
          <cell r="B2530" t="str">
            <v>צומת כרמיה</v>
          </cell>
          <cell r="C2530" t="str">
            <v>צומת כרמיה-בוטל-תוספת/עדכון של 20 התרא.</v>
          </cell>
          <cell r="D2530">
            <v>40714</v>
          </cell>
        </row>
        <row r="2531">
          <cell r="A2531" t="str">
            <v>WBE-264</v>
          </cell>
          <cell r="B2531" t="str">
            <v>צומת כרמיה</v>
          </cell>
          <cell r="C2531" t="str">
            <v>צומת כרמיה-משיק ל-WBO-829 -הקמת 2 שדות קווים חדשים לנתיבות ולבשור</v>
          </cell>
          <cell r="D2531">
            <v>48029</v>
          </cell>
        </row>
        <row r="2532">
          <cell r="A2532" t="str">
            <v>WBM-40527</v>
          </cell>
          <cell r="B2532" t="str">
            <v>צומת כרמיה</v>
          </cell>
          <cell r="C2532" t="str">
            <v>צומת כרמיה - התאמת שדה 9 ליכולת 2000 א'. משיק ל-WBO-589.</v>
          </cell>
          <cell r="D2532">
            <v>46568</v>
          </cell>
        </row>
        <row r="2533">
          <cell r="A2533" t="str">
            <v>WBM-40528</v>
          </cell>
          <cell r="B2533" t="str">
            <v>צומת כרמיה</v>
          </cell>
          <cell r="C2533" t="str">
            <v>צומת כרמיה – החלפת ציוד בשדה 3</v>
          </cell>
          <cell r="D2533">
            <v>47848</v>
          </cell>
        </row>
        <row r="2534">
          <cell r="A2534" t="str">
            <v>WBM-40529</v>
          </cell>
          <cell r="B2534" t="str">
            <v>צומת כרמיה</v>
          </cell>
          <cell r="C2534" t="str">
            <v>צומת כרמיה – התאמת שדה 13 ליכולת 2000 א'. משיק ל-WBO-825.</v>
          </cell>
          <cell r="D2534">
            <v>46752</v>
          </cell>
        </row>
        <row r="2535">
          <cell r="A2535" t="str">
            <v>WBM-40530</v>
          </cell>
          <cell r="B2535" t="str">
            <v>צומת כרמיה</v>
          </cell>
          <cell r="C2535" t="str">
            <v>צומת כרמיה – החלפת ציוד בשדה 11</v>
          </cell>
          <cell r="D2535">
            <v>48213</v>
          </cell>
        </row>
        <row r="2536">
          <cell r="A2536" t="str">
            <v>WBM-00885-093</v>
          </cell>
          <cell r="B2536" t="str">
            <v>צומת כרמיה</v>
          </cell>
          <cell r="C2536" t="str">
            <v>כרמיה - בוטל-התכולה תקבע בהתאם לבדיקת מת"י</v>
          </cell>
        </row>
        <row r="2537">
          <cell r="A2537" t="str">
            <v>WBM-10315-064</v>
          </cell>
          <cell r="B2537" t="str">
            <v>צומת כרמיה</v>
          </cell>
          <cell r="C2537" t="str">
            <v>צומת כרמיה - התקנת מזגנים</v>
          </cell>
          <cell r="D2537">
            <v>45621</v>
          </cell>
        </row>
        <row r="2538">
          <cell r="A2538" t="str">
            <v>WBM-10456-001</v>
          </cell>
          <cell r="B2538" t="str">
            <v>צומת כרמיה</v>
          </cell>
          <cell r="C2538" t="str">
            <v>צומת כרמיה - הוספת מתמרים ב- 3 פ"צ</v>
          </cell>
          <cell r="D2538">
            <v>46418</v>
          </cell>
        </row>
        <row r="2539">
          <cell r="A2539" t="str">
            <v>WBM-40479-018</v>
          </cell>
          <cell r="B2539" t="str">
            <v>צומת כרמיה</v>
          </cell>
          <cell r="C2539" t="str">
            <v>צומת כרמיה- החלפת בקר טמפ' וגובה שמן בשנ</v>
          </cell>
          <cell r="D2539">
            <v>46934</v>
          </cell>
        </row>
        <row r="2540">
          <cell r="A2540" t="str">
            <v>WBM-60008-036</v>
          </cell>
          <cell r="B2540" t="str">
            <v>צומת כרמיה</v>
          </cell>
          <cell r="C2540" t="str">
            <v>צומת כרמיה- התקנת מערכת מיגון בתחמ"ש</v>
          </cell>
          <cell r="D2540">
            <v>47118</v>
          </cell>
        </row>
        <row r="2541">
          <cell r="A2541" t="str">
            <v>WBM-60088-013</v>
          </cell>
          <cell r="B2541" t="str">
            <v>צומת כרמיה</v>
          </cell>
          <cell r="C2541" t="str">
            <v>צומת כרמיה - בניית תשתית ביוב</v>
          </cell>
          <cell r="D2541">
            <v>46568</v>
          </cell>
        </row>
        <row r="2542">
          <cell r="A2542" t="str">
            <v>WBM-80002-044</v>
          </cell>
          <cell r="B2542" t="str">
            <v>צומת כרמיה</v>
          </cell>
          <cell r="C2542" t="str">
            <v>צומת כרמיה - הסבת בקר</v>
          </cell>
          <cell r="D2542">
            <v>45900</v>
          </cell>
        </row>
        <row r="2543">
          <cell r="A2543" t="str">
            <v>WBM-60130-070</v>
          </cell>
          <cell r="B2543" t="str">
            <v>צומת כרמיה</v>
          </cell>
          <cell r="C2543" t="str">
            <v>צומת כרמיה - התקנת מפסק פטריה להפסקת מערכת החשמל בחירום</v>
          </cell>
          <cell r="D2543">
            <v>46568</v>
          </cell>
        </row>
        <row r="2544">
          <cell r="A2544" t="str">
            <v>WBM-10649</v>
          </cell>
          <cell r="B2544" t="str">
            <v>צומת כרמיה</v>
          </cell>
          <cell r="C2544" t="str">
            <v>צומת כרמיה-בוטל-התאמת תיילים-מהדקים-פורטל WBO-823</v>
          </cell>
          <cell r="D2544">
            <v>43861</v>
          </cell>
        </row>
        <row r="2545">
          <cell r="A2545" t="str">
            <v>WBM-10650</v>
          </cell>
          <cell r="B2545" t="str">
            <v>צומת כרמיה</v>
          </cell>
          <cell r="C2545" t="str">
            <v>צומת כרמיה-בוטל-התאמת תיילים-מהדקים-פורטל WBM-40529</v>
          </cell>
          <cell r="D2545">
            <v>43861</v>
          </cell>
        </row>
        <row r="2546">
          <cell r="A2546" t="str">
            <v>WBM-10651</v>
          </cell>
          <cell r="B2546" t="str">
            <v>צומת כרמיה</v>
          </cell>
          <cell r="C2546" t="str">
            <v>צומת כרמיה-בוטל-התאמת תיילים-מהדקים-פורטל WBM-40528</v>
          </cell>
          <cell r="D2546">
            <v>43861</v>
          </cell>
        </row>
        <row r="2547">
          <cell r="A2547" t="str">
            <v>WBM-10652</v>
          </cell>
          <cell r="B2547" t="str">
            <v>צומת כרמיה</v>
          </cell>
          <cell r="C2547" t="str">
            <v>צומת כרמיה-בוטל-התאמת תיילים-מהדקים-פורטל WBM-40530</v>
          </cell>
          <cell r="D2547">
            <v>43861</v>
          </cell>
        </row>
        <row r="2548">
          <cell r="A2548" t="str">
            <v>WBM-10653</v>
          </cell>
          <cell r="B2548" t="str">
            <v>צומת כרמיה</v>
          </cell>
          <cell r="C2548" t="str">
            <v>צומת כרמיה-בוטל-התאמת תיילים-מהדקים-פורטל WBM-40159</v>
          </cell>
          <cell r="D2548">
            <v>43861</v>
          </cell>
        </row>
        <row r="2549">
          <cell r="A2549" t="str">
            <v>WBE-235-ST1</v>
          </cell>
          <cell r="B2549" t="str">
            <v>צומת כרמיה</v>
          </cell>
          <cell r="C2549" t="str">
            <v>צומת כרמיה – הקמת 2 שדות קווים חדשים. משיק ל- WBO-824, WBO-823</v>
          </cell>
          <cell r="D2549">
            <v>46599</v>
          </cell>
        </row>
        <row r="2550">
          <cell r="A2550" t="str">
            <v>WBE-235-ST2</v>
          </cell>
          <cell r="B2550" t="str">
            <v>צומת כרמיה</v>
          </cell>
          <cell r="C2550" t="str">
            <v>צומת כרמיה - התאמת שדה 1 לזרם 2000 א'. משיק ל-WBO-824, WBO-823</v>
          </cell>
          <cell r="D2550">
            <v>46691</v>
          </cell>
        </row>
        <row r="2551">
          <cell r="A2551" t="str">
            <v>WBM-80024-003</v>
          </cell>
          <cell r="B2551" t="str">
            <v>צומת כרמיה</v>
          </cell>
          <cell r="C2551" t="str">
            <v>צומת כרמיה - החלפת בקר RTU</v>
          </cell>
          <cell r="D2551">
            <v>45838</v>
          </cell>
        </row>
        <row r="2552">
          <cell r="A2552" t="str">
            <v>WBM-10666</v>
          </cell>
          <cell r="B2552" t="str">
            <v>צומת כרמיה</v>
          </cell>
          <cell r="C2552" t="str">
            <v>צומת כרמיה- הקמת חוות מסדרי אפס עבור שנאים 521, 522, 523, 524</v>
          </cell>
          <cell r="D2552">
            <v>46356</v>
          </cell>
        </row>
        <row r="2553">
          <cell r="A2553" t="str">
            <v>WBM-10667</v>
          </cell>
          <cell r="B2553" t="str">
            <v>צומת כרמיה</v>
          </cell>
          <cell r="C2553" t="str">
            <v>צומת כרמיה- הקמת בניין פיקוד משולב מסדרי מ"ג חדש.</v>
          </cell>
          <cell r="D2553">
            <v>46752</v>
          </cell>
        </row>
        <row r="2554">
          <cell r="A2554" t="str">
            <v>WBM-10668</v>
          </cell>
          <cell r="B2554" t="str">
            <v>צומת כרמיה</v>
          </cell>
          <cell r="C2554" t="str">
            <v>צומת כרמיה – הרחבת תשתיות.</v>
          </cell>
          <cell r="D2554">
            <v>46752</v>
          </cell>
        </row>
        <row r="2555">
          <cell r="A2555" t="str">
            <v>WBM-20004-041</v>
          </cell>
          <cell r="B2555" t="str">
            <v>צומת כרמיה</v>
          </cell>
          <cell r="C2555" t="str">
            <v>כרמיה - הוספת סבכות סביב שנאי 523</v>
          </cell>
          <cell r="D2555">
            <v>46568</v>
          </cell>
        </row>
        <row r="2556">
          <cell r="A2556" t="str">
            <v>WBM-40635</v>
          </cell>
          <cell r="B2556" t="str">
            <v>צומת כרמיה</v>
          </cell>
          <cell r="C2556" t="str">
            <v>צומת כרמיה – התאמת שדה מקשר פ"צ מספר 7-8 לזרם 2500 א'. משיק ל-WBO-823.</v>
          </cell>
          <cell r="D2556">
            <v>46752</v>
          </cell>
        </row>
        <row r="2557">
          <cell r="A2557" t="str">
            <v>WBM-60088-068</v>
          </cell>
          <cell r="B2557" t="str">
            <v>צומת כרמיה</v>
          </cell>
          <cell r="C2557" t="str">
            <v>צומת כרמיה - הקמת מאצרת שמן משותפת( הופרד מפרויקט WBE-108)</v>
          </cell>
          <cell r="D2557">
            <v>46022</v>
          </cell>
        </row>
        <row r="2558">
          <cell r="A2558">
            <v>9915002</v>
          </cell>
          <cell r="B2558" t="str">
            <v>צומת חרושת - מנא''י</v>
          </cell>
          <cell r="C2558" t="str">
            <v>צומת חרושת-מנא"י-קליטת תח"כ  148.5מגוו"ט</v>
          </cell>
          <cell r="D2558">
            <v>43402</v>
          </cell>
        </row>
        <row r="2559">
          <cell r="A2559" t="str">
            <v>WBM-00967</v>
          </cell>
          <cell r="B2559" t="str">
            <v>צומת חרושת - מנא''י</v>
          </cell>
          <cell r="C2559" t="str">
            <v>צומת חרושת-מנא"י-התקנת 2 שדות בתח"כ חדרה</v>
          </cell>
          <cell r="D2559">
            <v>43402</v>
          </cell>
        </row>
        <row r="2560">
          <cell r="A2560">
            <v>9915263</v>
          </cell>
          <cell r="B2560" t="str">
            <v>צומת אנרגיה</v>
          </cell>
          <cell r="C2560" t="str">
            <v>צומת אנרגיה-קליטת תח"כ בהספק של 396 מגוו</v>
          </cell>
          <cell r="D2560">
            <v>44978</v>
          </cell>
        </row>
        <row r="2561">
          <cell r="A2561" t="str">
            <v>0212730</v>
          </cell>
          <cell r="B2561" t="str">
            <v>פתח תקוה</v>
          </cell>
          <cell r="C2561" t="str">
            <v>uoe6a-פתח תקווה-עיבוי ושדרוג</v>
          </cell>
          <cell r="D2561">
            <v>42308</v>
          </cell>
        </row>
        <row r="2562">
          <cell r="A2562" t="str">
            <v>WBE-175</v>
          </cell>
          <cell r="B2562" t="str">
            <v>פתח תקוה</v>
          </cell>
          <cell r="C2562" t="str">
            <v>פתח תקווה-הוספת שנאי 525 161/24 ק"ו 50 מ</v>
          </cell>
          <cell r="D2562">
            <v>46265</v>
          </cell>
        </row>
        <row r="2563">
          <cell r="A2563" t="str">
            <v>WBK-003</v>
          </cell>
          <cell r="B2563" t="str">
            <v>פתח תקוה</v>
          </cell>
          <cell r="C2563" t="str">
            <v>פתח תקוה- החלפת מכולה מ"ג והוספת מנתקים</v>
          </cell>
          <cell r="D2563">
            <v>44042</v>
          </cell>
        </row>
        <row r="2564">
          <cell r="A2564" t="str">
            <v>WBK-011-ST3</v>
          </cell>
          <cell r="B2564" t="str">
            <v>פתח תקוה</v>
          </cell>
          <cell r="C2564" t="str">
            <v>פתח תקווה- השלמת טיפול נופי</v>
          </cell>
          <cell r="D2564">
            <v>44985</v>
          </cell>
        </row>
        <row r="2565">
          <cell r="A2565" t="str">
            <v>WBK-011</v>
          </cell>
          <cell r="B2565" t="str">
            <v>פתח תקוה</v>
          </cell>
          <cell r="C2565" t="str">
            <v>פתח תקוה-שדרוג ש"ק ל-650 MVA-שלושה שלבים</v>
          </cell>
          <cell r="D2565">
            <v>44964</v>
          </cell>
        </row>
        <row r="2566">
          <cell r="A2566" t="str">
            <v>WBK-011-ST2</v>
          </cell>
          <cell r="B2566" t="str">
            <v>פתח תקוה</v>
          </cell>
          <cell r="C2566" t="str">
            <v>פתח תקווה-החלפת מערכת ויסות המתח  ובקר</v>
          </cell>
          <cell r="D2566">
            <v>44553</v>
          </cell>
        </row>
        <row r="2567">
          <cell r="A2567" t="str">
            <v>HIS-128</v>
          </cell>
          <cell r="B2567" t="str">
            <v>פתח תקוה</v>
          </cell>
          <cell r="C2567" t="str">
            <v>פתח תקוה</v>
          </cell>
          <cell r="D2567">
            <v>40908</v>
          </cell>
        </row>
        <row r="2568">
          <cell r="A2568" t="str">
            <v>WDA-1-PA13</v>
          </cell>
          <cell r="B2568" t="str">
            <v>פתח תקוה</v>
          </cell>
          <cell r="C2568" t="str">
            <v>פתח תקווה-החלפת יחידת קצה של פיקוח ארצי</v>
          </cell>
          <cell r="D2568">
            <v>42673</v>
          </cell>
        </row>
        <row r="2569">
          <cell r="A2569" t="str">
            <v>WBL-006-039</v>
          </cell>
          <cell r="B2569" t="str">
            <v>פתח תקוה</v>
          </cell>
          <cell r="C2569" t="str">
            <v>פתח תקוה-שידרוג מערכת גידור אלקטרוני</v>
          </cell>
          <cell r="D2569">
            <v>40750</v>
          </cell>
        </row>
        <row r="2570">
          <cell r="A2570" t="str">
            <v>WBM-01149</v>
          </cell>
          <cell r="B2570" t="str">
            <v>פתח תקוה</v>
          </cell>
          <cell r="C2570" t="str">
            <v>פתח תקוה-הוספת פיקוד מרחוק לשנאי הארקה</v>
          </cell>
          <cell r="D2570">
            <v>46477</v>
          </cell>
        </row>
        <row r="2571">
          <cell r="A2571" t="str">
            <v>WBM-00669</v>
          </cell>
          <cell r="B2571" t="str">
            <v>פתח תקוה</v>
          </cell>
          <cell r="C2571" t="str">
            <v>פתח תקוה-החלפת 2 סלילי כיבוי  521 ו-522</v>
          </cell>
          <cell r="D2571">
            <v>46356</v>
          </cell>
        </row>
        <row r="2572">
          <cell r="A2572" t="str">
            <v>WBM-00207</v>
          </cell>
          <cell r="B2572" t="str">
            <v>פתח תקוה</v>
          </cell>
          <cell r="C2572" t="str">
            <v>פתח תקוה-הסדרת דרך גישה לתחמ"ש</v>
          </cell>
          <cell r="D2572">
            <v>46177</v>
          </cell>
        </row>
        <row r="2573">
          <cell r="A2573" t="str">
            <v>WBM-40108</v>
          </cell>
          <cell r="B2573" t="str">
            <v>פתח תקוה</v>
          </cell>
          <cell r="C2573" t="str">
            <v>פ"ת-החלפת מ"ב, מ"מ מ"ג, מ"ז, הגנות מ"ג</v>
          </cell>
          <cell r="D2573">
            <v>46538</v>
          </cell>
        </row>
        <row r="2574">
          <cell r="A2574" t="str">
            <v>WBM-20006</v>
          </cell>
          <cell r="B2574" t="str">
            <v>פתח תקוה</v>
          </cell>
          <cell r="C2574" t="str">
            <v>פתח תקוה - שדרוג והחלפת מערכת ניטור מימן</v>
          </cell>
          <cell r="D2574">
            <v>46387</v>
          </cell>
        </row>
        <row r="2575">
          <cell r="A2575" t="str">
            <v>WBM-40266</v>
          </cell>
          <cell r="B2575" t="str">
            <v>פתח תקוה</v>
          </cell>
          <cell r="C2575" t="str">
            <v>פתח תקוה - 400 ק"ו- החלפת הגנת פ"צ</v>
          </cell>
          <cell r="D2575">
            <v>46477</v>
          </cell>
        </row>
        <row r="2576">
          <cell r="A2576" t="str">
            <v>WBM-00159</v>
          </cell>
          <cell r="B2576" t="str">
            <v>פתח תקוה</v>
          </cell>
          <cell r="C2576" t="str">
            <v>פתח תקוה-עיגון לעמידה בפני רעידת אדמה.</v>
          </cell>
          <cell r="D2576">
            <v>46843</v>
          </cell>
        </row>
        <row r="2577">
          <cell r="A2577" t="str">
            <v>WBM-01181</v>
          </cell>
          <cell r="B2577" t="str">
            <v>פתח תקוה</v>
          </cell>
          <cell r="C2577" t="str">
            <v>פתח תקוה-החלפת הגנת שנאי DT92</v>
          </cell>
          <cell r="D2577">
            <v>46325</v>
          </cell>
        </row>
        <row r="2578">
          <cell r="A2578" t="str">
            <v>WBM-00541</v>
          </cell>
          <cell r="B2578" t="str">
            <v>פתח תקוה</v>
          </cell>
          <cell r="C2578" t="str">
            <v>פתח תקוה-החלפת הגנות מרחק כפולות.</v>
          </cell>
          <cell r="D2578">
            <v>46537</v>
          </cell>
        </row>
        <row r="2579">
          <cell r="A2579" t="str">
            <v>WBM-00206</v>
          </cell>
          <cell r="B2579" t="str">
            <v>פתח תקוה</v>
          </cell>
          <cell r="C2579" t="str">
            <v>פתח תקוה-הקמת ביתן השומר בכניסה לתחנה</v>
          </cell>
          <cell r="D2579">
            <v>46568</v>
          </cell>
        </row>
        <row r="2580">
          <cell r="A2580" t="str">
            <v>WBM-01326</v>
          </cell>
          <cell r="B2580" t="str">
            <v>פתח תקוה</v>
          </cell>
          <cell r="C2580" t="str">
            <v>פתח תקווה - החלפת רושם הפרעות INDACTIC</v>
          </cell>
          <cell r="D2580">
            <v>47149</v>
          </cell>
        </row>
        <row r="2581">
          <cell r="A2581" t="str">
            <v>WBM-40243</v>
          </cell>
          <cell r="B2581" t="str">
            <v>פתח תקוה</v>
          </cell>
          <cell r="C2581" t="str">
            <v>פתח תקווה - החלפת מתמרים של מסדר 400 ק"ו</v>
          </cell>
          <cell r="D2581">
            <v>45216</v>
          </cell>
        </row>
        <row r="2582">
          <cell r="A2582" t="str">
            <v>WBM-10397</v>
          </cell>
          <cell r="B2582" t="str">
            <v>פתח תקוה</v>
          </cell>
          <cell r="C2582" t="str">
            <v>פתח תקווה-ווסתי מתח ומע' קירור לאוטושנאי</v>
          </cell>
          <cell r="D2582">
            <v>46387</v>
          </cell>
        </row>
        <row r="2583">
          <cell r="A2583" t="str">
            <v>WBM-00795</v>
          </cell>
          <cell r="B2583" t="str">
            <v>פתח תקוה</v>
          </cell>
          <cell r="C2583" t="str">
            <v>פתח תקוה-החלפת  מגיני ברק  מ"ג של 4 שנאים 161/24 ק"ו</v>
          </cell>
          <cell r="D2583">
            <v>46568</v>
          </cell>
        </row>
        <row r="2584">
          <cell r="A2584" t="str">
            <v>WBM-40109</v>
          </cell>
          <cell r="B2584" t="str">
            <v>פתח תקוה</v>
          </cell>
          <cell r="C2584" t="str">
            <v>פ"ת- החלפת הגנות מרחק 400 ק"ו</v>
          </cell>
          <cell r="D2584">
            <v>46568</v>
          </cell>
        </row>
        <row r="2585">
          <cell r="A2585" t="str">
            <v>WBM-40245</v>
          </cell>
          <cell r="B2585" t="str">
            <v>פתח תקוה</v>
          </cell>
          <cell r="C2585" t="str">
            <v>פתח תקוה-החלפת הגנות שנאי קישור 400 ק"ו</v>
          </cell>
          <cell r="D2585">
            <v>46326</v>
          </cell>
        </row>
        <row r="2586">
          <cell r="A2586" t="str">
            <v>WBM-10420</v>
          </cell>
          <cell r="B2586" t="str">
            <v>פתח תקוה</v>
          </cell>
          <cell r="C2586" t="str">
            <v>פתח תקוה - התקנת מערכת רה-סינכרון במקשרי</v>
          </cell>
          <cell r="D2586">
            <v>46752</v>
          </cell>
        </row>
        <row r="2587">
          <cell r="A2587" t="str">
            <v>WBM-10321</v>
          </cell>
          <cell r="B2587" t="str">
            <v>פתח תקוה</v>
          </cell>
          <cell r="C2587" t="str">
            <v>פתח תקוה-בוטל- משיק לעתידים-ישום תק. אופט. בשדה 4B</v>
          </cell>
        </row>
        <row r="2588">
          <cell r="A2588" t="str">
            <v>WBM-10338</v>
          </cell>
          <cell r="B2588" t="str">
            <v>פתח תקוה</v>
          </cell>
          <cell r="C2588" t="str">
            <v>פתח תקוה-משיק לקיסריה B4-תקש.אופט.בין הג</v>
          </cell>
          <cell r="D2588">
            <v>46356</v>
          </cell>
        </row>
        <row r="2589">
          <cell r="A2589" t="str">
            <v>WBM-70007</v>
          </cell>
          <cell r="B2589" t="str">
            <v>פתח תקוה</v>
          </cell>
          <cell r="C2589" t="str">
            <v>פתח תקוה -משיק לאלישמע,  הג. דיפ. בשדה 7</v>
          </cell>
          <cell r="D2589">
            <v>45091</v>
          </cell>
        </row>
        <row r="2590">
          <cell r="A2590" t="str">
            <v>WBM-10247</v>
          </cell>
          <cell r="B2590" t="str">
            <v>פתח תקוה</v>
          </cell>
          <cell r="C2590" t="str">
            <v>פתח תקוה-משיק לגזר A7, החל. הג.דיפ.ש' A3</v>
          </cell>
          <cell r="D2590">
            <v>45062</v>
          </cell>
        </row>
        <row r="2591">
          <cell r="A2591" t="str">
            <v>WBM-01406</v>
          </cell>
          <cell r="B2591" t="str">
            <v>פתח תקוה</v>
          </cell>
          <cell r="C2591" t="str">
            <v>פתח תקוה - עיגון 12 אוטו-שנאים חד פאזיים</v>
          </cell>
          <cell r="D2591">
            <v>44681</v>
          </cell>
        </row>
        <row r="2592">
          <cell r="A2592" t="str">
            <v>WBM-01314</v>
          </cell>
          <cell r="B2592" t="str">
            <v>פתח תקוה</v>
          </cell>
          <cell r="C2592" t="str">
            <v>פ"ת - החלפת הגנת קווים מ"ע מסוג LZ31</v>
          </cell>
          <cell r="D2592">
            <v>44206</v>
          </cell>
        </row>
        <row r="2593">
          <cell r="A2593" t="str">
            <v>WBM-10108</v>
          </cell>
          <cell r="B2593" t="str">
            <v>פתח תקוה</v>
          </cell>
          <cell r="C2593" t="str">
            <v>פתח תקוה - חיבור סלילי כיבוי 521 ו-522</v>
          </cell>
          <cell r="D2593">
            <v>43912</v>
          </cell>
        </row>
        <row r="2594">
          <cell r="A2594" t="str">
            <v>WBM-01388</v>
          </cell>
          <cell r="B2594" t="str">
            <v>פתח תקוה</v>
          </cell>
          <cell r="C2594" t="str">
            <v>פתח תקוה-הגנה הפרישית ותקשורת שד' 12,16</v>
          </cell>
          <cell r="D2594">
            <v>43908</v>
          </cell>
        </row>
        <row r="2595">
          <cell r="A2595" t="str">
            <v>WBM-01074</v>
          </cell>
          <cell r="B2595" t="str">
            <v>פתח תקוה</v>
          </cell>
          <cell r="C2595" t="str">
            <v>פתח תקוה -הקמת שער חשמלי</v>
          </cell>
          <cell r="D2595">
            <v>43311</v>
          </cell>
        </row>
        <row r="2596">
          <cell r="A2596" t="str">
            <v>WBM-00208</v>
          </cell>
          <cell r="B2596" t="str">
            <v>פתח תקוה</v>
          </cell>
          <cell r="C2596" t="str">
            <v>פתח תקוה-התקנת מערכת טמ"ס</v>
          </cell>
          <cell r="D2596">
            <v>42916</v>
          </cell>
        </row>
        <row r="2597">
          <cell r="A2597" t="str">
            <v>WBM-00646</v>
          </cell>
          <cell r="B2597" t="str">
            <v>פתח תקוה</v>
          </cell>
          <cell r="C2597" t="str">
            <v>פתח תקוה-מיגון פיזי של מסדר 400 ק"ו</v>
          </cell>
          <cell r="D2597">
            <v>42612</v>
          </cell>
        </row>
        <row r="2598">
          <cell r="A2598" t="str">
            <v>WBM-00175</v>
          </cell>
          <cell r="B2598" t="str">
            <v>פתח תקוה</v>
          </cell>
          <cell r="C2598" t="str">
            <v>פתח תקוה-קשר בין הגנות בקו 400 לאיילון</v>
          </cell>
          <cell r="D2598">
            <v>42338</v>
          </cell>
        </row>
        <row r="2599">
          <cell r="A2599" t="str">
            <v>WBM-00824</v>
          </cell>
          <cell r="B2599" t="str">
            <v>פתח תקוה</v>
          </cell>
          <cell r="C2599" t="str">
            <v>פתח תקווה - שדה 21 התקנת הגנה ותקשורת</v>
          </cell>
          <cell r="D2599">
            <v>42154</v>
          </cell>
        </row>
        <row r="2600">
          <cell r="A2600" t="str">
            <v>WBM-00780</v>
          </cell>
          <cell r="B2600" t="str">
            <v>פתח תקוה</v>
          </cell>
          <cell r="C2600" t="str">
            <v>פתח תקוה-הפרדת סוללות מצברים 220 וולט.</v>
          </cell>
          <cell r="D2600">
            <v>41676</v>
          </cell>
        </row>
        <row r="2601">
          <cell r="A2601" t="str">
            <v>WBL-006-034</v>
          </cell>
          <cell r="B2601" t="str">
            <v>פתח תקוה</v>
          </cell>
          <cell r="C2601" t="str">
            <v>פתח תקוה-החלפת מ"ז מ"ג ב-3 שדות ס"ק</v>
          </cell>
          <cell r="D2601">
            <v>41325</v>
          </cell>
        </row>
        <row r="2602">
          <cell r="A2602" t="str">
            <v>WBL-006-025</v>
          </cell>
          <cell r="B2602" t="str">
            <v>פתח תקוה</v>
          </cell>
          <cell r="C2602" t="str">
            <v>פתח תקוה-התאמת מערכת המים לכיבוי אש</v>
          </cell>
          <cell r="D2602">
            <v>41273</v>
          </cell>
        </row>
        <row r="2603">
          <cell r="A2603" t="str">
            <v>WBL-006-029</v>
          </cell>
          <cell r="B2603" t="str">
            <v>פתח תקוה</v>
          </cell>
          <cell r="C2603" t="str">
            <v>פתח תקוה-ביטול חיבור חוזר מרחוק</v>
          </cell>
          <cell r="D2603">
            <v>41243</v>
          </cell>
        </row>
        <row r="2604">
          <cell r="A2604" t="str">
            <v>WBL-006-036</v>
          </cell>
          <cell r="B2604" t="str">
            <v>פתח תקוה</v>
          </cell>
          <cell r="C2604" t="str">
            <v>פתח תקוה-החלפת בקר המפעיל את הזנת א.הבית</v>
          </cell>
          <cell r="D2604">
            <v>41151</v>
          </cell>
        </row>
        <row r="2605">
          <cell r="A2605" t="str">
            <v>WBL-006-014</v>
          </cell>
          <cell r="B2605" t="str">
            <v>פתח תקוה</v>
          </cell>
          <cell r="C2605" t="str">
            <v>פתח תקוה-הקמת רשת מחשבים תפעולית</v>
          </cell>
          <cell r="D2605">
            <v>40979</v>
          </cell>
        </row>
        <row r="2606">
          <cell r="A2606" t="str">
            <v>WBM-40240</v>
          </cell>
          <cell r="B2606" t="str">
            <v>פתח תקוה</v>
          </cell>
          <cell r="C2606" t="str">
            <v>פתח תקוה-בוטל-החלפת טרפו גרד בשנאי 524</v>
          </cell>
          <cell r="D2606">
            <v>43797</v>
          </cell>
        </row>
        <row r="2607">
          <cell r="A2607" t="str">
            <v>WBM-60084</v>
          </cell>
          <cell r="B2607" t="str">
            <v>פתח תקוה</v>
          </cell>
          <cell r="C2607" t="str">
            <v>פתח תקוה-בוטל- מאצרת שמן למסדר אפס 523</v>
          </cell>
          <cell r="D2607">
            <v>44165</v>
          </cell>
        </row>
        <row r="2608">
          <cell r="A2608" t="str">
            <v>WBM-40110</v>
          </cell>
          <cell r="B2608" t="str">
            <v>פתח תקוה</v>
          </cell>
          <cell r="C2608" t="str">
            <v>פ"ת-בוטל-החלפת הגנת שנאי ב-3 אוטו-שנאים</v>
          </cell>
          <cell r="D2608">
            <v>43112</v>
          </cell>
        </row>
        <row r="2609">
          <cell r="A2609" t="str">
            <v>WBM--10417</v>
          </cell>
          <cell r="B2609" t="str">
            <v>פתח תקוה</v>
          </cell>
          <cell r="C2609" t="str">
            <v>פתח תקוה -בוטל-התקנת מערכת רה-סינכרון</v>
          </cell>
        </row>
        <row r="2610">
          <cell r="A2610" t="str">
            <v>WBM-00174</v>
          </cell>
          <cell r="B2610" t="str">
            <v>פתח תקוה</v>
          </cell>
          <cell r="C2610" t="str">
            <v>פתח תקוה-בוטל-קשר בין הגנות לאיילון</v>
          </cell>
          <cell r="D2610">
            <v>41310</v>
          </cell>
        </row>
        <row r="2611">
          <cell r="A2611">
            <v>531407</v>
          </cell>
          <cell r="B2611" t="str">
            <v>פתח תקוה</v>
          </cell>
          <cell r="C2611" t="str">
            <v>פתח תקוה-התקנת 4 יח' ממסרים מהירים</v>
          </cell>
          <cell r="D2611">
            <v>37771</v>
          </cell>
        </row>
        <row r="2612">
          <cell r="A2612" t="str">
            <v>WBM-00540</v>
          </cell>
          <cell r="B2612" t="str">
            <v>פתח תקוה</v>
          </cell>
          <cell r="C2612" t="str">
            <v>פתח תקוה-בוטל-התקנת מערכת התראה ביטחונית</v>
          </cell>
          <cell r="D2612">
            <v>38990</v>
          </cell>
        </row>
        <row r="2613">
          <cell r="A2613">
            <v>531434</v>
          </cell>
          <cell r="B2613" t="str">
            <v>פתח תקוה</v>
          </cell>
          <cell r="C2613" t="str">
            <v>פתח תקוה-החלפת מערכת התראות</v>
          </cell>
          <cell r="D2613">
            <v>39537</v>
          </cell>
        </row>
        <row r="2614">
          <cell r="A2614" t="str">
            <v>WBM-00543</v>
          </cell>
          <cell r="B2614" t="str">
            <v>פתח תקוה</v>
          </cell>
          <cell r="C2614" t="str">
            <v>פתח תקוה-בוטל-התקנת מצוף התראה למיכל דלק</v>
          </cell>
          <cell r="D2614">
            <v>39646</v>
          </cell>
        </row>
        <row r="2615">
          <cell r="A2615" t="str">
            <v>WBL-006-043</v>
          </cell>
          <cell r="B2615" t="str">
            <v>פתח תקוה</v>
          </cell>
          <cell r="C2615" t="str">
            <v>פתח תקוה-בוטל-החלפת  מגן ברק 108 ק"ו ישן</v>
          </cell>
          <cell r="D2615">
            <v>41577</v>
          </cell>
        </row>
        <row r="2616">
          <cell r="A2616" t="str">
            <v>WBM-00542</v>
          </cell>
          <cell r="B2616" t="str">
            <v>פתח תקוה</v>
          </cell>
          <cell r="C2616" t="str">
            <v>פתח תקוה-בוטל-עיגון דיזל גנרטור</v>
          </cell>
          <cell r="D2616">
            <v>41249</v>
          </cell>
        </row>
        <row r="2617">
          <cell r="A2617" t="str">
            <v>WBM-00921</v>
          </cell>
          <cell r="B2617" t="str">
            <v>פתח תקוה</v>
          </cell>
          <cell r="C2617" t="str">
            <v>פ"ת-הח.הגנות -קיסריה, גזר ואיילון</v>
          </cell>
          <cell r="D2617">
            <v>42338</v>
          </cell>
        </row>
        <row r="2618">
          <cell r="A2618" t="str">
            <v>WBK-011-ST1</v>
          </cell>
          <cell r="B2618" t="str">
            <v>פתח תקוה</v>
          </cell>
          <cell r="C2618" t="str">
            <v>פתח תקוה-שידרוג שנאי הקישור ל-650 MVA</v>
          </cell>
          <cell r="D2618">
            <v>41863</v>
          </cell>
        </row>
        <row r="2619">
          <cell r="A2619" t="str">
            <v>WBM-10464</v>
          </cell>
          <cell r="B2619" t="str">
            <v>פתח תקוה</v>
          </cell>
          <cell r="C2619" t="str">
            <v>פתח תקווה-  בוטל - משיק קיסריה  2A, תקשורת אופטית בין הגנות</v>
          </cell>
        </row>
        <row r="2620">
          <cell r="A2620" t="str">
            <v>WBM-10486</v>
          </cell>
          <cell r="B2620" t="str">
            <v>פתח תקוה</v>
          </cell>
          <cell r="C2620" t="str">
            <v>פתח תקווה -משיק עתידים ש2 וקיסריה ש A2, יישום  2 דרכי קשר אופטיות בין הגנות במעגל 400 ק"ו 3 קצוות בשדה A2</v>
          </cell>
          <cell r="D2620">
            <v>45574</v>
          </cell>
        </row>
        <row r="2621">
          <cell r="A2621" t="str">
            <v>WBM-10500</v>
          </cell>
          <cell r="B2621" t="str">
            <v>פתח תקוה</v>
          </cell>
          <cell r="C2621" t="str">
            <v>פתח תקוה - משיק כפר סבא שדה 9, התקנת הגנות (דיפ.+מרחק) בשדה 3</v>
          </cell>
          <cell r="D2621">
            <v>45621</v>
          </cell>
        </row>
        <row r="2622">
          <cell r="A2622" t="str">
            <v>WBM-40538</v>
          </cell>
          <cell r="B2622" t="str">
            <v>פתח תקוה</v>
          </cell>
          <cell r="C2622" t="str">
            <v>פתח תקווה- החלפת מבודדים של אוטושנאים 451, 452, 453 ורזרבי</v>
          </cell>
          <cell r="D2622">
            <v>46568</v>
          </cell>
        </row>
        <row r="2623">
          <cell r="A2623" t="str">
            <v>WBM-10556</v>
          </cell>
          <cell r="B2623" t="str">
            <v>פתח תקוה</v>
          </cell>
          <cell r="C2623" t="str">
            <v>פתח תקוה- שדה 17,משיק לקרית אריה שדה 5, פרוק הגנת P545 AREVA. התקנת P545 שניידר</v>
          </cell>
          <cell r="D2623">
            <v>45648</v>
          </cell>
        </row>
        <row r="2624">
          <cell r="A2624" t="str">
            <v>WBM-00885-104</v>
          </cell>
          <cell r="B2624" t="str">
            <v>פתח תקוה</v>
          </cell>
          <cell r="C2624" t="str">
            <v>פתח תקוה - שדרוג מערכת מים לכיבוי אש</v>
          </cell>
          <cell r="D2624">
            <v>46568</v>
          </cell>
        </row>
        <row r="2625">
          <cell r="A2625" t="str">
            <v>WBM-01341-013</v>
          </cell>
          <cell r="B2625" t="str">
            <v>פתח תקוה</v>
          </cell>
          <cell r="C2625" t="str">
            <v>פתח-תקוה 400 - שיפוץ מסדרי GIS</v>
          </cell>
          <cell r="D2625">
            <v>47664</v>
          </cell>
        </row>
        <row r="2626">
          <cell r="A2626" t="str">
            <v>WBM-01341-019</v>
          </cell>
          <cell r="B2626" t="str">
            <v>פתח תקוה</v>
          </cell>
          <cell r="C2626" t="str">
            <v>פתח תקווה 400 -GIS</v>
          </cell>
          <cell r="D2626">
            <v>46752</v>
          </cell>
        </row>
        <row r="2627">
          <cell r="A2627" t="str">
            <v>WBM-10315-025</v>
          </cell>
          <cell r="B2627" t="str">
            <v>פתח תקוה</v>
          </cell>
          <cell r="C2627" t="str">
            <v>פתח תיקוה - החלפת מזגנים ומערכת VRF חדר סוללות</v>
          </cell>
          <cell r="D2627">
            <v>45621</v>
          </cell>
        </row>
        <row r="2628">
          <cell r="A2628" t="str">
            <v>WBM-10316-001</v>
          </cell>
          <cell r="B2628" t="str">
            <v>פתח תקוה</v>
          </cell>
          <cell r="C2628" t="str">
            <v>פתח תיקוה -חבור רושמי הפרעות  למתג מנהלת</v>
          </cell>
          <cell r="D2628">
            <v>45607</v>
          </cell>
        </row>
        <row r="2629">
          <cell r="A2629" t="str">
            <v>WBM-60088-023</v>
          </cell>
          <cell r="B2629" t="str">
            <v>פתח תקוה</v>
          </cell>
          <cell r="C2629" t="str">
            <v>פ"ת - מאצרה למסדרי האפס</v>
          </cell>
          <cell r="D2629">
            <v>46418</v>
          </cell>
        </row>
        <row r="2630">
          <cell r="A2630" t="str">
            <v>WBM-60119-006</v>
          </cell>
          <cell r="B2630" t="str">
            <v>פתח תקוה</v>
          </cell>
          <cell r="C2630" t="str">
            <v>פ"ת - בוטל - החלפת גלאי קרן בגלאים מס 161+400</v>
          </cell>
        </row>
        <row r="2631">
          <cell r="A2631" t="str">
            <v>WBM-80007-001</v>
          </cell>
          <cell r="B2631" t="str">
            <v>פתח תקוה</v>
          </cell>
          <cell r="C2631" t="str">
            <v>פתח תקוה כאתר דרומי</v>
          </cell>
          <cell r="D2631">
            <v>45621</v>
          </cell>
        </row>
        <row r="2632">
          <cell r="A2632" t="str">
            <v>WBM-10612</v>
          </cell>
          <cell r="B2632" t="str">
            <v>פתח תקוה</v>
          </cell>
          <cell r="C2632" t="str">
            <v>פתח תקוה - משיק רמת גן שדה 9, התקנת הגנת מרחק ויישום דרך קשר בשדה 21</v>
          </cell>
          <cell r="D2632">
            <v>45961</v>
          </cell>
        </row>
        <row r="2633">
          <cell r="A2633" t="str">
            <v>WBM-60130-056</v>
          </cell>
          <cell r="B2633" t="str">
            <v>פתח תקוה</v>
          </cell>
          <cell r="C2633" t="str">
            <v>פתח תקווה - התקנת מפסק פטריה להפסקת מערכת החשמל בחירום</v>
          </cell>
          <cell r="D2633">
            <v>46568</v>
          </cell>
        </row>
        <row r="2634">
          <cell r="A2634" t="str">
            <v>WBM-10456-038</v>
          </cell>
          <cell r="B2634" t="str">
            <v>פתח תקוה</v>
          </cell>
          <cell r="C2634" t="str">
            <v>פתח תקוה- 161 ק"ו החלפת מתמרים</v>
          </cell>
          <cell r="D2634">
            <v>46568</v>
          </cell>
        </row>
        <row r="2635">
          <cell r="A2635" t="str">
            <v>WBM-10703</v>
          </cell>
          <cell r="B2635" t="str">
            <v>פתח תקוה</v>
          </cell>
          <cell r="C2635" t="str">
            <v>פתח תקווה - הת' תיילים-מהדקים-פורט'WBN-608</v>
          </cell>
          <cell r="D2635">
            <v>47664</v>
          </cell>
        </row>
        <row r="2636">
          <cell r="A2636" t="str">
            <v>WBM-10712</v>
          </cell>
          <cell r="B2636" t="str">
            <v>פתח תקוה</v>
          </cell>
          <cell r="C2636" t="str">
            <v>פתח תקוה- שדה 3, משיק לכפר סבא שדה 7. פרוק ממסרים והתקנת הגנת מרחק</v>
          </cell>
          <cell r="D2636">
            <v>46387</v>
          </cell>
        </row>
        <row r="2637">
          <cell r="A2637" t="str">
            <v>WBM-10713</v>
          </cell>
          <cell r="B2637" t="str">
            <v>פתח תקוה</v>
          </cell>
          <cell r="C2637" t="str">
            <v>פתח תקוה- שדה 3, משיק לכפר סבא שדה 7. פרוק ממסר P545SCHNEIDER התקנת SEL311L</v>
          </cell>
          <cell r="D2637">
            <v>46387</v>
          </cell>
        </row>
        <row r="2638">
          <cell r="A2638" t="str">
            <v>WBM-60116-047</v>
          </cell>
          <cell r="B2638" t="str">
            <v>פתח תקוה</v>
          </cell>
          <cell r="C2638" t="str">
            <v>מערכות גילוי אש להחלפה CERBERUS - בוטל - פתח תקוה</v>
          </cell>
        </row>
        <row r="2639">
          <cell r="A2639" t="str">
            <v>WBM-60116-058</v>
          </cell>
          <cell r="B2639" t="str">
            <v>פתח תקוה</v>
          </cell>
          <cell r="C2639" t="str">
            <v>פתח תקווה - מערכת גילוי וכיבוי אש אוטומטית CERBERUS</v>
          </cell>
          <cell r="D2639">
            <v>46752</v>
          </cell>
        </row>
        <row r="2640">
          <cell r="A2640" t="str">
            <v>WBM-10780</v>
          </cell>
          <cell r="B2640" t="str">
            <v>פתח תקוה</v>
          </cell>
          <cell r="C2640" t="str">
            <v>פתח תקוה- משיק לגזר שדה A7,  יישום דרך קשר אופטית זמנית בין הגנות (מרחק ודיפרנציאלית) בשדה B4</v>
          </cell>
          <cell r="D2640">
            <v>46326</v>
          </cell>
        </row>
        <row r="2641">
          <cell r="B2641" t="str">
            <v>פתח תקוה</v>
          </cell>
          <cell r="C2641" t="str">
            <v>פתח תקווה- בוטל - החלפת רושמי הפרעות קיימים מדגם IDM-T3 לרושמים חדשים מדגם IDM+</v>
          </cell>
        </row>
        <row r="2642">
          <cell r="A2642" t="str">
            <v>WBM-40637-010</v>
          </cell>
          <cell r="B2642" t="str">
            <v>פתח תקוה</v>
          </cell>
          <cell r="C2642" t="str">
            <v>פתח תקווה-החלפת רושמי הפרעות קיימים מדגם IDM-T3 לרושמים חדשים מדגם IDM+</v>
          </cell>
          <cell r="D2642">
            <v>46752</v>
          </cell>
        </row>
        <row r="2643">
          <cell r="A2643" t="str">
            <v>WBM-60131-022</v>
          </cell>
          <cell r="B2643" t="str">
            <v>פתח תקוה</v>
          </cell>
          <cell r="C2643" t="str">
            <v>פתח תקווה - טיפול באופיין מים</v>
          </cell>
          <cell r="D2643">
            <v>46180</v>
          </cell>
        </row>
        <row r="2644">
          <cell r="A2644" t="str">
            <v>WBM-70052</v>
          </cell>
          <cell r="B2644" t="str">
            <v>פתח תקוה</v>
          </cell>
          <cell r="C2644" t="str">
            <v>פתח תקוה פירוק משנקים בשדות 6+5</v>
          </cell>
          <cell r="D2644">
            <v>46507</v>
          </cell>
        </row>
        <row r="2645">
          <cell r="A2645" t="str">
            <v>HIS-183</v>
          </cell>
          <cell r="B2645" t="str">
            <v>פריקלאס-פרטית</v>
          </cell>
          <cell r="C2645" t="str">
            <v>פריקלאס-פרטית</v>
          </cell>
          <cell r="D2645">
            <v>40908</v>
          </cell>
        </row>
        <row r="2646">
          <cell r="A2646" t="str">
            <v>WBC-005</v>
          </cell>
          <cell r="B2646" t="str">
            <v>פרדס חנה</v>
          </cell>
          <cell r="C2646" t="str">
            <v>פרדס חנה - הקמת תחמ"ש פנימית 161/24 ק"ו</v>
          </cell>
          <cell r="D2646">
            <v>49248</v>
          </cell>
        </row>
        <row r="2647">
          <cell r="A2647" t="str">
            <v>WBC-045</v>
          </cell>
          <cell r="B2647" t="str">
            <v>פסגת זאב</v>
          </cell>
          <cell r="C2647" t="str">
            <v>פסגת זאב-הקמת תחמ"ש פנימית  161/36 ק"ו</v>
          </cell>
          <cell r="D2647">
            <v>47938</v>
          </cell>
        </row>
        <row r="2648">
          <cell r="A2648" t="str">
            <v>WBM-60116-030</v>
          </cell>
          <cell r="B2648" t="str">
            <v>פסגת זאב</v>
          </cell>
          <cell r="C2648" t="str">
            <v>פסגת זאב - שידרוג גלאים בתחנות משנה ומית</v>
          </cell>
          <cell r="D2648">
            <v>46721</v>
          </cell>
        </row>
        <row r="2649">
          <cell r="A2649" t="str">
            <v>WBT-016</v>
          </cell>
          <cell r="B2649" t="str">
            <v>פסגת זאב</v>
          </cell>
          <cell r="C2649" t="str">
            <v>בוטל - פסגת זאב- קידום תוכנית מתאר לתחמ"ש ולקו</v>
          </cell>
        </row>
        <row r="2650">
          <cell r="A2650" t="str">
            <v>HIS-158</v>
          </cell>
          <cell r="B2650" t="str">
            <v>פלמחים -פרטית</v>
          </cell>
          <cell r="C2650" t="str">
            <v>התפלה פלמחים-פרטית</v>
          </cell>
          <cell r="D2650">
            <v>40908</v>
          </cell>
        </row>
        <row r="2651">
          <cell r="A2651" t="str">
            <v>WBM-10042</v>
          </cell>
          <cell r="B2651" t="str">
            <v>פלמחים -פרטית</v>
          </cell>
          <cell r="C2651" t="str">
            <v>התפלה פלמחים - התקנת רושם הפרעות</v>
          </cell>
          <cell r="D2651">
            <v>46629</v>
          </cell>
        </row>
        <row r="2652">
          <cell r="A2652" t="str">
            <v>WBM-00963</v>
          </cell>
          <cell r="B2652" t="str">
            <v>פלמחים -פרטית</v>
          </cell>
          <cell r="C2652" t="str">
            <v>התפלה פלמחים-- בוטל - יישום דרך קשר לדלק שורק</v>
          </cell>
        </row>
        <row r="2653">
          <cell r="A2653" t="str">
            <v>WBM-10303</v>
          </cell>
          <cell r="B2653" t="str">
            <v>פלמחים -פרטית</v>
          </cell>
          <cell r="C2653" t="str">
            <v>התפלה פלמחים- משיק להתפלה שורק 2,הח.הגנה</v>
          </cell>
          <cell r="D2653">
            <v>44977</v>
          </cell>
        </row>
        <row r="2654">
          <cell r="A2654" t="str">
            <v>WBM-10428</v>
          </cell>
          <cell r="B2654" t="str">
            <v>פלמחים -פרטית</v>
          </cell>
          <cell r="C2654" t="str">
            <v>התפלה פלמחים-משיק הת.אשדוד-ש2, קשר הגנות</v>
          </cell>
          <cell r="D2654">
            <v>45574</v>
          </cell>
        </row>
        <row r="2655">
          <cell r="A2655" t="str">
            <v>WBG-142-001</v>
          </cell>
          <cell r="B2655" t="str">
            <v>פלמחים -פרטית</v>
          </cell>
          <cell r="C2655" t="str">
            <v>פלמחים פרטית-התקנת קשר הג. מרחק לה.אשדוד</v>
          </cell>
          <cell r="D2655">
            <v>41709</v>
          </cell>
        </row>
        <row r="2656">
          <cell r="A2656" t="str">
            <v>WBG-142-003</v>
          </cell>
          <cell r="B2656" t="str">
            <v>פלמחים -פרטית</v>
          </cell>
          <cell r="C2656" t="str">
            <v>פלמחים-יישום שתי דרכי תקשורת באמצעות OM</v>
          </cell>
          <cell r="D2656">
            <v>41243</v>
          </cell>
        </row>
        <row r="2657">
          <cell r="A2657" t="str">
            <v>WBM-00105</v>
          </cell>
          <cell r="B2657" t="str">
            <v>פלמחים -פרטית</v>
          </cell>
          <cell r="C2657" t="str">
            <v>פלמחים פרטית - התקנת ארון ז"י 48 וולט</v>
          </cell>
          <cell r="D2657">
            <v>41423</v>
          </cell>
        </row>
        <row r="2658">
          <cell r="A2658">
            <v>538905</v>
          </cell>
          <cell r="B2658" t="str">
            <v>פלמחים -פרטית</v>
          </cell>
          <cell r="C2658" t="str">
            <v>פלמחים פרטית-התקנת תמסורת תפעולית</v>
          </cell>
          <cell r="D2658">
            <v>36525</v>
          </cell>
        </row>
        <row r="2659">
          <cell r="A2659" t="str">
            <v>WBC-088</v>
          </cell>
          <cell r="B2659" t="str">
            <v>פלמחים</v>
          </cell>
          <cell r="C2659" t="str">
            <v>פלמחים- הקמת תחמ"ש חיצונית 161/24 ק"ו</v>
          </cell>
          <cell r="D2659">
            <v>50708</v>
          </cell>
        </row>
        <row r="2660">
          <cell r="A2660" t="str">
            <v>WBM-10454-003</v>
          </cell>
          <cell r="B2660" t="str">
            <v>פלמחים</v>
          </cell>
          <cell r="C2660" t="str">
            <v>פלמחים - הסבת טבעת OM550 ל- RAD</v>
          </cell>
          <cell r="D2660">
            <v>45511</v>
          </cell>
        </row>
        <row r="2661">
          <cell r="A2661" t="str">
            <v>WBM-80014-005</v>
          </cell>
          <cell r="B2661" t="str">
            <v>פלמחים</v>
          </cell>
          <cell r="C2661" t="str">
            <v>התפלה פלמחים - שדרוג SCS</v>
          </cell>
          <cell r="D2661">
            <v>45473</v>
          </cell>
        </row>
        <row r="2662">
          <cell r="A2662" t="str">
            <v>WBC-125</v>
          </cell>
          <cell r="B2662" t="str">
            <v>פלוגות</v>
          </cell>
          <cell r="C2662" t="str">
            <v>פלוגות- הקמת תחמ"ש חיצונית 161/24 ק"ו</v>
          </cell>
          <cell r="D2662">
            <v>47786</v>
          </cell>
        </row>
        <row r="2663">
          <cell r="A2663" t="str">
            <v>HIS-182</v>
          </cell>
          <cell r="B2663" t="str">
            <v>פטרוכימיה-פרטית</v>
          </cell>
          <cell r="C2663" t="str">
            <v>פטרוכימיה-פרטית</v>
          </cell>
          <cell r="D2663">
            <v>40908</v>
          </cell>
        </row>
        <row r="2664">
          <cell r="A2664" t="str">
            <v>79999-15</v>
          </cell>
          <cell r="B2664" t="str">
            <v>פז''א אשדוד</v>
          </cell>
          <cell r="C2664" t="str">
            <v>פז"א אשדוד-קליטת תח"כ בהספק של 60 מגוו"ט</v>
          </cell>
          <cell r="D2664">
            <v>41463</v>
          </cell>
        </row>
        <row r="2665">
          <cell r="A2665" t="str">
            <v>WBM-00104</v>
          </cell>
          <cell r="B2665" t="str">
            <v>פז''א אשדוד</v>
          </cell>
          <cell r="C2665" t="str">
            <v>פז"א אשדוד-עיגון סוללות מצברים</v>
          </cell>
          <cell r="D2665">
            <v>46843</v>
          </cell>
        </row>
        <row r="2666">
          <cell r="A2666" t="str">
            <v>WBM-10005</v>
          </cell>
          <cell r="B2666" t="str">
            <v>פז''א אשדוד</v>
          </cell>
          <cell r="C2666" t="str">
            <v>בתי זיקוק אשדוד-התקנת רושם הפרעות 161</v>
          </cell>
          <cell r="D2666">
            <v>46265</v>
          </cell>
        </row>
        <row r="2667">
          <cell r="A2667" t="str">
            <v>WBM-01143</v>
          </cell>
          <cell r="B2667" t="str">
            <v>פז''א אשדוד</v>
          </cell>
          <cell r="C2667" t="str">
            <v>פז"א אשדוד-החלפת הגנה דיפרנציאלית-שדה 5</v>
          </cell>
          <cell r="D2667">
            <v>43708</v>
          </cell>
        </row>
        <row r="2668">
          <cell r="A2668" t="str">
            <v>WBG-146-003</v>
          </cell>
          <cell r="B2668" t="str">
            <v>פז''א אשדוד</v>
          </cell>
          <cell r="C2668" t="str">
            <v>פז"א אשדוד-איטום מעברי כבלים נגד אש</v>
          </cell>
          <cell r="D2668">
            <v>41273</v>
          </cell>
        </row>
        <row r="2669">
          <cell r="A2669" t="str">
            <v>WBM-00710</v>
          </cell>
          <cell r="B2669" t="str">
            <v>פז''א אשדוד</v>
          </cell>
          <cell r="C2669" t="str">
            <v>פז"א אשדוד-הוספת דרך קשר שנייה</v>
          </cell>
          <cell r="D2669">
            <v>42368</v>
          </cell>
        </row>
        <row r="2670">
          <cell r="A2670" t="str">
            <v>WBG-146-005</v>
          </cell>
          <cell r="B2670" t="str">
            <v>פז''א אשדוד</v>
          </cell>
          <cell r="C2670" t="str">
            <v>פז"א אשדוד-התקנת ארון ז"י 48 וולט</v>
          </cell>
          <cell r="D2670">
            <v>41577</v>
          </cell>
        </row>
        <row r="2671">
          <cell r="A2671" t="str">
            <v>WBG-146-004</v>
          </cell>
          <cell r="B2671" t="str">
            <v>פז''א אשדוד</v>
          </cell>
          <cell r="C2671" t="str">
            <v>פז"א אשדוד -התקנת תמסורת תפעולית</v>
          </cell>
          <cell r="D2671">
            <v>41198</v>
          </cell>
        </row>
        <row r="2672">
          <cell r="A2672" t="str">
            <v>HIS-127</v>
          </cell>
          <cell r="B2672" t="str">
            <v>פוריה</v>
          </cell>
          <cell r="C2672" t="str">
            <v>פוריה</v>
          </cell>
          <cell r="D2672">
            <v>40908</v>
          </cell>
        </row>
        <row r="2673">
          <cell r="A2673" t="str">
            <v>WBE-007</v>
          </cell>
          <cell r="B2673" t="str">
            <v>פוריה</v>
          </cell>
          <cell r="C2673" t="str">
            <v>פוריה-התקנת שנאי שלישי , 50 מגוו"א</v>
          </cell>
          <cell r="D2673">
            <v>44543</v>
          </cell>
        </row>
        <row r="2674">
          <cell r="A2674" t="str">
            <v>WBM-40330</v>
          </cell>
          <cell r="B2674" t="str">
            <v>פוריה</v>
          </cell>
          <cell r="C2674" t="str">
            <v>פוריה-התאמה שדות 2,9 ליכולת  1440 א'</v>
          </cell>
          <cell r="D2674">
            <v>47118</v>
          </cell>
        </row>
        <row r="2675">
          <cell r="A2675" t="str">
            <v>WBM-40106</v>
          </cell>
          <cell r="B2675" t="str">
            <v>פוריה</v>
          </cell>
          <cell r="C2675" t="str">
            <v>פוריה - הוספת הגנות פ"צ וכשל המפסק</v>
          </cell>
          <cell r="D2675">
            <v>47207</v>
          </cell>
        </row>
        <row r="2676">
          <cell r="A2676" t="str">
            <v>WBM-00538</v>
          </cell>
          <cell r="B2676" t="str">
            <v>פוריה</v>
          </cell>
          <cell r="C2676" t="str">
            <v>פוריה-הזנת תאורת חירום ז"י.</v>
          </cell>
          <cell r="D2676">
            <v>46752</v>
          </cell>
        </row>
        <row r="2677">
          <cell r="A2677" t="str">
            <v>WBM-00103</v>
          </cell>
          <cell r="B2677" t="str">
            <v>פוריה</v>
          </cell>
          <cell r="C2677" t="str">
            <v>פוריה-התקנת רושם הפרעות 161 ק"ו</v>
          </cell>
          <cell r="D2677">
            <v>46691</v>
          </cell>
        </row>
        <row r="2678">
          <cell r="A2678" t="str">
            <v>WBM-40107</v>
          </cell>
          <cell r="B2678" t="str">
            <v>פוריה</v>
          </cell>
          <cell r="C2678" t="str">
            <v>פוריה - החלפת הגנות שנאי DT92 בשדות 3+1</v>
          </cell>
          <cell r="D2678">
            <v>46599</v>
          </cell>
        </row>
        <row r="2679">
          <cell r="A2679" t="str">
            <v>WBM-00944</v>
          </cell>
          <cell r="B2679" t="str">
            <v>פוריה</v>
          </cell>
          <cell r="C2679" t="str">
            <v>פוריה-הוספת ה.מרחק שנייה בשד': 2 , 9.</v>
          </cell>
          <cell r="D2679">
            <v>46446</v>
          </cell>
        </row>
        <row r="2680">
          <cell r="A2680" t="str">
            <v>WBM-60060</v>
          </cell>
          <cell r="B2680" t="str">
            <v>פוריה</v>
          </cell>
          <cell r="C2680" t="str">
            <v>פוריה - עיגון ארונות פיקוד ושנאים</v>
          </cell>
          <cell r="D2680">
            <v>46418</v>
          </cell>
        </row>
        <row r="2681">
          <cell r="A2681" t="str">
            <v>WBM-10253</v>
          </cell>
          <cell r="B2681" t="str">
            <v>פוריה</v>
          </cell>
          <cell r="C2681" t="str">
            <v>פוריה - שיפור אוטומטיקת סליל כיבוי</v>
          </cell>
          <cell r="D2681">
            <v>45197</v>
          </cell>
        </row>
        <row r="2682">
          <cell r="A2682" t="str">
            <v>WBM-10384</v>
          </cell>
          <cell r="B2682" t="str">
            <v>פוריה</v>
          </cell>
          <cell r="C2682" t="str">
            <v>פוריה -משיק לכינרות 22, יישום תקש.אופטית בין הג.ש9</v>
          </cell>
          <cell r="D2682">
            <v>46326</v>
          </cell>
        </row>
        <row r="2683">
          <cell r="A2683" t="str">
            <v>WBM-10259</v>
          </cell>
          <cell r="B2683" t="str">
            <v>פוריה</v>
          </cell>
          <cell r="C2683" t="str">
            <v>פוריה-משיק לאלון תבור 17, הוספת הגנה ש4</v>
          </cell>
          <cell r="D2683">
            <v>45260</v>
          </cell>
        </row>
        <row r="2684">
          <cell r="A2684" t="str">
            <v>0243120</v>
          </cell>
          <cell r="B2684" t="str">
            <v>פוריה</v>
          </cell>
          <cell r="C2684" t="str">
            <v>פוריה - החלפת מערכת SCS</v>
          </cell>
          <cell r="D2684">
            <v>44864</v>
          </cell>
        </row>
        <row r="2685">
          <cell r="A2685" t="str">
            <v>WBM-10233</v>
          </cell>
          <cell r="B2685" t="str">
            <v>פוריה</v>
          </cell>
          <cell r="C2685" t="str">
            <v>פוריה - החלפת המזגנים בתחמ"ש</v>
          </cell>
          <cell r="D2685">
            <v>44496</v>
          </cell>
        </row>
        <row r="2686">
          <cell r="A2686" t="str">
            <v>WBG-087-015</v>
          </cell>
          <cell r="B2686" t="str">
            <v>פוריה</v>
          </cell>
          <cell r="C2686" t="str">
            <v>פוריה - התקנת מערכת טמ"ס</v>
          </cell>
          <cell r="D2686">
            <v>41548</v>
          </cell>
        </row>
        <row r="2687">
          <cell r="A2687" t="str">
            <v>WBG-087-011</v>
          </cell>
          <cell r="B2687" t="str">
            <v>פוריה</v>
          </cell>
          <cell r="C2687" t="str">
            <v>פוריה-התקנת 2 ממרים 220/60 וולט</v>
          </cell>
          <cell r="D2687">
            <v>41483</v>
          </cell>
        </row>
        <row r="2688">
          <cell r="A2688" t="str">
            <v>WBM-01435</v>
          </cell>
          <cell r="B2688" t="str">
            <v>פוריה</v>
          </cell>
          <cell r="C2688" t="str">
            <v>פוריה -בוטל תקשורת RAD שדה 9 לכ.הירדן</v>
          </cell>
          <cell r="D2688">
            <v>43598</v>
          </cell>
        </row>
        <row r="2689">
          <cell r="A2689" t="str">
            <v>WBM-00798</v>
          </cell>
          <cell r="B2689" t="str">
            <v>פוריה</v>
          </cell>
          <cell r="C2689" t="str">
            <v>פוריה-בוטל-שידרוג מערכת גילוי וכיבוי אש</v>
          </cell>
          <cell r="D2689">
            <v>42369</v>
          </cell>
        </row>
        <row r="2690">
          <cell r="A2690" t="str">
            <v>WBM-00804</v>
          </cell>
          <cell r="B2690" t="str">
            <v>פוריה</v>
          </cell>
          <cell r="C2690" t="str">
            <v>פוריה-בוטל-החלפת רכזת התראה בטחונית</v>
          </cell>
          <cell r="D2690">
            <v>39721</v>
          </cell>
        </row>
        <row r="2691">
          <cell r="A2691" t="str">
            <v>WBM-00539</v>
          </cell>
          <cell r="B2691" t="str">
            <v>פוריה</v>
          </cell>
          <cell r="C2691" t="str">
            <v>פוריה-בוטל שיפור מערכת הארקת בתחמ"ש</v>
          </cell>
          <cell r="D2691">
            <v>39798</v>
          </cell>
        </row>
        <row r="2692">
          <cell r="A2692">
            <v>525029</v>
          </cell>
          <cell r="B2692" t="str">
            <v>פוריה</v>
          </cell>
          <cell r="C2692" t="str">
            <v>פוריה-התקנת מאווררים בארונות פיקוד והגנה</v>
          </cell>
          <cell r="D2692">
            <v>40311</v>
          </cell>
        </row>
        <row r="2693">
          <cell r="A2693" t="str">
            <v>WBM-00884-028</v>
          </cell>
          <cell r="B2693" t="str">
            <v>פוריה</v>
          </cell>
          <cell r="C2693" t="str">
            <v>פוריה- החלפת מערכות כיבוי בגז NAF-S3</v>
          </cell>
          <cell r="D2693">
            <v>45595</v>
          </cell>
        </row>
        <row r="2694">
          <cell r="A2694" t="str">
            <v>WBM-00885-007</v>
          </cell>
          <cell r="B2694" t="str">
            <v>פוריה</v>
          </cell>
          <cell r="C2694" t="str">
            <v>פוריה - התקנת מאגר מים לכיבוי אש</v>
          </cell>
          <cell r="D2694">
            <v>46752</v>
          </cell>
        </row>
        <row r="2695">
          <cell r="A2695" t="str">
            <v>WBM-40295-048</v>
          </cell>
          <cell r="B2695" t="str">
            <v>פוריה</v>
          </cell>
          <cell r="C2695" t="str">
            <v>פוריה - החלפת סוללות מצברים</v>
          </cell>
          <cell r="D2695">
            <v>46721</v>
          </cell>
        </row>
        <row r="2696">
          <cell r="A2696" t="str">
            <v>WBM-40479-029</v>
          </cell>
          <cell r="B2696" t="str">
            <v>פוריה</v>
          </cell>
          <cell r="C2696" t="str">
            <v>פוריה- החלפת 3 בקרי טמפ' וגובה שמן בשנאי</v>
          </cell>
          <cell r="D2696">
            <v>47024</v>
          </cell>
        </row>
        <row r="2697">
          <cell r="A2697" t="str">
            <v>WBM-40521-003</v>
          </cell>
          <cell r="B2697" t="str">
            <v>פוריה</v>
          </cell>
          <cell r="C2697" t="str">
            <v>פוריה - החלפת שנאי הארקה</v>
          </cell>
          <cell r="D2697">
            <v>46387</v>
          </cell>
        </row>
        <row r="2698">
          <cell r="A2698" t="str">
            <v>WBM-60092-003</v>
          </cell>
          <cell r="B2698" t="str">
            <v>פוריה</v>
          </cell>
          <cell r="C2698" t="str">
            <v>פוריה- בדיקות/טיפול/פינוי מכלי אש בגז</v>
          </cell>
          <cell r="D2698">
            <v>46173</v>
          </cell>
        </row>
        <row r="2699">
          <cell r="A2699" t="str">
            <v>WBM-60100-015</v>
          </cell>
          <cell r="B2699" t="str">
            <v>פוריה</v>
          </cell>
          <cell r="C2699" t="str">
            <v>פוריה- החלפת ברזי זרימה של מע' כיבוי במי</v>
          </cell>
          <cell r="D2699">
            <v>45475</v>
          </cell>
        </row>
        <row r="2700">
          <cell r="A2700" t="str">
            <v>WBM-60118-015</v>
          </cell>
          <cell r="B2700" t="str">
            <v>פוריה</v>
          </cell>
          <cell r="C2700" t="str">
            <v>פוריה - שיפור מערכת הארקה</v>
          </cell>
          <cell r="D2700">
            <v>46721</v>
          </cell>
        </row>
        <row r="2701">
          <cell r="A2701" t="str">
            <v>WBM-60130-036</v>
          </cell>
          <cell r="B2701" t="str">
            <v>פוריה</v>
          </cell>
          <cell r="C2701" t="str">
            <v>פוריה - התקנת מפסק פטריה להפסקת מערכת החשמל בחירום</v>
          </cell>
          <cell r="D2701">
            <v>46568</v>
          </cell>
        </row>
        <row r="2702">
          <cell r="A2702" t="str">
            <v>WBM-60205-040</v>
          </cell>
          <cell r="B2702" t="str">
            <v>פוריה</v>
          </cell>
          <cell r="C2702" t="str">
            <v>פוריה - ניטור הצפות</v>
          </cell>
          <cell r="D2702">
            <v>46175</v>
          </cell>
        </row>
        <row r="2703">
          <cell r="A2703" t="str">
            <v>WBM-60213</v>
          </cell>
          <cell r="B2703" t="str">
            <v>פוריה</v>
          </cell>
          <cell r="C2703" t="str">
            <v>פוריה-התקנת מערכת גילוי וכיבוי אש לארון חשמל עם מפסק ראשי מעל 100 אמפר</v>
          </cell>
          <cell r="D2703">
            <v>46203</v>
          </cell>
        </row>
        <row r="2704">
          <cell r="A2704" t="str">
            <v>WBM-70054</v>
          </cell>
          <cell r="B2704" t="str">
            <v>פוריה</v>
          </cell>
          <cell r="C2704" t="str">
            <v>פוריה - הת' תיילים-מהדקים-פורט'wbo-356</v>
          </cell>
          <cell r="D2704">
            <v>47848</v>
          </cell>
        </row>
        <row r="2705">
          <cell r="A2705" t="str">
            <v>WBM-70054-ST1</v>
          </cell>
          <cell r="B2705" t="str">
            <v>פוריה</v>
          </cell>
          <cell r="C2705" t="str">
            <v>פוריה - בחינת הפורטל לכוחות החדשים של תיילים בחתך 593*2 הנובעים מפרויקט הולכה WBO-356</v>
          </cell>
          <cell r="D2705">
            <v>47299</v>
          </cell>
        </row>
        <row r="2706">
          <cell r="A2706" t="str">
            <v>WBM-70054-ST2</v>
          </cell>
          <cell r="B2706" t="str">
            <v>פוריה</v>
          </cell>
          <cell r="C2706" t="str">
            <v>פוריה - התאמת הירידות, התיילים והמהדקים מקו ההולכה לפורטל בשדה 9 לחתך 593*2</v>
          </cell>
          <cell r="D2706">
            <v>47848</v>
          </cell>
        </row>
        <row r="2707">
          <cell r="A2707" t="str">
            <v>WBM-70055-ST1</v>
          </cell>
          <cell r="B2707" t="str">
            <v>פוריה</v>
          </cell>
          <cell r="C2707" t="str">
            <v>פוריה - בחינת הפורטל לכוחות החדשים של תיילים בחתך 593*2 הנובעים מפרויקט הולכה WBO-358</v>
          </cell>
          <cell r="D2707">
            <v>47299</v>
          </cell>
        </row>
        <row r="2708">
          <cell r="A2708" t="str">
            <v>WBM-70055</v>
          </cell>
          <cell r="B2708" t="str">
            <v>פוריה</v>
          </cell>
          <cell r="C2708" t="str">
            <v>פוריה - הת' תיילים-מהדקים-פורט'wbo-358</v>
          </cell>
          <cell r="D2708">
            <v>47848</v>
          </cell>
        </row>
        <row r="2709">
          <cell r="A2709" t="str">
            <v>WBM-700055</v>
          </cell>
          <cell r="B2709" t="str">
            <v>פוריה</v>
          </cell>
          <cell r="C2709" t="str">
            <v>פוריה - התאמת הירידות, התיילים והמהדקים מקו ההולכה לפורטל בשדה 2 לחתך 593*2 WBO-358</v>
          </cell>
          <cell r="D2709">
            <v>47848</v>
          </cell>
        </row>
        <row r="2710">
          <cell r="A2710" t="str">
            <v>WBM-70055-ST2</v>
          </cell>
          <cell r="B2710" t="str">
            <v>פוריה</v>
          </cell>
          <cell r="C2710" t="str">
            <v>פוריה - התאמת הירידות, התיילים והמהדקים מקו ההולכה לפורטל בשדה 2 לחתך 593*2</v>
          </cell>
          <cell r="D2710">
            <v>47848</v>
          </cell>
        </row>
        <row r="2711">
          <cell r="A2711" t="str">
            <v>WBC-110</v>
          </cell>
          <cell r="B2711" t="str">
            <v>פארק יואב</v>
          </cell>
          <cell r="C2711" t="str">
            <v>פארק יואב-בוטל-הקמת תחמ"ש חיצונית 161/24 ק"ו</v>
          </cell>
        </row>
        <row r="2712">
          <cell r="A2712" t="str">
            <v>HIS-181</v>
          </cell>
          <cell r="B2712" t="str">
            <v>פארן (קצא''א)-פרטית</v>
          </cell>
          <cell r="C2712" t="str">
            <v>פארן (קצא"א)-פרטית</v>
          </cell>
          <cell r="D2712">
            <v>40908</v>
          </cell>
        </row>
        <row r="2713">
          <cell r="A2713" t="str">
            <v>HIS-126</v>
          </cell>
          <cell r="B2713" t="str">
            <v>פארן</v>
          </cell>
          <cell r="C2713" t="str">
            <v>פארן</v>
          </cell>
          <cell r="D2713">
            <v>40908</v>
          </cell>
        </row>
        <row r="2714">
          <cell r="A2714" t="str">
            <v>WBE-241</v>
          </cell>
          <cell r="B2714" t="str">
            <v>פארן</v>
          </cell>
          <cell r="C2714" t="str">
            <v>פארן-הוקפא - הק' שדה לקל' קו מדימ' סו' והתא' ש'3</v>
          </cell>
        </row>
        <row r="2715">
          <cell r="A2715" t="str">
            <v>WBE-116-ST3</v>
          </cell>
          <cell r="B2715" t="str">
            <v>פארן</v>
          </cell>
          <cell r="C2715" t="str">
            <v>פארן-התקנת מאצרת שמן משותפת לשנאים</v>
          </cell>
          <cell r="D2715">
            <v>45834</v>
          </cell>
        </row>
        <row r="2716">
          <cell r="A2716" t="str">
            <v>WBE-116</v>
          </cell>
          <cell r="B2716" t="str">
            <v>פארן</v>
          </cell>
          <cell r="C2716" t="str">
            <v>פארן-רב שלבי-החלפת 2 שנאים מ-17 ל-50 מגו"א</v>
          </cell>
          <cell r="D2716">
            <v>45834</v>
          </cell>
        </row>
        <row r="2717">
          <cell r="A2717" t="str">
            <v>WBE-116-ST2</v>
          </cell>
          <cell r="B2717" t="str">
            <v>פארן</v>
          </cell>
          <cell r="C2717" t="str">
            <v>פארן-החלפת  שנאי 531 מ-17 ל-50 מגוו"א</v>
          </cell>
          <cell r="D2717">
            <v>45075</v>
          </cell>
        </row>
        <row r="2718">
          <cell r="A2718" t="str">
            <v>WBE-116-ST1</v>
          </cell>
          <cell r="B2718" t="str">
            <v>פארן</v>
          </cell>
          <cell r="C2718" t="str">
            <v>פארן-החלפת שנאי 532 מ-17 ל-50 מגוו"א</v>
          </cell>
          <cell r="D2718">
            <v>44896</v>
          </cell>
        </row>
        <row r="2719">
          <cell r="A2719" t="str">
            <v>WBE-141</v>
          </cell>
          <cell r="B2719" t="str">
            <v>פארן</v>
          </cell>
          <cell r="C2719" t="str">
            <v>פארן - מתקן אגירת אנרגיה בסוללות</v>
          </cell>
          <cell r="D2719">
            <v>46295</v>
          </cell>
        </row>
        <row r="2720">
          <cell r="A2720" t="str">
            <v>WDB-04COM38</v>
          </cell>
          <cell r="B2720" t="str">
            <v>פארן</v>
          </cell>
          <cell r="C2720" t="str">
            <v>פארן-הנחת כבל סיב אופטי מכיוון מ.רמון</v>
          </cell>
          <cell r="D2720">
            <v>44936</v>
          </cell>
        </row>
        <row r="2721">
          <cell r="A2721" t="str">
            <v>WDB-04COM39</v>
          </cell>
          <cell r="B2721" t="str">
            <v>פארן</v>
          </cell>
          <cell r="C2721" t="str">
            <v>פארן-הנחת כבל סיב אופטי מכיוון יוטבתה</v>
          </cell>
          <cell r="D2721">
            <v>43146</v>
          </cell>
        </row>
        <row r="2722">
          <cell r="A2722" t="str">
            <v>WBM-01443</v>
          </cell>
          <cell r="B2722" t="str">
            <v>פארן</v>
          </cell>
          <cell r="C2722" t="str">
            <v>פארן-התאמת שדה 11 לחיבור באר אורה</v>
          </cell>
          <cell r="D2722">
            <v>44642</v>
          </cell>
        </row>
        <row r="2723">
          <cell r="A2723" t="str">
            <v>WBM-00101</v>
          </cell>
          <cell r="B2723" t="str">
            <v>פארן</v>
          </cell>
          <cell r="C2723" t="str">
            <v>פארן-חיבור הקו החדש מרמת חובב ומאילת</v>
          </cell>
          <cell r="D2723">
            <v>44609</v>
          </cell>
        </row>
        <row r="2724">
          <cell r="A2724" t="str">
            <v>WBM-00534</v>
          </cell>
          <cell r="B2724" t="str">
            <v>פארן</v>
          </cell>
          <cell r="C2724" t="str">
            <v>פארן-הזנת תאורת חירום ז"י.</v>
          </cell>
          <cell r="D2724">
            <v>46387</v>
          </cell>
        </row>
        <row r="2725">
          <cell r="A2725" t="str">
            <v>WBM-40105</v>
          </cell>
          <cell r="B2725" t="str">
            <v>פארן</v>
          </cell>
          <cell r="C2725" t="str">
            <v>פארן - החלפת ציוד בשדה 3</v>
          </cell>
          <cell r="D2725">
            <v>46722</v>
          </cell>
        </row>
        <row r="2726">
          <cell r="A2726" t="str">
            <v>WBM-40509</v>
          </cell>
          <cell r="B2726" t="str">
            <v>פארן</v>
          </cell>
          <cell r="C2726" t="str">
            <v>פארן - חידוש ציוד בשדה  12</v>
          </cell>
          <cell r="D2726">
            <v>46295</v>
          </cell>
        </row>
        <row r="2727">
          <cell r="A2727" t="str">
            <v>WBM-10251</v>
          </cell>
          <cell r="B2727" t="str">
            <v>פארן</v>
          </cell>
          <cell r="C2727" t="str">
            <v>פארן- התקנת 2 מכולות עם מסדרי מ"ג 36 ק"ו</v>
          </cell>
          <cell r="D2727">
            <v>46477</v>
          </cell>
        </row>
        <row r="2728">
          <cell r="A2728" t="str">
            <v>WBM-40270</v>
          </cell>
          <cell r="B2728" t="str">
            <v>פארן</v>
          </cell>
          <cell r="C2728" t="str">
            <v>פארן - החלפת הגנת פ"צ</v>
          </cell>
          <cell r="D2728">
            <v>46568</v>
          </cell>
        </row>
        <row r="2729">
          <cell r="A2729" t="str">
            <v>WBM-00842</v>
          </cell>
          <cell r="B2729" t="str">
            <v>פארן</v>
          </cell>
          <cell r="C2729" t="str">
            <v>פארן-הסדרת צומת כניסה לתחמ"ש</v>
          </cell>
          <cell r="D2729">
            <v>46177</v>
          </cell>
        </row>
        <row r="2730">
          <cell r="A2730" t="str">
            <v>WBM-00533</v>
          </cell>
          <cell r="B2730" t="str">
            <v>פארן</v>
          </cell>
          <cell r="C2730" t="str">
            <v>פארן-התקנת תקשורת מנהלתית</v>
          </cell>
          <cell r="D2730">
            <v>45929</v>
          </cell>
        </row>
        <row r="2731">
          <cell r="A2731" t="str">
            <v>WBM-00099</v>
          </cell>
          <cell r="B2731" t="str">
            <v>פארן</v>
          </cell>
          <cell r="C2731" t="str">
            <v>פארן - התקנת מיכל מים ומשאבה לכיבוי אש</v>
          </cell>
          <cell r="D2731">
            <v>46233</v>
          </cell>
        </row>
        <row r="2732">
          <cell r="A2732" t="str">
            <v>WBM-00536</v>
          </cell>
          <cell r="B2732" t="str">
            <v>פארן</v>
          </cell>
          <cell r="C2732" t="str">
            <v>פארן-החלפת לוח מאור וכוח לבניין פיקוד</v>
          </cell>
          <cell r="D2732">
            <v>46326</v>
          </cell>
        </row>
        <row r="2733">
          <cell r="A2733" t="str">
            <v>WBM-40104</v>
          </cell>
          <cell r="B2733" t="str">
            <v>פארן</v>
          </cell>
          <cell r="C2733" t="str">
            <v>פארן-הח' מנתקים ש' 5,7,10 החלפת הג. ש 17</v>
          </cell>
          <cell r="D2733">
            <v>46477</v>
          </cell>
        </row>
        <row r="2734">
          <cell r="A2734" t="str">
            <v>0243447</v>
          </cell>
          <cell r="B2734" t="str">
            <v>פארן</v>
          </cell>
          <cell r="C2734" t="str">
            <v>פארן-בוטל - החל' ציוד מ"ג מפ"ז והגנות</v>
          </cell>
        </row>
        <row r="2735">
          <cell r="A2735" t="str">
            <v>WBM-60109</v>
          </cell>
          <cell r="B2735" t="str">
            <v>פארן</v>
          </cell>
          <cell r="C2735" t="str">
            <v>פארן - החלפת מערכת גילוי וכיבוי אש בגז</v>
          </cell>
          <cell r="D2735">
            <v>45214</v>
          </cell>
        </row>
        <row r="2736">
          <cell r="A2736" t="str">
            <v>WBM-10132</v>
          </cell>
          <cell r="B2736" t="str">
            <v>פארן</v>
          </cell>
          <cell r="C2736" t="str">
            <v>פארן - התקנת מתמרים ב-2 פ"צ</v>
          </cell>
          <cell r="D2736">
            <v>45012</v>
          </cell>
        </row>
        <row r="2737">
          <cell r="A2737" t="str">
            <v>WBM-50004</v>
          </cell>
          <cell r="B2737" t="str">
            <v>פארן</v>
          </cell>
          <cell r="C2737" t="str">
            <v>פארן-התקנת הגנה הפרשית+ישום 2 ד תק'(ש11)</v>
          </cell>
          <cell r="D2737">
            <v>44650</v>
          </cell>
        </row>
        <row r="2738">
          <cell r="A2738" t="str">
            <v>WBM-10222</v>
          </cell>
          <cell r="B2738" t="str">
            <v>פארן</v>
          </cell>
          <cell r="C2738" t="str">
            <v>פארן -משיק לקו לאילת ,הח הגנת מרחק לדיפ.</v>
          </cell>
          <cell r="D2738">
            <v>44609</v>
          </cell>
        </row>
        <row r="2739">
          <cell r="A2739" t="str">
            <v>WBM-10263</v>
          </cell>
          <cell r="B2739" t="str">
            <v>פארן</v>
          </cell>
          <cell r="C2739" t="str">
            <v>פארן - ביטול ציוד הצמדה בקו מצפה רמון</v>
          </cell>
          <cell r="D2739">
            <v>44609</v>
          </cell>
        </row>
        <row r="2740">
          <cell r="A2740" t="str">
            <v>WBM-10209</v>
          </cell>
          <cell r="B2740" t="str">
            <v>פארן</v>
          </cell>
          <cell r="C2740" t="str">
            <v>פארן-משיק לקו תמנע-אילת-החלפת הגנה+תקש.</v>
          </cell>
          <cell r="D2740">
            <v>44609</v>
          </cell>
        </row>
        <row r="2741">
          <cell r="A2741" t="str">
            <v>WBM-01024</v>
          </cell>
          <cell r="B2741" t="str">
            <v>פארן</v>
          </cell>
          <cell r="C2741" t="str">
            <v>פארן-התקנת קשר הגנות מרחק למצפה רמון</v>
          </cell>
          <cell r="D2741">
            <v>44609</v>
          </cell>
        </row>
        <row r="2742">
          <cell r="A2742" t="str">
            <v>WBM-00917</v>
          </cell>
          <cell r="B2742" t="str">
            <v>פארן</v>
          </cell>
          <cell r="C2742" t="str">
            <v>פארן-התקנ.קשר הגנות מרחק עתידי לב.אורה</v>
          </cell>
          <cell r="D2742">
            <v>44609</v>
          </cell>
        </row>
        <row r="2743">
          <cell r="A2743" t="str">
            <v>WBM-01025</v>
          </cell>
          <cell r="B2743" t="str">
            <v>פארן</v>
          </cell>
          <cell r="C2743" t="str">
            <v>פארן-התקנת קשר הגנות מרחק למ. רמון</v>
          </cell>
          <cell r="D2743">
            <v>44609</v>
          </cell>
        </row>
        <row r="2744">
          <cell r="A2744" t="str">
            <v>WBM-00662</v>
          </cell>
          <cell r="B2744" t="str">
            <v>פארן</v>
          </cell>
          <cell r="C2744" t="str">
            <v>פארן- שדה 7 לקטורה הגנות והחלפת ציוד הצמ</v>
          </cell>
          <cell r="D2744">
            <v>44377</v>
          </cell>
        </row>
        <row r="2745">
          <cell r="A2745" t="str">
            <v>WBM-00102</v>
          </cell>
          <cell r="B2745" t="str">
            <v>פארן</v>
          </cell>
          <cell r="C2745" t="str">
            <v>פארן - התקנת מערכת טמ"ס</v>
          </cell>
          <cell r="D2745">
            <v>43788</v>
          </cell>
        </row>
        <row r="2746">
          <cell r="A2746" t="str">
            <v>WBM-01217</v>
          </cell>
          <cell r="B2746" t="str">
            <v>פארן</v>
          </cell>
          <cell r="C2746" t="str">
            <v>פארן-החלפת רושמי הפרעות INDACTIC</v>
          </cell>
          <cell r="D2746">
            <v>43403</v>
          </cell>
        </row>
        <row r="2747">
          <cell r="A2747" t="str">
            <v>WBM-01045</v>
          </cell>
          <cell r="B2747" t="str">
            <v>פארן</v>
          </cell>
          <cell r="C2747" t="str">
            <v>פארן-בוטל - החלפת מפסקים מ"ג</v>
          </cell>
          <cell r="D2747">
            <v>42334</v>
          </cell>
        </row>
        <row r="2748">
          <cell r="A2748" t="str">
            <v>WBM-01252</v>
          </cell>
          <cell r="B2748" t="str">
            <v>פארן</v>
          </cell>
          <cell r="C2748" t="str">
            <v>פארן - בוטל-מאצרות שמן קבועות לשנאים</v>
          </cell>
          <cell r="D2748">
            <v>42905</v>
          </cell>
        </row>
        <row r="2749">
          <cell r="A2749" t="str">
            <v>WBM-01113</v>
          </cell>
          <cell r="B2749" t="str">
            <v>פארן</v>
          </cell>
          <cell r="C2749" t="str">
            <v>פארן-בוטל-תקנת 2 מאצרות שמן  זמניות</v>
          </cell>
          <cell r="D2749">
            <v>42684</v>
          </cell>
        </row>
        <row r="2750">
          <cell r="A2750" t="str">
            <v>WBM-10091</v>
          </cell>
          <cell r="B2750" t="str">
            <v>פארן</v>
          </cell>
          <cell r="C2750" t="str">
            <v>פארן - בוטל-החלפת שרשראות מבודדים</v>
          </cell>
          <cell r="D2750">
            <v>43227</v>
          </cell>
        </row>
        <row r="2751">
          <cell r="A2751" t="str">
            <v>WBM-60021</v>
          </cell>
          <cell r="B2751" t="str">
            <v>פארן</v>
          </cell>
          <cell r="C2751" t="str">
            <v>פארן -בוטל- בניית תשתית לאיסוף שפכים</v>
          </cell>
          <cell r="D2751">
            <v>43789</v>
          </cell>
        </row>
        <row r="2752">
          <cell r="A2752" t="str">
            <v>WBM-10252</v>
          </cell>
          <cell r="B2752" t="str">
            <v>פארן</v>
          </cell>
          <cell r="C2752" t="str">
            <v>פארן – בוטל-התקנת ס"ק עבור שנאים 531,532</v>
          </cell>
          <cell r="D2752">
            <v>44496</v>
          </cell>
        </row>
        <row r="2753">
          <cell r="A2753" t="str">
            <v>WBM-00537</v>
          </cell>
          <cell r="B2753" t="str">
            <v>פארן</v>
          </cell>
          <cell r="C2753" t="str">
            <v>פארן-בוטל-החלפת 50 מבדדים קרמיים</v>
          </cell>
          <cell r="D2753">
            <v>41435</v>
          </cell>
        </row>
        <row r="2754">
          <cell r="A2754">
            <v>535125</v>
          </cell>
          <cell r="B2754" t="str">
            <v>פארן</v>
          </cell>
          <cell r="C2754" t="str">
            <v>פארן-החלפת רכזת התראה ביטחונית</v>
          </cell>
          <cell r="D2754">
            <v>39933</v>
          </cell>
        </row>
        <row r="2755">
          <cell r="A2755" t="str">
            <v>WBM-00535</v>
          </cell>
          <cell r="B2755" t="str">
            <v>פארן</v>
          </cell>
          <cell r="C2755" t="str">
            <v>פארן-בוטל-התקנת מצוף התראה למיכל דלק</v>
          </cell>
          <cell r="D2755">
            <v>39646</v>
          </cell>
        </row>
        <row r="2756">
          <cell r="A2756">
            <v>535133</v>
          </cell>
          <cell r="B2756" t="str">
            <v>פארן</v>
          </cell>
          <cell r="C2756" t="str">
            <v>פארן-הקמת רשת מחשבים תפעולית</v>
          </cell>
          <cell r="D2756">
            <v>40542</v>
          </cell>
        </row>
        <row r="2757">
          <cell r="A2757">
            <v>535138</v>
          </cell>
          <cell r="B2757" t="str">
            <v>פארן</v>
          </cell>
          <cell r="C2757" t="str">
            <v>פארן-בוטל-התקנת מאווררים בארונות פיקוד</v>
          </cell>
          <cell r="D2757">
            <v>40311</v>
          </cell>
        </row>
        <row r="2758">
          <cell r="A2758">
            <v>104173</v>
          </cell>
          <cell r="B2758" t="str">
            <v>פארן</v>
          </cell>
          <cell r="C2758" t="str">
            <v>פארן--התקנת קשר בין הגנות מרחק ליוטבתה</v>
          </cell>
          <cell r="D2758">
            <v>38352</v>
          </cell>
        </row>
        <row r="2759">
          <cell r="A2759" t="str">
            <v>WBM-00336</v>
          </cell>
          <cell r="B2759" t="str">
            <v>פארן</v>
          </cell>
          <cell r="C2759" t="str">
            <v>פארן-בוטל-התקנת ארון ז"י 48 וולט</v>
          </cell>
          <cell r="D2759">
            <v>39807</v>
          </cell>
        </row>
        <row r="2760">
          <cell r="A2760" t="str">
            <v>WBM-00100</v>
          </cell>
          <cell r="B2760" t="str">
            <v>פארן</v>
          </cell>
          <cell r="C2760" t="str">
            <v>פארן-בוטל-חיבור קווי מ"ע לרושם הפרעות</v>
          </cell>
          <cell r="D2760">
            <v>40235</v>
          </cell>
        </row>
        <row r="2761">
          <cell r="A2761" t="str">
            <v>WBM-10591</v>
          </cell>
          <cell r="B2761" t="str">
            <v>פארן</v>
          </cell>
          <cell r="C2761" t="str">
            <v>פארן - משיק לדימונה שדה 15, התקנת הגנה ויישום דרך קשר אופטית בין הגנות בשדה 3</v>
          </cell>
          <cell r="D2761">
            <v>46326</v>
          </cell>
        </row>
        <row r="2762">
          <cell r="A2762" t="str">
            <v>WBM-00885-037</v>
          </cell>
          <cell r="B2762" t="str">
            <v>פארן</v>
          </cell>
          <cell r="C2762" t="str">
            <v>פארן- התאמת מע' מים לכיבוי אש</v>
          </cell>
          <cell r="D2762">
            <v>46050</v>
          </cell>
        </row>
        <row r="2763">
          <cell r="A2763" t="str">
            <v>WBM-10315-021</v>
          </cell>
          <cell r="B2763" t="str">
            <v>פארן</v>
          </cell>
          <cell r="C2763" t="str">
            <v>פארן- התקנת מזגנים</v>
          </cell>
          <cell r="D2763">
            <v>45565</v>
          </cell>
        </row>
        <row r="2764">
          <cell r="A2764" t="str">
            <v>WBM-20004-001</v>
          </cell>
          <cell r="B2764" t="str">
            <v>פארן</v>
          </cell>
          <cell r="C2764" t="str">
            <v>פארן - התקנת רשת ניסקו והחלפת תאורה</v>
          </cell>
          <cell r="D2764">
            <v>46721</v>
          </cell>
        </row>
        <row r="2765">
          <cell r="A2765" t="str">
            <v>WBM-40295-023</v>
          </cell>
          <cell r="B2765" t="str">
            <v>פארן</v>
          </cell>
          <cell r="C2765" t="str">
            <v>פארן -החלפת 2 סוללות מצברים 2021</v>
          </cell>
          <cell r="D2765">
            <v>45575</v>
          </cell>
        </row>
        <row r="2766">
          <cell r="A2766" t="str">
            <v>WBM-60088-059</v>
          </cell>
          <cell r="B2766" t="str">
            <v>פארן</v>
          </cell>
          <cell r="C2766" t="str">
            <v>פארן - התקנת משטח למינעת החלקה במאצרות</v>
          </cell>
          <cell r="D2766">
            <v>46022</v>
          </cell>
        </row>
        <row r="2767">
          <cell r="A2767" t="str">
            <v>WBM-60130-001</v>
          </cell>
          <cell r="B2767" t="str">
            <v>פארן</v>
          </cell>
          <cell r="C2767" t="str">
            <v>פארן - התקנת מפסק פטריה להפסקת מערכת החשמל בחירום</v>
          </cell>
          <cell r="D2767">
            <v>46568</v>
          </cell>
        </row>
        <row r="2768">
          <cell r="A2768" t="str">
            <v>WBM-60092-051</v>
          </cell>
          <cell r="B2768" t="str">
            <v>פארן</v>
          </cell>
          <cell r="C2768" t="str">
            <v>פארן - בדיקות/טיפול/פינוי מכלי אש בגז</v>
          </cell>
          <cell r="D2768">
            <v>46387</v>
          </cell>
        </row>
        <row r="2769">
          <cell r="A2769" t="str">
            <v>WBM-60208</v>
          </cell>
          <cell r="B2769" t="str">
            <v>פארן</v>
          </cell>
          <cell r="C2769" t="str">
            <v>פארן- עיגון שנאי 532</v>
          </cell>
          <cell r="D2769">
            <v>46356</v>
          </cell>
        </row>
        <row r="2770">
          <cell r="A2770" t="str">
            <v>WBC-060</v>
          </cell>
          <cell r="B2770" t="str">
            <v>עתלית</v>
          </cell>
          <cell r="C2770" t="str">
            <v>עתלית- הקמת תחמ"ש חיצונית 161/24 ק"ו</v>
          </cell>
          <cell r="D2770">
            <v>44791</v>
          </cell>
        </row>
        <row r="2771">
          <cell r="A2771" t="str">
            <v>WBM-00719</v>
          </cell>
          <cell r="B2771" t="str">
            <v>עתלית</v>
          </cell>
          <cell r="C2771" t="str">
            <v>עתלית-התקנת 3 ס"ק  2*5 מגווא"ר כ"א</v>
          </cell>
          <cell r="D2771">
            <v>46721</v>
          </cell>
        </row>
        <row r="2772">
          <cell r="A2772" t="str">
            <v>WBM-10530</v>
          </cell>
          <cell r="B2772" t="str">
            <v>עתלית</v>
          </cell>
          <cell r="C2772" t="str">
            <v>שולב בפרויקט אחר - עתלית- התקנת מסדר מ"ג שלישי (פ"צ 4)</v>
          </cell>
          <cell r="D2772">
            <v>45342</v>
          </cell>
        </row>
        <row r="2773">
          <cell r="A2773" t="str">
            <v>WBE-195</v>
          </cell>
          <cell r="B2773" t="str">
            <v>עתלית</v>
          </cell>
          <cell r="C2773" t="str">
            <v>עתלית- התקנת שנאי שלישי (524) 161/24 ק"ו, 50 מגוו"א</v>
          </cell>
          <cell r="D2773">
            <v>46721</v>
          </cell>
        </row>
        <row r="2774">
          <cell r="A2774" t="str">
            <v>WBM-10456-013</v>
          </cell>
          <cell r="B2774" t="str">
            <v>עתלית</v>
          </cell>
          <cell r="C2774" t="str">
            <v>עתלית- הוספת מתמרים ב-2 פ"צ</v>
          </cell>
          <cell r="D2774">
            <v>46752</v>
          </cell>
        </row>
        <row r="2775">
          <cell r="A2775" t="str">
            <v>WBM-40521-005</v>
          </cell>
          <cell r="B2775" t="str">
            <v>עתלית</v>
          </cell>
          <cell r="C2775" t="str">
            <v>עתלית - החלפת 2 שנאי הארקה</v>
          </cell>
          <cell r="D2775">
            <v>46022</v>
          </cell>
        </row>
        <row r="2776">
          <cell r="A2776">
            <v>825478</v>
          </cell>
          <cell r="B2776" t="str">
            <v>עתידים (ירקון חדשה)</v>
          </cell>
          <cell r="C2776" t="str">
            <v>עתידים-הוספת ה. דיפרנ. עם תקשורת OM</v>
          </cell>
          <cell r="D2776">
            <v>41333</v>
          </cell>
        </row>
        <row r="2777">
          <cell r="A2777" t="str">
            <v>WBJ-008-ST2</v>
          </cell>
          <cell r="B2777" t="str">
            <v>עתידים (ירקון חדשה)</v>
          </cell>
          <cell r="C2777" t="str">
            <v>עתידים(ירקון חדשה)-התקנת שנאי קישור 3</v>
          </cell>
          <cell r="D2777">
            <v>45106</v>
          </cell>
        </row>
        <row r="2778">
          <cell r="A2778" t="str">
            <v>WBJ-008</v>
          </cell>
          <cell r="B2778" t="str">
            <v>עתידים (ירקון חדשה)</v>
          </cell>
          <cell r="C2778" t="str">
            <v>עתידים-הקמת תחמ"ג 400/161, 650*3 מגוו"א</v>
          </cell>
          <cell r="D2778">
            <v>45106</v>
          </cell>
        </row>
        <row r="2779">
          <cell r="A2779" t="str">
            <v>WBE-055</v>
          </cell>
          <cell r="B2779" t="str">
            <v>עתידים (ירקון חדשה)</v>
          </cell>
          <cell r="C2779" t="str">
            <v>עתידים- החלפת 4 שנאים-רב שלבי</v>
          </cell>
          <cell r="D2779">
            <v>42947</v>
          </cell>
        </row>
        <row r="2780">
          <cell r="A2780" t="str">
            <v>WBJ-008-ST1</v>
          </cell>
          <cell r="B2780" t="str">
            <v>עתידים (ירקון חדשה)</v>
          </cell>
          <cell r="C2780" t="str">
            <v>עתידים-הקמת תחמ"ג 400/161, 650*2 מגו"א-1</v>
          </cell>
          <cell r="D2780">
            <v>44834</v>
          </cell>
        </row>
        <row r="2781">
          <cell r="A2781" t="str">
            <v>WBM-01336</v>
          </cell>
          <cell r="B2781" t="str">
            <v>עתידים (ירקון חדשה)</v>
          </cell>
          <cell r="C2781" t="str">
            <v>עתידים-הוקפא- התקנת 2 ס"ק מ"ע  150 מגווא"ר כ"א</v>
          </cell>
          <cell r="D2781">
            <v>50010</v>
          </cell>
        </row>
        <row r="2782">
          <cell r="A2782" t="str">
            <v>WBM-01287</v>
          </cell>
          <cell r="B2782" t="str">
            <v>עתידים (ירקון חדשה)</v>
          </cell>
          <cell r="C2782" t="str">
            <v>עתידים - שיפור לוגיקת סלילי כיבוי</v>
          </cell>
          <cell r="D2782">
            <v>45229</v>
          </cell>
        </row>
        <row r="2783">
          <cell r="A2783">
            <v>542040</v>
          </cell>
          <cell r="B2783" t="str">
            <v>עתידים (ירקון חדשה)</v>
          </cell>
          <cell r="C2783" t="str">
            <v>עתידים-התקנת מאווררים בארונות פיקוד</v>
          </cell>
          <cell r="D2783">
            <v>40311</v>
          </cell>
        </row>
        <row r="2784">
          <cell r="A2784" t="str">
            <v>WBM-10056</v>
          </cell>
          <cell r="B2784" t="str">
            <v>עתידים (ירקון חדשה)</v>
          </cell>
          <cell r="C2784" t="str">
            <v>עתידים - בוטל-החלפת גשרי דיודות</v>
          </cell>
          <cell r="D2784">
            <v>43769</v>
          </cell>
        </row>
        <row r="2785">
          <cell r="A2785" t="str">
            <v>WBM-01390</v>
          </cell>
          <cell r="B2785" t="str">
            <v>עתידים (ירקון חדשה)</v>
          </cell>
          <cell r="C2785" t="str">
            <v>עתידים - יישום קשר בין הגנות בשדה 11</v>
          </cell>
          <cell r="D2785">
            <v>43632</v>
          </cell>
        </row>
        <row r="2786">
          <cell r="A2786" t="str">
            <v>WBM-00097</v>
          </cell>
          <cell r="B2786" t="str">
            <v>עתידים (ירקון חדשה)</v>
          </cell>
          <cell r="C2786" t="str">
            <v>עתידים - עע"א-החלפת הגנה הפרשית</v>
          </cell>
          <cell r="D2786">
            <v>42516</v>
          </cell>
        </row>
        <row r="2787">
          <cell r="A2787" t="str">
            <v>WBM-00827</v>
          </cell>
          <cell r="B2787" t="str">
            <v>עתידים (ירקון חדשה)</v>
          </cell>
          <cell r="C2787" t="str">
            <v>עתידים - בוטל-שדה 14 תקשורת בין הגנות</v>
          </cell>
          <cell r="D2787">
            <v>41802</v>
          </cell>
        </row>
        <row r="2788">
          <cell r="A2788" t="str">
            <v>WBM-00098</v>
          </cell>
          <cell r="B2788" t="str">
            <v>עתידים (ירקון חדשה)</v>
          </cell>
          <cell r="C2788" t="str">
            <v>עתידים - התקנת מערכת טמ"ס</v>
          </cell>
          <cell r="D2788">
            <v>43311</v>
          </cell>
        </row>
        <row r="2789">
          <cell r="A2789" t="str">
            <v>WBM-00964</v>
          </cell>
          <cell r="B2789" t="str">
            <v>עתידים (ירקון חדשה)</v>
          </cell>
          <cell r="C2789" t="str">
            <v>עתידים-התקנת ציוד תקשורת DPLC</v>
          </cell>
          <cell r="D2789">
            <v>42369</v>
          </cell>
        </row>
        <row r="2790">
          <cell r="A2790" t="str">
            <v>WBM-00656</v>
          </cell>
          <cell r="B2790" t="str">
            <v>עתידים (ירקון חדשה)</v>
          </cell>
          <cell r="C2790" t="str">
            <v>עתידים- קשר בין הגנות לאיילון</v>
          </cell>
          <cell r="D2790">
            <v>42180</v>
          </cell>
        </row>
        <row r="2791">
          <cell r="A2791" t="str">
            <v>WBM-00532</v>
          </cell>
          <cell r="B2791" t="str">
            <v>עתידים (ירקון חדשה)</v>
          </cell>
          <cell r="C2791" t="str">
            <v>עתידים - בוטל - פירוק ה.דיפרנ. קיימת בשדה 1</v>
          </cell>
        </row>
        <row r="2792">
          <cell r="A2792" t="str">
            <v>WBM-10320</v>
          </cell>
          <cell r="B2792" t="str">
            <v>עתידים (ירקון חדשה)</v>
          </cell>
          <cell r="C2792" t="str">
            <v>עתידים-משיק לפ"ת ש16-בוטל-ישום תק. אופטית.ש25</v>
          </cell>
        </row>
        <row r="2793">
          <cell r="A2793" t="str">
            <v>WBM-10450</v>
          </cell>
          <cell r="B2793" t="str">
            <v>עתידים (ירקון חדשה)</v>
          </cell>
          <cell r="C2793" t="str">
            <v>עתידים 400 -משיק-תקשורת בין הגנות ש4</v>
          </cell>
          <cell r="D2793">
            <v>45168</v>
          </cell>
        </row>
        <row r="2794">
          <cell r="A2794" t="str">
            <v>WBM-01421</v>
          </cell>
          <cell r="B2794" t="str">
            <v>עתידים (ירקון חדשה)</v>
          </cell>
          <cell r="C2794" t="str">
            <v>עתידים-הח' ממסר להשלת עומס לפי זרם שדה3</v>
          </cell>
          <cell r="D2794">
            <v>44308</v>
          </cell>
        </row>
        <row r="2795">
          <cell r="A2795" t="str">
            <v>WBM-00899</v>
          </cell>
          <cell r="B2795" t="str">
            <v>עתידים (ירקון חדשה)</v>
          </cell>
          <cell r="C2795" t="str">
            <v>עתידים - הכנת יסודות והתקנת ציוד הצמדה</v>
          </cell>
          <cell r="D2795">
            <v>42809</v>
          </cell>
        </row>
        <row r="2796">
          <cell r="A2796" t="str">
            <v>WBM-00957</v>
          </cell>
          <cell r="B2796" t="str">
            <v>עתידים (ירקון חדשה)</v>
          </cell>
          <cell r="C2796" t="str">
            <v>עתידים-יצירת קשר ביון הגנות לאיילון</v>
          </cell>
          <cell r="D2796">
            <v>42338</v>
          </cell>
        </row>
        <row r="2797">
          <cell r="A2797">
            <v>542035</v>
          </cell>
          <cell r="B2797" t="str">
            <v>עתידים (ירקון חדשה)</v>
          </cell>
          <cell r="C2797" t="str">
            <v>עתידים-התקנת ברז הזנקה</v>
          </cell>
          <cell r="D2797">
            <v>41090</v>
          </cell>
        </row>
        <row r="2798">
          <cell r="A2798" t="str">
            <v>WBM-10275</v>
          </cell>
          <cell r="B2798" t="str">
            <v>עתידים (ירקון חדשה)</v>
          </cell>
          <cell r="C2798" t="str">
            <v>עתידים - בוטל-התא' תיל'-מהדק-פורטWBO-553</v>
          </cell>
          <cell r="D2798">
            <v>44592</v>
          </cell>
        </row>
        <row r="2799">
          <cell r="A2799" t="str">
            <v>WBE-031-ST1</v>
          </cell>
          <cell r="B2799" t="str">
            <v>עתידים (ירקון חדשה)</v>
          </cell>
          <cell r="C2799" t="str">
            <v>עתידים-הקמת מסדר 161 ק"ו, 45*4 מגוו"א</v>
          </cell>
          <cell r="D2799">
            <v>41334</v>
          </cell>
        </row>
        <row r="2800">
          <cell r="A2800" t="str">
            <v>WBE-031</v>
          </cell>
          <cell r="B2800" t="str">
            <v>עתידים (ירקון חדשה)</v>
          </cell>
          <cell r="C2800" t="str">
            <v>עתידים- הקמת מסדר והעברת שדות- 4 שלבים</v>
          </cell>
          <cell r="D2800">
            <v>42946</v>
          </cell>
        </row>
        <row r="2801">
          <cell r="A2801" t="str">
            <v>WBE-055-ST5</v>
          </cell>
          <cell r="B2801" t="str">
            <v>עתידים (ירקון חדשה)</v>
          </cell>
          <cell r="C2801" t="str">
            <v>עתידים-החלפת שנאי רביעי 50 ב-75 מגוו"א</v>
          </cell>
          <cell r="D2801">
            <v>42771</v>
          </cell>
        </row>
        <row r="2802">
          <cell r="A2802" t="str">
            <v>WBE-055-ST4</v>
          </cell>
          <cell r="B2802" t="str">
            <v>עתידים (ירקון חדשה)</v>
          </cell>
          <cell r="C2802" t="str">
            <v>עתידים-החלפת שנאי שלישי 50 ב-75 מגוו"א</v>
          </cell>
          <cell r="D2802">
            <v>42737</v>
          </cell>
        </row>
        <row r="2803">
          <cell r="A2803" t="str">
            <v>WBE-031-ST4</v>
          </cell>
          <cell r="B2803" t="str">
            <v>עתידים (ירקון חדשה)</v>
          </cell>
          <cell r="C2803" t="str">
            <v>עתידים-העברת 7 שדות קווים בהדרגה</v>
          </cell>
          <cell r="D2803">
            <v>42381</v>
          </cell>
        </row>
        <row r="2804">
          <cell r="A2804" t="str">
            <v>WBE-055-ST2</v>
          </cell>
          <cell r="B2804" t="str">
            <v>עתידים (ירקון חדשה)</v>
          </cell>
          <cell r="C2804" t="str">
            <v>עתידים-החלפת שנאי שני 50 ב-75 מגוו"א</v>
          </cell>
          <cell r="D2804">
            <v>42286</v>
          </cell>
        </row>
        <row r="2805">
          <cell r="A2805" t="str">
            <v>WBE-055-ST1</v>
          </cell>
          <cell r="B2805" t="str">
            <v>עתידים (ירקון חדשה)</v>
          </cell>
          <cell r="C2805" t="str">
            <v>עתידים-החלפת שנאי ראשון 50 ב-75 מגוו"א</v>
          </cell>
          <cell r="D2805">
            <v>42192</v>
          </cell>
        </row>
        <row r="2806">
          <cell r="A2806" t="str">
            <v>WBE-031-ST2</v>
          </cell>
          <cell r="B2806" t="str">
            <v>עתידים (ירקון חדשה)</v>
          </cell>
          <cell r="C2806" t="str">
            <v>עתידים-התקנת 8 ס"ק 5*2 מגווא"ר כ"א.</v>
          </cell>
          <cell r="D2806">
            <v>41334</v>
          </cell>
        </row>
        <row r="2807">
          <cell r="A2807" t="str">
            <v>WBM-00363</v>
          </cell>
          <cell r="B2807" t="str">
            <v>עתידים (ירקון חדשה)</v>
          </cell>
          <cell r="C2807" t="str">
            <v>עתידים-יישום הש.עומס לפי זרם בממסר הקיים</v>
          </cell>
          <cell r="D2807">
            <v>42675</v>
          </cell>
        </row>
        <row r="2808">
          <cell r="A2808" t="str">
            <v>WBM-00369</v>
          </cell>
          <cell r="B2808" t="str">
            <v>עתידים (ירקון חדשה)</v>
          </cell>
          <cell r="C2808" t="str">
            <v>עתידים-יישום השלת עומס לפי מתח</v>
          </cell>
          <cell r="D2808">
            <v>42675</v>
          </cell>
        </row>
        <row r="2809">
          <cell r="A2809" t="str">
            <v>WBM-10478</v>
          </cell>
          <cell r="B2809" t="str">
            <v>עתידים (ירקון חדשה)</v>
          </cell>
          <cell r="C2809" t="str">
            <v>עתידים- משיק לאוני' ת"א ש'1, התקנת הגנות בש' 1</v>
          </cell>
          <cell r="D2809">
            <v>46234</v>
          </cell>
        </row>
        <row r="2810">
          <cell r="A2810" t="str">
            <v>WBM-10487</v>
          </cell>
          <cell r="B2810" t="str">
            <v>עתידים (ירקון חדשה)</v>
          </cell>
          <cell r="C2810" t="str">
            <v>עתידים - משיק קיסריה A2 ופ"ת A2, שדה 2, יישום 2 דרכי קשר אופטיות בין הגנות במעגל 400 ק"ו 3 קצוות</v>
          </cell>
          <cell r="D2810">
            <v>45574</v>
          </cell>
        </row>
        <row r="2811">
          <cell r="A2811" t="str">
            <v>WBM-00885-049</v>
          </cell>
          <cell r="B2811" t="str">
            <v>עתידים (ירקון חדשה)</v>
          </cell>
          <cell r="C2811" t="str">
            <v>עתידים - רכישת משאבת מים כגיבוי תפעולי</v>
          </cell>
          <cell r="D2811">
            <v>46196</v>
          </cell>
        </row>
        <row r="2812">
          <cell r="A2812" t="str">
            <v>WBM-10356-006</v>
          </cell>
          <cell r="B2812" t="str">
            <v>עתידים (ירקון חדשה)</v>
          </cell>
          <cell r="C2812" t="str">
            <v>עתידים - החלפת ראש כבל בכבלים 2000 ממ"ר</v>
          </cell>
          <cell r="D2812">
            <v>45503</v>
          </cell>
        </row>
        <row r="2813">
          <cell r="A2813" t="str">
            <v>WBM-40295-030</v>
          </cell>
          <cell r="B2813" t="str">
            <v>עתידים (ירקון חדשה)</v>
          </cell>
          <cell r="C2813" t="str">
            <v>עתידים - החלפת 2 סוללות 530AH</v>
          </cell>
          <cell r="D2813">
            <v>46721</v>
          </cell>
        </row>
        <row r="2814">
          <cell r="A2814" t="str">
            <v>WBM-60008-090</v>
          </cell>
          <cell r="B2814" t="str">
            <v>עתידים (ירקון חדשה)</v>
          </cell>
          <cell r="C2814" t="str">
            <v>עתידים - התקנת מערכת מיגון בתחמ"ש</v>
          </cell>
          <cell r="D2814">
            <v>46161</v>
          </cell>
        </row>
        <row r="2815">
          <cell r="A2815" t="str">
            <v>WBM-60107-026</v>
          </cell>
          <cell r="B2815" t="str">
            <v>עתידים (ירקון חדשה)</v>
          </cell>
          <cell r="C2815" t="str">
            <v>עתידים - החלפת מנעולים אלק.מגנטיים באלק.</v>
          </cell>
          <cell r="D2815">
            <v>45664</v>
          </cell>
        </row>
        <row r="2816">
          <cell r="A2816" t="str">
            <v>WBM-60130-071</v>
          </cell>
          <cell r="B2816" t="str">
            <v>עתידים (ירקון חדשה)</v>
          </cell>
          <cell r="C2816" t="str">
            <v>עתידים - התקנת מפסק פטריה להפסקת מערכת החשמל בחירום</v>
          </cell>
          <cell r="D2816">
            <v>46568</v>
          </cell>
        </row>
        <row r="2817">
          <cell r="A2817" t="str">
            <v>WBM-10356-009</v>
          </cell>
          <cell r="B2817" t="str">
            <v>עתידים (ירקון חדשה)</v>
          </cell>
          <cell r="C2817" t="str">
            <v>עתידים - בדיקת התפרקויות חלקיות ובדיקות מעבדה לראשי כבלים</v>
          </cell>
          <cell r="D2817">
            <v>46112</v>
          </cell>
        </row>
        <row r="2818">
          <cell r="A2818" t="str">
            <v>WBM-10704</v>
          </cell>
          <cell r="B2818" t="str">
            <v>עתידים (ירקון חדשה)</v>
          </cell>
          <cell r="C2818" t="str">
            <v>עתידים - הת' תיילים-מהדקים-פורט'WBN-608</v>
          </cell>
          <cell r="D2818">
            <v>47664</v>
          </cell>
        </row>
        <row r="2819">
          <cell r="A2819" t="str">
            <v>WBM-40637-024</v>
          </cell>
          <cell r="B2819" t="str">
            <v>עתידים (ירקון חדשה)</v>
          </cell>
          <cell r="C2819" t="str">
            <v>עתידים-החלפת רושמי הפרעות קיימים מדגם IDM-T3 לרושמים חדשים מדגם IDM+</v>
          </cell>
          <cell r="D2819">
            <v>46873</v>
          </cell>
        </row>
        <row r="2820">
          <cell r="A2820" t="str">
            <v>WBM-10798</v>
          </cell>
          <cell r="B2820" t="str">
            <v>עתידים (ירקון חדשה)</v>
          </cell>
          <cell r="C2820" t="str">
            <v>עתידים - משיק לבארות יצחק שדה 10, יישום דרך קשר אופטית בין הגנות (OM) בשדה 7</v>
          </cell>
          <cell r="D2820">
            <v>46295</v>
          </cell>
        </row>
        <row r="2821">
          <cell r="A2821" t="str">
            <v>HIS-124</v>
          </cell>
          <cell r="B2821" t="str">
            <v>ערד</v>
          </cell>
          <cell r="C2821" t="str">
            <v>ערד</v>
          </cell>
          <cell r="D2821">
            <v>40908</v>
          </cell>
        </row>
        <row r="2822">
          <cell r="A2822" t="str">
            <v>WBE-242</v>
          </cell>
          <cell r="B2822" t="str">
            <v>ערד</v>
          </cell>
          <cell r="C2822" t="str">
            <v>ערד- התקנת שדה חדש וקליטת 2 קווים 161 ק"ו, שדרוג שדה 5 לזרם 2000 א'.</v>
          </cell>
          <cell r="D2822">
            <v>47573</v>
          </cell>
        </row>
        <row r="2823">
          <cell r="A2823" t="str">
            <v>WBE-205</v>
          </cell>
          <cell r="B2823" t="str">
            <v>ערד</v>
          </cell>
          <cell r="C2823" t="str">
            <v>ערד-החלפת 2 שנאים 33 ל-2 שנאים 50, הוספת שנאי רביעי  50 מגוו"א רב שלבי</v>
          </cell>
          <cell r="D2823">
            <v>46387</v>
          </cell>
        </row>
        <row r="2824">
          <cell r="A2824" t="str">
            <v>WBE-153</v>
          </cell>
          <cell r="B2824" t="str">
            <v>ערד</v>
          </cell>
          <cell r="C2824" t="str">
            <v>ערד-הוספת שנאי שלישי 161/36 ק"ו 50 מגו"א</v>
          </cell>
          <cell r="D2824">
            <v>46189</v>
          </cell>
        </row>
        <row r="2825">
          <cell r="A2825" t="str">
            <v>WBE-036</v>
          </cell>
          <cell r="B2825" t="str">
            <v>ערד</v>
          </cell>
          <cell r="C2825" t="str">
            <v>ערד-בוטל-הקמת שדה 161 ק"ו מס' 9 למצדה</v>
          </cell>
          <cell r="D2825">
            <v>40180</v>
          </cell>
        </row>
        <row r="2826">
          <cell r="A2826" t="str">
            <v>WBE-140</v>
          </cell>
          <cell r="B2826" t="str">
            <v>ערד</v>
          </cell>
          <cell r="C2826" t="str">
            <v>ערד - 2 מתקנים לאגירת אנרגיה בסוללות</v>
          </cell>
          <cell r="D2826">
            <v>46752</v>
          </cell>
        </row>
        <row r="2827">
          <cell r="A2827" t="str">
            <v>WBE-152</v>
          </cell>
          <cell r="B2827" t="str">
            <v>ערד</v>
          </cell>
          <cell r="C2827" t="str">
            <v>ערד-הוספת 2 מסדרי מ"ג 36 ק"ו (פ''צ 3, 4).</v>
          </cell>
          <cell r="D2827">
            <v>46203</v>
          </cell>
        </row>
        <row r="2828">
          <cell r="A2828" t="str">
            <v>WDB-04COM36</v>
          </cell>
          <cell r="B2828" t="str">
            <v>ערד</v>
          </cell>
          <cell r="C2828" t="str">
            <v>ערד-הנחת כבל סיב אופטי מכיוון מצדה</v>
          </cell>
          <cell r="D2828">
            <v>45503</v>
          </cell>
        </row>
        <row r="2829">
          <cell r="A2829" t="str">
            <v>WDB-04COM37</v>
          </cell>
          <cell r="B2829" t="str">
            <v>ערד</v>
          </cell>
          <cell r="C2829" t="str">
            <v>ערד-הנחת כבל סיב אופטי מכיוון באר שבע</v>
          </cell>
          <cell r="D2829">
            <v>43464</v>
          </cell>
        </row>
        <row r="2830">
          <cell r="A2830" t="str">
            <v>WBM-00867</v>
          </cell>
          <cell r="B2830" t="str">
            <v>ערד</v>
          </cell>
          <cell r="C2830" t="str">
            <v>ערד-החלפת סליל כיבוי 36 ק"ו, שנאי 531</v>
          </cell>
          <cell r="D2830">
            <v>44299</v>
          </cell>
        </row>
        <row r="2831">
          <cell r="A2831" t="str">
            <v>WBM-40215</v>
          </cell>
          <cell r="B2831" t="str">
            <v>ערד</v>
          </cell>
          <cell r="C2831" t="str">
            <v>ערד-בוטל- החלפת הגנות מ"ג</v>
          </cell>
          <cell r="D2831">
            <v>43861</v>
          </cell>
        </row>
        <row r="2832">
          <cell r="A2832" t="str">
            <v>WBM-00530</v>
          </cell>
          <cell r="B2832" t="str">
            <v>ערד</v>
          </cell>
          <cell r="C2832" t="str">
            <v>ערד-שולב- הזנת תאורת חירום ז"י</v>
          </cell>
        </row>
        <row r="2833">
          <cell r="A2833" t="str">
            <v>WBM-60052</v>
          </cell>
          <cell r="B2833" t="str">
            <v>ערד</v>
          </cell>
          <cell r="C2833" t="str">
            <v>ערד - עיגון ארונות פיקוד ושנאים</v>
          </cell>
          <cell r="D2833">
            <v>46356</v>
          </cell>
        </row>
        <row r="2834">
          <cell r="A2834" t="str">
            <v>WBM-00531</v>
          </cell>
          <cell r="B2834" t="str">
            <v>ערד</v>
          </cell>
          <cell r="C2834" t="str">
            <v>ערד- התקנת תקשורת מנהלתית והזנת תאורת חירום בז"י</v>
          </cell>
          <cell r="D2834">
            <v>46387</v>
          </cell>
        </row>
        <row r="2835">
          <cell r="A2835" t="str">
            <v>WBM-70024</v>
          </cell>
          <cell r="B2835" t="str">
            <v>ערד</v>
          </cell>
          <cell r="C2835" t="str">
            <v>ערד- התקנת ס"ק עבור שנאי 533 ו-534</v>
          </cell>
          <cell r="D2835">
            <v>46203</v>
          </cell>
        </row>
        <row r="2836">
          <cell r="A2836" t="str">
            <v>WBM-70021</v>
          </cell>
          <cell r="B2836" t="str">
            <v>ערד</v>
          </cell>
          <cell r="C2836" t="str">
            <v>ערד-החלפת  סליל כיבוי 36 ק"ו לשנאי 532</v>
          </cell>
          <cell r="D2836">
            <v>46203</v>
          </cell>
        </row>
        <row r="2837">
          <cell r="A2837" t="str">
            <v>WBG-085-006</v>
          </cell>
          <cell r="B2837" t="str">
            <v>ערד</v>
          </cell>
          <cell r="C2837" t="str">
            <v>ערד-פתרון בעיית חיבור לא מבוקר של ממסרים</v>
          </cell>
          <cell r="D2837">
            <v>41175</v>
          </cell>
        </row>
        <row r="2838">
          <cell r="A2838" t="str">
            <v>WBM-30016</v>
          </cell>
          <cell r="B2838" t="str">
            <v>ערד</v>
          </cell>
          <cell r="C2838" t="str">
            <v>ערד-בוטל-גדר אלקטרונית (ביטחון)</v>
          </cell>
          <cell r="D2838">
            <v>43830</v>
          </cell>
        </row>
        <row r="2839">
          <cell r="A2839" t="str">
            <v>WBM-40214</v>
          </cell>
          <cell r="B2839" t="str">
            <v>ערד</v>
          </cell>
          <cell r="C2839" t="str">
            <v>ערד-בוטל-החלפת טרפוגרד לשנאים 531 ו-532</v>
          </cell>
          <cell r="D2839">
            <v>36526</v>
          </cell>
        </row>
        <row r="2840">
          <cell r="A2840" t="str">
            <v>WBM-10281</v>
          </cell>
          <cell r="B2840" t="str">
            <v>ערד</v>
          </cell>
          <cell r="C2840" t="str">
            <v>ערד-בוטל-התאמת תיילים-מהדק'-פור' WBO-483</v>
          </cell>
          <cell r="D2840">
            <v>44592</v>
          </cell>
        </row>
        <row r="2841">
          <cell r="A2841">
            <v>534610</v>
          </cell>
          <cell r="B2841" t="str">
            <v>ערד</v>
          </cell>
          <cell r="C2841" t="str">
            <v>ערד-החלפת מערכת התראה בטחונית</v>
          </cell>
          <cell r="D2841">
            <v>39933</v>
          </cell>
        </row>
        <row r="2842">
          <cell r="A2842">
            <v>534613</v>
          </cell>
          <cell r="B2842" t="str">
            <v>ערד</v>
          </cell>
          <cell r="C2842" t="str">
            <v>ערד-הקמת רשת מחשבים תפעולית</v>
          </cell>
          <cell r="D2842">
            <v>41273</v>
          </cell>
        </row>
        <row r="2843">
          <cell r="A2843">
            <v>534616</v>
          </cell>
          <cell r="B2843" t="str">
            <v>ערד</v>
          </cell>
          <cell r="C2843" t="str">
            <v>ערד-התקנת מאווררים בארונות פיקוד</v>
          </cell>
          <cell r="D2843">
            <v>40311</v>
          </cell>
        </row>
        <row r="2844">
          <cell r="A2844" t="str">
            <v>WBM-10596</v>
          </cell>
          <cell r="B2844" t="str">
            <v>ערד</v>
          </cell>
          <cell r="C2844" t="str">
            <v>ערד- העתקת קו כורכר ערד לתא סוללת קבלים 2</v>
          </cell>
          <cell r="D2844">
            <v>45592</v>
          </cell>
        </row>
        <row r="2845">
          <cell r="A2845" t="str">
            <v>WBM-10101-015</v>
          </cell>
          <cell r="B2845" t="str">
            <v>ערד</v>
          </cell>
          <cell r="C2845" t="str">
            <v>ערד - ביטול סוללה V60</v>
          </cell>
          <cell r="D2845">
            <v>46721</v>
          </cell>
        </row>
        <row r="2846">
          <cell r="A2846" t="str">
            <v>WBM-10315-043</v>
          </cell>
          <cell r="B2846" t="str">
            <v>ערד</v>
          </cell>
          <cell r="C2846" t="str">
            <v>ערד-התקנת מזגנים</v>
          </cell>
          <cell r="D2846">
            <v>46021</v>
          </cell>
        </row>
        <row r="2847">
          <cell r="A2847" t="str">
            <v>WBM-10315-052</v>
          </cell>
          <cell r="B2847" t="str">
            <v>ערד</v>
          </cell>
          <cell r="C2847" t="str">
            <v>ערד- בוטל-התקנת מזגנים</v>
          </cell>
        </row>
        <row r="2848">
          <cell r="A2848" t="str">
            <v>WBM-10456-037</v>
          </cell>
          <cell r="B2848" t="str">
            <v>ערד</v>
          </cell>
          <cell r="C2848" t="str">
            <v>ערד - התקנת מתמרים</v>
          </cell>
          <cell r="D2848">
            <v>46203</v>
          </cell>
        </row>
        <row r="2849">
          <cell r="A2849" t="str">
            <v>WBM-40479-021</v>
          </cell>
          <cell r="B2849" t="str">
            <v>ערד</v>
          </cell>
          <cell r="C2849" t="str">
            <v>ערד- החלפת 2 בקרי טמפ' וגובה שמן בש</v>
          </cell>
          <cell r="D2849">
            <v>47664</v>
          </cell>
        </row>
        <row r="2850">
          <cell r="A2850" t="str">
            <v>WBM-60008-049</v>
          </cell>
          <cell r="B2850" t="str">
            <v>ערד</v>
          </cell>
          <cell r="C2850" t="str">
            <v>ערד -  התקנת מערכת מיגון בתחמ"ש</v>
          </cell>
          <cell r="D2850">
            <v>46752</v>
          </cell>
        </row>
        <row r="2851">
          <cell r="A2851" t="str">
            <v>WBM-60092-011</v>
          </cell>
          <cell r="B2851" t="str">
            <v>ערד</v>
          </cell>
          <cell r="C2851" t="str">
            <v>ערד-בדיקות/טיפול/פינוי מכלי אש בגז</v>
          </cell>
          <cell r="D2851">
            <v>46233</v>
          </cell>
        </row>
        <row r="2852">
          <cell r="A2852" t="str">
            <v>WBM-40615</v>
          </cell>
          <cell r="B2852" t="str">
            <v>ערד</v>
          </cell>
          <cell r="C2852" t="str">
            <v>ערד- שדה 12, בניית יסודות חדשים עבור ציוד מ"ע</v>
          </cell>
          <cell r="D2852">
            <v>46387</v>
          </cell>
        </row>
        <row r="2853">
          <cell r="A2853" t="str">
            <v>WBM-60130-012</v>
          </cell>
          <cell r="B2853" t="str">
            <v>ערד</v>
          </cell>
          <cell r="C2853" t="str">
            <v>ערד - התקנת מפסק פטריה להפסקת מערכת החשמל בחירום</v>
          </cell>
          <cell r="D2853">
            <v>46568</v>
          </cell>
        </row>
        <row r="2854">
          <cell r="A2854" t="str">
            <v>WBE-205-ST1</v>
          </cell>
          <cell r="B2854" t="str">
            <v>ערד</v>
          </cell>
          <cell r="C2854" t="str">
            <v>ערד- התקנת שנאי 534 161/36 ק"ו והחלפת שנאי 531 161/36 מ 33 ל50  ק"ו</v>
          </cell>
          <cell r="D2854">
            <v>46203</v>
          </cell>
        </row>
        <row r="2855">
          <cell r="A2855" t="str">
            <v>WBE-205-ST2</v>
          </cell>
          <cell r="B2855" t="str">
            <v>ערד</v>
          </cell>
          <cell r="C2855" t="str">
            <v>ערד- החלפת שנאי 532 161/36 מ 33 ל50 ק"ו</v>
          </cell>
          <cell r="D2855">
            <v>46387</v>
          </cell>
        </row>
        <row r="2856">
          <cell r="A2856" t="str">
            <v>WBM-40626</v>
          </cell>
          <cell r="B2856" t="str">
            <v>ערד</v>
          </cell>
          <cell r="C2856" t="str">
            <v>ערד- התקנת מערכת SCS והתקנת רושם הפרעות</v>
          </cell>
          <cell r="D2856">
            <v>46387</v>
          </cell>
        </row>
        <row r="2857">
          <cell r="A2857" t="str">
            <v>WBE-272</v>
          </cell>
          <cell r="B2857" t="str">
            <v>ערד</v>
          </cell>
          <cell r="C2857" t="str">
            <v>ערד- הקמת שדה 9 במסדר 161 ק"ו</v>
          </cell>
          <cell r="D2857">
            <v>46295</v>
          </cell>
        </row>
        <row r="2858">
          <cell r="A2858" t="str">
            <v>WBE-273</v>
          </cell>
          <cell r="B2858" t="str">
            <v>ערד</v>
          </cell>
          <cell r="C2858" t="str">
            <v>ערד- השלמת שדה מקשר פ"צ, הוספת מ"מ לפ"צ מס' 2, התקנת הגנת פ"צ</v>
          </cell>
          <cell r="D2858">
            <v>46387</v>
          </cell>
        </row>
        <row r="2859">
          <cell r="A2859" t="str">
            <v>WBM-10630</v>
          </cell>
          <cell r="B2859" t="str">
            <v>ערד</v>
          </cell>
          <cell r="C2859" t="str">
            <v>ערד-הוקפא התאמת תיילים -מהדקים- פורטל WBO-821</v>
          </cell>
        </row>
        <row r="2860">
          <cell r="A2860" t="str">
            <v>WBM-60205-027</v>
          </cell>
          <cell r="B2860" t="str">
            <v>ערד</v>
          </cell>
          <cell r="C2860" t="str">
            <v>ערד - ניטור הצפות</v>
          </cell>
          <cell r="D2860">
            <v>46162</v>
          </cell>
        </row>
        <row r="2861">
          <cell r="A2861" t="str">
            <v>WBM-60116-057</v>
          </cell>
          <cell r="B2861" t="str">
            <v>ערד</v>
          </cell>
          <cell r="C2861" t="str">
            <v>ערד - מערכת גילוי וכיבוי אש אוטומטית CERBERUS</v>
          </cell>
          <cell r="D2861">
            <v>46387</v>
          </cell>
        </row>
        <row r="2862">
          <cell r="A2862" t="str">
            <v>WBM-60131-021</v>
          </cell>
          <cell r="B2862" t="str">
            <v>ערד</v>
          </cell>
          <cell r="C2862" t="str">
            <v>ערד - טיפול באופיין מים</v>
          </cell>
          <cell r="D2862">
            <v>46387</v>
          </cell>
        </row>
        <row r="2863">
          <cell r="A2863" t="str">
            <v>WBD-090</v>
          </cell>
          <cell r="B2863" t="str">
            <v>ענתות ניידת</v>
          </cell>
          <cell r="C2863" t="str">
            <v>ענתות-הצבת תחמ"ש ניידת 30 מגוו"א</v>
          </cell>
          <cell r="D2863">
            <v>46172</v>
          </cell>
        </row>
        <row r="2864">
          <cell r="A2864" t="str">
            <v>WBD-090-ST2</v>
          </cell>
          <cell r="B2864" t="str">
            <v>ענתות ניידת</v>
          </cell>
          <cell r="C2864" t="str">
            <v>ענתות- פירוק תחמ"ש ניידת</v>
          </cell>
          <cell r="D2864">
            <v>48029</v>
          </cell>
        </row>
        <row r="2865">
          <cell r="A2865" t="str">
            <v>WBC-127</v>
          </cell>
          <cell r="B2865" t="str">
            <v>ענבה (מודיעין תעשיה)</v>
          </cell>
          <cell r="C2865" t="str">
            <v>ענבה(מודיעין תעשיה)-הקמת תחנת משנה פנימית 161/24 ק"ו</v>
          </cell>
          <cell r="D2865">
            <v>49248</v>
          </cell>
        </row>
        <row r="2866">
          <cell r="A2866" t="str">
            <v>WCT-2-00-01009</v>
          </cell>
          <cell r="B2866" t="str">
            <v>עמקים 2702</v>
          </cell>
          <cell r="C2866" t="str">
            <v>בטיחות - סילוק מפגעים; העמקים</v>
          </cell>
          <cell r="D2866">
            <v>46752</v>
          </cell>
        </row>
        <row r="2867">
          <cell r="A2867" t="str">
            <v>WHP-2-00-01114</v>
          </cell>
          <cell r="B2867" t="str">
            <v>עמקים 2702</v>
          </cell>
          <cell r="C2867" t="str">
            <v>יצור מבוזר העמקים</v>
          </cell>
          <cell r="D2867">
            <v>49674</v>
          </cell>
        </row>
        <row r="2868">
          <cell r="A2868" t="str">
            <v>WHP-2-00-01118</v>
          </cell>
          <cell r="B2868" t="str">
            <v>עמקים 2702</v>
          </cell>
          <cell r="C2868" t="str">
            <v>אספקת חשמל לשכונת אור ים-אור עקיבא</v>
          </cell>
          <cell r="D2868">
            <v>46295</v>
          </cell>
        </row>
        <row r="2869">
          <cell r="A2869" t="str">
            <v>WHP-2-00-01246</v>
          </cell>
          <cell r="B2869" t="str">
            <v>עמקים 2702</v>
          </cell>
          <cell r="C2869" t="str">
            <v>אספקה וחיבור חשמל לרכב חשמלי העמקים</v>
          </cell>
          <cell r="D2869">
            <v>49674</v>
          </cell>
        </row>
        <row r="2870">
          <cell r="A2870" t="str">
            <v>WHP-2-00-01000</v>
          </cell>
          <cell r="B2870" t="str">
            <v>עמקים 2702</v>
          </cell>
          <cell r="C2870" t="str">
            <v>אספקת חשמל לעיר חריש</v>
          </cell>
          <cell r="D2870">
            <v>46387</v>
          </cell>
        </row>
        <row r="2871">
          <cell r="A2871" t="str">
            <v>WCQ-2-00-01173</v>
          </cell>
          <cell r="B2871" t="str">
            <v>עמקים 2702</v>
          </cell>
          <cell r="C2871" t="str">
            <v>יציאות מתחמ"ש עין חרוד</v>
          </cell>
          <cell r="D2871">
            <v>46234</v>
          </cell>
        </row>
        <row r="2872">
          <cell r="A2872" t="str">
            <v>WHP-2-00-01113</v>
          </cell>
          <cell r="B2872" t="str">
            <v>עמקים 2702</v>
          </cell>
          <cell r="C2872" t="str">
            <v>אספקת חשמל למתחם C1-עפולה</v>
          </cell>
          <cell r="D2872">
            <v>46752</v>
          </cell>
        </row>
        <row r="2873">
          <cell r="A2873" t="str">
            <v>WHP-2-00-01129</v>
          </cell>
          <cell r="B2873" t="str">
            <v>עמקים 2702</v>
          </cell>
          <cell r="C2873" t="str">
            <v>העתקת רשת מ"ג כביש 65 – מ"ב עמקים</v>
          </cell>
          <cell r="D2873">
            <v>45046</v>
          </cell>
        </row>
        <row r="2874">
          <cell r="A2874" t="str">
            <v>WHP-2-00-01296</v>
          </cell>
          <cell r="B2874" t="str">
            <v>עמקים 2702</v>
          </cell>
          <cell r="C2874" t="str">
            <v>אספקת חשמל לשכונות בפרדס חנה</v>
          </cell>
          <cell r="D2874">
            <v>45473</v>
          </cell>
        </row>
        <row r="2875">
          <cell r="A2875" t="str">
            <v>WCS-2-00-00207</v>
          </cell>
          <cell r="B2875" t="str">
            <v>עמקים 2702</v>
          </cell>
          <cell r="C2875" t="str">
            <v>חידוש אמינות; העמקים</v>
          </cell>
          <cell r="D2875">
            <v>45291</v>
          </cell>
        </row>
        <row r="2876">
          <cell r="A2876" t="str">
            <v>WHP-2-00-01315</v>
          </cell>
          <cell r="B2876" t="str">
            <v>עמקים 2702</v>
          </cell>
          <cell r="C2876" t="str">
            <v>רכבת קלה קו חיפה-נוף הגליל (מרחב עמקים)</v>
          </cell>
          <cell r="D2876">
            <v>46752</v>
          </cell>
        </row>
        <row r="2877">
          <cell r="A2877" t="str">
            <v>WCQ-2-00-01341</v>
          </cell>
          <cell r="B2877" t="str">
            <v>עמקים 2702</v>
          </cell>
          <cell r="C2877" t="str">
            <v>יציאות מתחמ"ש גבעת אלה</v>
          </cell>
          <cell r="D2877">
            <v>45991</v>
          </cell>
        </row>
        <row r="2878">
          <cell r="A2878" t="str">
            <v>WHP-2-00-01342</v>
          </cell>
          <cell r="B2878" t="str">
            <v>עמקים 2702</v>
          </cell>
          <cell r="C2878" t="str">
            <v>מורדות צפוניים נוף הגליל</v>
          </cell>
          <cell r="D2878">
            <v>46508</v>
          </cell>
        </row>
        <row r="2879">
          <cell r="A2879" t="str">
            <v>WHP-2-00-01368</v>
          </cell>
          <cell r="B2879" t="str">
            <v>עמקים 2702</v>
          </cell>
          <cell r="C2879" t="str">
            <v>אספקת חשמל לעיר חריש- שלב ב'</v>
          </cell>
          <cell r="D2879">
            <v>46752</v>
          </cell>
        </row>
        <row r="2880">
          <cell r="A2880" t="str">
            <v>WHP-2-00-01390</v>
          </cell>
          <cell r="B2880" t="str">
            <v>עמקים 2702</v>
          </cell>
          <cell r="C2880" t="str">
            <v>אספקת חשמל לשכונת הרחבה באיכסאל</v>
          </cell>
          <cell r="D2880">
            <v>46752</v>
          </cell>
        </row>
        <row r="2881">
          <cell r="A2881" t="str">
            <v>WCS-2-00-01395</v>
          </cell>
          <cell r="B2881" t="str">
            <v>עמקים 2702</v>
          </cell>
          <cell r="C2881" t="str">
            <v>עמקים- אמינות תוספתי</v>
          </cell>
          <cell r="D2881">
            <v>49674</v>
          </cell>
        </row>
        <row r="2882">
          <cell r="A2882" t="str">
            <v>WCS-2-00-01409</v>
          </cell>
          <cell r="B2882" t="str">
            <v>עמקים 2702</v>
          </cell>
          <cell r="C2882" t="str">
            <v>עמקים - אמינות חידוש</v>
          </cell>
          <cell r="D2882">
            <v>49674</v>
          </cell>
        </row>
        <row r="2883">
          <cell r="A2883" t="str">
            <v>WCQ-2-00-01322</v>
          </cell>
          <cell r="B2883" t="str">
            <v>עמקים 2702</v>
          </cell>
          <cell r="C2883" t="str">
            <v>יציאות מתחמ"ש זכרון</v>
          </cell>
          <cell r="D2883">
            <v>45473</v>
          </cell>
        </row>
        <row r="2884">
          <cell r="A2884" t="str">
            <v>WCS-2-00-01324</v>
          </cell>
          <cell r="B2884" t="str">
            <v>עמקים 2702</v>
          </cell>
          <cell r="C2884" t="str">
            <v>מיגון רכיבי רשת להגנה על ציפורים-עמקים</v>
          </cell>
          <cell r="D2884">
            <v>46752</v>
          </cell>
        </row>
        <row r="2885">
          <cell r="A2885" t="str">
            <v>WHP-2-00-01343</v>
          </cell>
          <cell r="B2885" t="str">
            <v>עמקים 2702</v>
          </cell>
          <cell r="C2885" t="str">
            <v>נוה אור - חיבור מתקן אנרגיות מתחדשות</v>
          </cell>
          <cell r="D2885">
            <v>45473</v>
          </cell>
        </row>
        <row r="2886">
          <cell r="A2886" t="str">
            <v>WCQ-2-00-01369</v>
          </cell>
          <cell r="B2886" t="str">
            <v>עמקים 2702</v>
          </cell>
          <cell r="C2886" t="str">
            <v>יציאות מתחמ"ש שירת דבורה</v>
          </cell>
          <cell r="D2886">
            <v>46387</v>
          </cell>
        </row>
        <row r="2887">
          <cell r="A2887" t="str">
            <v>WHP-2-00-01422</v>
          </cell>
          <cell r="B2887" t="str">
            <v>עמקים 2702</v>
          </cell>
          <cell r="C2887" t="str">
            <v>העתקת תשתיות להכפלת מסילת החוף- עמקים</v>
          </cell>
          <cell r="D2887">
            <v>47848</v>
          </cell>
        </row>
        <row r="2888">
          <cell r="A2888" t="str">
            <v>WHP-2-00-01323</v>
          </cell>
          <cell r="B2888" t="str">
            <v>עמקים 2702</v>
          </cell>
          <cell r="C2888" t="str">
            <v>אספקת חשמל לשכונה מזרחית, פרדיס</v>
          </cell>
          <cell r="D2888">
            <v>46387</v>
          </cell>
        </row>
        <row r="2889">
          <cell r="A2889" t="str">
            <v>WHP-2-00-01332</v>
          </cell>
          <cell r="B2889" t="str">
            <v>עמקים 2702</v>
          </cell>
          <cell r="C2889" t="str">
            <v>אספקת חשמל לשכונת מול התבור, נוף הגליל</v>
          </cell>
          <cell r="D2889">
            <v>46752</v>
          </cell>
        </row>
        <row r="2890">
          <cell r="A2890" t="str">
            <v>WHP-2-00-01329</v>
          </cell>
          <cell r="B2890" t="str">
            <v>עמקים 2702</v>
          </cell>
          <cell r="C2890" t="str">
            <v>אספקת חשמל לשכונה מערבית, מגדל העמק</v>
          </cell>
          <cell r="D2890">
            <v>46629</v>
          </cell>
        </row>
        <row r="2891">
          <cell r="A2891" t="str">
            <v>WHP-2-00-01429</v>
          </cell>
          <cell r="B2891" t="str">
            <v>עמקים 2702</v>
          </cell>
          <cell r="C2891" t="str">
            <v>אספקת חשמל לשכונת נוף נטופה בביר אל מכסור</v>
          </cell>
          <cell r="D2891">
            <v>46752</v>
          </cell>
        </row>
        <row r="2892">
          <cell r="A2892" t="str">
            <v>WHP-2-00-01132</v>
          </cell>
          <cell r="B2892" t="str">
            <v>עמקים 2702</v>
          </cell>
          <cell r="C2892" t="str">
            <v>חיבור מוסדות חינוך לרשת החשמל - עמקים</v>
          </cell>
          <cell r="D2892">
            <v>49674</v>
          </cell>
        </row>
        <row r="2893">
          <cell r="A2893" t="str">
            <v>WCQ-2-00-01442</v>
          </cell>
          <cell r="B2893" t="str">
            <v>עמקים 2702</v>
          </cell>
          <cell r="C2893" t="str">
            <v>יציאות מתחמ"ש הדרי שאן</v>
          </cell>
          <cell r="D2893">
            <v>46326</v>
          </cell>
        </row>
        <row r="2894">
          <cell r="A2894" t="str">
            <v>WCQ-2-00-01445</v>
          </cell>
          <cell r="B2894" t="str">
            <v>עמקים 2702</v>
          </cell>
          <cell r="C2894" t="str">
            <v>יציאות שנאי חמישי בתחמ"ש קיסריה</v>
          </cell>
          <cell r="D2894">
            <v>46006</v>
          </cell>
        </row>
        <row r="2895">
          <cell r="A2895" t="str">
            <v>WHP-2-00-01003</v>
          </cell>
          <cell r="B2895" t="str">
            <v>עמקים 2702</v>
          </cell>
          <cell r="C2895" t="str">
            <v>אספקת חשמל לרובע יזרעאל-עפולה</v>
          </cell>
          <cell r="D2895">
            <v>45838</v>
          </cell>
        </row>
        <row r="2896">
          <cell r="A2896" t="str">
            <v>WCP-2-00-01482</v>
          </cell>
          <cell r="B2896" t="str">
            <v>עמקים 2702</v>
          </cell>
          <cell r="C2896" t="str">
            <v>בוטל</v>
          </cell>
          <cell r="D2896">
            <v>45474</v>
          </cell>
        </row>
        <row r="2897">
          <cell r="A2897" t="str">
            <v>WHP-2-00-01483</v>
          </cell>
          <cell r="B2897" t="str">
            <v>עמקים 2702</v>
          </cell>
          <cell r="C2897" t="str">
            <v>אספקת חשמל לשכונת סלע ביתר- חדרה</v>
          </cell>
          <cell r="D2897">
            <v>47299</v>
          </cell>
        </row>
        <row r="2898">
          <cell r="A2898" t="str">
            <v>WHP-2-00-01505</v>
          </cell>
          <cell r="B2898" t="str">
            <v>עמקים 2702</v>
          </cell>
          <cell r="C2898" t="str">
            <v>הגרלה ייצור מבוזר עמקים</v>
          </cell>
          <cell r="D2898">
            <v>46022</v>
          </cell>
        </row>
        <row r="2899">
          <cell r="A2899" t="str">
            <v>WHP-2-00-01510</v>
          </cell>
          <cell r="B2899" t="str">
            <v>עמקים 2702</v>
          </cell>
          <cell r="C2899" t="str">
            <v>אספקת חשמל לשכ' מערבית מגדל העמק- שלב ב'</v>
          </cell>
          <cell r="D2899">
            <v>46934</v>
          </cell>
        </row>
        <row r="2900">
          <cell r="A2900" t="str">
            <v>WCS-2-00-01564</v>
          </cell>
          <cell r="B2900" t="str">
            <v>עמקים 2702</v>
          </cell>
          <cell r="C2900" t="str">
            <v>החלפת מופות מ"ג - מרחב העמקים</v>
          </cell>
          <cell r="D2900">
            <v>49674</v>
          </cell>
        </row>
        <row r="2901">
          <cell r="A2901" t="str">
            <v>WCQ-2-00-01569</v>
          </cell>
          <cell r="B2901" t="str">
            <v>עמקים 2702</v>
          </cell>
          <cell r="C2901" t="str">
            <v>יציאות מתח גבוה משנאי חמישי בתחמ"ש בית שאן</v>
          </cell>
          <cell r="D2901">
            <v>46963</v>
          </cell>
        </row>
        <row r="2902">
          <cell r="A2902" t="str">
            <v>WCQ-2-00-01570</v>
          </cell>
          <cell r="B2902" t="str">
            <v>עמקים 2702</v>
          </cell>
          <cell r="C2902" t="str">
            <v>יציאות מתחמ"ש יזרעאל</v>
          </cell>
          <cell r="D2902">
            <v>46597</v>
          </cell>
        </row>
        <row r="2903">
          <cell r="A2903" t="str">
            <v>WHP-2-00-01580</v>
          </cell>
          <cell r="B2903" t="str">
            <v>עמקים 2702</v>
          </cell>
          <cell r="C2903" t="str">
            <v>חיבורים בגבול המזרחי - עמקים</v>
          </cell>
          <cell r="D2903">
            <v>46387</v>
          </cell>
        </row>
        <row r="2904">
          <cell r="A2904" t="str">
            <v>WHP-2-00-01586</v>
          </cell>
          <cell r="B2904" t="str">
            <v>עמקים 2702</v>
          </cell>
          <cell r="C2904" t="str">
            <v>אמינות- שיפורים - עמקים</v>
          </cell>
          <cell r="D2904">
            <v>50040</v>
          </cell>
        </row>
        <row r="2905">
          <cell r="A2905" t="str">
            <v>WCQ-2-00-01599</v>
          </cell>
          <cell r="B2905" t="str">
            <v>עמקים 2702</v>
          </cell>
          <cell r="C2905" t="str">
            <v>יציאות מתחמ"ש ציפורית</v>
          </cell>
          <cell r="D2905">
            <v>46568</v>
          </cell>
        </row>
        <row r="2906">
          <cell r="A2906" t="str">
            <v>WBC-112</v>
          </cell>
          <cell r="B2906" t="str">
            <v>עמק שרה</v>
          </cell>
          <cell r="C2906" t="str">
            <v>עמק שרה(מכתשים)-הקמת תחמ"ש חיצונית</v>
          </cell>
          <cell r="D2906">
            <v>49674</v>
          </cell>
        </row>
        <row r="2907">
          <cell r="A2907" t="str">
            <v>HIS-123</v>
          </cell>
          <cell r="B2907" t="str">
            <v>עמק חפר</v>
          </cell>
          <cell r="C2907" t="str">
            <v>עמק חפר</v>
          </cell>
          <cell r="D2907">
            <v>40908</v>
          </cell>
        </row>
        <row r="2908">
          <cell r="A2908" t="str">
            <v>0212725</v>
          </cell>
          <cell r="B2908" t="str">
            <v>עמק חפר</v>
          </cell>
          <cell r="C2908" t="str">
            <v>uoe6a-עמק חפר -עיבוי ושדרוג עמוד שדרה</v>
          </cell>
          <cell r="D2908">
            <v>42338</v>
          </cell>
        </row>
        <row r="2909">
          <cell r="A2909" t="str">
            <v>WDB-04COM33</v>
          </cell>
          <cell r="B2909" t="str">
            <v>עמק חפר</v>
          </cell>
          <cell r="C2909" t="str">
            <v>עמק חפר-הנחת כבל סיב אופטי מיהלום מ"ג</v>
          </cell>
          <cell r="D2909">
            <v>42003</v>
          </cell>
        </row>
        <row r="2910">
          <cell r="A2910" t="str">
            <v>WBM-01147</v>
          </cell>
          <cell r="B2910" t="str">
            <v>עמק חפר</v>
          </cell>
          <cell r="C2910" t="str">
            <v>עמק חפר-פירוק התחמ"ש</v>
          </cell>
          <cell r="D2910">
            <v>46295</v>
          </cell>
        </row>
        <row r="2911">
          <cell r="A2911" t="str">
            <v>WBM-70026</v>
          </cell>
          <cell r="B2911" t="str">
            <v>עמק חפר</v>
          </cell>
          <cell r="C2911" t="str">
            <v>עמק חפר - הוקפא - החלפת משנק ומנתקים בשדה 1</v>
          </cell>
        </row>
        <row r="2912">
          <cell r="A2912" t="str">
            <v>WBM-00309</v>
          </cell>
          <cell r="B2912" t="str">
            <v>עמק חפר</v>
          </cell>
          <cell r="C2912" t="str">
            <v>עמק חפר-החלפת 3 סללילי כיבוי521,523,524.</v>
          </cell>
          <cell r="D2912">
            <v>46751</v>
          </cell>
        </row>
        <row r="2913">
          <cell r="A2913" t="str">
            <v>WBM-00528</v>
          </cell>
          <cell r="B2913" t="str">
            <v>עמק חפר</v>
          </cell>
          <cell r="C2913" t="str">
            <v>עמק חפר-החלפת מגיני ברק מ"ג של שנאים</v>
          </cell>
          <cell r="D2913">
            <v>46537</v>
          </cell>
        </row>
        <row r="2914">
          <cell r="A2914" t="str">
            <v>WBM-10048</v>
          </cell>
          <cell r="B2914" t="str">
            <v>עמק חפר</v>
          </cell>
          <cell r="C2914" t="str">
            <v>עמק חפר - התקנת רושם הפרעות</v>
          </cell>
          <cell r="D2914">
            <v>46598</v>
          </cell>
        </row>
        <row r="2915">
          <cell r="A2915" t="str">
            <v>WBM-01344</v>
          </cell>
          <cell r="B2915" t="str">
            <v>עמק חפר</v>
          </cell>
          <cell r="C2915" t="str">
            <v>עמק חפר - החלפת  2 שנאים 50 מגווא"ט</v>
          </cell>
          <cell r="D2915">
            <v>45714</v>
          </cell>
        </row>
        <row r="2916">
          <cell r="A2916" t="str">
            <v>WBM-10308</v>
          </cell>
          <cell r="B2916" t="str">
            <v>עמק חפר</v>
          </cell>
          <cell r="C2916" t="str">
            <v>עמק חפר-משיק לתה"ר חופית-התקנת הג.דיפ.</v>
          </cell>
          <cell r="D2916">
            <v>45869</v>
          </cell>
        </row>
        <row r="2917">
          <cell r="A2917" t="str">
            <v>WBM-10404</v>
          </cell>
          <cell r="B2917" t="str">
            <v>עמק חפר</v>
          </cell>
          <cell r="C2917" t="str">
            <v>עמק חפר-החל.הגנת מרחק בדיפ.,ש.1,21+תקש.</v>
          </cell>
          <cell r="D2917">
            <v>45277</v>
          </cell>
        </row>
        <row r="2918">
          <cell r="A2918" t="str">
            <v>0269252</v>
          </cell>
          <cell r="B2918" t="str">
            <v>עמק חפר</v>
          </cell>
          <cell r="C2918" t="str">
            <v>עמק חפר - החלפת שנאי 521</v>
          </cell>
          <cell r="D2918">
            <v>44650</v>
          </cell>
        </row>
        <row r="2919">
          <cell r="A2919" t="str">
            <v>WBM-10112</v>
          </cell>
          <cell r="B2919" t="str">
            <v>עמק חפר</v>
          </cell>
          <cell r="C2919" t="str">
            <v>עמק חפר - הוספת תקשורת בין הגנות OM (ש1)</v>
          </cell>
          <cell r="D2919">
            <v>44098</v>
          </cell>
        </row>
        <row r="2920">
          <cell r="A2920" t="str">
            <v>WBM-00847</v>
          </cell>
          <cell r="B2920" t="str">
            <v>עמק חפר</v>
          </cell>
          <cell r="C2920" t="str">
            <v>עמק חפר - החלפת מסדר משוריין מ"ג</v>
          </cell>
          <cell r="D2920">
            <v>43725</v>
          </cell>
        </row>
        <row r="2921">
          <cell r="A2921" t="str">
            <v>WBM-01092</v>
          </cell>
          <cell r="B2921" t="str">
            <v>עמק חפר</v>
          </cell>
          <cell r="C2921" t="str">
            <v>עמק חפר-התקנת 4 מאצרות שמן זמניות</v>
          </cell>
          <cell r="D2921">
            <v>43159</v>
          </cell>
        </row>
        <row r="2922">
          <cell r="A2922" t="str">
            <v>WBM-00096</v>
          </cell>
          <cell r="B2922" t="str">
            <v>עמק חפר</v>
          </cell>
          <cell r="C2922" t="str">
            <v>עמק חפר - השמשת שדות 104, 64, 44</v>
          </cell>
          <cell r="D2922">
            <v>42154</v>
          </cell>
        </row>
        <row r="2923">
          <cell r="A2923" t="str">
            <v>WBM-00891</v>
          </cell>
          <cell r="B2923" t="str">
            <v>עמק חפר</v>
          </cell>
          <cell r="C2923" t="str">
            <v>עמק חפר-הסדרת דרך גישה לתנועת כלי רכב</v>
          </cell>
          <cell r="D2923">
            <v>42033</v>
          </cell>
        </row>
        <row r="2924">
          <cell r="A2924" t="str">
            <v>WBM-00756</v>
          </cell>
          <cell r="B2924" t="str">
            <v>עמק חפר</v>
          </cell>
          <cell r="C2924" t="str">
            <v>עמק חפר-התאמת מערכת גילוי אש אוטומ'-מכ"ר</v>
          </cell>
          <cell r="D2924">
            <v>41835</v>
          </cell>
        </row>
        <row r="2925">
          <cell r="A2925" t="str">
            <v>WBG-084-025</v>
          </cell>
          <cell r="B2925" t="str">
            <v>עמק חפר</v>
          </cell>
          <cell r="C2925" t="str">
            <v>עמק חפר-שדרוג מערכת DVR</v>
          </cell>
          <cell r="D2925">
            <v>41638</v>
          </cell>
        </row>
        <row r="2926">
          <cell r="A2926" t="str">
            <v>WBG-084-022</v>
          </cell>
          <cell r="B2926" t="str">
            <v>עמק חפר</v>
          </cell>
          <cell r="C2926" t="str">
            <v>עמק חפר-התאמת מערכת המים לכיבוי אש-מכ"ר</v>
          </cell>
          <cell r="D2926">
            <v>41577</v>
          </cell>
        </row>
        <row r="2927">
          <cell r="A2927" t="str">
            <v>WBG-084-017</v>
          </cell>
          <cell r="B2927" t="str">
            <v>עמק חפר</v>
          </cell>
          <cell r="C2927" t="str">
            <v>עמק חפר-החלפת מפ"ז מ"ג ב-2 שדות ס"ק</v>
          </cell>
          <cell r="D2927">
            <v>41266</v>
          </cell>
        </row>
        <row r="2928">
          <cell r="A2928" t="str">
            <v>WBM-30007</v>
          </cell>
          <cell r="B2928" t="str">
            <v>עמק חפר</v>
          </cell>
          <cell r="C2928" t="str">
            <v>עמק חפר בוטל--גדר אלקטרונית(ביטחון)</v>
          </cell>
          <cell r="D2928">
            <v>43094</v>
          </cell>
        </row>
        <row r="2929">
          <cell r="A2929" t="str">
            <v>0243283</v>
          </cell>
          <cell r="B2929" t="str">
            <v>עמק חפר</v>
          </cell>
          <cell r="C2929" t="str">
            <v>עמק חפר-החלפת מפ"ז, מנתקים, מ"ז, הגנות</v>
          </cell>
          <cell r="D2929">
            <v>43122</v>
          </cell>
        </row>
        <row r="2930">
          <cell r="A2930" t="str">
            <v>WBM-40183</v>
          </cell>
          <cell r="B2930" t="str">
            <v>עמק חפר</v>
          </cell>
          <cell r="C2930" t="str">
            <v>עמק חפר-בוטל-החלפת שנאי וציוד בשדה 16</v>
          </cell>
          <cell r="D2930">
            <v>43131</v>
          </cell>
        </row>
        <row r="2931">
          <cell r="A2931" t="str">
            <v>WBM-40103</v>
          </cell>
          <cell r="B2931" t="str">
            <v>עמק חפר</v>
          </cell>
          <cell r="C2931" t="str">
            <v>עמק חפר-בוטל-החלפת 46 הגנות מ"ג</v>
          </cell>
          <cell r="D2931">
            <v>43112</v>
          </cell>
        </row>
        <row r="2932">
          <cell r="A2932" t="str">
            <v>WBM-60026</v>
          </cell>
          <cell r="B2932" t="str">
            <v>עמק חפר</v>
          </cell>
          <cell r="C2932" t="str">
            <v>עמק חפר -בוטל-בניית תשתיתלאיסוף שפכים</v>
          </cell>
          <cell r="D2932">
            <v>43789</v>
          </cell>
        </row>
        <row r="2933">
          <cell r="A2933" t="str">
            <v>WBM-00529</v>
          </cell>
          <cell r="B2933" t="str">
            <v>עמק חפר</v>
          </cell>
          <cell r="C2933" t="str">
            <v>עמק חפר- בוטל-  מאצרות שמן לשנאים</v>
          </cell>
          <cell r="D2933">
            <v>41403</v>
          </cell>
        </row>
        <row r="2934">
          <cell r="A2934">
            <v>531044</v>
          </cell>
          <cell r="B2934" t="str">
            <v>עמק חפר</v>
          </cell>
          <cell r="C2934" t="str">
            <v>עמק חפר - החלפת ממסרי השלת עומס בתדר</v>
          </cell>
          <cell r="D2934">
            <v>41292</v>
          </cell>
        </row>
        <row r="2935">
          <cell r="A2935">
            <v>531036</v>
          </cell>
          <cell r="B2935" t="str">
            <v>עמק חפר</v>
          </cell>
          <cell r="C2935" t="str">
            <v>עמק חפר-התקנת מאווררים בארונות פיקוד</v>
          </cell>
          <cell r="D2935">
            <v>41516</v>
          </cell>
        </row>
        <row r="2936">
          <cell r="A2936" t="str">
            <v>WBG-084-012</v>
          </cell>
          <cell r="B2936" t="str">
            <v>עמק חפר</v>
          </cell>
          <cell r="C2936" t="str">
            <v>עמק חפר-החלפת רכזת התראה ביטחונית</v>
          </cell>
          <cell r="D2936">
            <v>38716</v>
          </cell>
        </row>
        <row r="2937">
          <cell r="A2937" t="str">
            <v>WBM-01014</v>
          </cell>
          <cell r="B2937" t="str">
            <v>עמק חפר</v>
          </cell>
          <cell r="C2937" t="str">
            <v>עמק חפר-בוטל-תוספת/עדכון של 20 התראות.</v>
          </cell>
          <cell r="D2937">
            <v>40714</v>
          </cell>
        </row>
        <row r="2938">
          <cell r="A2938" t="str">
            <v>WBM-00095</v>
          </cell>
          <cell r="B2938" t="str">
            <v>עמק חפר</v>
          </cell>
          <cell r="C2938" t="str">
            <v>עמק חפר-החלפת מג.ברק מ"ע בשנאים ובמ.אפס</v>
          </cell>
          <cell r="D2938">
            <v>40904</v>
          </cell>
        </row>
        <row r="2939">
          <cell r="A2939" t="str">
            <v>WBM-00371</v>
          </cell>
          <cell r="B2939" t="str">
            <v>עמק חפר</v>
          </cell>
          <cell r="C2939" t="str">
            <v>עמק חפר-יישום השלת עומס לפי מתח</v>
          </cell>
          <cell r="D2939">
            <v>42642</v>
          </cell>
        </row>
        <row r="2940">
          <cell r="A2940" t="str">
            <v>WBG-084-009</v>
          </cell>
          <cell r="B2940" t="str">
            <v>עמק חפר</v>
          </cell>
          <cell r="C2940" t="str">
            <v>עמק חפר-התקנת קשר בין הגנות מרחק לכ.סבא</v>
          </cell>
          <cell r="D2940">
            <v>38868</v>
          </cell>
        </row>
        <row r="2941">
          <cell r="A2941" t="str">
            <v>WBM-60116-009</v>
          </cell>
          <cell r="B2941" t="str">
            <v>עמק חפר</v>
          </cell>
          <cell r="C2941" t="str">
            <v>עמק חפר -בוטל- שידרוג גלאים בתחנות משנה ומיתו</v>
          </cell>
          <cell r="D2941">
            <v>44927</v>
          </cell>
        </row>
        <row r="2942">
          <cell r="A2942" t="str">
            <v>WBM-60130-052</v>
          </cell>
          <cell r="B2942" t="str">
            <v>עמק חפר</v>
          </cell>
          <cell r="C2942" t="str">
            <v>עמק חפר - בוטל - התקנת מפסק פטריה להפסקת מערכת החשמל בחירום</v>
          </cell>
          <cell r="D2942">
            <v>46196</v>
          </cell>
        </row>
        <row r="2943">
          <cell r="A2943" t="str">
            <v>WBM-00885-139</v>
          </cell>
          <cell r="B2943" t="str">
            <v>עמק חפר</v>
          </cell>
          <cell r="C2943" t="str">
            <v>עמק חפר- אפיון מים</v>
          </cell>
          <cell r="D2943">
            <v>45623</v>
          </cell>
        </row>
        <row r="2944">
          <cell r="A2944" t="str">
            <v>HIS-142</v>
          </cell>
          <cell r="B2944" t="str">
            <v>עמנואל ניידת</v>
          </cell>
          <cell r="C2944" t="str">
            <v>עמנואל ניידת</v>
          </cell>
          <cell r="D2944">
            <v>40908</v>
          </cell>
        </row>
        <row r="2945">
          <cell r="A2945" t="str">
            <v>WBD-085</v>
          </cell>
          <cell r="B2945" t="str">
            <v>עמנואל ניידת</v>
          </cell>
          <cell r="C2945" t="str">
            <v>עמנואל ניידת –החלפת תחמ"ש ניידת תקולה</v>
          </cell>
          <cell r="D2945">
            <v>44880</v>
          </cell>
        </row>
        <row r="2946">
          <cell r="A2946" t="str">
            <v>WBM-00810</v>
          </cell>
          <cell r="B2946" t="str">
            <v>עמנואל ניידת</v>
          </cell>
          <cell r="C2946" t="str">
            <v>עמנואל 2 ניידת-פירוק תחמ"ש ניידת</v>
          </cell>
          <cell r="D2946">
            <v>44159</v>
          </cell>
        </row>
        <row r="2947">
          <cell r="A2947" t="str">
            <v>WBM-60016</v>
          </cell>
          <cell r="B2947" t="str">
            <v>עמנואל ניידת</v>
          </cell>
          <cell r="C2947" t="str">
            <v>עמנואל ניידת -התקנת מאצרת שמן ב-2 ניידות</v>
          </cell>
          <cell r="D2947">
            <v>43787</v>
          </cell>
        </row>
        <row r="2948">
          <cell r="A2948">
            <v>549815</v>
          </cell>
          <cell r="B2948" t="str">
            <v>עמנואל ניידת</v>
          </cell>
          <cell r="C2948" t="str">
            <v>עמנואל 1 ניידת-שדרוג מערכת DVR</v>
          </cell>
          <cell r="D2948">
            <v>41153</v>
          </cell>
        </row>
        <row r="2949">
          <cell r="A2949" t="str">
            <v>WBM-00094</v>
          </cell>
          <cell r="B2949" t="str">
            <v>עמנואל ניידת</v>
          </cell>
          <cell r="C2949" t="str">
            <v>עמנואל ניידת-בוטל-התקנת ארון ז"י 48 וולט</v>
          </cell>
          <cell r="D2949">
            <v>41428</v>
          </cell>
        </row>
        <row r="2950">
          <cell r="A2950">
            <v>549817</v>
          </cell>
          <cell r="B2950" t="str">
            <v>עמנואל ניידת</v>
          </cell>
          <cell r="C2950" t="str">
            <v>ניידות עימנואל 1,2-התקנת תמסורת תפעולית</v>
          </cell>
          <cell r="D2950">
            <v>41397</v>
          </cell>
        </row>
        <row r="2951">
          <cell r="A2951" t="str">
            <v>WBG-158-001</v>
          </cell>
          <cell r="B2951" t="str">
            <v>עמנואל ניידת</v>
          </cell>
          <cell r="C2951" t="str">
            <v>עמנואל 1 ניידת-התקנת מערכת מניה</v>
          </cell>
          <cell r="D2951">
            <v>40340</v>
          </cell>
        </row>
        <row r="2952">
          <cell r="A2952" t="str">
            <v>WBG-159-001</v>
          </cell>
          <cell r="B2952" t="str">
            <v>עמנואל ניידת</v>
          </cell>
          <cell r="C2952" t="str">
            <v>עמנואל 2 ניידת-התקנת מערכת מניה</v>
          </cell>
          <cell r="D2952">
            <v>40340</v>
          </cell>
        </row>
        <row r="2953">
          <cell r="A2953" t="str">
            <v>WBD-013-ST2</v>
          </cell>
          <cell r="B2953" t="str">
            <v>עמנואל ניידת</v>
          </cell>
          <cell r="C2953" t="str">
            <v>עמנואל 1 ניידת-פירוק תחמ"ש ניידת</v>
          </cell>
          <cell r="D2953">
            <v>48244</v>
          </cell>
        </row>
        <row r="2954">
          <cell r="A2954" t="str">
            <v>WBM-00350-047</v>
          </cell>
          <cell r="B2954" t="str">
            <v>עמנואל ניידת</v>
          </cell>
          <cell r="C2954" t="str">
            <v>עמנואל – שיפוץ שנאי ניידות</v>
          </cell>
          <cell r="D2954">
            <v>46019</v>
          </cell>
        </row>
        <row r="2955">
          <cell r="A2955" t="str">
            <v>WBM-60116-025</v>
          </cell>
          <cell r="B2955" t="str">
            <v>עמנואל ניידת</v>
          </cell>
          <cell r="C2955" t="str">
            <v>ניידת עמנואל - שידרוג גלאים בתחנות משנה</v>
          </cell>
          <cell r="D2955">
            <v>46752</v>
          </cell>
        </row>
        <row r="2956">
          <cell r="A2956" t="str">
            <v>WBD-121</v>
          </cell>
          <cell r="B2956" t="str">
            <v>עמנואל ניידת</v>
          </cell>
          <cell r="C2956" t="str">
            <v>עמנואל 2 ניידת- הצבת תחמ"ש ניידת</v>
          </cell>
          <cell r="D2956">
            <v>46326</v>
          </cell>
        </row>
        <row r="2957">
          <cell r="A2957" t="str">
            <v>WBD-121-ST2</v>
          </cell>
          <cell r="B2957" t="str">
            <v>עמנואל ניידת</v>
          </cell>
          <cell r="C2957" t="str">
            <v>עמנואל 2 ניידת- פירוק תחמ"ש ניידת</v>
          </cell>
          <cell r="D2957">
            <v>48244</v>
          </cell>
        </row>
        <row r="2958">
          <cell r="A2958" t="str">
            <v>WBM-60010-144</v>
          </cell>
          <cell r="B2958" t="str">
            <v>עמנואל ניידת</v>
          </cell>
          <cell r="C2958" t="str">
            <v>עמנואל - בוטל - החלפת מוני ION למוני SATEC</v>
          </cell>
        </row>
        <row r="2959">
          <cell r="A2959" t="str">
            <v>WBM-00350-068</v>
          </cell>
          <cell r="B2959" t="str">
            <v>עמנואל ניידת</v>
          </cell>
          <cell r="C2959" t="str">
            <v>ניידת עמנואל - תיקון שנאי של הניידת-עקב תקלה</v>
          </cell>
          <cell r="D2959">
            <v>46019</v>
          </cell>
        </row>
        <row r="2960">
          <cell r="A2960" t="str">
            <v>HIS-122</v>
          </cell>
          <cell r="B2960" t="str">
            <v>עירון</v>
          </cell>
          <cell r="C2960" t="str">
            <v>עירון</v>
          </cell>
          <cell r="D2960">
            <v>40908</v>
          </cell>
        </row>
        <row r="2961">
          <cell r="A2961" t="str">
            <v>WDB-04COM15</v>
          </cell>
          <cell r="B2961" t="str">
            <v>עירון</v>
          </cell>
          <cell r="C2961" t="str">
            <v>עירון-הנחת כבל אופטי מכיוון ברקא לח.פיקו</v>
          </cell>
          <cell r="D2961">
            <v>42722</v>
          </cell>
        </row>
        <row r="2962">
          <cell r="A2962" t="str">
            <v>WBM-00308</v>
          </cell>
          <cell r="B2962" t="str">
            <v>עירון</v>
          </cell>
          <cell r="C2962" t="str">
            <v>עירון-התקנת 3 ס"ק 24 ק"ו, 3*5 מגווא"ר</v>
          </cell>
          <cell r="D2962">
            <v>47815</v>
          </cell>
        </row>
        <row r="2963">
          <cell r="A2963" t="str">
            <v>WBM-10249</v>
          </cell>
          <cell r="B2963" t="str">
            <v>עירון</v>
          </cell>
          <cell r="C2963" t="str">
            <v>עירון-משיק אום אל פחם-הקמת שדות 3,11</v>
          </cell>
          <cell r="D2963">
            <v>47847</v>
          </cell>
        </row>
        <row r="2964">
          <cell r="A2964" t="str">
            <v>WBM-60066</v>
          </cell>
          <cell r="B2964" t="str">
            <v>עירון</v>
          </cell>
          <cell r="C2964" t="str">
            <v>עירון - עיגון ארונות פיקוד ושנאים</v>
          </cell>
          <cell r="D2964">
            <v>46691</v>
          </cell>
        </row>
        <row r="2965">
          <cell r="A2965" t="str">
            <v>WBM-10015</v>
          </cell>
          <cell r="B2965" t="str">
            <v>עירון</v>
          </cell>
          <cell r="C2965" t="str">
            <v>עירון-התקנת רושם הפרעות 161 ק"ו</v>
          </cell>
          <cell r="D2965">
            <v>46234</v>
          </cell>
        </row>
        <row r="2966">
          <cell r="A2966" t="str">
            <v>WBM-01036</v>
          </cell>
          <cell r="B2966" t="str">
            <v>עירון</v>
          </cell>
          <cell r="C2966" t="str">
            <v>עירון-קשר בין הגנות ליזרעאל בשדה 9</v>
          </cell>
          <cell r="D2966">
            <v>43981</v>
          </cell>
        </row>
        <row r="2967">
          <cell r="A2967" t="str">
            <v>WBM-01041</v>
          </cell>
          <cell r="B2967" t="str">
            <v>עירון</v>
          </cell>
          <cell r="C2967" t="str">
            <v>עירון-קשר בין הגנות שדה 5 לקיסריה</v>
          </cell>
          <cell r="D2967">
            <v>43981</v>
          </cell>
        </row>
        <row r="2968">
          <cell r="A2968" t="str">
            <v>WBM-01296</v>
          </cell>
          <cell r="B2968" t="str">
            <v>עירון</v>
          </cell>
          <cell r="C2968" t="str">
            <v>עירון-החלפת מערכת SCS</v>
          </cell>
          <cell r="D2968">
            <v>43100</v>
          </cell>
        </row>
        <row r="2969">
          <cell r="A2969" t="str">
            <v>WBM-01230</v>
          </cell>
          <cell r="B2969" t="str">
            <v>עירון</v>
          </cell>
          <cell r="C2969" t="str">
            <v>עירון - שיפור אוטמטיקת סלילי הכיבוי</v>
          </cell>
          <cell r="D2969">
            <v>43009</v>
          </cell>
        </row>
        <row r="2970">
          <cell r="A2970" t="str">
            <v>WBG-083-011</v>
          </cell>
          <cell r="B2970" t="str">
            <v>עירון</v>
          </cell>
          <cell r="C2970" t="str">
            <v>עירון-עיגון רצפה צפה</v>
          </cell>
          <cell r="D2970">
            <v>41373</v>
          </cell>
        </row>
        <row r="2971">
          <cell r="A2971" t="str">
            <v>WBG-083-014</v>
          </cell>
          <cell r="B2971" t="str">
            <v>עירון</v>
          </cell>
          <cell r="C2971" t="str">
            <v>עירון-התקנת מערכת גילוי מימן ממצברים</v>
          </cell>
          <cell r="D2971">
            <v>40994</v>
          </cell>
        </row>
        <row r="2972">
          <cell r="A2972" t="str">
            <v>WBM-00980</v>
          </cell>
          <cell r="B2972" t="str">
            <v>עירון</v>
          </cell>
          <cell r="C2972" t="str">
            <v>עירון-בוטל-ישום קשר בין הגנות</v>
          </cell>
          <cell r="D2972">
            <v>42136</v>
          </cell>
        </row>
        <row r="2973">
          <cell r="A2973" t="str">
            <v>WBM-40012</v>
          </cell>
          <cell r="B2973" t="str">
            <v>עירון</v>
          </cell>
          <cell r="C2973" t="str">
            <v>עירון - בוטל-החלפת טרפוגרד בשדות 6,10,12</v>
          </cell>
          <cell r="D2973">
            <v>44530</v>
          </cell>
        </row>
        <row r="2974">
          <cell r="A2974" t="str">
            <v>WBM-10078</v>
          </cell>
          <cell r="B2974" t="str">
            <v>עירון</v>
          </cell>
          <cell r="C2974" t="str">
            <v>עירון-בוטל-החלפת גשרי דיודות</v>
          </cell>
          <cell r="D2974">
            <v>43768</v>
          </cell>
        </row>
        <row r="2975">
          <cell r="A2975" t="str">
            <v>WBM-00831</v>
          </cell>
          <cell r="B2975" t="str">
            <v>עירון</v>
          </cell>
          <cell r="C2975" t="str">
            <v>עירון -בוטל- התקנת מערכת טמ"ס</v>
          </cell>
          <cell r="D2975">
            <v>42247</v>
          </cell>
        </row>
        <row r="2976">
          <cell r="A2976">
            <v>525130</v>
          </cell>
          <cell r="B2976" t="str">
            <v>עירון</v>
          </cell>
          <cell r="C2976" t="str">
            <v>עירון-החלפת 2 גשרי דיודות</v>
          </cell>
          <cell r="D2976">
            <v>42185</v>
          </cell>
        </row>
        <row r="2977">
          <cell r="A2977">
            <v>525115</v>
          </cell>
          <cell r="B2977" t="str">
            <v>עירון</v>
          </cell>
          <cell r="C2977" t="str">
            <v>עירון-החלפת רכזת התראה בטחונית</v>
          </cell>
          <cell r="D2977">
            <v>39690</v>
          </cell>
        </row>
        <row r="2978">
          <cell r="A2978">
            <v>525129</v>
          </cell>
          <cell r="B2978" t="str">
            <v>עירון</v>
          </cell>
          <cell r="C2978" t="str">
            <v>עירון-התקנת מאווררים בארונות פיקוד והגנה</v>
          </cell>
          <cell r="D2978">
            <v>40311</v>
          </cell>
        </row>
        <row r="2979">
          <cell r="A2979" t="str">
            <v>WBM-00941</v>
          </cell>
          <cell r="B2979" t="str">
            <v>עירון</v>
          </cell>
          <cell r="C2979" t="str">
            <v>עירון-בוטל שיפור מערכת הארקה בתחמ"ש</v>
          </cell>
          <cell r="D2979">
            <v>39797</v>
          </cell>
        </row>
        <row r="2980">
          <cell r="A2980" t="str">
            <v>WBE-042</v>
          </cell>
          <cell r="B2980" t="str">
            <v>עירון</v>
          </cell>
          <cell r="C2980" t="str">
            <v>עירון-העברת מידע למערכת ה-PI של ס.כיבוי</v>
          </cell>
          <cell r="D2980">
            <v>40141</v>
          </cell>
        </row>
        <row r="2981">
          <cell r="A2981" t="str">
            <v>WBM-10539</v>
          </cell>
          <cell r="B2981" t="str">
            <v>עירון</v>
          </cell>
          <cell r="C2981" t="str">
            <v>עירון- שדה 9, משיק ליזרעאל שדה 19 פירוק והתקנת הגנות</v>
          </cell>
          <cell r="D2981">
            <v>47117</v>
          </cell>
        </row>
        <row r="2982">
          <cell r="A2982" t="str">
            <v>WBM-00885-112</v>
          </cell>
          <cell r="B2982" t="str">
            <v>עירון</v>
          </cell>
          <cell r="C2982" t="str">
            <v>עירון - התקנת תאורת חירום מוגנת אש</v>
          </cell>
          <cell r="D2982">
            <v>46386</v>
          </cell>
        </row>
        <row r="2983">
          <cell r="A2983" t="str">
            <v>WBM-40295-047</v>
          </cell>
          <cell r="B2983" t="str">
            <v>עירון</v>
          </cell>
          <cell r="C2983" t="str">
            <v>עירון - החלפת סוללות מצברים</v>
          </cell>
          <cell r="D2983">
            <v>46721</v>
          </cell>
        </row>
        <row r="2984">
          <cell r="A2984" t="str">
            <v>WBM-40479-028</v>
          </cell>
          <cell r="B2984" t="str">
            <v>עירון</v>
          </cell>
          <cell r="C2984" t="str">
            <v>עירון-החלפת 3 בקרי טמפ' וגובה שמן בשנאי</v>
          </cell>
          <cell r="D2984">
            <v>46965</v>
          </cell>
        </row>
        <row r="2985">
          <cell r="A2985" t="str">
            <v>WBM-60118-024</v>
          </cell>
          <cell r="B2985" t="str">
            <v>עירון</v>
          </cell>
          <cell r="C2985" t="str">
            <v>עירון - שיפור מערכת הארקה</v>
          </cell>
          <cell r="D2985">
            <v>46751</v>
          </cell>
        </row>
        <row r="2986">
          <cell r="A2986" t="str">
            <v>WBM-60130-035</v>
          </cell>
          <cell r="B2986" t="str">
            <v>עירון</v>
          </cell>
          <cell r="C2986" t="str">
            <v>עירון - התקנת מפסק פטריה להפסקת מערכת החשמל בחירום</v>
          </cell>
          <cell r="D2986">
            <v>46006</v>
          </cell>
        </row>
        <row r="2987">
          <cell r="A2987" t="str">
            <v>WBM-20004-033</v>
          </cell>
          <cell r="B2987" t="str">
            <v>עירון</v>
          </cell>
          <cell r="C2987" t="str">
            <v>עירון - שיפור מערכת תאורה</v>
          </cell>
          <cell r="D2987">
            <v>46203</v>
          </cell>
        </row>
        <row r="2988">
          <cell r="A2988" t="str">
            <v>WBM-60205-042</v>
          </cell>
          <cell r="B2988" t="str">
            <v>עירון</v>
          </cell>
          <cell r="C2988" t="str">
            <v>עירון - ניטור הצפות</v>
          </cell>
          <cell r="D2988">
            <v>46175</v>
          </cell>
        </row>
        <row r="2989">
          <cell r="A2989" t="str">
            <v>WBM-00884-039</v>
          </cell>
          <cell r="B2989" t="str">
            <v>עירון</v>
          </cell>
          <cell r="C2989" t="str">
            <v>עירון- החלפת מערכות כיבוי בגז NAF-S3</v>
          </cell>
          <cell r="D2989">
            <v>46387</v>
          </cell>
        </row>
        <row r="2990">
          <cell r="A2990" t="str">
            <v>WBM-00885-164</v>
          </cell>
          <cell r="B2990" t="str">
            <v>עירון</v>
          </cell>
          <cell r="C2990" t="str">
            <v>עירון - החלפת מזח בתחמ"ש</v>
          </cell>
          <cell r="D2990">
            <v>46203</v>
          </cell>
        </row>
        <row r="2991">
          <cell r="A2991" t="str">
            <v>WBJ-012</v>
          </cell>
          <cell r="B2991" t="str">
            <v>עין תות</v>
          </cell>
          <cell r="C2991" t="str">
            <v>עין תות- הקמת מסדר 400 ק"ו לחיבור חגית</v>
          </cell>
          <cell r="D2991">
            <v>41492</v>
          </cell>
        </row>
        <row r="2992">
          <cell r="A2992" t="str">
            <v>WBM-10014</v>
          </cell>
          <cell r="B2992" t="str">
            <v>עין תות</v>
          </cell>
          <cell r="C2992" t="str">
            <v>עין תות -התקנת רושמי הפרעות 400 ק"ו</v>
          </cell>
          <cell r="D2992">
            <v>46477</v>
          </cell>
        </row>
        <row r="2993">
          <cell r="A2993" t="str">
            <v>WBM-01407</v>
          </cell>
          <cell r="B2993" t="str">
            <v>עין תות</v>
          </cell>
          <cell r="C2993" t="str">
            <v>עין תות 400 - עיגון ארונות פיקוד והגנה</v>
          </cell>
          <cell r="D2993">
            <v>46476</v>
          </cell>
        </row>
        <row r="2994">
          <cell r="A2994" t="str">
            <v>WBM-00173</v>
          </cell>
          <cell r="B2994" t="str">
            <v>עין תות</v>
          </cell>
          <cell r="C2994" t="str">
            <v>עין תות-התקנת תקשורת בין הגנות 400 לקיס</v>
          </cell>
          <cell r="D2994">
            <v>42369</v>
          </cell>
        </row>
        <row r="2995">
          <cell r="A2995" t="str">
            <v>WBM-10800</v>
          </cell>
          <cell r="B2995" t="str">
            <v>עין תות</v>
          </cell>
          <cell r="C2995" t="str">
            <v>עין תות - הוספת 4 ממסרי סנכרוציק</v>
          </cell>
          <cell r="D2995">
            <v>46203</v>
          </cell>
        </row>
        <row r="2996">
          <cell r="A2996" t="str">
            <v>WBD-055-ST2</v>
          </cell>
          <cell r="B2996" t="str">
            <v>עין לוט ארעית</v>
          </cell>
          <cell r="C2996" t="str">
            <v>עין לוט ארעית-מוקפא-פירוק התחמ"ש</v>
          </cell>
          <cell r="D2996">
            <v>44681</v>
          </cell>
        </row>
        <row r="2997">
          <cell r="A2997" t="str">
            <v>WBD-055</v>
          </cell>
          <cell r="B2997" t="str">
            <v>עין לוט ארעית</v>
          </cell>
          <cell r="C2997" t="str">
            <v>עין לוט ארעית-מוקפא-הקמת תחמ"ש ארעית</v>
          </cell>
          <cell r="D2997">
            <v>43220</v>
          </cell>
        </row>
        <row r="2998">
          <cell r="A2998">
            <v>641062</v>
          </cell>
          <cell r="B2998" t="str">
            <v>עין כרם פרטית</v>
          </cell>
          <cell r="C2998" t="str">
            <v>עין כרם-מקורות-הקמת תחמ"ש פרטית</v>
          </cell>
          <cell r="D2998">
            <v>44706</v>
          </cell>
        </row>
        <row r="2999">
          <cell r="A2999" t="str">
            <v>WBM-10597-018</v>
          </cell>
          <cell r="B2999" t="str">
            <v>עין כרם פרטית</v>
          </cell>
          <cell r="C2999" t="str">
            <v>עין כרם - פיילוט יישום תקשורת הגנות בשדה 1</v>
          </cell>
          <cell r="D2999">
            <v>46295</v>
          </cell>
        </row>
        <row r="3000">
          <cell r="A3000" t="str">
            <v>HIS-121</v>
          </cell>
          <cell r="B3000" t="str">
            <v>עין חרוד</v>
          </cell>
          <cell r="C3000" t="str">
            <v>עין חרוד</v>
          </cell>
          <cell r="D3000">
            <v>40908</v>
          </cell>
        </row>
        <row r="3001">
          <cell r="A3001" t="str">
            <v>WBE-222</v>
          </cell>
          <cell r="B3001" t="str">
            <v>עין חרוד</v>
          </cell>
          <cell r="C3001" t="str">
            <v>עין חרוד-התקנת שנאי רביעי 161/24 50 מו"א</v>
          </cell>
          <cell r="D3001">
            <v>46934</v>
          </cell>
        </row>
        <row r="3002">
          <cell r="A3002" t="str">
            <v>WBE-246</v>
          </cell>
          <cell r="B3002" t="str">
            <v>עין חרוד</v>
          </cell>
          <cell r="C3002" t="str">
            <v>עין חרוד-התקנת 2 שדות מעגלים יכולת 2500 א'</v>
          </cell>
          <cell r="D3002">
            <v>49674</v>
          </cell>
        </row>
        <row r="3003">
          <cell r="A3003" t="str">
            <v>WBE-098-ST2</v>
          </cell>
          <cell r="B3003" t="str">
            <v>עין חרוד</v>
          </cell>
          <cell r="C3003" t="str">
            <v>עין חרוד-בניית מאצרת שמן 75 קוב.</v>
          </cell>
          <cell r="D3003">
            <v>44499</v>
          </cell>
        </row>
        <row r="3004">
          <cell r="A3004" t="str">
            <v>WBE-098</v>
          </cell>
          <cell r="B3004" t="str">
            <v>עין חרוד</v>
          </cell>
          <cell r="C3004" t="str">
            <v>עין חרוד-התקנת שנאי 50 מגוו"א-2 שלבים</v>
          </cell>
          <cell r="D3004">
            <v>44339</v>
          </cell>
        </row>
        <row r="3005">
          <cell r="A3005" t="str">
            <v>WBE-098-ST1</v>
          </cell>
          <cell r="B3005" t="str">
            <v>עין חרוד</v>
          </cell>
          <cell r="C3005" t="str">
            <v>עין חרוד-התקנת שנאי 161/24 ק"ו 50 מגוו"א</v>
          </cell>
          <cell r="D3005">
            <v>44339</v>
          </cell>
        </row>
        <row r="3006">
          <cell r="A3006" t="str">
            <v>WDA-1--02-15</v>
          </cell>
          <cell r="B3006" t="str">
            <v>עין חרוד</v>
          </cell>
          <cell r="C3006" t="str">
            <v>עין חרוד-החלפת יחידת קצה של פיקוח ארצי</v>
          </cell>
          <cell r="D3006">
            <v>42639</v>
          </cell>
        </row>
        <row r="3007">
          <cell r="A3007" t="str">
            <v>WBM-40332</v>
          </cell>
          <cell r="B3007" t="str">
            <v>עין חרוד</v>
          </cell>
          <cell r="C3007" t="str">
            <v>עין חרוד-התאמת שדה 11 ליכולת  1600 א' ושדה 5 ושדה מקשר ליכולת 2500 א'</v>
          </cell>
          <cell r="D3007">
            <v>46752</v>
          </cell>
        </row>
        <row r="3008">
          <cell r="A3008" t="str">
            <v>WBM-40316</v>
          </cell>
          <cell r="B3008" t="str">
            <v>עין חרוד</v>
          </cell>
          <cell r="C3008" t="str">
            <v>עין חרוד-התאמת שדה 11 ליכולת 1440 א'</v>
          </cell>
          <cell r="D3008">
            <v>46142</v>
          </cell>
        </row>
        <row r="3009">
          <cell r="A3009" t="str">
            <v>WBM-00692</v>
          </cell>
          <cell r="B3009" t="str">
            <v>עין חרוד</v>
          </cell>
          <cell r="C3009" t="str">
            <v>עין חרוד-החלפת סלילי כיבוי  ל-120 א'</v>
          </cell>
          <cell r="D3009">
            <v>41742</v>
          </cell>
        </row>
        <row r="3010">
          <cell r="A3010" t="str">
            <v>WBM-10373</v>
          </cell>
          <cell r="B3010" t="str">
            <v>עין חרוד</v>
          </cell>
          <cell r="C3010" t="str">
            <v>עין חרוד-הת' תיילים-מהדקים-פורט'wbo-090</v>
          </cell>
          <cell r="D3010">
            <v>47118</v>
          </cell>
        </row>
        <row r="3011">
          <cell r="A3011" t="str">
            <v>WBM-10378</v>
          </cell>
          <cell r="B3011" t="str">
            <v>עין חרוד</v>
          </cell>
          <cell r="C3011" t="str">
            <v>עין חרוד-הת' תיילים-מהדקים-פורט'wbo-092</v>
          </cell>
          <cell r="D3011">
            <v>47483</v>
          </cell>
        </row>
        <row r="3012">
          <cell r="A3012" t="str">
            <v>WBM-00526</v>
          </cell>
          <cell r="B3012" t="str">
            <v>עין חרוד</v>
          </cell>
          <cell r="C3012" t="str">
            <v>עין חרוד-שינוי קונפיגורציה לאספקת בית</v>
          </cell>
          <cell r="D3012">
            <v>46721</v>
          </cell>
        </row>
        <row r="3013">
          <cell r="A3013" t="str">
            <v>WBM-00092</v>
          </cell>
          <cell r="B3013" t="str">
            <v>עין חרוד</v>
          </cell>
          <cell r="C3013" t="str">
            <v>עין חרוד-הבאת אות הפסקה של ממסר בוכהולץ</v>
          </cell>
          <cell r="D3013">
            <v>44377</v>
          </cell>
        </row>
        <row r="3014">
          <cell r="A3014" t="str">
            <v>WBM-01310</v>
          </cell>
          <cell r="B3014" t="str">
            <v>עין חרוד</v>
          </cell>
          <cell r="C3014" t="str">
            <v>עין חרוד-החלפת הגנות מרחק LZ31</v>
          </cell>
          <cell r="D3014">
            <v>46204</v>
          </cell>
        </row>
        <row r="3015">
          <cell r="A3015" t="str">
            <v>WBM-60059</v>
          </cell>
          <cell r="B3015" t="str">
            <v>עין חרוד</v>
          </cell>
          <cell r="C3015" t="str">
            <v>עין חרוד - עיגון ארונות פיקוד ושנאים</v>
          </cell>
          <cell r="D3015">
            <v>46417</v>
          </cell>
        </row>
        <row r="3016">
          <cell r="A3016" t="str">
            <v>WBM-10051</v>
          </cell>
          <cell r="B3016" t="str">
            <v>עין חרוד</v>
          </cell>
          <cell r="C3016" t="str">
            <v>עין חרוד -התקנת רושם הפרעות 161 ק"ו</v>
          </cell>
          <cell r="D3016">
            <v>46295</v>
          </cell>
        </row>
        <row r="3017">
          <cell r="A3017" t="str">
            <v>WBM-10359</v>
          </cell>
          <cell r="B3017" t="str">
            <v>עין חרוד</v>
          </cell>
          <cell r="C3017" t="str">
            <v>עין חרוד-משיק ש.דבורה-התק הג.דיפ.ש11+ד"ק</v>
          </cell>
          <cell r="D3017">
            <v>45517</v>
          </cell>
        </row>
        <row r="3018">
          <cell r="A3018" t="str">
            <v>WBM-01303</v>
          </cell>
          <cell r="B3018" t="str">
            <v>עין חרוד</v>
          </cell>
          <cell r="C3018" t="str">
            <v>עין חרוד - החלפת הגנת שנאי מסוג DT92</v>
          </cell>
          <cell r="D3018">
            <v>45449</v>
          </cell>
        </row>
        <row r="3019">
          <cell r="A3019" t="str">
            <v>WBM-01321</v>
          </cell>
          <cell r="B3019" t="str">
            <v>עין חרוד</v>
          </cell>
          <cell r="C3019" t="str">
            <v>עין חרוד-הוספת הגנות פ"צ וכשל המפסק</v>
          </cell>
          <cell r="D3019">
            <v>45547</v>
          </cell>
        </row>
        <row r="3020">
          <cell r="A3020" t="str">
            <v>WBM-10258</v>
          </cell>
          <cell r="B3020" t="str">
            <v>עין חרוד</v>
          </cell>
          <cell r="C3020" t="str">
            <v>עין חרוד-משיק לאלון תבור 19-החל. הגנה.ש9</v>
          </cell>
          <cell r="D3020">
            <v>45291</v>
          </cell>
        </row>
        <row r="3021">
          <cell r="A3021" t="str">
            <v>0243126</v>
          </cell>
          <cell r="B3021" t="str">
            <v>עין חרוד</v>
          </cell>
          <cell r="C3021" t="str">
            <v>עין חרוד - החלפת הגנות מרחק LZ31</v>
          </cell>
          <cell r="D3021">
            <v>44165</v>
          </cell>
        </row>
        <row r="3022">
          <cell r="A3022" t="str">
            <v>WBM-01361</v>
          </cell>
          <cell r="B3022" t="str">
            <v>עין חרוד</v>
          </cell>
          <cell r="C3022" t="str">
            <v>עין חרוד-שיפור אוטומטיקת סלילי כיבוי בתח</v>
          </cell>
          <cell r="D3022">
            <v>43200</v>
          </cell>
        </row>
        <row r="3023">
          <cell r="A3023" t="str">
            <v>WBM-00093</v>
          </cell>
          <cell r="B3023" t="str">
            <v>עין חרוד</v>
          </cell>
          <cell r="C3023" t="str">
            <v>עין חרוד- הגדלת קוטר אספקת המים לתחמ"ש</v>
          </cell>
          <cell r="D3023">
            <v>43100</v>
          </cell>
        </row>
        <row r="3024">
          <cell r="A3024">
            <v>524625</v>
          </cell>
          <cell r="B3024" t="str">
            <v>עין חרוד</v>
          </cell>
          <cell r="C3024" t="str">
            <v>עין חרוד-התקנת מאווררים בארונות פיקוד</v>
          </cell>
          <cell r="D3024">
            <v>42977</v>
          </cell>
        </row>
        <row r="3025">
          <cell r="A3025" t="str">
            <v>WBG-082-001</v>
          </cell>
          <cell r="B3025" t="str">
            <v>עין חרוד</v>
          </cell>
          <cell r="C3025" t="str">
            <v>עין חרוד-התקנת צי.קשר הג.מרחק בקו לב.שאן</v>
          </cell>
          <cell r="D3025">
            <v>41254</v>
          </cell>
        </row>
        <row r="3026">
          <cell r="A3026" t="str">
            <v>WBM-30015</v>
          </cell>
          <cell r="B3026" t="str">
            <v>עין חרוד</v>
          </cell>
          <cell r="C3026" t="str">
            <v>עין חרוד -בוטל-גדר אלקטרונית (ביטחון)</v>
          </cell>
          <cell r="D3026">
            <v>43830</v>
          </cell>
        </row>
        <row r="3027">
          <cell r="A3027">
            <v>524615</v>
          </cell>
          <cell r="B3027" t="str">
            <v>עין חרוד</v>
          </cell>
          <cell r="C3027" t="str">
            <v>עין חרוד-החלפת רכזת התראה בטחונית</v>
          </cell>
          <cell r="D3027">
            <v>39690</v>
          </cell>
        </row>
        <row r="3028">
          <cell r="A3028" t="str">
            <v>WBM-00527</v>
          </cell>
          <cell r="B3028" t="str">
            <v>עין חרוד</v>
          </cell>
          <cell r="C3028" t="str">
            <v>עין חרוד-בוטל שיפור מערכת הארקה בתחמ"ש</v>
          </cell>
          <cell r="D3028">
            <v>39798</v>
          </cell>
        </row>
        <row r="3029">
          <cell r="A3029" t="str">
            <v>WBM-01127</v>
          </cell>
          <cell r="B3029" t="str">
            <v>עין חרוד</v>
          </cell>
          <cell r="C3029" t="str">
            <v>עין חרוד--החלפת הגנות לגבעת המורה</v>
          </cell>
          <cell r="D3029">
            <v>43558</v>
          </cell>
        </row>
        <row r="3030">
          <cell r="A3030" t="str">
            <v>WBM-01066</v>
          </cell>
          <cell r="B3030" t="str">
            <v>עין חרוד</v>
          </cell>
          <cell r="C3030" t="str">
            <v>עין חרוד-יישום קשר בין הגנות מול  ג'נין</v>
          </cell>
          <cell r="D3030">
            <v>42925</v>
          </cell>
        </row>
        <row r="3031">
          <cell r="A3031" t="str">
            <v>WBM-00885-084</v>
          </cell>
          <cell r="B3031" t="str">
            <v>עין חרוד</v>
          </cell>
          <cell r="C3031" t="str">
            <v>עין חרוד - שדרוג מערכת המים לכיבוי אש</v>
          </cell>
          <cell r="D3031">
            <v>46387</v>
          </cell>
        </row>
        <row r="3032">
          <cell r="A3032" t="str">
            <v>WBM-10456-022</v>
          </cell>
          <cell r="B3032" t="str">
            <v>עין חרוד</v>
          </cell>
          <cell r="C3032" t="str">
            <v>עין חרוד- הוספת מתמרים ב-3 פ"צ</v>
          </cell>
          <cell r="D3032">
            <v>46752</v>
          </cell>
        </row>
        <row r="3033">
          <cell r="A3033" t="str">
            <v>WBM-40295-052</v>
          </cell>
          <cell r="B3033" t="str">
            <v>עין חרוד</v>
          </cell>
          <cell r="C3033" t="str">
            <v>עין חרוד - החלפת סוללות מצברים</v>
          </cell>
          <cell r="D3033">
            <v>46721</v>
          </cell>
        </row>
        <row r="3034">
          <cell r="A3034" t="str">
            <v>WBM-40521-002</v>
          </cell>
          <cell r="B3034" t="str">
            <v>עין חרוד</v>
          </cell>
          <cell r="C3034" t="str">
            <v>עין חרוד - החלפת שנאי הארקה</v>
          </cell>
          <cell r="D3034">
            <v>46387</v>
          </cell>
        </row>
        <row r="3035">
          <cell r="A3035" t="str">
            <v>WBM-60008-026</v>
          </cell>
          <cell r="B3035" t="str">
            <v>עין חרוד</v>
          </cell>
          <cell r="C3035" t="str">
            <v>עין חרוד - התקנת טמ"ס וגדר בתחמ"ש</v>
          </cell>
          <cell r="D3035">
            <v>45571</v>
          </cell>
        </row>
        <row r="3036">
          <cell r="A3036" t="str">
            <v>WBM-60092-006</v>
          </cell>
          <cell r="B3036" t="str">
            <v>עין חרוד</v>
          </cell>
          <cell r="C3036" t="str">
            <v>עין חרוד- בדיקות/טיפול/פינוי מכלי אש בגז</v>
          </cell>
          <cell r="D3036">
            <v>46173</v>
          </cell>
        </row>
        <row r="3037">
          <cell r="A3037" t="str">
            <v>WBM-60118-014</v>
          </cell>
          <cell r="B3037" t="str">
            <v>עין חרוד</v>
          </cell>
          <cell r="C3037" t="str">
            <v>עין חרוד - שיפור מערכת הארקה</v>
          </cell>
          <cell r="D3037">
            <v>46721</v>
          </cell>
        </row>
        <row r="3038">
          <cell r="A3038" t="str">
            <v>WBE-275</v>
          </cell>
          <cell r="B3038" t="str">
            <v>עין חרוד</v>
          </cell>
          <cell r="C3038" t="str">
            <v>עין חרוד - מתקן אגירת אנרגיה בסוללות</v>
          </cell>
          <cell r="D3038">
            <v>46752</v>
          </cell>
        </row>
        <row r="3039">
          <cell r="A3039" t="str">
            <v>WBM-10635</v>
          </cell>
          <cell r="B3039" t="str">
            <v>עין חרוד</v>
          </cell>
          <cell r="C3039" t="str">
            <v>עין חרוד-הת' תיילים-מהדקים-פורט'wbo-330</v>
          </cell>
          <cell r="D3039">
            <v>48944</v>
          </cell>
        </row>
        <row r="3040">
          <cell r="A3040" t="str">
            <v>WBM-10732</v>
          </cell>
          <cell r="B3040" t="str">
            <v>עין חרוד</v>
          </cell>
          <cell r="C3040" t="str">
            <v>עין חרוד-החלפת מתמרים למסדר 161 ק''ו</v>
          </cell>
          <cell r="D3040">
            <v>46203</v>
          </cell>
        </row>
        <row r="3041">
          <cell r="A3041" t="str">
            <v>WBM-60116-056</v>
          </cell>
          <cell r="B3041" t="str">
            <v>עין חרוד</v>
          </cell>
          <cell r="C3041" t="str">
            <v>עין חרוד - מערכת גילוי וכיבוי אש אוטומטית CERBERUS</v>
          </cell>
          <cell r="D3041">
            <v>46387</v>
          </cell>
        </row>
        <row r="3042">
          <cell r="A3042" t="str">
            <v>WBM-70049</v>
          </cell>
          <cell r="B3042" t="str">
            <v>עין חרוד</v>
          </cell>
          <cell r="C3042" t="str">
            <v>עין חרוד-התאמת שדות 3,9 ליכולת  1600 א'</v>
          </cell>
          <cell r="D3042">
            <v>47118</v>
          </cell>
        </row>
        <row r="3043">
          <cell r="A3043" t="str">
            <v>WBM-60131-020</v>
          </cell>
          <cell r="B3043" t="str">
            <v>עין חרוד</v>
          </cell>
          <cell r="C3043" t="str">
            <v>עין חרוד - טיפול באופיין מים</v>
          </cell>
          <cell r="D3043">
            <v>46387</v>
          </cell>
        </row>
        <row r="3044">
          <cell r="A3044" t="str">
            <v>WBM-10815</v>
          </cell>
          <cell r="B3044" t="str">
            <v>עין חרוד</v>
          </cell>
          <cell r="C3044" t="str">
            <v>עין חרוד - הת' תיילים-מהדקים-פורט'wbo-092</v>
          </cell>
          <cell r="D3044">
            <v>47483</v>
          </cell>
        </row>
        <row r="3045">
          <cell r="A3045" t="str">
            <v>WBM-01088</v>
          </cell>
          <cell r="B3045" t="str">
            <v>עטרות ניידת</v>
          </cell>
          <cell r="C3045" t="str">
            <v>עטרות ניידת-התקנת 2 מאצרות שמן</v>
          </cell>
          <cell r="D3045">
            <v>43676</v>
          </cell>
        </row>
        <row r="3046">
          <cell r="A3046" t="str">
            <v>WBC-215</v>
          </cell>
          <cell r="B3046" t="str">
            <v>עטרות 2</v>
          </cell>
          <cell r="C3046" t="str">
            <v>עטרות 2-הקמת תחמ"ש פנימית 161/36 ק"ו</v>
          </cell>
          <cell r="D3046">
            <v>49247</v>
          </cell>
        </row>
        <row r="3047">
          <cell r="A3047" t="str">
            <v>HIS-195</v>
          </cell>
          <cell r="B3047" t="str">
            <v>עטרות</v>
          </cell>
          <cell r="C3047" t="str">
            <v>עטרות--החלפת שנאי תקול 50 מגוו"א ב-30 מג</v>
          </cell>
          <cell r="D3047">
            <v>43861</v>
          </cell>
        </row>
        <row r="3048">
          <cell r="A3048" t="str">
            <v>HIS-120</v>
          </cell>
          <cell r="B3048" t="str">
            <v>עטרות</v>
          </cell>
          <cell r="C3048" t="str">
            <v>עטרות</v>
          </cell>
          <cell r="D3048">
            <v>40908</v>
          </cell>
        </row>
        <row r="3049">
          <cell r="A3049" t="str">
            <v>HIS-141</v>
          </cell>
          <cell r="B3049" t="str">
            <v>עטרות</v>
          </cell>
          <cell r="C3049" t="str">
            <v>עטרות  ניידת</v>
          </cell>
          <cell r="D3049">
            <v>40908</v>
          </cell>
        </row>
        <row r="3050">
          <cell r="A3050" t="str">
            <v>WBE-165</v>
          </cell>
          <cell r="B3050" t="str">
            <v>עטרות</v>
          </cell>
          <cell r="C3050" t="str">
            <v>עטרות-החלפת שנאי 532  33.6 MVA ל- 50 MVA</v>
          </cell>
          <cell r="D3050">
            <v>45015</v>
          </cell>
        </row>
        <row r="3051">
          <cell r="A3051" t="str">
            <v>WDA-1-02-15-19</v>
          </cell>
          <cell r="B3051" t="str">
            <v>עטרות</v>
          </cell>
          <cell r="C3051" t="str">
            <v>עטרות-בוטל החלפת יחידת קצה של פיקוח ארצי</v>
          </cell>
          <cell r="D3051">
            <v>43038</v>
          </cell>
        </row>
        <row r="3052">
          <cell r="A3052" t="str">
            <v>WBM-00904</v>
          </cell>
          <cell r="B3052" t="str">
            <v>עטרות</v>
          </cell>
          <cell r="C3052" t="str">
            <v>עטרות ניידות- פירוק 2 תחמ"ש ניידות</v>
          </cell>
          <cell r="D3052">
            <v>44164</v>
          </cell>
        </row>
        <row r="3053">
          <cell r="A3053" t="str">
            <v>WBM-00358</v>
          </cell>
          <cell r="B3053" t="str">
            <v>עטרות</v>
          </cell>
          <cell r="C3053" t="str">
            <v>עטרות-התקנת 5 ס"ק  36 ק"ו, 2*5 מגווא"ר</v>
          </cell>
          <cell r="D3053">
            <v>46507</v>
          </cell>
        </row>
        <row r="3054">
          <cell r="A3054" t="str">
            <v>WBM-00859</v>
          </cell>
          <cell r="B3054" t="str">
            <v>עטרות</v>
          </cell>
          <cell r="C3054" t="str">
            <v>עטרות -הוקפא- התקנת 4 סלילי כיבוי 36 ק"ו, 250 א', החלפת מגני ברקים של שנאים 531 , 532 , 533 , 534</v>
          </cell>
        </row>
        <row r="3055">
          <cell r="A3055" t="str">
            <v>WBM-40201</v>
          </cell>
          <cell r="B3055" t="str">
            <v>עטרות</v>
          </cell>
          <cell r="C3055" t="str">
            <v>עטרות- החל' ציוד בשד' 5,9,6,7-8,4,10 , פ"צ</v>
          </cell>
          <cell r="D3055">
            <v>46752</v>
          </cell>
        </row>
        <row r="3056">
          <cell r="A3056" t="str">
            <v>WBM-00525</v>
          </cell>
          <cell r="B3056" t="str">
            <v>עטרות</v>
          </cell>
          <cell r="C3056" t="str">
            <v>עטרות-בוטל-החלפת מגיני ברק מ"ג</v>
          </cell>
        </row>
        <row r="3057">
          <cell r="A3057" t="str">
            <v>WBM-40208</v>
          </cell>
          <cell r="B3057" t="str">
            <v>עטרות</v>
          </cell>
          <cell r="C3057" t="str">
            <v>עטרות- החל' ציוד מ"ג מפ"ז והגנות</v>
          </cell>
          <cell r="D3057">
            <v>46751</v>
          </cell>
        </row>
        <row r="3058">
          <cell r="A3058" t="str">
            <v>WBM-00799</v>
          </cell>
          <cell r="B3058" t="str">
            <v>עטרות</v>
          </cell>
          <cell r="C3058" t="str">
            <v>עטרות - הוספת הגנת מרחק שנייה בשדות 11 , 13</v>
          </cell>
          <cell r="D3058">
            <v>46752</v>
          </cell>
        </row>
        <row r="3059">
          <cell r="A3059" t="str">
            <v>WBM-01048</v>
          </cell>
          <cell r="B3059" t="str">
            <v>עטרות</v>
          </cell>
          <cell r="C3059" t="str">
            <v>עטרות - בוטל - החלפת מפסקים מ"ג</v>
          </cell>
          <cell r="D3059">
            <v>43861</v>
          </cell>
        </row>
        <row r="3060">
          <cell r="A3060" t="str">
            <v>WBM-10317</v>
          </cell>
          <cell r="B3060" t="str">
            <v>עטרות</v>
          </cell>
          <cell r="C3060" t="str">
            <v>עטרות-בוטל פירוק ציוד הצמדה בשדה 5</v>
          </cell>
        </row>
        <row r="3061">
          <cell r="A3061" t="str">
            <v>WBM-10170</v>
          </cell>
          <cell r="B3061" t="str">
            <v>עטרות</v>
          </cell>
          <cell r="C3061" t="str">
            <v>עטרות-משיק לתעשיה אדומים.הג.מ+דיפ+תק',ש5</v>
          </cell>
          <cell r="D3061">
            <v>44285</v>
          </cell>
        </row>
        <row r="3062">
          <cell r="A3062" t="str">
            <v>WBM-00872</v>
          </cell>
          <cell r="B3062" t="str">
            <v>עטרות</v>
          </cell>
          <cell r="C3062" t="str">
            <v>עטרות-שדה 9-התקנת הגנת מרחק שנייה</v>
          </cell>
          <cell r="D3062">
            <v>44084</v>
          </cell>
        </row>
        <row r="3063">
          <cell r="A3063" t="str">
            <v>WBM-01349</v>
          </cell>
          <cell r="B3063" t="str">
            <v>עטרות</v>
          </cell>
          <cell r="C3063" t="str">
            <v>עטרות - החלפת רכזת גילוי וכיבוי אש</v>
          </cell>
          <cell r="D3063">
            <v>44067</v>
          </cell>
        </row>
        <row r="3064">
          <cell r="A3064" t="str">
            <v>WBM-00091</v>
          </cell>
          <cell r="B3064" t="str">
            <v>עטרות</v>
          </cell>
          <cell r="C3064" t="str">
            <v>עטרות - התקנת מערכת טמ"ס</v>
          </cell>
          <cell r="D3064">
            <v>42997</v>
          </cell>
        </row>
        <row r="3065">
          <cell r="A3065" t="str">
            <v>WBM-00912</v>
          </cell>
          <cell r="B3065" t="str">
            <v>עטרות</v>
          </cell>
          <cell r="C3065" t="str">
            <v>עטרות -החלפת מפסקי זרם מ"ג בשדות מס' 210</v>
          </cell>
          <cell r="D3065">
            <v>42155</v>
          </cell>
        </row>
        <row r="3066">
          <cell r="A3066">
            <v>549811</v>
          </cell>
          <cell r="B3066" t="str">
            <v>עטרות</v>
          </cell>
          <cell r="C3066" t="str">
            <v>עטרות 2 ניידת-התקנת מערכת מניה בניידת</v>
          </cell>
          <cell r="D3066">
            <v>41912</v>
          </cell>
        </row>
        <row r="3067">
          <cell r="A3067">
            <v>548719</v>
          </cell>
          <cell r="B3067" t="str">
            <v>עטרות</v>
          </cell>
          <cell r="C3067" t="str">
            <v>עטרות-התקנת מערכת התראה ביטחונית</v>
          </cell>
          <cell r="D3067">
            <v>41728</v>
          </cell>
        </row>
        <row r="3068">
          <cell r="A3068" t="str">
            <v>WBG-081-013</v>
          </cell>
          <cell r="B3068" t="str">
            <v>עטרות</v>
          </cell>
          <cell r="C3068" t="str">
            <v>עטרות-התקנת הגנות פ"צ 161 ק"ו</v>
          </cell>
          <cell r="D3068">
            <v>41274</v>
          </cell>
        </row>
        <row r="3069">
          <cell r="A3069" t="str">
            <v>WBG-081-014</v>
          </cell>
          <cell r="B3069" t="str">
            <v>עטרות</v>
          </cell>
          <cell r="C3069" t="str">
            <v>עטרות-התקנת רושם הפרעות</v>
          </cell>
          <cell r="D3069">
            <v>41274</v>
          </cell>
        </row>
        <row r="3070">
          <cell r="A3070" t="str">
            <v>WBG-081-014-ST2</v>
          </cell>
          <cell r="B3070" t="str">
            <v>עטרות</v>
          </cell>
          <cell r="C3070" t="str">
            <v>עטרות-התקנת מערכת UPS ולוח חלוקה</v>
          </cell>
          <cell r="D3070">
            <v>41274</v>
          </cell>
        </row>
        <row r="3071">
          <cell r="A3071">
            <v>548727</v>
          </cell>
          <cell r="B3071" t="str">
            <v>עטרות</v>
          </cell>
          <cell r="C3071" t="str">
            <v>עטרות-התקנת מאווררים בארונות פיקוד</v>
          </cell>
          <cell r="D3071">
            <v>40311</v>
          </cell>
        </row>
        <row r="3072">
          <cell r="A3072" t="str">
            <v>WBM-00090</v>
          </cell>
          <cell r="B3072" t="str">
            <v>עטרות</v>
          </cell>
          <cell r="C3072" t="str">
            <v>עטרות-שולב-החלפת משנה מתח מ"ג פ"צ 1</v>
          </cell>
          <cell r="D3072">
            <v>41517</v>
          </cell>
        </row>
        <row r="3073">
          <cell r="A3073">
            <v>549810</v>
          </cell>
          <cell r="B3073" t="str">
            <v>עטרות</v>
          </cell>
          <cell r="C3073" t="str">
            <v>עטרות ניידת-התקנת מערכת מניה בניידת</v>
          </cell>
          <cell r="D3073">
            <v>41547</v>
          </cell>
        </row>
        <row r="3074">
          <cell r="A3074" t="str">
            <v>WBD-040</v>
          </cell>
          <cell r="B3074" t="str">
            <v>עטרות</v>
          </cell>
          <cell r="C3074" t="str">
            <v>עטרות 2 ניידת- הצבת תחמ"ש ניידת</v>
          </cell>
          <cell r="D3074">
            <v>42395</v>
          </cell>
        </row>
        <row r="3075">
          <cell r="A3075" t="str">
            <v>WBM-00366</v>
          </cell>
          <cell r="B3075" t="str">
            <v>עטרות</v>
          </cell>
          <cell r="C3075" t="str">
            <v>עטרות-בוטל-יישום הש.עומס לפי זרם בשדה 11</v>
          </cell>
          <cell r="D3075">
            <v>41467</v>
          </cell>
        </row>
        <row r="3076">
          <cell r="A3076" t="str">
            <v>WBE-193</v>
          </cell>
          <cell r="B3076" t="str">
            <v>עטרות</v>
          </cell>
          <cell r="C3076" t="str">
            <v>עטרות– התקנת שנאי חמישי 161/36 ק"ו</v>
          </cell>
          <cell r="D3076">
            <v>46234</v>
          </cell>
        </row>
        <row r="3077">
          <cell r="A3077" t="str">
            <v>WBM-40479-042</v>
          </cell>
          <cell r="B3077" t="str">
            <v>עטרות</v>
          </cell>
          <cell r="C3077" t="str">
            <v>עטרות- החלפת 2 בקרי טמפ' וגובה שמן בשנאי</v>
          </cell>
          <cell r="D3077">
            <v>46842</v>
          </cell>
        </row>
        <row r="3078">
          <cell r="A3078" t="str">
            <v>WBM-60092-039</v>
          </cell>
          <cell r="B3078" t="str">
            <v>עטרות</v>
          </cell>
          <cell r="C3078" t="str">
            <v>עטרות  -בדיקות/טיפול/פינוי מכלי אש בגז</v>
          </cell>
          <cell r="D3078">
            <v>46142</v>
          </cell>
        </row>
        <row r="3079">
          <cell r="A3079" t="str">
            <v>WBM-80002-005</v>
          </cell>
          <cell r="B3079" t="str">
            <v>עטרות</v>
          </cell>
          <cell r="C3079" t="str">
            <v>עטרות- הסבות</v>
          </cell>
          <cell r="D3079">
            <v>46172</v>
          </cell>
        </row>
        <row r="3080">
          <cell r="A3080" t="str">
            <v>WBM-10618</v>
          </cell>
          <cell r="B3080" t="str">
            <v>עטרות</v>
          </cell>
          <cell r="C3080" t="str">
            <v>עטרות– התאמת יכולת הציוד בשדות שנאים לז"ק 40 ק"א</v>
          </cell>
          <cell r="D3080">
            <v>46752</v>
          </cell>
        </row>
        <row r="3081">
          <cell r="A3081" t="str">
            <v>WBM-60130-006</v>
          </cell>
          <cell r="B3081" t="str">
            <v>עטרות</v>
          </cell>
          <cell r="C3081" t="str">
            <v>עטרות - התקנת מפסק פטריה להפסקת מערכת החשמל בחירום</v>
          </cell>
          <cell r="D3081">
            <v>46568</v>
          </cell>
        </row>
        <row r="3082">
          <cell r="A3082" t="str">
            <v>WBM-40295-076</v>
          </cell>
          <cell r="B3082" t="str">
            <v>עטרות</v>
          </cell>
          <cell r="C3082" t="str">
            <v>עטרות - החלפת סוללות מצברים</v>
          </cell>
          <cell r="D3082">
            <v>46386</v>
          </cell>
        </row>
        <row r="3083">
          <cell r="A3083" t="str">
            <v>WBM-10728</v>
          </cell>
          <cell r="B3083" t="str">
            <v>עטרות</v>
          </cell>
          <cell r="C3083" t="str">
            <v>עטרות- משיק שער הגיא ש 5, התקנת הגנה דיפרנציאלית  ויישום דרך קשר אופטית בשדה 11</v>
          </cell>
          <cell r="D3083">
            <v>46203</v>
          </cell>
        </row>
        <row r="3084">
          <cell r="A3084" t="str">
            <v>WBM-40637-009</v>
          </cell>
          <cell r="B3084" t="str">
            <v>עטרות</v>
          </cell>
          <cell r="C3084" t="str">
            <v>עטרות - החלפת רושמי הפרעות קיימים מדגם IDM-T3 לרושמים חדשים מדגם IDM+</v>
          </cell>
          <cell r="D3084">
            <v>46568</v>
          </cell>
        </row>
        <row r="3085">
          <cell r="A3085" t="str">
            <v>WBM-60131-030</v>
          </cell>
          <cell r="B3085" t="str">
            <v>עטרות</v>
          </cell>
          <cell r="C3085" t="str">
            <v>עטרות- בוטל - בדיקת אופיין מים</v>
          </cell>
        </row>
        <row r="3086">
          <cell r="A3086">
            <v>900001</v>
          </cell>
          <cell r="B3086" t="str">
            <v>עטרה</v>
          </cell>
          <cell r="C3086" t="str">
            <v>עטרה- הקמת תחמ"ש פרטית</v>
          </cell>
          <cell r="D3086">
            <v>46811</v>
          </cell>
        </row>
        <row r="3087">
          <cell r="A3087" t="str">
            <v>WBC-041</v>
          </cell>
          <cell r="B3087" t="str">
            <v>עזריאלי (חולון תעשיה)</v>
          </cell>
          <cell r="C3087" t="str">
            <v>עזריאלי -הוקפא - הקמת תחמ"ש פנימית 161/24 ק"ו</v>
          </cell>
        </row>
        <row r="3088">
          <cell r="A3088" t="str">
            <v>WBM-00725</v>
          </cell>
          <cell r="B3088" t="str">
            <v>עזריאלי (חולון תעשיה)</v>
          </cell>
          <cell r="C3088" t="str">
            <v>עזריאלי-בוטל-התקנת 2 ס"ק 5*2 מגווא"ר כ"א</v>
          </cell>
          <cell r="D3088">
            <v>41212</v>
          </cell>
        </row>
        <row r="3089">
          <cell r="A3089" t="str">
            <v>WBD-117</v>
          </cell>
          <cell r="B3089" t="str">
            <v>עזריאלי (חולון תעשיה)</v>
          </cell>
          <cell r="C3089" t="str">
            <v>עזריאלי ניידות- הצבת 2 תחמ"ש ניידות, 30 מגוו"א כ"א</v>
          </cell>
          <cell r="D3089">
            <v>46173</v>
          </cell>
        </row>
        <row r="3090">
          <cell r="A3090" t="str">
            <v>WBD-117-ST2</v>
          </cell>
          <cell r="B3090" t="str">
            <v>עזריאלי (חולון תעשיה)</v>
          </cell>
          <cell r="C3090" t="str">
            <v>עזריאלי ניידות- פירוק 2 תחמ"ש ניידות 30 מגוו"א כ"א</v>
          </cell>
          <cell r="D3090">
            <v>47572</v>
          </cell>
        </row>
        <row r="3091">
          <cell r="A3091">
            <v>900047</v>
          </cell>
          <cell r="B3091" t="str">
            <v>עדשים</v>
          </cell>
          <cell r="C3091" t="str">
            <v>עדשים – קליטת תח"כ בהספק של 89.99 מגוו"ט</v>
          </cell>
          <cell r="D3091">
            <v>47118</v>
          </cell>
        </row>
        <row r="3092">
          <cell r="A3092">
            <v>9915236</v>
          </cell>
          <cell r="B3092" t="str">
            <v>עדנית</v>
          </cell>
          <cell r="C3092" t="str">
            <v>עדנית-הוקפא - מ"ג-קליטת תח"כ בהספק 13 מגוו"ט-מ"ג</v>
          </cell>
        </row>
        <row r="3093">
          <cell r="A3093" t="str">
            <v>HIS-119</v>
          </cell>
          <cell r="B3093" t="str">
            <v>סתריה</v>
          </cell>
          <cell r="C3093" t="str">
            <v>סתריה</v>
          </cell>
          <cell r="D3093">
            <v>40908</v>
          </cell>
        </row>
        <row r="3094">
          <cell r="A3094" t="str">
            <v>WDB-04COM35</v>
          </cell>
          <cell r="B3094" t="str">
            <v>סתריה</v>
          </cell>
          <cell r="C3094" t="str">
            <v>סתריה-הנחת כבל סיב אופטי  מגזר-עתידי</v>
          </cell>
          <cell r="D3094">
            <v>43465</v>
          </cell>
        </row>
        <row r="3095">
          <cell r="A3095" t="str">
            <v>WBM-40157</v>
          </cell>
          <cell r="B3095" t="str">
            <v>סתריה</v>
          </cell>
          <cell r="C3095" t="str">
            <v>סתריה- מוקפא- שדרוג ציוד בשדות 7, 8, 9.</v>
          </cell>
        </row>
        <row r="3096">
          <cell r="A3096" t="str">
            <v>WBM-40180</v>
          </cell>
          <cell r="B3096" t="str">
            <v>סתריה</v>
          </cell>
          <cell r="C3096" t="str">
            <v>סתריה- מוקפא- שדרוג ציוד בשדות 4, 5, 6.</v>
          </cell>
        </row>
        <row r="3097">
          <cell r="A3097" t="str">
            <v>WBM-00523</v>
          </cell>
          <cell r="B3097" t="str">
            <v>סתריה</v>
          </cell>
          <cell r="C3097" t="str">
            <v>סתריה-הרחבת מערכת SCS  במסדר 161 ק"ו והחלפת רושם הפרעות</v>
          </cell>
          <cell r="D3097">
            <v>46386</v>
          </cell>
        </row>
        <row r="3098">
          <cell r="A3098" t="str">
            <v>WBM-40503</v>
          </cell>
          <cell r="B3098" t="str">
            <v>סתריה</v>
          </cell>
          <cell r="C3098" t="str">
            <v>סתריה – מוקפא-שדרוג ציוד בשדות 13, 12, ופסי צבירה</v>
          </cell>
        </row>
        <row r="3099">
          <cell r="A3099" t="str">
            <v>WBM-40158</v>
          </cell>
          <cell r="B3099" t="str">
            <v>סתריה</v>
          </cell>
          <cell r="C3099" t="str">
            <v>סתריה - התאמת שדות 15 ו-16  ליכולת ציוד 1440 א</v>
          </cell>
          <cell r="D3099">
            <v>46386</v>
          </cell>
        </row>
        <row r="3100">
          <cell r="A3100" t="str">
            <v>WBM-01202</v>
          </cell>
          <cell r="B3100" t="str">
            <v>סתריה</v>
          </cell>
          <cell r="C3100" t="str">
            <v>סתריה - שדרוג הגנות  מרחק בשדות 6</v>
          </cell>
          <cell r="D3100">
            <v>46190</v>
          </cell>
        </row>
        <row r="3101">
          <cell r="A3101" t="str">
            <v>WBM-00524</v>
          </cell>
          <cell r="B3101" t="str">
            <v>סתריה</v>
          </cell>
          <cell r="C3101" t="str">
            <v>סתריה-הוספת ווסתים והחלפת סלילי כיבוי ושנאי הארקה.</v>
          </cell>
          <cell r="D3101">
            <v>46387</v>
          </cell>
        </row>
        <row r="3102">
          <cell r="A3102" t="str">
            <v>WBM-40516</v>
          </cell>
          <cell r="B3102" t="str">
            <v>סתריה</v>
          </cell>
          <cell r="C3102" t="str">
            <v>סתריה- שדרוג שדות שנאים להתאמת הציוד לזרם קצר</v>
          </cell>
          <cell r="D3102">
            <v>46752</v>
          </cell>
        </row>
        <row r="3103">
          <cell r="A3103" t="str">
            <v>WBM-40294</v>
          </cell>
          <cell r="B3103" t="str">
            <v>סתריה</v>
          </cell>
          <cell r="C3103" t="str">
            <v>סתריה - החלפת הגנה להפרשית בשדה 5</v>
          </cell>
          <cell r="D3103">
            <v>45231</v>
          </cell>
        </row>
        <row r="3104">
          <cell r="A3104" t="str">
            <v>WBM-10172</v>
          </cell>
          <cell r="B3104" t="str">
            <v>סתריה</v>
          </cell>
          <cell r="C3104" t="str">
            <v>סתריה -משיק לנס ציונה.ה.לדיפ.+תק.(ש 8,9)</v>
          </cell>
          <cell r="D3104">
            <v>45127</v>
          </cell>
        </row>
        <row r="3105">
          <cell r="A3105" t="str">
            <v>WBM-10034</v>
          </cell>
          <cell r="B3105" t="str">
            <v>סתריה</v>
          </cell>
          <cell r="C3105" t="str">
            <v>סתריה - החלפת שרשראות מבודדים</v>
          </cell>
          <cell r="D3105">
            <v>44195</v>
          </cell>
        </row>
        <row r="3106">
          <cell r="A3106" t="str">
            <v>0247553</v>
          </cell>
          <cell r="B3106" t="str">
            <v>סתריה</v>
          </cell>
          <cell r="C3106" t="str">
            <v>uoe6a - סתריה החלפת גשרי דיודות</v>
          </cell>
          <cell r="D3106">
            <v>43768</v>
          </cell>
        </row>
        <row r="3107">
          <cell r="A3107" t="str">
            <v>WBM-01145</v>
          </cell>
          <cell r="B3107" t="str">
            <v>סתריה</v>
          </cell>
          <cell r="C3107" t="str">
            <v>סתריה - התאמת תקשורת בין הגנות לגן שורק</v>
          </cell>
          <cell r="D3107">
            <v>42828</v>
          </cell>
        </row>
        <row r="3108">
          <cell r="A3108" t="str">
            <v>WBM-00089</v>
          </cell>
          <cell r="B3108" t="str">
            <v>סתריה</v>
          </cell>
          <cell r="C3108" t="str">
            <v>סתריה-הוספת 2 ממרים 220/60 וולט</v>
          </cell>
          <cell r="D3108">
            <v>42586</v>
          </cell>
        </row>
        <row r="3109">
          <cell r="A3109" t="str">
            <v>WBM-00742</v>
          </cell>
          <cell r="B3109" t="str">
            <v>סתריה</v>
          </cell>
          <cell r="C3109" t="str">
            <v>סתריה-התקנת ציוד קשר  לכפר אוריה</v>
          </cell>
          <cell r="D3109">
            <v>41835</v>
          </cell>
        </row>
        <row r="3110">
          <cell r="A3110" t="str">
            <v>WBM-00709</v>
          </cell>
          <cell r="B3110" t="str">
            <v>סתריה</v>
          </cell>
          <cell r="C3110" t="str">
            <v>סתריה-התאמת מערכת גילוי אש לנוהל מכ"ר</v>
          </cell>
          <cell r="D3110">
            <v>41835</v>
          </cell>
        </row>
        <row r="3111">
          <cell r="A3111" t="str">
            <v>WBG-080-023</v>
          </cell>
          <cell r="B3111" t="str">
            <v>סתריה</v>
          </cell>
          <cell r="C3111" t="str">
            <v>סתריה- התקנת שתי דרכי תקשורת בין הגנות</v>
          </cell>
          <cell r="D3111">
            <v>41577</v>
          </cell>
        </row>
        <row r="3112">
          <cell r="A3112">
            <v>532731</v>
          </cell>
          <cell r="B3112" t="str">
            <v>סתריה</v>
          </cell>
          <cell r="C3112" t="str">
            <v>סתריה - התקנת מערכת טמ"ס</v>
          </cell>
          <cell r="D3112">
            <v>41517</v>
          </cell>
        </row>
        <row r="3113">
          <cell r="A3113" t="str">
            <v>WBG-080-020</v>
          </cell>
          <cell r="B3113" t="str">
            <v>סתריה</v>
          </cell>
          <cell r="C3113" t="str">
            <v>סתריה-הקמת רשת מחשבים תפעולית</v>
          </cell>
          <cell r="D3113">
            <v>40979</v>
          </cell>
        </row>
        <row r="3114">
          <cell r="A3114" t="str">
            <v>WBM-60080</v>
          </cell>
          <cell r="B3114" t="str">
            <v>סתריה</v>
          </cell>
          <cell r="C3114" t="str">
            <v>סתריה - בוטל-מאצרת שמן למסדרי אפס</v>
          </cell>
          <cell r="D3114">
            <v>44148</v>
          </cell>
        </row>
        <row r="3115">
          <cell r="A3115" t="str">
            <v>WBM-60024</v>
          </cell>
          <cell r="B3115" t="str">
            <v>סתריה</v>
          </cell>
          <cell r="C3115" t="str">
            <v>סתריה -בוטל- בניית תשתית לאיסוף שפכים</v>
          </cell>
          <cell r="D3115">
            <v>43789</v>
          </cell>
        </row>
        <row r="3116">
          <cell r="A3116">
            <v>532733</v>
          </cell>
          <cell r="B3116" t="str">
            <v>סתריה</v>
          </cell>
          <cell r="C3116" t="str">
            <v>סתריה-שדרוג ציוד הצמדה</v>
          </cell>
          <cell r="D3116">
            <v>36164</v>
          </cell>
        </row>
        <row r="3117">
          <cell r="A3117">
            <v>532734</v>
          </cell>
          <cell r="B3117" t="str">
            <v>סתריה</v>
          </cell>
          <cell r="C3117" t="str">
            <v>סתריה-החלפת גשרי דיודות</v>
          </cell>
          <cell r="D3117">
            <v>41820</v>
          </cell>
        </row>
        <row r="3118">
          <cell r="A3118">
            <v>532723</v>
          </cell>
          <cell r="B3118" t="str">
            <v>סתריה</v>
          </cell>
          <cell r="C3118" t="str">
            <v>סתריה-החלפת מערכת התראה בטחונית</v>
          </cell>
          <cell r="D3118">
            <v>39751</v>
          </cell>
        </row>
        <row r="3119">
          <cell r="A3119">
            <v>532730</v>
          </cell>
          <cell r="B3119" t="str">
            <v>סתריה</v>
          </cell>
          <cell r="C3119" t="str">
            <v>סתריה-התקנת מאווררים בארונות פיקוד</v>
          </cell>
          <cell r="D3119">
            <v>40311</v>
          </cell>
        </row>
        <row r="3120">
          <cell r="A3120" t="str">
            <v>WBG-080-010</v>
          </cell>
          <cell r="B3120" t="str">
            <v>סתריה</v>
          </cell>
          <cell r="C3120" t="str">
            <v>סתריה-התקנת יחידת ממסר מהיר במקשר 161</v>
          </cell>
          <cell r="D3120">
            <v>37802</v>
          </cell>
        </row>
        <row r="3121">
          <cell r="A3121" t="str">
            <v>WBM-10489</v>
          </cell>
          <cell r="B3121" t="str">
            <v>סתריה</v>
          </cell>
          <cell r="C3121" t="str">
            <v>סתריה-התקנת הגנות ודרכי קשר בשדה 7 (משיק לקרית משה)</v>
          </cell>
          <cell r="D3121">
            <v>45808</v>
          </cell>
        </row>
        <row r="3122">
          <cell r="A3122" t="str">
            <v>WBM-10569</v>
          </cell>
          <cell r="B3122" t="str">
            <v>סתריה</v>
          </cell>
          <cell r="C3122" t="str">
            <v>סתריה - משיק לתחמ"ש קרית משה שדה 1, יישום דרך קשר אופטית בין הגנות בשדה 7</v>
          </cell>
          <cell r="D3122">
            <v>45644</v>
          </cell>
        </row>
        <row r="3123">
          <cell r="A3123" t="str">
            <v>WBM-01193-001</v>
          </cell>
          <cell r="B3123" t="str">
            <v>סתריה</v>
          </cell>
          <cell r="C3123" t="str">
            <v>סתריה - החלפת טבעת 310 ל- RAD</v>
          </cell>
          <cell r="D3123">
            <v>46568</v>
          </cell>
        </row>
        <row r="3124">
          <cell r="A3124" t="str">
            <v>WBM-10315-032</v>
          </cell>
          <cell r="B3124" t="str">
            <v>סתריה</v>
          </cell>
          <cell r="C3124" t="str">
            <v>סתריה - התקנת מזגנים</v>
          </cell>
          <cell r="D3124">
            <v>45621</v>
          </cell>
        </row>
        <row r="3125">
          <cell r="A3125" t="str">
            <v>WBM-40479-057</v>
          </cell>
          <cell r="B3125" t="str">
            <v>סתריה</v>
          </cell>
          <cell r="C3125" t="str">
            <v>סתריה- החלפת בקר טמפ' וגובה שמן בשנאי</v>
          </cell>
          <cell r="D3125">
            <v>47664</v>
          </cell>
        </row>
        <row r="3126">
          <cell r="A3126" t="str">
            <v>WBM-60088-019</v>
          </cell>
          <cell r="B3126" t="str">
            <v>סתריה</v>
          </cell>
          <cell r="C3126" t="str">
            <v>סתריה - מאצרה למסדר האפס של שנאי 522</v>
          </cell>
          <cell r="D3126">
            <v>46190</v>
          </cell>
        </row>
        <row r="3127">
          <cell r="A3127" t="str">
            <v>WBM-60088-036</v>
          </cell>
          <cell r="B3127" t="str">
            <v>סתריה</v>
          </cell>
          <cell r="C3127" t="str">
            <v>סתריה - התקנת תשתית ביוב</v>
          </cell>
          <cell r="D3127">
            <v>45691</v>
          </cell>
        </row>
        <row r="3128">
          <cell r="A3128" t="str">
            <v>WBM-60130-076</v>
          </cell>
          <cell r="B3128" t="str">
            <v>סתריה</v>
          </cell>
          <cell r="C3128" t="str">
            <v>סתריה - התקנת מפסק פטריה להפסקת מערכת החשמל בחירום</v>
          </cell>
          <cell r="D3128">
            <v>46568</v>
          </cell>
        </row>
        <row r="3129">
          <cell r="A3129" t="str">
            <v>WBM-10623</v>
          </cell>
          <cell r="B3129" t="str">
            <v>סתריה</v>
          </cell>
          <cell r="C3129" t="str">
            <v>סתריה-הוספת הגנת פ"צ שנייה</v>
          </cell>
          <cell r="D3129">
            <v>46752</v>
          </cell>
        </row>
        <row r="3130">
          <cell r="A3130" t="str">
            <v>WBM-40625</v>
          </cell>
          <cell r="B3130" t="str">
            <v>סתריה</v>
          </cell>
          <cell r="C3130" t="str">
            <v>סתריה-החלפת מסדרי מ"ג מסוג BEU3, פ"צ 1+2 של שנאים 521, 522.</v>
          </cell>
          <cell r="D3130">
            <v>46752</v>
          </cell>
        </row>
        <row r="3131">
          <cell r="A3131" t="str">
            <v>WBM-40624</v>
          </cell>
          <cell r="B3131" t="str">
            <v>סתריה</v>
          </cell>
          <cell r="C3131" t="str">
            <v>סתריה - החלפת מסדרי מ"ג מסוג BEU3, פ"צ 4+3 של שנאים 523, 524.</v>
          </cell>
          <cell r="D3131">
            <v>47118</v>
          </cell>
        </row>
        <row r="3132">
          <cell r="A3132" t="str">
            <v>WBM-00350-057</v>
          </cell>
          <cell r="B3132" t="str">
            <v>סתריה</v>
          </cell>
          <cell r="C3132" t="str">
            <v>סתריה- החלפת ממסר GE T60 של שנאי 522</v>
          </cell>
          <cell r="D3132">
            <v>46022</v>
          </cell>
        </row>
        <row r="3133">
          <cell r="A3133" t="str">
            <v>WBM-10673</v>
          </cell>
          <cell r="B3133" t="str">
            <v>סתריה</v>
          </cell>
          <cell r="C3133" t="str">
            <v>סתריה- שדה 4, משיק לכפר אוריה שדה 5. פרוק ממסרים . התקנת הגנת מרחק ממכרז חדש. יישום דרך קשר אופטית בין הגנות</v>
          </cell>
          <cell r="D3133">
            <v>46356</v>
          </cell>
        </row>
        <row r="3134">
          <cell r="A3134" t="str">
            <v>WBM-10674</v>
          </cell>
          <cell r="B3134" t="str">
            <v>סתריה</v>
          </cell>
          <cell r="C3134" t="str">
            <v>סתריה- שדה 4, משיק לכפר אוריה שדה 5. פרוק ממסר LZ31. התקנת הגנת מרחק ממכרז חדש. יישום דרך קשר אופטית בין הגנות</v>
          </cell>
          <cell r="D3134">
            <v>46326</v>
          </cell>
        </row>
        <row r="3135">
          <cell r="A3135" t="str">
            <v>WBM-60205-013</v>
          </cell>
          <cell r="B3135" t="str">
            <v>סתריה</v>
          </cell>
          <cell r="C3135" t="str">
            <v>סתריה - ניטור הצפות</v>
          </cell>
          <cell r="D3135">
            <v>46175</v>
          </cell>
        </row>
        <row r="3136">
          <cell r="A3136" t="str">
            <v>WBM-10734</v>
          </cell>
          <cell r="B3136" t="str">
            <v>סתריה</v>
          </cell>
          <cell r="C3136" t="str">
            <v>סתריה- משיק להר טוב שדה 9, יישום דרך קשר אופטית בין הגנות בשדה 5</v>
          </cell>
          <cell r="D3136">
            <v>46021</v>
          </cell>
        </row>
        <row r="3137">
          <cell r="A3137" t="str">
            <v>WBM-10793</v>
          </cell>
          <cell r="B3137" t="str">
            <v>סתריה</v>
          </cell>
          <cell r="C3137" t="str">
            <v>סתריה- משיק לרחובות צפון שדה 5, יישום דרך קשר אופטית בין הגנות בשדה 8</v>
          </cell>
          <cell r="D3137">
            <v>46326</v>
          </cell>
        </row>
        <row r="3138">
          <cell r="A3138" t="str">
            <v>WBD-099</v>
          </cell>
          <cell r="B3138" t="str">
            <v>ספיר ניידת</v>
          </cell>
          <cell r="C3138" t="str">
            <v>ספיר ניידת- הצבת 2 תחמ"ש ניידות, 30 מגוו"א כ"א</v>
          </cell>
          <cell r="D3138">
            <v>46537</v>
          </cell>
        </row>
        <row r="3139">
          <cell r="A3139" t="str">
            <v>WBD-099-ST2</v>
          </cell>
          <cell r="B3139" t="str">
            <v>ספיר ניידת</v>
          </cell>
          <cell r="C3139" t="str">
            <v>ספיר ניידת-פירוק תחמ"ש ניידות</v>
          </cell>
          <cell r="D3139">
            <v>47938</v>
          </cell>
        </row>
        <row r="3140">
          <cell r="A3140" t="str">
            <v>WBC-218</v>
          </cell>
          <cell r="B3140" t="str">
            <v>ספיר</v>
          </cell>
          <cell r="C3140" t="str">
            <v>ספיר-הקמת תחמ"ש חיצונית 161/36 ק"ו</v>
          </cell>
          <cell r="D3140">
            <v>47848</v>
          </cell>
        </row>
        <row r="3141">
          <cell r="A3141" t="str">
            <v>WBC-084</v>
          </cell>
          <cell r="B3141" t="str">
            <v>סירקין</v>
          </cell>
          <cell r="C3141" t="str">
            <v>סירקין- הקמת תחמ"ש פנימית  161/24 ק"ו</v>
          </cell>
          <cell r="D3141">
            <v>47786</v>
          </cell>
        </row>
        <row r="3142">
          <cell r="A3142" t="str">
            <v>WBE-082</v>
          </cell>
          <cell r="B3142" t="str">
            <v>סולאד</v>
          </cell>
          <cell r="C3142" t="str">
            <v>סולאד-בוטל-הרחבת מסדר  161 ק"ו</v>
          </cell>
          <cell r="D3142">
            <v>41390</v>
          </cell>
        </row>
        <row r="3143">
          <cell r="A3143">
            <v>9915001</v>
          </cell>
          <cell r="B3143" t="str">
            <v>סוגת</v>
          </cell>
          <cell r="C3143" t="str">
            <v>סוגת-קליטת תח"כ בהספק של 74 מגוו"ט</v>
          </cell>
          <cell r="D3143">
            <v>43611</v>
          </cell>
        </row>
        <row r="3144">
          <cell r="A3144" t="str">
            <v>WBM-10278</v>
          </cell>
          <cell r="B3144" t="str">
            <v>סוגת</v>
          </cell>
          <cell r="C3144" t="str">
            <v>סוגת -התא' תיילים-מהדקים-פורטליםWBO-525 וWBO-682</v>
          </cell>
          <cell r="D3144">
            <v>46387</v>
          </cell>
        </row>
        <row r="3145">
          <cell r="A3145" t="str">
            <v>HIS-180</v>
          </cell>
          <cell r="B3145" t="str">
            <v>סדום צפון-פרטית</v>
          </cell>
          <cell r="C3145" t="str">
            <v>סדום צפון-פרטית</v>
          </cell>
          <cell r="D3145">
            <v>40908</v>
          </cell>
        </row>
        <row r="3146">
          <cell r="A3146" t="str">
            <v>WBM-01402</v>
          </cell>
          <cell r="B3146" t="str">
            <v>סדום צפון-פרטית</v>
          </cell>
          <cell r="C3146" t="str">
            <v>סדום צפון - פירוק ציוד</v>
          </cell>
          <cell r="D3146">
            <v>43797</v>
          </cell>
        </row>
        <row r="3147">
          <cell r="A3147" t="str">
            <v>HIS-118</v>
          </cell>
          <cell r="B3147" t="str">
            <v>סדום צפון</v>
          </cell>
          <cell r="C3147" t="str">
            <v>סדום צפון</v>
          </cell>
          <cell r="D3147">
            <v>40908</v>
          </cell>
        </row>
        <row r="3148">
          <cell r="A3148" t="str">
            <v>WBE-240</v>
          </cell>
          <cell r="B3148" t="str">
            <v>סדום צפון</v>
          </cell>
          <cell r="C3148" t="str">
            <v>סדום צפון-הקמת שדה לצורך קליטת קו מפארן</v>
          </cell>
          <cell r="D3148">
            <v>46387</v>
          </cell>
        </row>
        <row r="3149">
          <cell r="A3149" t="str">
            <v>WBE-114</v>
          </cell>
          <cell r="B3149" t="str">
            <v>סדום צפון</v>
          </cell>
          <cell r="C3149" t="str">
            <v>סדום צפון-החלפת שנאי  ל-50 מגוו"א והתאמת יציאות מ"ג</v>
          </cell>
          <cell r="D3149">
            <v>46071</v>
          </cell>
        </row>
        <row r="3150">
          <cell r="A3150" t="str">
            <v>WDB-04COM34</v>
          </cell>
          <cell r="B3150" t="str">
            <v>סדום צפון</v>
          </cell>
          <cell r="C3150" t="str">
            <v>סדום צפון-הנחת כבל סיב אופטי מכיוון מצדה</v>
          </cell>
          <cell r="D3150">
            <v>43464</v>
          </cell>
        </row>
        <row r="3151">
          <cell r="A3151" t="str">
            <v>WBM-00856</v>
          </cell>
          <cell r="B3151" t="str">
            <v>סדום צפון</v>
          </cell>
          <cell r="C3151" t="str">
            <v>סדום צפון-החלפת ס.כיבוי 36 ק"ו, 535</v>
          </cell>
          <cell r="D3151">
            <v>44314</v>
          </cell>
        </row>
        <row r="3152">
          <cell r="A3152" t="str">
            <v>WBM-40305</v>
          </cell>
          <cell r="B3152" t="str">
            <v>סדום צפון</v>
          </cell>
          <cell r="C3152" t="str">
            <v>סדום צפון-התא.שדות (3)לכורנוב ו (8) לסדו</v>
          </cell>
          <cell r="D3152">
            <v>46203</v>
          </cell>
        </row>
        <row r="3153">
          <cell r="A3153" t="str">
            <v>WBM-10148</v>
          </cell>
          <cell r="B3153" t="str">
            <v>סדום צפון</v>
          </cell>
          <cell r="C3153" t="str">
            <v>סדום צפון - התקנת מתמרים ב-1 פ"צ</v>
          </cell>
          <cell r="D3153">
            <v>46386</v>
          </cell>
        </row>
        <row r="3154">
          <cell r="A3154" t="str">
            <v>0243356</v>
          </cell>
          <cell r="B3154" t="str">
            <v>סדום צפון</v>
          </cell>
          <cell r="C3154" t="str">
            <v>uoe6a - סדום דרום-רושם הפרעות</v>
          </cell>
          <cell r="D3154">
            <v>44864</v>
          </cell>
        </row>
        <row r="3155">
          <cell r="A3155" t="str">
            <v>WBM-01138</v>
          </cell>
          <cell r="B3155" t="str">
            <v>סדום צפון</v>
          </cell>
          <cell r="C3155" t="str">
            <v>סדום צפון- החלפת ציוד ויסודות בשדות 1-4</v>
          </cell>
          <cell r="D3155">
            <v>43620</v>
          </cell>
        </row>
        <row r="3156">
          <cell r="A3156" t="str">
            <v>WBM-30006</v>
          </cell>
          <cell r="B3156" t="str">
            <v>סדום צפון</v>
          </cell>
          <cell r="C3156" t="str">
            <v>סדום צפון-בוטל-גדר אלקטקרונית(ביטחון)</v>
          </cell>
          <cell r="D3156">
            <v>43094</v>
          </cell>
        </row>
        <row r="3157">
          <cell r="A3157" t="str">
            <v>WBG-079-013</v>
          </cell>
          <cell r="B3157" t="str">
            <v>סדום צפון</v>
          </cell>
          <cell r="C3157" t="str">
            <v>סדום צפון-התקנת תקשורת מנהלתית</v>
          </cell>
          <cell r="D3157">
            <v>39141</v>
          </cell>
        </row>
        <row r="3158">
          <cell r="A3158">
            <v>534813</v>
          </cell>
          <cell r="B3158" t="str">
            <v>סדום צפון</v>
          </cell>
          <cell r="C3158" t="str">
            <v>סדום צפון-צביעת כבלים בצבע מעכב אש</v>
          </cell>
          <cell r="D3158">
            <v>39994</v>
          </cell>
        </row>
        <row r="3159">
          <cell r="A3159">
            <v>534814</v>
          </cell>
          <cell r="B3159" t="str">
            <v>סדום צפון</v>
          </cell>
          <cell r="C3159" t="str">
            <v>סדום צפון-התקנת מערכת התראה ביטחונית</v>
          </cell>
          <cell r="D3159">
            <v>39872</v>
          </cell>
        </row>
        <row r="3160">
          <cell r="A3160" t="str">
            <v>WBG-079-007</v>
          </cell>
          <cell r="B3160" t="str">
            <v>סדום צפון</v>
          </cell>
          <cell r="C3160" t="str">
            <v>סדום צפון-השלמת רושם הפרעות</v>
          </cell>
          <cell r="D3160">
            <v>39263</v>
          </cell>
        </row>
        <row r="3161">
          <cell r="A3161" t="str">
            <v>WBM-00335</v>
          </cell>
          <cell r="B3161" t="str">
            <v>סדום צפון</v>
          </cell>
          <cell r="C3161" t="str">
            <v>סדום צפון-בוטל-הח.מערכת גילוי וכיבוי אש</v>
          </cell>
          <cell r="D3161">
            <v>41249</v>
          </cell>
        </row>
        <row r="3162">
          <cell r="A3162" t="str">
            <v>WBG-079-012</v>
          </cell>
          <cell r="B3162" t="str">
            <v>סדום צפון</v>
          </cell>
          <cell r="C3162" t="str">
            <v>סדום צפון-הקמת רשת מחשבים תפעולית</v>
          </cell>
          <cell r="D3162">
            <v>41273</v>
          </cell>
        </row>
        <row r="3163">
          <cell r="A3163" t="str">
            <v>WBD-045</v>
          </cell>
          <cell r="B3163" t="str">
            <v>סדום צפון</v>
          </cell>
          <cell r="C3163" t="str">
            <v>סדום צפון ניידת-פירוק תחמ"ש ניידת.</v>
          </cell>
          <cell r="D3163">
            <v>42916</v>
          </cell>
        </row>
        <row r="3164">
          <cell r="A3164" t="str">
            <v>WBD-045-ST2</v>
          </cell>
          <cell r="B3164" t="str">
            <v>סדום צפון</v>
          </cell>
          <cell r="C3164" t="str">
            <v>סדום צפון ניידת-הצבת תחמ"ש ניידת</v>
          </cell>
          <cell r="D3164">
            <v>40924</v>
          </cell>
        </row>
        <row r="3165">
          <cell r="A3165" t="str">
            <v>WBE-037</v>
          </cell>
          <cell r="B3165" t="str">
            <v>סדום צפון</v>
          </cell>
          <cell r="C3165" t="str">
            <v>סדום צפון-הרחבת מסדר 161 ק"ו</v>
          </cell>
          <cell r="D3165">
            <v>42809</v>
          </cell>
        </row>
        <row r="3166">
          <cell r="A3166" t="str">
            <v>WBM-01449</v>
          </cell>
          <cell r="B3166" t="str">
            <v>סדום צפון</v>
          </cell>
          <cell r="C3166" t="str">
            <v>סדום צפון- הקמת צומת גישה לתחמ"ש</v>
          </cell>
          <cell r="D3166">
            <v>46326</v>
          </cell>
        </row>
        <row r="3167">
          <cell r="A3167" t="str">
            <v>WBM-10504</v>
          </cell>
          <cell r="B3167" t="str">
            <v>סדום צפון</v>
          </cell>
          <cell r="C3167" t="str">
            <v>סדום צפון - משיק לתחמ"ש סדום דרום שדה 1, יישום 2 דרכי קשר בין הגנות בשדה 8</v>
          </cell>
          <cell r="D3167">
            <v>46203</v>
          </cell>
        </row>
        <row r="3168">
          <cell r="A3168" t="str">
            <v>WBM-00885-052</v>
          </cell>
          <cell r="B3168" t="str">
            <v>סדום צפון</v>
          </cell>
          <cell r="C3168" t="str">
            <v>סדום צפון - שדרוג איכות המים בתחמ"ש</v>
          </cell>
          <cell r="D3168">
            <v>46387</v>
          </cell>
        </row>
        <row r="3169">
          <cell r="A3169" t="str">
            <v>WBM-00885-071</v>
          </cell>
          <cell r="B3169" t="str">
            <v>סדום צפון</v>
          </cell>
          <cell r="C3169" t="str">
            <v>סדום צפון - הוספת מיכל ומשאבה התאמת התחנ</v>
          </cell>
          <cell r="D3169">
            <v>46752</v>
          </cell>
        </row>
        <row r="3170">
          <cell r="A3170" t="str">
            <v>WBM-10315-042</v>
          </cell>
          <cell r="B3170" t="str">
            <v>סדום צפון</v>
          </cell>
          <cell r="C3170" t="str">
            <v>סדום צפון-התקנת מזגנים</v>
          </cell>
          <cell r="D3170">
            <v>46021</v>
          </cell>
        </row>
        <row r="3171">
          <cell r="A3171" t="str">
            <v>WBM-10315-053</v>
          </cell>
          <cell r="B3171" t="str">
            <v>סדום צפון</v>
          </cell>
          <cell r="C3171" t="str">
            <v>סדום צפון- בוטל-התקנת מזגנים</v>
          </cell>
        </row>
        <row r="3172">
          <cell r="A3172" t="str">
            <v>WBM-40295-071</v>
          </cell>
          <cell r="B3172" t="str">
            <v>סדום צפון</v>
          </cell>
          <cell r="C3172" t="str">
            <v>סדום צפון - פקקי רקומבינציה עבור סוללות</v>
          </cell>
          <cell r="D3172">
            <v>45474</v>
          </cell>
        </row>
        <row r="3173">
          <cell r="A3173" t="str">
            <v>WBM-60008-093</v>
          </cell>
          <cell r="B3173" t="str">
            <v>סדום צפון</v>
          </cell>
          <cell r="C3173" t="str">
            <v>סדום - התקנת מערכת מיגון בתחמש</v>
          </cell>
          <cell r="D3173">
            <v>46387</v>
          </cell>
        </row>
        <row r="3174">
          <cell r="A3174" t="str">
            <v>WBM-40613</v>
          </cell>
          <cell r="B3174" t="str">
            <v>סדום צפון</v>
          </cell>
          <cell r="C3174" t="str">
            <v>סדום צפון- התאמת מסדר מ"ג והחלפת הגנות</v>
          </cell>
          <cell r="D3174">
            <v>46356</v>
          </cell>
        </row>
        <row r="3175">
          <cell r="A3175" t="str">
            <v>WBM-10636</v>
          </cell>
          <cell r="B3175" t="str">
            <v>סדום צפון</v>
          </cell>
          <cell r="C3175" t="str">
            <v>סדום צפון- התאמת תיילים - מהדקים - פורטל WBO-819</v>
          </cell>
          <cell r="D3175">
            <v>47483</v>
          </cell>
        </row>
        <row r="3176">
          <cell r="A3176" t="str">
            <v>WBM-10637</v>
          </cell>
          <cell r="B3176" t="str">
            <v>סדום צפון</v>
          </cell>
          <cell r="C3176" t="str">
            <v>סדום צפון- התאמת תיילים - מהדקים - פורטל WBO-813</v>
          </cell>
          <cell r="D3176">
            <v>47118</v>
          </cell>
        </row>
        <row r="3177">
          <cell r="A3177" t="str">
            <v>WBM-60205-025</v>
          </cell>
          <cell r="B3177" t="str">
            <v>סדום צפון</v>
          </cell>
          <cell r="C3177" t="str">
            <v>סדום צפון - ניטור הצפות</v>
          </cell>
          <cell r="D3177">
            <v>46175</v>
          </cell>
        </row>
        <row r="3178">
          <cell r="A3178" t="str">
            <v>HIS-179</v>
          </cell>
          <cell r="B3178" t="str">
            <v>סדום דרום-פרטית</v>
          </cell>
          <cell r="C3178" t="str">
            <v>סדום דרום-פרטית</v>
          </cell>
          <cell r="D3178">
            <v>40908</v>
          </cell>
        </row>
        <row r="3179">
          <cell r="A3179" t="str">
            <v>WBM-40307</v>
          </cell>
          <cell r="B3179" t="str">
            <v>סדום דרום-פרטית</v>
          </cell>
          <cell r="C3179" t="str">
            <v>סדום דרום-התאמת שדה (5) לסדום צפון</v>
          </cell>
          <cell r="D3179">
            <v>46387</v>
          </cell>
        </row>
        <row r="3180">
          <cell r="A3180" t="str">
            <v>WBM-00895</v>
          </cell>
          <cell r="B3180" t="str">
            <v>סדום דרום-פרטית</v>
          </cell>
          <cell r="C3180" t="str">
            <v>סדום דרום-הרחבת פ"צ 1 והקמת שדה קו 161 ק"ו בתחמ"ש הפרטית</v>
          </cell>
          <cell r="D3180">
            <v>46325</v>
          </cell>
        </row>
        <row r="3181">
          <cell r="A3181" t="str">
            <v>WBG-166-002</v>
          </cell>
          <cell r="B3181" t="str">
            <v>סדום דרום-פרטית</v>
          </cell>
          <cell r="C3181" t="str">
            <v>סדום דרום פרטית-התקנת תקשורת מנהלתית</v>
          </cell>
          <cell r="D3181">
            <v>41455</v>
          </cell>
        </row>
        <row r="3182">
          <cell r="A3182">
            <v>537001</v>
          </cell>
          <cell r="B3182" t="str">
            <v>סדום דרום-פרטית</v>
          </cell>
          <cell r="C3182" t="str">
            <v>סדום דרום פרטית-התקנת ארון ז"י 48 וולט</v>
          </cell>
          <cell r="D3182">
            <v>36164</v>
          </cell>
        </row>
        <row r="3183">
          <cell r="A3183">
            <v>367003</v>
          </cell>
          <cell r="B3183" t="str">
            <v>סדום דרום-פרטית</v>
          </cell>
          <cell r="C3183" t="str">
            <v>סדום דרום-הקמת שדה 161 ק"ו בתחמ"ש הפרטית</v>
          </cell>
          <cell r="D3183">
            <v>41500</v>
          </cell>
        </row>
        <row r="3184">
          <cell r="A3184" t="str">
            <v>WBM-40524</v>
          </cell>
          <cell r="B3184" t="str">
            <v>סדום דרום-פרטית</v>
          </cell>
          <cell r="C3184" t="str">
            <v>סדום דרום-בוטל-התאמת שדה 1 לרותם</v>
          </cell>
        </row>
        <row r="3185">
          <cell r="A3185" t="str">
            <v>WBM-10503</v>
          </cell>
          <cell r="B3185" t="str">
            <v>סדום דרום-פרטית</v>
          </cell>
          <cell r="C3185" t="str">
            <v>סדום דרום -משיק לתחמ"ש סדום צפון שדה 8, יישום 2 דרכי קשר בין הגנות בשדה 1</v>
          </cell>
          <cell r="D3185">
            <v>46203</v>
          </cell>
        </row>
        <row r="3186">
          <cell r="A3186" t="str">
            <v>WBM-10315-054</v>
          </cell>
          <cell r="B3186" t="str">
            <v>סדום דרום-פרטית</v>
          </cell>
          <cell r="C3186" t="str">
            <v>סדום דרום- התקנת מזגנים</v>
          </cell>
          <cell r="D3186">
            <v>46021</v>
          </cell>
        </row>
        <row r="3187">
          <cell r="A3187" t="str">
            <v>WBM-80014-015</v>
          </cell>
          <cell r="B3187" t="str">
            <v>סדום דרום-פרטית</v>
          </cell>
          <cell r="C3187" t="str">
            <v>סדום דרום - שדרוג SCS</v>
          </cell>
          <cell r="D3187">
            <v>45510</v>
          </cell>
        </row>
        <row r="3188">
          <cell r="A3188" t="str">
            <v>WBM-60128-009</v>
          </cell>
          <cell r="B3188" t="str">
            <v>סדום דרום-פרטית</v>
          </cell>
          <cell r="C3188" t="str">
            <v>סדום דרום - שדרוג ותוספות מיגון בתחמשים פרטיים</v>
          </cell>
          <cell r="D3188">
            <v>46721</v>
          </cell>
        </row>
        <row r="3189">
          <cell r="A3189" t="str">
            <v>HIS-178</v>
          </cell>
          <cell r="B3189" t="str">
            <v>סדום 115 ק''ו-פרטית</v>
          </cell>
          <cell r="C3189" t="str">
            <v>סדום 115 ק"ו-פרטית</v>
          </cell>
          <cell r="D3189">
            <v>40908</v>
          </cell>
        </row>
        <row r="3190">
          <cell r="A3190" t="str">
            <v>79999-6</v>
          </cell>
          <cell r="B3190" t="str">
            <v>סדום 115 ק''ו-פרטית</v>
          </cell>
          <cell r="C3190" t="str">
            <v>סדום 115 ק"ו -פירוק תחמ"ש פרטית</v>
          </cell>
          <cell r="D3190">
            <v>42824</v>
          </cell>
        </row>
        <row r="3191">
          <cell r="A3191" t="str">
            <v>HIS-117</v>
          </cell>
          <cell r="B3191" t="str">
            <v>נתניה</v>
          </cell>
          <cell r="C3191" t="str">
            <v>נתניה</v>
          </cell>
          <cell r="D3191">
            <v>40908</v>
          </cell>
        </row>
        <row r="3192">
          <cell r="A3192" t="str">
            <v>WDA-1-02-15-23</v>
          </cell>
          <cell r="B3192" t="str">
            <v>נתניה</v>
          </cell>
          <cell r="C3192" t="str">
            <v>נתניה-החלפת יחידת קצה של פיקוח ארצי</v>
          </cell>
          <cell r="D3192">
            <v>43922</v>
          </cell>
        </row>
        <row r="3193">
          <cell r="A3193" t="str">
            <v>WBM-00087</v>
          </cell>
          <cell r="B3193" t="str">
            <v>נתניה</v>
          </cell>
          <cell r="C3193" t="str">
            <v>נתניה-החלפת בושינגים מ"ע בשדות מס' 2,4</v>
          </cell>
          <cell r="D3193">
            <v>42809</v>
          </cell>
        </row>
        <row r="3194">
          <cell r="A3194" t="str">
            <v>WBM-01281</v>
          </cell>
          <cell r="B3194" t="str">
            <v>נתניה</v>
          </cell>
          <cell r="C3194" t="str">
            <v>נתניה -שיפור לוגיקת סלילי כיבוי</v>
          </cell>
          <cell r="D3194">
            <v>44395</v>
          </cell>
        </row>
        <row r="3195">
          <cell r="A3195" t="str">
            <v>WBM-00521</v>
          </cell>
          <cell r="B3195" t="str">
            <v>נתניה</v>
          </cell>
          <cell r="C3195" t="str">
            <v>נתניה-הזנת תאורת חירום ז"י</v>
          </cell>
          <cell r="D3195">
            <v>46162</v>
          </cell>
        </row>
        <row r="3196">
          <cell r="A3196" t="str">
            <v>WBM-40101</v>
          </cell>
          <cell r="B3196" t="str">
            <v>נתניה</v>
          </cell>
          <cell r="C3196" t="str">
            <v>נתניה- הוספת הגנות פ"צ וכשל המפסק</v>
          </cell>
          <cell r="D3196">
            <v>46568</v>
          </cell>
        </row>
        <row r="3197">
          <cell r="A3197" t="str">
            <v>WBM-40100</v>
          </cell>
          <cell r="B3197" t="str">
            <v>נתניה</v>
          </cell>
          <cell r="C3197" t="str">
            <v>נתניה-החלפת הגנת שנאי</v>
          </cell>
          <cell r="D3197">
            <v>46568</v>
          </cell>
        </row>
        <row r="3198">
          <cell r="A3198" t="str">
            <v>WBM-01416</v>
          </cell>
          <cell r="B3198" t="str">
            <v>נתניה</v>
          </cell>
          <cell r="C3198" t="str">
            <v>נתניה-בוטל- החלפת ממסר השלת עומס לפי מתח</v>
          </cell>
          <cell r="D3198">
            <v>43831</v>
          </cell>
        </row>
        <row r="3199">
          <cell r="A3199" t="str">
            <v>WBM-10306</v>
          </cell>
          <cell r="B3199" t="str">
            <v>נתניה</v>
          </cell>
          <cell r="C3199" t="str">
            <v>נתניה דרום-בוטל - משיק לתה"ר חופית-התקנת הג.דיפ</v>
          </cell>
        </row>
        <row r="3200">
          <cell r="A3200" t="str">
            <v>WBM-10407</v>
          </cell>
          <cell r="B3200" t="str">
            <v>נתניה</v>
          </cell>
          <cell r="C3200" t="str">
            <v>נתניה דרום - החל.הגנת מרחק בדיפ.,ש.2+תקש</v>
          </cell>
          <cell r="D3200">
            <v>45011</v>
          </cell>
        </row>
        <row r="3201">
          <cell r="A3201" t="str">
            <v>WBM-10175</v>
          </cell>
          <cell r="B3201" t="str">
            <v>נתניה</v>
          </cell>
          <cell r="C3201" t="str">
            <v>נתניה דרום  - משיק לשפיים.הגנ.דיפ.+תק-ש4</v>
          </cell>
          <cell r="D3201">
            <v>44658</v>
          </cell>
        </row>
        <row r="3202">
          <cell r="A3202" t="str">
            <v>WBM-40102</v>
          </cell>
          <cell r="B3202" t="str">
            <v>נתניה</v>
          </cell>
          <cell r="C3202" t="str">
            <v>נתניה- החלפת מערכת SCS</v>
          </cell>
          <cell r="D3202">
            <v>44413</v>
          </cell>
        </row>
        <row r="3203">
          <cell r="A3203" t="str">
            <v>WBM-00522</v>
          </cell>
          <cell r="B3203" t="str">
            <v>נתניה</v>
          </cell>
          <cell r="C3203" t="str">
            <v>נתניה - דרך קשר אופטי להגנת מרחק (שדה 2)</v>
          </cell>
          <cell r="D3203">
            <v>42459</v>
          </cell>
        </row>
        <row r="3204">
          <cell r="A3204" t="str">
            <v>WBG-078-002</v>
          </cell>
          <cell r="B3204" t="str">
            <v>נתניה</v>
          </cell>
          <cell r="C3204" t="str">
            <v>נתניה-הוספת ווסתים לסליל כיבוי 120 א'</v>
          </cell>
          <cell r="D3204">
            <v>41243</v>
          </cell>
        </row>
        <row r="3205">
          <cell r="A3205" t="str">
            <v>WBG-078-010</v>
          </cell>
          <cell r="B3205" t="str">
            <v>נתניה</v>
          </cell>
          <cell r="C3205" t="str">
            <v>נתניה-הקמת רשת מחשבים תפעולית</v>
          </cell>
          <cell r="D3205">
            <v>41101</v>
          </cell>
        </row>
        <row r="3206">
          <cell r="A3206" t="str">
            <v>WBM-10058</v>
          </cell>
          <cell r="B3206" t="str">
            <v>נתניה</v>
          </cell>
          <cell r="C3206" t="str">
            <v>נתניה - בוטל- החלפת גשרי דיודות</v>
          </cell>
          <cell r="D3206">
            <v>43769</v>
          </cell>
        </row>
        <row r="3207">
          <cell r="A3207" t="str">
            <v>WBM-60025</v>
          </cell>
          <cell r="B3207" t="str">
            <v>נתניה</v>
          </cell>
          <cell r="C3207" t="str">
            <v>נתניה -בוטל- בניית תשתית לאיסוף שפכים</v>
          </cell>
          <cell r="D3207">
            <v>43789</v>
          </cell>
        </row>
        <row r="3208">
          <cell r="A3208" t="str">
            <v>WBM-00088</v>
          </cell>
          <cell r="B3208" t="str">
            <v>נתניה</v>
          </cell>
          <cell r="C3208" t="str">
            <v>נתניה - בוטל-התקנת מערכת טמ"ס</v>
          </cell>
          <cell r="D3208">
            <v>41396</v>
          </cell>
        </row>
        <row r="3209">
          <cell r="A3209">
            <v>537329</v>
          </cell>
          <cell r="B3209" t="str">
            <v>נתניה</v>
          </cell>
          <cell r="C3209" t="str">
            <v>נתניה - החלפת גשרי דיודות</v>
          </cell>
          <cell r="D3209">
            <v>42185</v>
          </cell>
        </row>
        <row r="3210">
          <cell r="A3210">
            <v>537311</v>
          </cell>
          <cell r="B3210" t="str">
            <v>נתניה</v>
          </cell>
          <cell r="C3210" t="str">
            <v>נתניה-התקנת מערכת התראה ביטחונית</v>
          </cell>
          <cell r="D3210">
            <v>39020</v>
          </cell>
        </row>
        <row r="3211">
          <cell r="A3211">
            <v>537325</v>
          </cell>
          <cell r="B3211" t="str">
            <v>נתניה</v>
          </cell>
          <cell r="C3211" t="str">
            <v>נתניה-התקנת מאווררים בארונות פיקוד</v>
          </cell>
          <cell r="D3211">
            <v>40311</v>
          </cell>
        </row>
        <row r="3212">
          <cell r="A3212" t="str">
            <v>WBG-078-008</v>
          </cell>
          <cell r="B3212" t="str">
            <v>נתניה</v>
          </cell>
          <cell r="C3212" t="str">
            <v>נתניה-התקנת קשר בין הגנות מרחק לרשפון אר</v>
          </cell>
          <cell r="D3212">
            <v>39385</v>
          </cell>
        </row>
        <row r="3213">
          <cell r="A3213" t="str">
            <v>WBM-00307</v>
          </cell>
          <cell r="B3213" t="str">
            <v>נתניה</v>
          </cell>
          <cell r="C3213" t="str">
            <v>נתניה-בוטל-החלפת סלילי כיבוי 3 שנאים</v>
          </cell>
          <cell r="D3213">
            <v>40501</v>
          </cell>
        </row>
        <row r="3214">
          <cell r="A3214" t="str">
            <v>WBM-00367</v>
          </cell>
          <cell r="B3214" t="str">
            <v>נתניה</v>
          </cell>
          <cell r="C3214" t="str">
            <v>נתניה-בוטל-יישום השלת עומס לפי מתח</v>
          </cell>
          <cell r="D3214">
            <v>41467</v>
          </cell>
        </row>
        <row r="3215">
          <cell r="A3215" t="str">
            <v>WBM-10523</v>
          </cell>
          <cell r="B3215" t="str">
            <v>נתניה</v>
          </cell>
          <cell r="C3215" t="str">
            <v>נתניה-התאמת שדה 2 (כיום לחופית, בעתיד לקיסריה) ליכולת 1440 א'</v>
          </cell>
          <cell r="D3215">
            <v>46326</v>
          </cell>
        </row>
        <row r="3216">
          <cell r="A3216" t="str">
            <v>WBM-01190-001</v>
          </cell>
          <cell r="B3216" t="str">
            <v>נתניה</v>
          </cell>
          <cell r="C3216" t="str">
            <v>נתניה דרום - החלפת טבעת 92 ל- RAD</v>
          </cell>
          <cell r="D3216">
            <v>46568</v>
          </cell>
        </row>
        <row r="3217">
          <cell r="A3217" t="str">
            <v>WBM-10315-062</v>
          </cell>
          <cell r="B3217" t="str">
            <v>נתניה</v>
          </cell>
          <cell r="C3217" t="str">
            <v>נתניה- התקנת 15 מזגנים</v>
          </cell>
          <cell r="D3217">
            <v>45711</v>
          </cell>
        </row>
        <row r="3218">
          <cell r="A3218" t="str">
            <v>WBM-40479-015</v>
          </cell>
          <cell r="B3218" t="str">
            <v>נתניה</v>
          </cell>
          <cell r="C3218" t="str">
            <v>נתניה דרום- החלפת 3 בקרי טמפ' וגובה שנאי</v>
          </cell>
          <cell r="D3218">
            <v>48182</v>
          </cell>
        </row>
        <row r="3219">
          <cell r="A3219" t="str">
            <v>WBM-60008-087</v>
          </cell>
          <cell r="B3219" t="str">
            <v>נתניה</v>
          </cell>
          <cell r="C3219" t="str">
            <v>נתניה - מערכת בקרה, טמ"ס וגדר אלקטרונית</v>
          </cell>
          <cell r="D3219">
            <v>46477</v>
          </cell>
        </row>
        <row r="3220">
          <cell r="A3220" t="str">
            <v>WBM-60088-033</v>
          </cell>
          <cell r="B3220" t="str">
            <v>נתניה</v>
          </cell>
          <cell r="C3220" t="str">
            <v>נתניה - סף הגבהה ותשתית ניקוז ב-3 מס"א</v>
          </cell>
          <cell r="D3220">
            <v>46326</v>
          </cell>
        </row>
        <row r="3221">
          <cell r="A3221" t="str">
            <v>WBM-60116-008</v>
          </cell>
          <cell r="B3221" t="str">
            <v>נתניה</v>
          </cell>
          <cell r="C3221" t="str">
            <v>נתניה - שידרוג גלאים בתחנות משנה ומיתוג</v>
          </cell>
          <cell r="D3221">
            <v>46387</v>
          </cell>
        </row>
        <row r="3222">
          <cell r="A3222" t="str">
            <v>WBM-60130-058</v>
          </cell>
          <cell r="B3222" t="str">
            <v>נתניה</v>
          </cell>
          <cell r="C3222" t="str">
            <v>נתניה דרום - התקנת מפסק פטריה להפסקת מערכת החשמל בחירום</v>
          </cell>
          <cell r="D3222">
            <v>46568</v>
          </cell>
        </row>
        <row r="3223">
          <cell r="A3223" t="str">
            <v>WBM-10597-015</v>
          </cell>
          <cell r="B3223" t="str">
            <v>נתניה</v>
          </cell>
          <cell r="C3223" t="str">
            <v>נתניה דרום - פיילוט יישום תקשורת הגנות בשדה 4</v>
          </cell>
          <cell r="D3223">
            <v>46295</v>
          </cell>
        </row>
        <row r="3224">
          <cell r="A3224" t="str">
            <v>WBM-40637-026</v>
          </cell>
          <cell r="B3224" t="str">
            <v>נתניה</v>
          </cell>
          <cell r="C3224" t="str">
            <v>נתניה דרום-החלפת רושמי הפרעות קיימים מדגם IDM-T3 לרושמים חדשים מדגם IDM+</v>
          </cell>
          <cell r="D3224">
            <v>46934</v>
          </cell>
        </row>
        <row r="3225">
          <cell r="A3225" t="str">
            <v>WBE-295</v>
          </cell>
          <cell r="B3225" t="str">
            <v>נתניה</v>
          </cell>
          <cell r="C3225" t="str">
            <v>נתניה-התקנת שנאי רביעי 161/24 ק"ו , 50 מגוו"א</v>
          </cell>
          <cell r="D3225">
            <v>46568</v>
          </cell>
        </row>
        <row r="3226">
          <cell r="A3226" t="str">
            <v>WBM-60131-025</v>
          </cell>
          <cell r="B3226" t="str">
            <v>נתניה</v>
          </cell>
          <cell r="C3226" t="str">
            <v>נתניה - טיפול באופיין מים</v>
          </cell>
          <cell r="D3226">
            <v>46180</v>
          </cell>
        </row>
        <row r="3227">
          <cell r="A3227" t="str">
            <v>WBM-10827</v>
          </cell>
          <cell r="B3227" t="str">
            <v>נתניה</v>
          </cell>
          <cell r="C3227" t="str">
            <v>נתניה ש' 2- משיק לתחמ"ש חפר שדה 25, יישום תקשורת אופטית בין הגנות במעגל (מרחק+דיפ)</v>
          </cell>
          <cell r="D3227">
            <v>46873</v>
          </cell>
        </row>
        <row r="3228">
          <cell r="A3228" t="str">
            <v>HIS-116</v>
          </cell>
          <cell r="B3228" t="str">
            <v>נתיבות</v>
          </cell>
          <cell r="C3228" t="str">
            <v>נתיבות</v>
          </cell>
          <cell r="D3228">
            <v>40908</v>
          </cell>
        </row>
        <row r="3229">
          <cell r="A3229" t="str">
            <v>WBE-110-ST2</v>
          </cell>
          <cell r="B3229" t="str">
            <v>נתיבות</v>
          </cell>
          <cell r="C3229" t="str">
            <v>נתיבות ניידת- הוצאה מניצול  תחמ"ש ניידת</v>
          </cell>
          <cell r="D3229">
            <v>44553</v>
          </cell>
        </row>
        <row r="3230">
          <cell r="A3230" t="str">
            <v>WBE-236</v>
          </cell>
          <cell r="B3230" t="str">
            <v>נתיבות</v>
          </cell>
          <cell r="C3230" t="str">
            <v>נתיבות-משיק ל-WBO-829-הקמת שדה קו 161 ק"ו חדש והתאמת שדות קיימים</v>
          </cell>
          <cell r="D3230">
            <v>47848</v>
          </cell>
        </row>
        <row r="3231">
          <cell r="A3231" t="str">
            <v>WBE-111</v>
          </cell>
          <cell r="B3231" t="str">
            <v>נתיבות</v>
          </cell>
          <cell r="C3231" t="str">
            <v>נתיבות-הוספת שנאי רביעי 50 מגוו"א</v>
          </cell>
          <cell r="D3231">
            <v>45370</v>
          </cell>
        </row>
        <row r="3232">
          <cell r="A3232" t="str">
            <v>WBE-110</v>
          </cell>
          <cell r="B3232" t="str">
            <v>נתיבות</v>
          </cell>
          <cell r="C3232" t="str">
            <v>נתיבות-החלפת 3 שנאים מ-33 ל-50 מגוו"א</v>
          </cell>
          <cell r="D3232">
            <v>44400</v>
          </cell>
        </row>
        <row r="3233">
          <cell r="A3233" t="str">
            <v>WBE-134</v>
          </cell>
          <cell r="B3233" t="str">
            <v>נתיבות</v>
          </cell>
          <cell r="C3233" t="str">
            <v>נתיבות - התקנת מתקן אגירת אנרגיה</v>
          </cell>
          <cell r="D3233">
            <v>46295</v>
          </cell>
        </row>
        <row r="3234">
          <cell r="A3234" t="str">
            <v>WBE-132</v>
          </cell>
          <cell r="B3234" t="str">
            <v>נתיבות</v>
          </cell>
          <cell r="C3234" t="str">
            <v>נתיבות - בוטל- התקנת מתקן אגירת אנרגיה</v>
          </cell>
        </row>
        <row r="3235">
          <cell r="A3235" t="str">
            <v>WDB-04COM31</v>
          </cell>
          <cell r="B3235" t="str">
            <v>נתיבות</v>
          </cell>
          <cell r="C3235" t="str">
            <v>נתיבות-הנחת כבל סיב אופטי מכיוון בשור</v>
          </cell>
          <cell r="D3235">
            <v>41273</v>
          </cell>
        </row>
        <row r="3236">
          <cell r="A3236" t="str">
            <v>WDB-04COM32</v>
          </cell>
          <cell r="B3236" t="str">
            <v>נתיבות</v>
          </cell>
          <cell r="C3236" t="str">
            <v>נתיבות-הנחת כבל סיב אופטי מכיוון עזה</v>
          </cell>
          <cell r="D3236">
            <v>39538</v>
          </cell>
        </row>
        <row r="3237">
          <cell r="A3237" t="str">
            <v>WBM-70012</v>
          </cell>
          <cell r="B3237" t="str">
            <v>נתיבות</v>
          </cell>
          <cell r="C3237" t="str">
            <v>נתיבות - שדה 3 החל' משנק לכרמיה</v>
          </cell>
          <cell r="D3237">
            <v>44507</v>
          </cell>
        </row>
        <row r="3238">
          <cell r="A3238" t="str">
            <v>WBM-70032</v>
          </cell>
          <cell r="B3238" t="str">
            <v>נתיבות</v>
          </cell>
          <cell r="C3238" t="str">
            <v>נתיבות-הוקפא התקנת 4  סק 24 ק"ו 2*5 מגוואר כ"א</v>
          </cell>
        </row>
        <row r="3239">
          <cell r="A3239" t="str">
            <v>WBM-00306</v>
          </cell>
          <cell r="B3239" t="str">
            <v>נתיבות</v>
          </cell>
          <cell r="C3239" t="str">
            <v>נתיבות-החלפת 3 סלילי כיבוי (521,522,524)</v>
          </cell>
          <cell r="D3239">
            <v>44377</v>
          </cell>
        </row>
        <row r="3240">
          <cell r="A3240" t="str">
            <v>WBM-10382</v>
          </cell>
          <cell r="B3240" t="str">
            <v>נתיבות</v>
          </cell>
          <cell r="C3240" t="str">
            <v>נתיבות-הת' תיילים-מהדקים-פורט'wbo-838 א</v>
          </cell>
          <cell r="D3240">
            <v>48699</v>
          </cell>
        </row>
        <row r="3241">
          <cell r="A3241" t="str">
            <v>WBM-40232</v>
          </cell>
          <cell r="B3241" t="str">
            <v>נתיבות</v>
          </cell>
          <cell r="C3241" t="str">
            <v>נתיבות- החלפת ציוד בשד' 4,8</v>
          </cell>
          <cell r="D3241">
            <v>46295</v>
          </cell>
        </row>
        <row r="3242">
          <cell r="A3242" t="str">
            <v>WBM-40231</v>
          </cell>
          <cell r="B3242" t="str">
            <v>נתיבות</v>
          </cell>
          <cell r="C3242" t="str">
            <v>נתיבות-החל'הגנות שנאי ומגיני ברק בשד'10</v>
          </cell>
          <cell r="D3242">
            <v>46476</v>
          </cell>
        </row>
        <row r="3243">
          <cell r="A3243" t="str">
            <v>WBM-40301</v>
          </cell>
          <cell r="B3243" t="str">
            <v>נתיבות</v>
          </cell>
          <cell r="C3243" t="str">
            <v>נתיבות-בוטל-החלפת ציוד שדה 7 (לב"ש מערב)</v>
          </cell>
        </row>
        <row r="3244">
          <cell r="A3244" t="str">
            <v>WBM-00840</v>
          </cell>
          <cell r="B3244" t="str">
            <v>נתיבות</v>
          </cell>
          <cell r="C3244" t="str">
            <v>נתיבות-הסדרת צומת כניסה לתחמ"ש</v>
          </cell>
          <cell r="D3244">
            <v>46177</v>
          </cell>
        </row>
        <row r="3245">
          <cell r="A3245" t="str">
            <v>WBM-40220</v>
          </cell>
          <cell r="B3245" t="str">
            <v>נתיבות</v>
          </cell>
          <cell r="C3245" t="str">
            <v>נתיבות – החל' ציוד 161 ק"ו בשד' 1,3,7</v>
          </cell>
          <cell r="D3245">
            <v>46568</v>
          </cell>
        </row>
        <row r="3246">
          <cell r="A3246" t="str">
            <v>WBM-10269</v>
          </cell>
          <cell r="B3246" t="str">
            <v>נתיבות</v>
          </cell>
          <cell r="C3246" t="str">
            <v>נתיבות-הת' תיילים-מהדקים-פורטלWBO-589</v>
          </cell>
          <cell r="D3246">
            <v>46387</v>
          </cell>
        </row>
        <row r="3247">
          <cell r="A3247" t="str">
            <v>WBM-00773</v>
          </cell>
          <cell r="B3247" t="str">
            <v>נתיבות</v>
          </cell>
          <cell r="C3247" t="str">
            <v>נתיבות-התקנת רושם הפרעות</v>
          </cell>
          <cell r="D3247">
            <v>46203</v>
          </cell>
        </row>
        <row r="3248">
          <cell r="A3248" t="str">
            <v>WBM-10396</v>
          </cell>
          <cell r="B3248" t="str">
            <v>נתיבות</v>
          </cell>
          <cell r="C3248" t="str">
            <v>נתיבות -משיק-יישום תקש.אופט.בין הג שדה 1</v>
          </cell>
          <cell r="D3248">
            <v>45929</v>
          </cell>
        </row>
        <row r="3249">
          <cell r="A3249" t="str">
            <v>WBM-10350</v>
          </cell>
          <cell r="B3249" t="str">
            <v>נתיבות</v>
          </cell>
          <cell r="C3249" t="str">
            <v>נתיבות -יישום תקשורת אופטית בין הגנות ש3</v>
          </cell>
          <cell r="D3249">
            <v>45127</v>
          </cell>
        </row>
        <row r="3250">
          <cell r="A3250" t="str">
            <v>WBM-10419</v>
          </cell>
          <cell r="B3250" t="str">
            <v>נתיבות</v>
          </cell>
          <cell r="C3250" t="str">
            <v>נתיבות -משיק יכיני-תקש.אופט.בין הג שדה3</v>
          </cell>
          <cell r="D3250">
            <v>45084</v>
          </cell>
        </row>
        <row r="3251">
          <cell r="A3251" t="str">
            <v>WBM-40120</v>
          </cell>
          <cell r="B3251" t="str">
            <v>נתיבות</v>
          </cell>
          <cell r="C3251" t="str">
            <v>נתיבות -מסדר 161 ק"ו– החלפת משנק בשדה 1</v>
          </cell>
          <cell r="D3251">
            <v>44819</v>
          </cell>
        </row>
        <row r="3252">
          <cell r="A3252" t="str">
            <v>WBM-00520</v>
          </cell>
          <cell r="B3252" t="str">
            <v>נתיבות</v>
          </cell>
          <cell r="C3252" t="str">
            <v>נתיבות-החלפת מ.ברק מ"ג שנאים 521,522,524</v>
          </cell>
          <cell r="D3252">
            <v>44540</v>
          </cell>
        </row>
        <row r="3253">
          <cell r="A3253" t="str">
            <v>WBM-00874</v>
          </cell>
          <cell r="B3253" t="str">
            <v>נתיבות</v>
          </cell>
          <cell r="C3253" t="str">
            <v>נתיבות-החלפת לוח חלוקה ז"ח 380 וולט.</v>
          </cell>
          <cell r="D3253">
            <v>44507</v>
          </cell>
        </row>
        <row r="3254">
          <cell r="A3254" t="str">
            <v>WBM-10139</v>
          </cell>
          <cell r="B3254" t="str">
            <v>נתיבות</v>
          </cell>
          <cell r="C3254" t="str">
            <v>נתיבות - התקנת מתמרים ב-2 פ"צ</v>
          </cell>
          <cell r="D3254">
            <v>44469</v>
          </cell>
        </row>
        <row r="3255">
          <cell r="A3255" t="str">
            <v>WBM-40259</v>
          </cell>
          <cell r="B3255" t="str">
            <v>נתיבות</v>
          </cell>
          <cell r="C3255" t="str">
            <v>נתיבות - החלפת מסדר מ"ג של פ"צ 1</v>
          </cell>
          <cell r="D3255">
            <v>44376</v>
          </cell>
        </row>
        <row r="3256">
          <cell r="A3256" t="str">
            <v>WBM-40292</v>
          </cell>
          <cell r="B3256" t="str">
            <v>נתיבות</v>
          </cell>
          <cell r="C3256" t="str">
            <v>נתיבות -  החלפת הגנת מרחק לדיפ' בשדה 3</v>
          </cell>
          <cell r="D3256">
            <v>44248</v>
          </cell>
        </row>
        <row r="3257">
          <cell r="A3257" t="str">
            <v>WBM-00774</v>
          </cell>
          <cell r="B3257" t="str">
            <v>נתיבות</v>
          </cell>
          <cell r="C3257" t="str">
            <v>נתיבות-התקנת הגנות פ"צ 161 ק"ו</v>
          </cell>
          <cell r="D3257">
            <v>44021</v>
          </cell>
        </row>
        <row r="3258">
          <cell r="A3258" t="str">
            <v>WBM-01112</v>
          </cell>
          <cell r="B3258" t="str">
            <v>נתיבות</v>
          </cell>
          <cell r="C3258" t="str">
            <v>נתיבות-התקנת 2 מאצרות שמן  זמניות</v>
          </cell>
          <cell r="D3258">
            <v>43821</v>
          </cell>
        </row>
        <row r="3259">
          <cell r="A3259" t="str">
            <v>WBM-00086</v>
          </cell>
          <cell r="B3259" t="str">
            <v>נתיבות</v>
          </cell>
          <cell r="C3259" t="str">
            <v>נתיבות-התקנת עמדת כיבוי אש שנייה</v>
          </cell>
          <cell r="D3259">
            <v>42369</v>
          </cell>
        </row>
        <row r="3260">
          <cell r="A3260" t="str">
            <v>WBG-077-021</v>
          </cell>
          <cell r="B3260" t="str">
            <v>נתיבות</v>
          </cell>
          <cell r="C3260" t="str">
            <v>נתיבות-הקשחות אבטחת מידע במחשב</v>
          </cell>
          <cell r="D3260">
            <v>41547</v>
          </cell>
        </row>
        <row r="3261">
          <cell r="A3261" t="str">
            <v>WBG-077-018</v>
          </cell>
          <cell r="B3261" t="str">
            <v>נתיבות</v>
          </cell>
          <cell r="C3261" t="str">
            <v>נתיבות-הקמת רשת מחשבים תפעולית</v>
          </cell>
          <cell r="D3261">
            <v>41090</v>
          </cell>
        </row>
        <row r="3262">
          <cell r="A3262" t="str">
            <v>WBG-077-006</v>
          </cell>
          <cell r="B3262" t="str">
            <v>נתיבות</v>
          </cell>
          <cell r="C3262" t="str">
            <v>נתיבות-התקנת מערכת מניה</v>
          </cell>
          <cell r="D3262">
            <v>41090</v>
          </cell>
        </row>
        <row r="3263">
          <cell r="A3263" t="str">
            <v>WBG-077-015</v>
          </cell>
          <cell r="B3263" t="str">
            <v>נתיבות</v>
          </cell>
          <cell r="C3263" t="str">
            <v>נתיבות-החלפת מפ"ז מ"ג בשדה ס"ק מס' 1</v>
          </cell>
          <cell r="D3263">
            <v>40938</v>
          </cell>
        </row>
        <row r="3264">
          <cell r="A3264" t="str">
            <v>WBM-01251</v>
          </cell>
          <cell r="B3264" t="str">
            <v>נתיבות</v>
          </cell>
          <cell r="C3264" t="str">
            <v>נתיבות - בוטל-מאצרות שמן קבועות לשנאים</v>
          </cell>
          <cell r="D3264">
            <v>42902</v>
          </cell>
        </row>
        <row r="3265">
          <cell r="A3265" t="str">
            <v>WBM-40124</v>
          </cell>
          <cell r="B3265" t="str">
            <v>נתיבות</v>
          </cell>
          <cell r="C3265" t="str">
            <v>נתיבות - בוטל-החלפת הגנות מ"ג בפ"צ 1</v>
          </cell>
          <cell r="D3265">
            <v>43115</v>
          </cell>
        </row>
        <row r="3266">
          <cell r="A3266" t="str">
            <v>WBM-10418</v>
          </cell>
          <cell r="B3266" t="str">
            <v>נתיבות</v>
          </cell>
          <cell r="C3266" t="str">
            <v>נתיבות -משיק יכיני-בוטל-תקש.אופט.בין הג3</v>
          </cell>
        </row>
        <row r="3267">
          <cell r="A3267">
            <v>539801</v>
          </cell>
          <cell r="B3267" t="str">
            <v>נתיבות</v>
          </cell>
          <cell r="C3267" t="str">
            <v>נתיבות ניידת-התקנת מערכת מניה</v>
          </cell>
          <cell r="D3267">
            <v>36164</v>
          </cell>
        </row>
        <row r="3268">
          <cell r="A3268">
            <v>535931</v>
          </cell>
          <cell r="B3268" t="str">
            <v>נתיבות</v>
          </cell>
          <cell r="C3268" t="str">
            <v>נתיבות-התקנת מאווררים בארונות פיקוד</v>
          </cell>
          <cell r="D3268">
            <v>40311</v>
          </cell>
        </row>
        <row r="3269">
          <cell r="A3269" t="str">
            <v>WBG-077-002</v>
          </cell>
          <cell r="B3269" t="str">
            <v>נתיבות</v>
          </cell>
          <cell r="C3269" t="str">
            <v>נתיבות-התקנת קשר הגנות מרחק לעזה (עתידי)</v>
          </cell>
          <cell r="D3269">
            <v>39263</v>
          </cell>
        </row>
        <row r="3270">
          <cell r="A3270" t="str">
            <v>WBM-00928</v>
          </cell>
          <cell r="B3270" t="str">
            <v>נתיבות</v>
          </cell>
          <cell r="C3270" t="str">
            <v>נתיבות-בוטל-הוספת סוללת מצברים 220 וולט</v>
          </cell>
          <cell r="D3270">
            <v>41249</v>
          </cell>
        </row>
        <row r="3271">
          <cell r="A3271" t="str">
            <v>WBG-077-019</v>
          </cell>
          <cell r="B3271" t="str">
            <v>נתיבות</v>
          </cell>
          <cell r="C3271" t="str">
            <v>נתיבות-החלפת הממסר להשלת עומס לפי תדר</v>
          </cell>
          <cell r="D3271">
            <v>40298</v>
          </cell>
        </row>
        <row r="3272">
          <cell r="A3272" t="str">
            <v>WBG-077-020</v>
          </cell>
          <cell r="B3272" t="str">
            <v>נתיבות</v>
          </cell>
          <cell r="C3272" t="str">
            <v>נתיבות-החלפת מערכת התראה בטחונית</v>
          </cell>
          <cell r="D3272">
            <v>39902</v>
          </cell>
        </row>
        <row r="3273">
          <cell r="A3273" t="str">
            <v>WBD-042</v>
          </cell>
          <cell r="B3273" t="str">
            <v>נתיבות</v>
          </cell>
          <cell r="C3273" t="str">
            <v>נתיבות ניידת-הצבת ניידת בשטח התחמ"ש.</v>
          </cell>
          <cell r="D3273">
            <v>41893</v>
          </cell>
        </row>
        <row r="3274">
          <cell r="A3274" t="str">
            <v>WBG-077-003</v>
          </cell>
          <cell r="B3274" t="str">
            <v>נתיבות</v>
          </cell>
          <cell r="C3274" t="str">
            <v>נתיבות-הרחבת פ"צ מס' 1</v>
          </cell>
          <cell r="D3274">
            <v>36707</v>
          </cell>
        </row>
        <row r="3275">
          <cell r="A3275" t="str">
            <v>WBM-00668</v>
          </cell>
          <cell r="B3275" t="str">
            <v>נתיבות</v>
          </cell>
          <cell r="C3275" t="str">
            <v>נתיבות-החלפת הממסר להש.עומס לפי תדר</v>
          </cell>
          <cell r="D3275">
            <v>42968</v>
          </cell>
        </row>
        <row r="3276">
          <cell r="A3276">
            <v>365918</v>
          </cell>
          <cell r="B3276" t="str">
            <v>נתיבות</v>
          </cell>
          <cell r="C3276" t="str">
            <v>נתיבות-קליטת הנתונים המועברים מתחמ"ש עזה</v>
          </cell>
          <cell r="D3276">
            <v>36707</v>
          </cell>
        </row>
        <row r="3277">
          <cell r="A3277" t="str">
            <v>WBM-40525</v>
          </cell>
          <cell r="B3277" t="str">
            <v>נתיבות</v>
          </cell>
          <cell r="C3277" t="str">
            <v>נתיבות-משיק ל-WBO-589-התאמת שדה 3 ליכולת 2000 א'</v>
          </cell>
          <cell r="D3277">
            <v>46387</v>
          </cell>
        </row>
        <row r="3278">
          <cell r="A3278" t="str">
            <v>WBM-40526</v>
          </cell>
          <cell r="B3278" t="str">
            <v>נתיבות</v>
          </cell>
          <cell r="C3278" t="str">
            <v>נתיבות-משיק ל-WBO-838-התאמת שדה 7 ליכולת 2000 א'</v>
          </cell>
          <cell r="D3278">
            <v>48213</v>
          </cell>
        </row>
        <row r="3279">
          <cell r="A3279" t="str">
            <v>WBM-00350-044</v>
          </cell>
          <cell r="B3279" t="str">
            <v>נתיבות</v>
          </cell>
          <cell r="C3279" t="str">
            <v>נתיבות-תיקון תקלת מבודדים בשנאי 521</v>
          </cell>
          <cell r="D3279">
            <v>45291</v>
          </cell>
        </row>
        <row r="3280">
          <cell r="A3280" t="str">
            <v>WBM-10103-125</v>
          </cell>
          <cell r="B3280" t="str">
            <v>נתיבות</v>
          </cell>
          <cell r="C3280" t="str">
            <v>נתיבות- איטום כבלים</v>
          </cell>
          <cell r="D3280">
            <v>46022</v>
          </cell>
        </row>
        <row r="3281">
          <cell r="A3281" t="str">
            <v>WBM-40295-061</v>
          </cell>
          <cell r="B3281" t="str">
            <v>נתיבות</v>
          </cell>
          <cell r="C3281" t="str">
            <v>נתיבות - החלפת סוללות מצברים</v>
          </cell>
          <cell r="D3281">
            <v>46721</v>
          </cell>
        </row>
        <row r="3282">
          <cell r="A3282" t="str">
            <v>WBM-40521-019</v>
          </cell>
          <cell r="B3282" t="str">
            <v>נתיבות</v>
          </cell>
          <cell r="C3282" t="str">
            <v>נתיבות  החלפת 4 שנאי הארקה</v>
          </cell>
          <cell r="D3282">
            <v>46721</v>
          </cell>
        </row>
        <row r="3283">
          <cell r="A3283" t="str">
            <v>WBM-60088-031</v>
          </cell>
          <cell r="B3283" t="str">
            <v>נתיבות</v>
          </cell>
          <cell r="C3283" t="str">
            <v>נתיבות - התקנת תשתית ביוב</v>
          </cell>
          <cell r="D3283">
            <v>45641</v>
          </cell>
        </row>
        <row r="3284">
          <cell r="A3284" t="str">
            <v>WBM-60088-060</v>
          </cell>
          <cell r="B3284" t="str">
            <v>נתיבות</v>
          </cell>
          <cell r="C3284" t="str">
            <v>נתיבות -התקנת משטח למינעת החלקה במאצרות</v>
          </cell>
          <cell r="D3284">
            <v>45413</v>
          </cell>
        </row>
        <row r="3285">
          <cell r="A3285" t="str">
            <v>WBM-60107-004</v>
          </cell>
          <cell r="B3285" t="str">
            <v>נתיבות</v>
          </cell>
          <cell r="C3285" t="str">
            <v>נתיבות - החלפת מנעולים אלק.מגנטיים באלק.</v>
          </cell>
          <cell r="D3285">
            <v>45482</v>
          </cell>
        </row>
        <row r="3286">
          <cell r="A3286" t="str">
            <v>WBM-60116-014</v>
          </cell>
          <cell r="B3286" t="str">
            <v>נתיבות</v>
          </cell>
          <cell r="C3286" t="str">
            <v>נתיבות - החלפת מערכת גילוי וכיבוי אש כולל רכזת</v>
          </cell>
          <cell r="D3286">
            <v>46387</v>
          </cell>
        </row>
        <row r="3287">
          <cell r="A3287" t="str">
            <v>WBM-60130-019</v>
          </cell>
          <cell r="B3287" t="str">
            <v>נתיבות</v>
          </cell>
          <cell r="C3287" t="str">
            <v>נתיבות - התקנת מפסק פטריה להפסקת מערכת החשמל בחירום</v>
          </cell>
          <cell r="D3287">
            <v>46568</v>
          </cell>
        </row>
        <row r="3288">
          <cell r="A3288" t="str">
            <v>WBM-10641</v>
          </cell>
          <cell r="B3288" t="str">
            <v>נתיבות</v>
          </cell>
          <cell r="C3288" t="str">
            <v>נתיבות -התאמת תיילים- מהדקים- פורטל WBO-829</v>
          </cell>
          <cell r="D3288">
            <v>48029</v>
          </cell>
        </row>
        <row r="3289">
          <cell r="A3289" t="str">
            <v>WBE-236-ST1</v>
          </cell>
          <cell r="B3289" t="str">
            <v>נתיבות</v>
          </cell>
          <cell r="C3289" t="str">
            <v>נתיבות-הקמת שדה קו 161 ק"ו חדש מס' 9 יכולת 3000 א'</v>
          </cell>
          <cell r="D3289">
            <v>46203</v>
          </cell>
        </row>
        <row r="3290">
          <cell r="A3290" t="str">
            <v>WBE-236-ST2</v>
          </cell>
          <cell r="B3290" t="str">
            <v>נתיבות</v>
          </cell>
          <cell r="C3290" t="str">
            <v>נתיבות-התאמת שדה 1 ליכולת 3000 א'</v>
          </cell>
          <cell r="D3290">
            <v>47848</v>
          </cell>
        </row>
        <row r="3291">
          <cell r="A3291" t="str">
            <v>WBM-01063-005</v>
          </cell>
          <cell r="B3291" t="str">
            <v>נתיבות</v>
          </cell>
          <cell r="C3291" t="str">
            <v>שיקום רצפה תחמ"ש נתיבות</v>
          </cell>
          <cell r="D3291">
            <v>46203</v>
          </cell>
        </row>
        <row r="3292">
          <cell r="A3292" t="str">
            <v>WBM-60205-024</v>
          </cell>
          <cell r="B3292" t="str">
            <v>נתיבות</v>
          </cell>
          <cell r="C3292" t="str">
            <v>נתיבות - ניטור הצפות</v>
          </cell>
          <cell r="D3292">
            <v>46162</v>
          </cell>
        </row>
        <row r="3293">
          <cell r="A3293" t="str">
            <v>WBM-60206</v>
          </cell>
          <cell r="B3293" t="str">
            <v>נתיבות</v>
          </cell>
          <cell r="C3293" t="str">
            <v>נתיבות - עיגון 4 שנאים לעמידה בפני רעידת אדמה.</v>
          </cell>
          <cell r="D3293">
            <v>46356</v>
          </cell>
        </row>
        <row r="3294">
          <cell r="A3294" t="str">
            <v>WBM-60131-019</v>
          </cell>
          <cell r="B3294" t="str">
            <v>נתיבות</v>
          </cell>
          <cell r="C3294" t="str">
            <v>נתיבות - טיפול באופיין מים</v>
          </cell>
          <cell r="D3294">
            <v>46175</v>
          </cell>
        </row>
        <row r="3295">
          <cell r="A3295" t="str">
            <v>WBC-219</v>
          </cell>
          <cell r="B3295" t="str">
            <v>נתיבות</v>
          </cell>
          <cell r="C3295" t="str">
            <v>נתיבות חדשה-עע"א-קידום סטטוטורי בלבד של העתקת תחמ"ש נתיבות</v>
          </cell>
          <cell r="D3295">
            <v>49795</v>
          </cell>
        </row>
        <row r="3296">
          <cell r="A3296" t="str">
            <v>WBM-40254</v>
          </cell>
          <cell r="B3296" t="str">
            <v>נתב''ג</v>
          </cell>
          <cell r="C3296" t="str">
            <v>נתב"ג - החלפת שרשראות מבודדים</v>
          </cell>
          <cell r="D3296">
            <v>46326</v>
          </cell>
        </row>
        <row r="3297">
          <cell r="A3297" t="str">
            <v>WBM-10013</v>
          </cell>
          <cell r="B3297" t="str">
            <v>נתב''ג</v>
          </cell>
          <cell r="C3297" t="str">
            <v>נתב"ג 2000 -רהתקנת רושם הפרעות 161 ק"ו</v>
          </cell>
          <cell r="D3297">
            <v>46934</v>
          </cell>
        </row>
        <row r="3298">
          <cell r="A3298" t="str">
            <v>WBM-40293</v>
          </cell>
          <cell r="B3298" t="str">
            <v>נתב''ג</v>
          </cell>
          <cell r="C3298" t="str">
            <v>נתב"ג - יישום הגנות בשדה 9</v>
          </cell>
          <cell r="D3298">
            <v>44507</v>
          </cell>
        </row>
        <row r="3299">
          <cell r="A3299" t="str">
            <v>WBM-00519</v>
          </cell>
          <cell r="B3299" t="str">
            <v>נתב''ג</v>
          </cell>
          <cell r="C3299" t="str">
            <v>נתב"ג -הוספת הגנה דיפר'  לגן שורק</v>
          </cell>
          <cell r="D3299">
            <v>43438</v>
          </cell>
        </row>
        <row r="3300">
          <cell r="A3300" t="str">
            <v>WBM-00659</v>
          </cell>
          <cell r="B3300" t="str">
            <v>נתב''ג</v>
          </cell>
          <cell r="C3300" t="str">
            <v>נתב"ג -בוטל-התקנת ק.הג. מרחק לגן שורק</v>
          </cell>
          <cell r="D3300">
            <v>39983</v>
          </cell>
        </row>
        <row r="3301">
          <cell r="A3301" t="str">
            <v>WBM-00085</v>
          </cell>
          <cell r="B3301" t="str">
            <v>נתב''ג</v>
          </cell>
          <cell r="C3301" t="str">
            <v>נתב"ג 2000 - התקנת ארון ז"י 48 וולט</v>
          </cell>
          <cell r="D3301">
            <v>41423</v>
          </cell>
        </row>
        <row r="3302">
          <cell r="A3302">
            <v>539004</v>
          </cell>
          <cell r="B3302" t="str">
            <v>נתב''ג</v>
          </cell>
          <cell r="C3302" t="str">
            <v>נתב"ג 2000 -התקנת תמסורת תפעולית</v>
          </cell>
          <cell r="D3302">
            <v>41759</v>
          </cell>
        </row>
        <row r="3303">
          <cell r="A3303" t="str">
            <v>WBM-80014-014</v>
          </cell>
          <cell r="B3303" t="str">
            <v>נתב''ג</v>
          </cell>
          <cell r="C3303" t="str">
            <v>נתבג 2000 - שדרוג WIZCON</v>
          </cell>
          <cell r="D3303">
            <v>45490</v>
          </cell>
        </row>
        <row r="3304">
          <cell r="A3304" t="str">
            <v>HIS-177</v>
          </cell>
          <cell r="B3304" t="str">
            <v>נתב"ג פרטית</v>
          </cell>
          <cell r="C3304" t="str">
            <v>נתב"ג- פרטית</v>
          </cell>
          <cell r="D3304">
            <v>40908</v>
          </cell>
        </row>
        <row r="3305">
          <cell r="A3305" t="str">
            <v>HIS-175</v>
          </cell>
          <cell r="B3305" t="str">
            <v>נשר-פרטית</v>
          </cell>
          <cell r="C3305" t="str">
            <v>נשר רמלה-פרטית</v>
          </cell>
          <cell r="D3305">
            <v>40908</v>
          </cell>
        </row>
        <row r="3306">
          <cell r="A3306" t="str">
            <v>HIS-159</v>
          </cell>
          <cell r="B3306" t="str">
            <v>נשר-פרטית</v>
          </cell>
          <cell r="C3306" t="str">
            <v>נשר פרטית</v>
          </cell>
          <cell r="D3306">
            <v>40908</v>
          </cell>
        </row>
        <row r="3307">
          <cell r="A3307" t="str">
            <v>79999-4</v>
          </cell>
          <cell r="B3307" t="str">
            <v>נשר-פרטית</v>
          </cell>
          <cell r="C3307" t="str">
            <v>נשר-פרטית-פירוק התחמ"ש הפרטית 110 ק"ו</v>
          </cell>
          <cell r="D3307">
            <v>40976</v>
          </cell>
        </row>
        <row r="3308">
          <cell r="A3308" t="str">
            <v>79999-13</v>
          </cell>
          <cell r="B3308" t="str">
            <v>נשר רמלה</v>
          </cell>
          <cell r="C3308" t="str">
            <v>נשר רמלה-קליטת תח"כ בהספק של 76 מגוו"ט</v>
          </cell>
          <cell r="D3308">
            <v>41670</v>
          </cell>
        </row>
        <row r="3309">
          <cell r="A3309" t="str">
            <v>WBM-80015</v>
          </cell>
          <cell r="B3309" t="str">
            <v>נשר רמלה</v>
          </cell>
          <cell r="C3309" t="str">
            <v>נשר-רמלה - מערכת ויויסקון - סייבר פיילוט</v>
          </cell>
          <cell r="D3309">
            <v>44772</v>
          </cell>
        </row>
        <row r="3310">
          <cell r="A3310" t="str">
            <v>WBM-00084</v>
          </cell>
          <cell r="B3310" t="str">
            <v>נשר רמלה</v>
          </cell>
          <cell r="C3310" t="str">
            <v>נשר-רמלה - התקנת ארון ז"י 48 וולט</v>
          </cell>
          <cell r="D3310">
            <v>41428</v>
          </cell>
        </row>
        <row r="3311">
          <cell r="A3311">
            <v>530103</v>
          </cell>
          <cell r="B3311" t="str">
            <v>נשר רמלה</v>
          </cell>
          <cell r="C3311" t="str">
            <v>נשר רמלה-התקנת תמסורת תפעולית</v>
          </cell>
          <cell r="D3311">
            <v>41402</v>
          </cell>
        </row>
        <row r="3312">
          <cell r="A3312" t="str">
            <v>WBM-10315-069</v>
          </cell>
          <cell r="B3312" t="str">
            <v>נשר רמלה</v>
          </cell>
          <cell r="C3312" t="str">
            <v>נשר רמלה- התקנת מזגנים</v>
          </cell>
          <cell r="D3312">
            <v>45621</v>
          </cell>
        </row>
        <row r="3313">
          <cell r="A3313" t="str">
            <v>HIS-115</v>
          </cell>
          <cell r="B3313" t="str">
            <v>נצרת</v>
          </cell>
          <cell r="C3313" t="str">
            <v>נצרת</v>
          </cell>
          <cell r="D3313">
            <v>40908</v>
          </cell>
        </row>
        <row r="3314">
          <cell r="A3314" t="str">
            <v>WBE-099</v>
          </cell>
          <cell r="B3314" t="str">
            <v>נצרת</v>
          </cell>
          <cell r="C3314" t="str">
            <v>נצרת-הקמת 2 שדות מ"ע- 2, 14</v>
          </cell>
          <cell r="D3314">
            <v>46387</v>
          </cell>
        </row>
        <row r="3315">
          <cell r="A3315" t="str">
            <v>WBM-40327</v>
          </cell>
          <cell r="B3315" t="str">
            <v>נצרת</v>
          </cell>
          <cell r="C3315" t="str">
            <v>נצרת-התאמת שדות 3,9 ליכולת 2000 א'</v>
          </cell>
          <cell r="D3315">
            <v>47118</v>
          </cell>
        </row>
        <row r="3316">
          <cell r="A3316" t="str">
            <v>WBM-40314</v>
          </cell>
          <cell r="B3316" t="str">
            <v>נצרת</v>
          </cell>
          <cell r="C3316" t="str">
            <v>נצרת-החלפת משנק (1250) ליכולת 2000 א' בשדה 3</v>
          </cell>
          <cell r="D3316">
            <v>46387</v>
          </cell>
        </row>
        <row r="3317">
          <cell r="A3317" t="str">
            <v>WBM-00813</v>
          </cell>
          <cell r="B3317" t="str">
            <v>נצרת</v>
          </cell>
          <cell r="C3317" t="str">
            <v>נצרת-הכנת שדות 5+11 לציפורית ושדות 3+9</v>
          </cell>
          <cell r="D3317">
            <v>44895</v>
          </cell>
        </row>
        <row r="3318">
          <cell r="A3318" t="str">
            <v>WBM-00305</v>
          </cell>
          <cell r="B3318" t="str">
            <v>נצרת</v>
          </cell>
          <cell r="C3318" t="str">
            <v>נצרת-התקנת 4 ס"ק מודולריות, 5*2 מגווא"ר</v>
          </cell>
          <cell r="D3318">
            <v>46568</v>
          </cell>
        </row>
        <row r="3319">
          <cell r="A3319" t="str">
            <v>WBM-01156</v>
          </cell>
          <cell r="B3319" t="str">
            <v>נצרת</v>
          </cell>
          <cell r="C3319" t="str">
            <v>נצרת - בוטל-הוספת פיקוד רחוק לשנאי הארקה</v>
          </cell>
          <cell r="D3319">
            <v>42815</v>
          </cell>
        </row>
        <row r="3320">
          <cell r="A3320" t="str">
            <v>WBM-00304</v>
          </cell>
          <cell r="B3320" t="str">
            <v>נצרת</v>
          </cell>
          <cell r="C3320" t="str">
            <v>נצרת-בוטל-החלפת 2 סלילי כיבוי ל-300 א'</v>
          </cell>
          <cell r="D3320">
            <v>40501</v>
          </cell>
        </row>
        <row r="3321">
          <cell r="A3321" t="str">
            <v>WBM-10379</v>
          </cell>
          <cell r="B3321" t="str">
            <v>נצרת</v>
          </cell>
          <cell r="C3321" t="str">
            <v>נצרת-הת' תיילים-מהדקים-פורט'wbo-087</v>
          </cell>
          <cell r="D3321">
            <v>47483</v>
          </cell>
        </row>
        <row r="3322">
          <cell r="A3322" t="str">
            <v>WBM-00517</v>
          </cell>
          <cell r="B3322" t="str">
            <v>נצרת</v>
          </cell>
          <cell r="C3322" t="str">
            <v>נצרת-הזנת תאורת חירום ז"י</v>
          </cell>
          <cell r="D3322">
            <v>46190</v>
          </cell>
        </row>
        <row r="3323">
          <cell r="A3323" t="str">
            <v>WBM-40491</v>
          </cell>
          <cell r="B3323" t="str">
            <v>נצרת</v>
          </cell>
          <cell r="C3323" t="str">
            <v>נצרת - בניית 2 מסדרי GIS 24</v>
          </cell>
          <cell r="D3323">
            <v>46568</v>
          </cell>
        </row>
        <row r="3324">
          <cell r="A3324" t="str">
            <v>WBM-40122</v>
          </cell>
          <cell r="B3324" t="str">
            <v>נצרת</v>
          </cell>
          <cell r="C3324" t="str">
            <v>נצרת - החלפת ציוד במסדר 161 ק"ו</v>
          </cell>
          <cell r="D3324">
            <v>46203</v>
          </cell>
        </row>
        <row r="3325">
          <cell r="A3325" t="str">
            <v>WBM-10213</v>
          </cell>
          <cell r="B3325" t="str">
            <v>נצרת</v>
          </cell>
          <cell r="C3325" t="str">
            <v>נצרת-החלפת הגנת פ"צ קיימת בהגנה חדשה והו</v>
          </cell>
          <cell r="D3325">
            <v>46356</v>
          </cell>
        </row>
        <row r="3326">
          <cell r="A3326" t="str">
            <v>WBM-01324</v>
          </cell>
          <cell r="B3326" t="str">
            <v>נצרת</v>
          </cell>
          <cell r="C3326" t="str">
            <v>החלפת רושם הפרעות INDACTIC ברושם RT</v>
          </cell>
          <cell r="D3326">
            <v>46418</v>
          </cell>
        </row>
        <row r="3327">
          <cell r="A3327" t="str">
            <v>WBM-10186</v>
          </cell>
          <cell r="B3327" t="str">
            <v>נצרת</v>
          </cell>
          <cell r="C3327" t="str">
            <v>נצרת - משיק לגבעת אלה.הגנה לדיפ.+תק (ש3)</v>
          </cell>
          <cell r="D3327">
            <v>45291</v>
          </cell>
        </row>
        <row r="3328">
          <cell r="A3328" t="str">
            <v>WBM-10257</v>
          </cell>
          <cell r="B3328" t="str">
            <v>נצרת</v>
          </cell>
          <cell r="C3328" t="str">
            <v>נצרת-משיק א.תבור5,הח. הגנה בדיפ+מ.,ש' 14</v>
          </cell>
          <cell r="D3328">
            <v>45366</v>
          </cell>
        </row>
        <row r="3329">
          <cell r="A3329" t="str">
            <v>WBM-10235</v>
          </cell>
          <cell r="B3329" t="str">
            <v>נצרת</v>
          </cell>
          <cell r="C3329" t="str">
            <v>נצרת-משיק א.תבור6,החלפת הגנה בדיפ.,ש' 13</v>
          </cell>
          <cell r="D3329">
            <v>45381</v>
          </cell>
        </row>
        <row r="3330">
          <cell r="A3330" t="str">
            <v>WBM-10256</v>
          </cell>
          <cell r="B3330" t="str">
            <v>נצרת</v>
          </cell>
          <cell r="C3330" t="str">
            <v>נצרת-משיק א.תבור 4, הת. הגנת מרחק+ד.ש2</v>
          </cell>
          <cell r="D3330">
            <v>46265</v>
          </cell>
        </row>
        <row r="3331">
          <cell r="A3331" t="str">
            <v>WBM-10293</v>
          </cell>
          <cell r="B3331" t="str">
            <v>נצרת</v>
          </cell>
          <cell r="C3331" t="str">
            <v>נצרת-התאמת תיילים-מהדקים-פורטל'W BO-067</v>
          </cell>
          <cell r="D3331">
            <v>45008</v>
          </cell>
        </row>
        <row r="3332">
          <cell r="A3332" t="str">
            <v>WBM-10292</v>
          </cell>
          <cell r="B3332" t="str">
            <v>נצרת</v>
          </cell>
          <cell r="C3332" t="str">
            <v>נצרת-התאמת תיילים-מהדקים-פורטל'W BO-069</v>
          </cell>
          <cell r="D3332">
            <v>44899</v>
          </cell>
        </row>
        <row r="3333">
          <cell r="A3333" t="str">
            <v>WBM-10297</v>
          </cell>
          <cell r="B3333" t="str">
            <v>נצרת</v>
          </cell>
          <cell r="C3333" t="str">
            <v>נצרת-התאמת תיילים-מהדקים-פורטל'W BO-055</v>
          </cell>
          <cell r="D3333">
            <v>44899</v>
          </cell>
        </row>
        <row r="3334">
          <cell r="A3334" t="str">
            <v>WBM-10313</v>
          </cell>
          <cell r="B3334" t="str">
            <v>נצרת</v>
          </cell>
          <cell r="C3334" t="str">
            <v>נצרת-משיק לציפורית ש5-החלפת הגנה שדה 11</v>
          </cell>
          <cell r="D3334">
            <v>44895</v>
          </cell>
        </row>
        <row r="3335">
          <cell r="A3335" t="str">
            <v>WBM-01107</v>
          </cell>
          <cell r="B3335" t="str">
            <v>נצרת</v>
          </cell>
          <cell r="C3335" t="str">
            <v>נצרת-התקנת 2 מאצרות שמן זמנית</v>
          </cell>
          <cell r="D3335">
            <v>43728</v>
          </cell>
        </row>
        <row r="3336">
          <cell r="A3336" t="str">
            <v>WBM-01120</v>
          </cell>
          <cell r="B3336" t="str">
            <v>נצרת</v>
          </cell>
          <cell r="C3336" t="str">
            <v>נצרת -שיפור אוטומטציה של סלילי כיבוי</v>
          </cell>
          <cell r="D3336">
            <v>43055</v>
          </cell>
        </row>
        <row r="3337">
          <cell r="A3337" t="str">
            <v>WBM-00700</v>
          </cell>
          <cell r="B3337" t="str">
            <v>נצרת</v>
          </cell>
          <cell r="C3337" t="str">
            <v>נצרת-התאמת מערכת מים לגילוי אש למכ"ר.</v>
          </cell>
          <cell r="D3337">
            <v>41751</v>
          </cell>
        </row>
        <row r="3338">
          <cell r="A3338" t="str">
            <v>WBG-076-023</v>
          </cell>
          <cell r="B3338" t="str">
            <v>נצרת</v>
          </cell>
          <cell r="C3338" t="str">
            <v>נצרת-החלפת מגיני ברק מ"ג  של השנאים</v>
          </cell>
          <cell r="D3338">
            <v>41228</v>
          </cell>
        </row>
        <row r="3339">
          <cell r="A3339">
            <v>523136</v>
          </cell>
          <cell r="B3339" t="str">
            <v>נצרת</v>
          </cell>
          <cell r="C3339" t="str">
            <v>נצרת-התקנת מערכת טמ"ס</v>
          </cell>
          <cell r="D3339">
            <v>41149</v>
          </cell>
        </row>
        <row r="3340">
          <cell r="A3340" t="str">
            <v>WBG-076-002</v>
          </cell>
          <cell r="B3340" t="str">
            <v>נצרת</v>
          </cell>
          <cell r="C3340" t="str">
            <v>נצרת-תיקון או החלפת משאבת מים</v>
          </cell>
          <cell r="D3340">
            <v>41091</v>
          </cell>
        </row>
        <row r="3341">
          <cell r="A3341" t="str">
            <v>WBM-01239</v>
          </cell>
          <cell r="B3341" t="str">
            <v>נצרת</v>
          </cell>
          <cell r="C3341" t="str">
            <v>נצרת -בוטל-מאצרות שמן קבעות לשנאים</v>
          </cell>
          <cell r="D3341">
            <v>42902</v>
          </cell>
        </row>
        <row r="3342">
          <cell r="A3342" t="str">
            <v>WBM-40118</v>
          </cell>
          <cell r="B3342" t="str">
            <v>נצרת</v>
          </cell>
          <cell r="C3342" t="str">
            <v>נצרת -בוטל-החלפת טרפוגרד בשדות 6,.10</v>
          </cell>
          <cell r="D3342">
            <v>44864</v>
          </cell>
        </row>
        <row r="3343">
          <cell r="A3343" t="str">
            <v>WBM-40119</v>
          </cell>
          <cell r="B3343" t="str">
            <v>נצרת</v>
          </cell>
          <cell r="C3343" t="str">
            <v>נצרת - בוטל-החלפת משנה מתח ומפסקים</v>
          </cell>
          <cell r="D3343">
            <v>43115</v>
          </cell>
        </row>
        <row r="3344">
          <cell r="A3344" t="str">
            <v>WBM-40121</v>
          </cell>
          <cell r="B3344" t="str">
            <v>נצרת</v>
          </cell>
          <cell r="C3344" t="str">
            <v>נצרת - בוטל-החלפת משנה זרם ומשנה מתח</v>
          </cell>
          <cell r="D3344">
            <v>43115</v>
          </cell>
        </row>
        <row r="3345">
          <cell r="A3345" t="str">
            <v>WBM-10177</v>
          </cell>
          <cell r="B3345" t="str">
            <v>נצרת</v>
          </cell>
          <cell r="C3345" t="str">
            <v>נצרת -בוטל-משיק לציפורית.הגנ.דיפ.+(ש5)</v>
          </cell>
          <cell r="D3345">
            <v>44176</v>
          </cell>
        </row>
        <row r="3346">
          <cell r="A3346" t="str">
            <v>WBM-40274</v>
          </cell>
          <cell r="B3346" t="str">
            <v>נצרת</v>
          </cell>
          <cell r="C3346" t="str">
            <v>נצרת - בוטל-החלפת ההגנה הקיימת</v>
          </cell>
          <cell r="D3346">
            <v>43405</v>
          </cell>
        </row>
        <row r="3347">
          <cell r="A3347" t="str">
            <v>WBM-00083</v>
          </cell>
          <cell r="B3347" t="str">
            <v>נצרת</v>
          </cell>
          <cell r="C3347" t="str">
            <v>נצרת-בוטל-ישום הפרדת הפסקת שנאים 521,522</v>
          </cell>
          <cell r="D3347">
            <v>39259</v>
          </cell>
        </row>
        <row r="3348">
          <cell r="A3348" t="str">
            <v>WBM-00518</v>
          </cell>
          <cell r="B3348" t="str">
            <v>נצרת</v>
          </cell>
          <cell r="C3348" t="str">
            <v>נצרת-בוטל שיפור מערכת הארקה בתחמ"ש</v>
          </cell>
          <cell r="D3348">
            <v>39798</v>
          </cell>
        </row>
        <row r="3349">
          <cell r="A3349" t="str">
            <v>WBG-068-011</v>
          </cell>
          <cell r="B3349" t="str">
            <v>נצרת</v>
          </cell>
          <cell r="C3349" t="str">
            <v>נצרת-החלפת רכזת התראה בטחונית</v>
          </cell>
          <cell r="D3349">
            <v>39690</v>
          </cell>
        </row>
        <row r="3350">
          <cell r="A3350" t="str">
            <v>WBG-076-008</v>
          </cell>
          <cell r="B3350" t="str">
            <v>נצרת</v>
          </cell>
          <cell r="C3350" t="str">
            <v>נצרת-שינויים בחיווט רושם הפרעות קיים</v>
          </cell>
          <cell r="D3350">
            <v>38717</v>
          </cell>
        </row>
        <row r="3351">
          <cell r="A3351">
            <v>523132</v>
          </cell>
          <cell r="B3351" t="str">
            <v>נצרת</v>
          </cell>
          <cell r="C3351" t="str">
            <v>נצרת-התקנת מאווררים בארונות פיקוד והגנה</v>
          </cell>
          <cell r="D3351">
            <v>40311</v>
          </cell>
        </row>
        <row r="3352">
          <cell r="A3352" t="str">
            <v>WBE-160</v>
          </cell>
          <cell r="B3352" t="str">
            <v>נצרת</v>
          </cell>
          <cell r="C3352" t="str">
            <v>נצרת -בוטל- מאצרת שמן משותפת ל-2 שנאים</v>
          </cell>
          <cell r="D3352">
            <v>44538</v>
          </cell>
        </row>
        <row r="3353">
          <cell r="A3353" t="str">
            <v>WBM-40479-027</v>
          </cell>
          <cell r="B3353" t="str">
            <v>נצרת</v>
          </cell>
          <cell r="C3353" t="str">
            <v>נצרת- החלפת 2 בקרי טמפ' וגובה שמן בשנאי</v>
          </cell>
          <cell r="D3353">
            <v>46904</v>
          </cell>
        </row>
        <row r="3354">
          <cell r="A3354" t="str">
            <v>WBM-60008-091</v>
          </cell>
          <cell r="B3354" t="str">
            <v>נצרת</v>
          </cell>
          <cell r="C3354" t="str">
            <v>נצרת - התקנת מערכת מיגון בתחמש</v>
          </cell>
          <cell r="D3354">
            <v>46752</v>
          </cell>
        </row>
        <row r="3355">
          <cell r="A3355" t="str">
            <v>WBM-60088-051</v>
          </cell>
          <cell r="B3355" t="str">
            <v>נצרת</v>
          </cell>
          <cell r="C3355" t="str">
            <v>נצרת - מאצרה משותפת ל-2 שנאים</v>
          </cell>
          <cell r="D3355">
            <v>46022</v>
          </cell>
        </row>
        <row r="3356">
          <cell r="A3356" t="str">
            <v>WBM-60107-042</v>
          </cell>
          <cell r="B3356" t="str">
            <v>נצרת</v>
          </cell>
          <cell r="C3356" t="str">
            <v>נצרת - החלפת מנעולים אלק.מגנטיים באלק.מכ</v>
          </cell>
          <cell r="D3356">
            <v>45664</v>
          </cell>
        </row>
        <row r="3357">
          <cell r="A3357" t="str">
            <v>WBM-60118-012</v>
          </cell>
          <cell r="B3357" t="str">
            <v>נצרת</v>
          </cell>
          <cell r="C3357" t="str">
            <v>נצרת - שיפור מערכת הארקה</v>
          </cell>
          <cell r="D3357">
            <v>46721</v>
          </cell>
        </row>
        <row r="3358">
          <cell r="A3358" t="str">
            <v>WBM-00885-124</v>
          </cell>
          <cell r="B3358" t="str">
            <v>נצרת</v>
          </cell>
          <cell r="C3358" t="str">
            <v>נצרת - תיקון משאבת מים ומאגר מים</v>
          </cell>
          <cell r="D3358">
            <v>46751</v>
          </cell>
        </row>
        <row r="3359">
          <cell r="A3359" t="str">
            <v>WBM-60130-034</v>
          </cell>
          <cell r="B3359" t="str">
            <v>נצרת</v>
          </cell>
          <cell r="C3359" t="str">
            <v>נצרת - התקנת מפסק פטריה להפסקת מערכת החשמל בחירום</v>
          </cell>
          <cell r="D3359">
            <v>46568</v>
          </cell>
        </row>
        <row r="3360">
          <cell r="A3360" t="str">
            <v>WBM-60205-043</v>
          </cell>
          <cell r="B3360" t="str">
            <v>נצרת</v>
          </cell>
          <cell r="C3360" t="str">
            <v>נצרת - ניטור הצפות</v>
          </cell>
          <cell r="D3360">
            <v>46175</v>
          </cell>
        </row>
        <row r="3361">
          <cell r="A3361" t="str">
            <v>WBM-00885-163</v>
          </cell>
          <cell r="B3361" t="str">
            <v>נצרת</v>
          </cell>
          <cell r="C3361" t="str">
            <v>נצרת - החלפת מזח בתחמ"ש</v>
          </cell>
          <cell r="D3361">
            <v>46112</v>
          </cell>
        </row>
        <row r="3362">
          <cell r="A3362" t="str">
            <v>WBM-10799</v>
          </cell>
          <cell r="B3362" t="str">
            <v>נצרת</v>
          </cell>
          <cell r="C3362" t="str">
            <v>נצרת - החלפת לוחות חלוקה 220 ו-60 וולט, 220 וולט אל-פסק, מטען ואל-פסק</v>
          </cell>
          <cell r="D3362">
            <v>46203</v>
          </cell>
        </row>
        <row r="3363">
          <cell r="A3363" t="str">
            <v>WBM-10801</v>
          </cell>
          <cell r="B3363" t="str">
            <v>נצרת</v>
          </cell>
          <cell r="C3363" t="str">
            <v>בוטל- תחמ"ש נצרת-החלפת לוחות חלוקה 220 ו-60 וולט, 220 וולט אל-פסק, מטען ואל-פסק</v>
          </cell>
          <cell r="D3363">
            <v>46047</v>
          </cell>
        </row>
        <row r="3364">
          <cell r="A3364" t="str">
            <v>WBM-60131-014</v>
          </cell>
          <cell r="B3364" t="str">
            <v>נצרת</v>
          </cell>
          <cell r="C3364" t="str">
            <v>נצרת - טיפול באופיין מים</v>
          </cell>
          <cell r="D3364">
            <v>46203</v>
          </cell>
        </row>
        <row r="3365">
          <cell r="A3365" t="str">
            <v>WBE-099-ST1</v>
          </cell>
          <cell r="B3365" t="str">
            <v>נצרת</v>
          </cell>
          <cell r="C3365" t="str">
            <v>נצרת-הקמת 2 שדות מ"ע- 2, 14 לאלון תבור  - שלב ראשון</v>
          </cell>
          <cell r="D3365">
            <v>45869</v>
          </cell>
        </row>
        <row r="3366">
          <cell r="A3366" t="str">
            <v>WBE-099-ST2</v>
          </cell>
          <cell r="B3366" t="str">
            <v>נצרת</v>
          </cell>
          <cell r="C3366" t="str">
            <v>נצרת - חשמול שדה מס' 2</v>
          </cell>
          <cell r="D3366">
            <v>46387</v>
          </cell>
        </row>
        <row r="3367">
          <cell r="A3367" t="str">
            <v>WBM-40491-ST1</v>
          </cell>
          <cell r="B3367" t="str">
            <v>נצרת</v>
          </cell>
          <cell r="C3367" t="str">
            <v>נצרת - העתקת מסדרי אפס של שנאים 521, 522.</v>
          </cell>
          <cell r="D3367">
            <v>46387</v>
          </cell>
        </row>
        <row r="3368">
          <cell r="A3368" t="str">
            <v>WBM-40491-ST2</v>
          </cell>
          <cell r="B3368" t="str">
            <v>נצרת</v>
          </cell>
          <cell r="C3368" t="str">
            <v>נצרת - בניית 2 מסדרי GIS 24 עבור שנאים 523, 524.</v>
          </cell>
          <cell r="D3368">
            <v>46568</v>
          </cell>
        </row>
        <row r="3369">
          <cell r="A3369" t="str">
            <v>HIS-114</v>
          </cell>
          <cell r="B3369" t="str">
            <v>נעמן</v>
          </cell>
          <cell r="C3369" t="str">
            <v>נעמן</v>
          </cell>
          <cell r="D3369">
            <v>40908</v>
          </cell>
        </row>
        <row r="3370">
          <cell r="A3370" t="str">
            <v>WBE-255</v>
          </cell>
          <cell r="B3370" t="str">
            <v>נעמן</v>
          </cell>
          <cell r="C3370" t="str">
            <v>נעמן - החלפת שנאי 524 מ-33 ל-50 מגוו"א, והתאמת הציוד בשדה 7 לז"ק 50 ק"א</v>
          </cell>
          <cell r="D3370">
            <v>45686</v>
          </cell>
        </row>
        <row r="3371">
          <cell r="A3371" t="str">
            <v>WDB-04COM9</v>
          </cell>
          <cell r="B3371" t="str">
            <v>נעמן</v>
          </cell>
          <cell r="C3371" t="str">
            <v>נעמן-הנחת כבל אופטי בין תיל OPGW לח"פ</v>
          </cell>
          <cell r="D3371">
            <v>41364</v>
          </cell>
        </row>
        <row r="3372">
          <cell r="A3372" t="str">
            <v>WBM-40315</v>
          </cell>
          <cell r="B3372" t="str">
            <v>נעמן</v>
          </cell>
          <cell r="C3372" t="str">
            <v>נעמן-התאמת שדה 11 ליכולת 1440 א'</v>
          </cell>
          <cell r="D3372">
            <v>46295</v>
          </cell>
        </row>
        <row r="3373">
          <cell r="A3373" t="str">
            <v>WBM-10211</v>
          </cell>
          <cell r="B3373" t="str">
            <v>נעמן</v>
          </cell>
          <cell r="C3373" t="str">
            <v>נעמן-התאמת שדה 2 ל- 1250 א' ושדה 9 ל- 1440 א'.התאמת הציוד המותקן ליכולת 50 ק"א</v>
          </cell>
          <cell r="D3373">
            <v>46356</v>
          </cell>
        </row>
        <row r="3374">
          <cell r="A3374" t="str">
            <v>WBM-00081</v>
          </cell>
          <cell r="B3374" t="str">
            <v>נעמן</v>
          </cell>
          <cell r="C3374" t="str">
            <v>נעמן-הרחבת מערכת SCS במסדר 161 ק"ו</v>
          </cell>
          <cell r="D3374">
            <v>43031</v>
          </cell>
        </row>
        <row r="3375">
          <cell r="A3375">
            <v>521151</v>
          </cell>
          <cell r="B3375" t="str">
            <v>נעמן</v>
          </cell>
          <cell r="C3375" t="str">
            <v>נעמן-התקנת מאווררים בארונות פיקוד</v>
          </cell>
          <cell r="D3375">
            <v>40311</v>
          </cell>
        </row>
        <row r="3376">
          <cell r="A3376" t="str">
            <v>WBM-01042</v>
          </cell>
          <cell r="B3376" t="str">
            <v>נעמן</v>
          </cell>
          <cell r="C3376" t="str">
            <v>נעמן-בוטל-התקנת מעקה בטיחות</v>
          </cell>
          <cell r="D3376">
            <v>42331</v>
          </cell>
        </row>
        <row r="3377">
          <cell r="A3377">
            <v>521158</v>
          </cell>
          <cell r="B3377" t="str">
            <v>נעמן</v>
          </cell>
          <cell r="C3377" t="str">
            <v>נעמן-החלפת גשרי דיודות</v>
          </cell>
          <cell r="D3377">
            <v>41820</v>
          </cell>
        </row>
        <row r="3378">
          <cell r="A3378" t="str">
            <v>WBM-01378</v>
          </cell>
          <cell r="B3378" t="str">
            <v>נעמן</v>
          </cell>
          <cell r="C3378" t="str">
            <v>נעמן -החלפת הגנה דיפרנציאלית בשדה 1</v>
          </cell>
          <cell r="D3378">
            <v>43807</v>
          </cell>
        </row>
        <row r="3379">
          <cell r="A3379" t="str">
            <v>WBG-075-024</v>
          </cell>
          <cell r="B3379" t="str">
            <v>נעמן</v>
          </cell>
          <cell r="C3379" t="str">
            <v>נעמן-החלפת רכזת התראה בטחונית</v>
          </cell>
          <cell r="D3379">
            <v>39537</v>
          </cell>
        </row>
        <row r="3380">
          <cell r="A3380" t="str">
            <v>WBM-00516</v>
          </cell>
          <cell r="B3380" t="str">
            <v>נעמן</v>
          </cell>
          <cell r="C3380" t="str">
            <v>נעמן-בוטל-שדרוג מפסקי זרם מ"ג</v>
          </cell>
          <cell r="D3380">
            <v>41421</v>
          </cell>
        </row>
        <row r="3381">
          <cell r="A3381" t="str">
            <v>WBM-00513</v>
          </cell>
          <cell r="B3381" t="str">
            <v>נעמן</v>
          </cell>
          <cell r="C3381" t="str">
            <v>נעמן-בוטל-חיבור פ"צ מ"ג לרושם הפרעות</v>
          </cell>
          <cell r="D3381">
            <v>41249</v>
          </cell>
        </row>
        <row r="3382">
          <cell r="A3382" t="str">
            <v>WBG-075-029</v>
          </cell>
          <cell r="B3382" t="str">
            <v>נעמן</v>
          </cell>
          <cell r="C3382" t="str">
            <v>נעמן-הקמת טבעת om 40</v>
          </cell>
          <cell r="D3382">
            <v>41633</v>
          </cell>
        </row>
        <row r="3383">
          <cell r="A3383" t="str">
            <v>WBM-00879</v>
          </cell>
          <cell r="B3383" t="str">
            <v>נעמן</v>
          </cell>
          <cell r="C3383" t="str">
            <v>נעמן-בוטל-החלפת מבודדים קרמיים</v>
          </cell>
          <cell r="D3383">
            <v>42490</v>
          </cell>
        </row>
        <row r="3384">
          <cell r="A3384" t="str">
            <v>WBM-01323</v>
          </cell>
          <cell r="B3384" t="str">
            <v>נעמן</v>
          </cell>
          <cell r="C3384" t="str">
            <v>נעמן - החלפת רושם הפרעות INDACTIC</v>
          </cell>
          <cell r="D3384">
            <v>46387</v>
          </cell>
        </row>
        <row r="3385">
          <cell r="A3385" t="str">
            <v>WBM-40173</v>
          </cell>
          <cell r="B3385" t="str">
            <v>נעמן</v>
          </cell>
          <cell r="C3385" t="str">
            <v>נעמן- החלפת ציוד בשדות 8, 10, 12, 15, 19 והתאמתם לז"ק 50 ק"א</v>
          </cell>
          <cell r="D3385">
            <v>46752</v>
          </cell>
        </row>
        <row r="3386">
          <cell r="A3386" t="str">
            <v>WBM-40234</v>
          </cell>
          <cell r="B3386" t="str">
            <v>נעמן</v>
          </cell>
          <cell r="C3386" t="str">
            <v>נעמן- החלפת ציוד בשדות 1,3,4,6,13-14 להתאמה לז"ק 50 ק"א.</v>
          </cell>
          <cell r="D3386">
            <v>46387</v>
          </cell>
        </row>
        <row r="3387">
          <cell r="A3387" t="str">
            <v>WBM-10442</v>
          </cell>
          <cell r="B3387" t="str">
            <v>נעמן</v>
          </cell>
          <cell r="C3387" t="str">
            <v>נעמן-משיק לאבליים ש7, החלפת הגנה לדיפרנציאלית ש4</v>
          </cell>
          <cell r="D3387">
            <v>45991</v>
          </cell>
        </row>
        <row r="3388">
          <cell r="A3388" t="str">
            <v>WBM-10458</v>
          </cell>
          <cell r="B3388" t="str">
            <v>נעמן</v>
          </cell>
          <cell r="C3388" t="str">
            <v>נעמן-בוטל-משיק תה"ר עכו-יישום תקש.אופט. ש15</v>
          </cell>
        </row>
        <row r="3389">
          <cell r="A3389" t="str">
            <v>WBM-40476</v>
          </cell>
          <cell r="B3389" t="str">
            <v>נעמן</v>
          </cell>
          <cell r="C3389" t="str">
            <v>נעמן- שדרוג מערכת חלוקות</v>
          </cell>
          <cell r="D3389">
            <v>46356</v>
          </cell>
        </row>
        <row r="3390">
          <cell r="A3390" t="str">
            <v>WBM-10032</v>
          </cell>
          <cell r="B3390" t="str">
            <v>נעמן</v>
          </cell>
          <cell r="C3390" t="str">
            <v>נעמן -  החלפת שרשראות מבודדים</v>
          </cell>
          <cell r="D3390">
            <v>44718</v>
          </cell>
        </row>
        <row r="3391">
          <cell r="A3391" t="str">
            <v>WBM-01417</v>
          </cell>
          <cell r="B3391" t="str">
            <v>נעמן</v>
          </cell>
          <cell r="C3391" t="str">
            <v>נעמן-התקנת ממסר להשלת עומס בזרם בשדה 4</v>
          </cell>
          <cell r="D3391">
            <v>44602</v>
          </cell>
        </row>
        <row r="3392">
          <cell r="A3392" t="str">
            <v>WBM-60037</v>
          </cell>
          <cell r="B3392" t="str">
            <v>נעמן</v>
          </cell>
          <cell r="C3392" t="str">
            <v>נעמן - החלפת מערכות גילוי אש</v>
          </cell>
          <cell r="D3392">
            <v>44598</v>
          </cell>
        </row>
        <row r="3393">
          <cell r="A3393" t="str">
            <v>WBM-01188</v>
          </cell>
          <cell r="B3393" t="str">
            <v>נעמן</v>
          </cell>
          <cell r="C3393" t="str">
            <v>נעמן- החלפת 2 מסדרי מ"ג</v>
          </cell>
          <cell r="D3393">
            <v>44269</v>
          </cell>
        </row>
        <row r="3394">
          <cell r="A3394" t="str">
            <v>WBM-60046</v>
          </cell>
          <cell r="B3394" t="str">
            <v>נעמן</v>
          </cell>
          <cell r="C3394" t="str">
            <v>נעמן - עיגון ארונות פיקוד והגנה</v>
          </cell>
          <cell r="D3394">
            <v>44150</v>
          </cell>
        </row>
        <row r="3395">
          <cell r="A3395" t="str">
            <v>WBM-01355</v>
          </cell>
          <cell r="B3395" t="str">
            <v>נעמן</v>
          </cell>
          <cell r="C3395" t="str">
            <v>נעמן -שיפור אוטומטיקת סלילי כיבוי בתחמ"ש</v>
          </cell>
          <cell r="D3395">
            <v>43948</v>
          </cell>
        </row>
        <row r="3396">
          <cell r="A3396" t="str">
            <v>WBM-00931</v>
          </cell>
          <cell r="B3396" t="str">
            <v>נעמן</v>
          </cell>
          <cell r="C3396" t="str">
            <v>נעמן-החלפת הגנת מרחק שניה לנהריה</v>
          </cell>
          <cell r="D3396">
            <v>43830</v>
          </cell>
        </row>
        <row r="3397">
          <cell r="A3397" t="str">
            <v>WBM-00082</v>
          </cell>
          <cell r="B3397" t="str">
            <v>נעמן</v>
          </cell>
          <cell r="C3397" t="str">
            <v>נעמן-התאמת מערכת המים כיבוי אש לד.מכ"ר.</v>
          </cell>
          <cell r="D3397">
            <v>42330</v>
          </cell>
        </row>
        <row r="3398">
          <cell r="A3398" t="str">
            <v>WBG-075-021</v>
          </cell>
          <cell r="B3398" t="str">
            <v>נעמן</v>
          </cell>
          <cell r="C3398" t="str">
            <v>נעמן- הקמת טבעת  OM  30N</v>
          </cell>
          <cell r="D3398">
            <v>41270</v>
          </cell>
        </row>
        <row r="3399">
          <cell r="A3399">
            <v>521156</v>
          </cell>
          <cell r="B3399" t="str">
            <v>נעמן</v>
          </cell>
          <cell r="C3399" t="str">
            <v>נעמן-התקנת צ.קשר בין ה.מר לנעמן ולזבולון</v>
          </cell>
          <cell r="D3399">
            <v>41059</v>
          </cell>
        </row>
        <row r="3400">
          <cell r="A3400" t="str">
            <v>WBM-00976</v>
          </cell>
          <cell r="B3400" t="str">
            <v>נעמן</v>
          </cell>
          <cell r="C3400" t="str">
            <v>נעמן-עע"א-בוטל-שדה 12 הח. ה.דיפרניאלית</v>
          </cell>
          <cell r="D3400">
            <v>43100</v>
          </cell>
        </row>
        <row r="3401">
          <cell r="A3401" t="str">
            <v>WBM-00974</v>
          </cell>
          <cell r="B3401" t="str">
            <v>נעמן</v>
          </cell>
          <cell r="C3401" t="str">
            <v>נעמן-עע"א-בוטל-שדה 3 החלפת ה.דיפרנציאלית</v>
          </cell>
          <cell r="D3401">
            <v>43100</v>
          </cell>
        </row>
        <row r="3402">
          <cell r="A3402" t="str">
            <v>WBM-01133</v>
          </cell>
          <cell r="B3402" t="str">
            <v>נעמן</v>
          </cell>
          <cell r="C3402" t="str">
            <v>נעמן-בוטל-התקנת מערכת טמ"ס</v>
          </cell>
          <cell r="D3402">
            <v>42745</v>
          </cell>
        </row>
        <row r="3403">
          <cell r="A3403" t="str">
            <v>WBG-075-017-ST2</v>
          </cell>
          <cell r="B3403" t="str">
            <v>נעמן</v>
          </cell>
          <cell r="C3403" t="str">
            <v>נעמן-שינויים בחיווט רושם הפרעות קיים</v>
          </cell>
          <cell r="D3403">
            <v>38502</v>
          </cell>
        </row>
        <row r="3404">
          <cell r="A3404" t="str">
            <v>WBG-075-023</v>
          </cell>
          <cell r="B3404" t="str">
            <v>נעמן</v>
          </cell>
          <cell r="C3404" t="str">
            <v>נעמן-החלפת מגיני ברק מ"ג  של שנאים</v>
          </cell>
          <cell r="D3404">
            <v>39447</v>
          </cell>
        </row>
        <row r="3405">
          <cell r="A3405" t="str">
            <v>WBM-00514</v>
          </cell>
          <cell r="B3405" t="str">
            <v>נעמן</v>
          </cell>
          <cell r="C3405" t="str">
            <v>נעמן-בוטל שיפור מערכת הארקה בתחמ"ש</v>
          </cell>
          <cell r="D3405">
            <v>39797</v>
          </cell>
        </row>
        <row r="3406">
          <cell r="A3406" t="str">
            <v>WBM-00238</v>
          </cell>
          <cell r="B3406" t="str">
            <v>נעמן</v>
          </cell>
          <cell r="C3406" t="str">
            <v>נעמן-התאמת חיבורים לצור שלום ולקריות</v>
          </cell>
          <cell r="D3406">
            <v>41973</v>
          </cell>
        </row>
        <row r="3407">
          <cell r="A3407" t="str">
            <v>WBE-056</v>
          </cell>
          <cell r="B3407" t="str">
            <v>נעמן</v>
          </cell>
          <cell r="C3407" t="str">
            <v>נעמן-החלפת שנאים- 4 שלבים</v>
          </cell>
          <cell r="D3407">
            <v>42652</v>
          </cell>
        </row>
        <row r="3408">
          <cell r="A3408" t="str">
            <v>WBE-056-ST3</v>
          </cell>
          <cell r="B3408" t="str">
            <v>נעמן</v>
          </cell>
          <cell r="C3408" t="str">
            <v>נעמן-החלפת יסוד לשנאי 523' החלפת ס"ק 1-2</v>
          </cell>
          <cell r="D3408">
            <v>42652</v>
          </cell>
        </row>
        <row r="3409">
          <cell r="A3409" t="str">
            <v>WBE-056-ST4</v>
          </cell>
          <cell r="B3409" t="str">
            <v>נעמן</v>
          </cell>
          <cell r="C3409" t="str">
            <v>נעמן-החלפת יסוד לשנאי 524,החלפת ס"ק 3-4</v>
          </cell>
          <cell r="D3409">
            <v>42652</v>
          </cell>
        </row>
        <row r="3410">
          <cell r="A3410" t="str">
            <v>WBE-056-ST2</v>
          </cell>
          <cell r="B3410" t="str">
            <v>נעמן</v>
          </cell>
          <cell r="C3410" t="str">
            <v>נעמן-החלפת שנאי 522</v>
          </cell>
          <cell r="D3410">
            <v>42338</v>
          </cell>
        </row>
        <row r="3411">
          <cell r="A3411" t="str">
            <v>WBE-056-ST1</v>
          </cell>
          <cell r="B3411" t="str">
            <v>נעמן</v>
          </cell>
          <cell r="C3411" t="str">
            <v>נעמן-החלפת שנאים -שלב 1</v>
          </cell>
          <cell r="D3411">
            <v>42075</v>
          </cell>
        </row>
        <row r="3412">
          <cell r="A3412" t="str">
            <v>WBM-10528</v>
          </cell>
          <cell r="B3412" t="str">
            <v>נעמן</v>
          </cell>
          <cell r="C3412" t="str">
            <v>נעמן- משיק להתפלה גליל מערבי שדה 7, התקנת הגנת מרחק ויישום דרך קשר  בין הגנות בשדה 15</v>
          </cell>
          <cell r="D3412">
            <v>46173</v>
          </cell>
        </row>
        <row r="3413">
          <cell r="A3413" t="str">
            <v>WBM-10585</v>
          </cell>
          <cell r="B3413" t="str">
            <v>נעמן</v>
          </cell>
          <cell r="C3413" t="str">
            <v>נעמן- החלפת הגנת פ"צ</v>
          </cell>
          <cell r="D3413">
            <v>46387</v>
          </cell>
        </row>
        <row r="3414">
          <cell r="A3414" t="str">
            <v>WBM-40602</v>
          </cell>
          <cell r="B3414" t="str">
            <v>נעמן</v>
          </cell>
          <cell r="C3414" t="str">
            <v>נעמן - החלפת מסדר מ"ג מסוג BEU3 פ"צ 1+2</v>
          </cell>
          <cell r="D3414">
            <v>47118</v>
          </cell>
        </row>
        <row r="3415">
          <cell r="A3415" t="str">
            <v>WBM-00884-037</v>
          </cell>
          <cell r="B3415" t="str">
            <v>נעמן</v>
          </cell>
          <cell r="C3415" t="str">
            <v>נעמן - הפרדת מערכת כיבוי מגילוי ממן</v>
          </cell>
          <cell r="D3415">
            <v>46387</v>
          </cell>
        </row>
        <row r="3416">
          <cell r="A3416" t="str">
            <v>WBM-00885-059</v>
          </cell>
          <cell r="B3416" t="str">
            <v>נעמן</v>
          </cell>
          <cell r="C3416" t="str">
            <v>נעמן - החלפת שסתום מניעה חוזרת  ובדיקת ה</v>
          </cell>
          <cell r="D3416">
            <v>46387</v>
          </cell>
        </row>
        <row r="3417">
          <cell r="A3417" t="str">
            <v>WBM-00885-110</v>
          </cell>
          <cell r="B3417" t="str">
            <v>נעמן</v>
          </cell>
          <cell r="C3417" t="str">
            <v>נעמן - התקנת מיכל מים ומשאבה לכיבוי אש</v>
          </cell>
          <cell r="D3417">
            <v>46387</v>
          </cell>
        </row>
        <row r="3418">
          <cell r="A3418" t="str">
            <v>WBM-01191-003</v>
          </cell>
          <cell r="B3418" t="str">
            <v>נעמן</v>
          </cell>
          <cell r="C3418" t="str">
            <v>נעמן - החלפת טבעת 40 ל- RAD</v>
          </cell>
          <cell r="D3418">
            <v>46568</v>
          </cell>
        </row>
        <row r="3419">
          <cell r="A3419" t="str">
            <v>WBM-40295-045</v>
          </cell>
          <cell r="B3419" t="str">
            <v>נעמן</v>
          </cell>
          <cell r="C3419" t="str">
            <v>נעמן - החלפת סוללות מצברים</v>
          </cell>
          <cell r="D3419">
            <v>46387</v>
          </cell>
        </row>
        <row r="3420">
          <cell r="A3420" t="str">
            <v>WBM-60092-024</v>
          </cell>
          <cell r="B3420" t="str">
            <v>נעמן</v>
          </cell>
          <cell r="C3420" t="str">
            <v>נעמן - בדיקות/טיפול/פינוי מכלי אש בגז</v>
          </cell>
          <cell r="D3420">
            <v>46173</v>
          </cell>
        </row>
        <row r="3421">
          <cell r="A3421" t="str">
            <v>WBM-60118-010</v>
          </cell>
          <cell r="B3421" t="str">
            <v>נעמן</v>
          </cell>
          <cell r="C3421" t="str">
            <v>נעמן - שיפור מערכת הארקה</v>
          </cell>
          <cell r="D3421">
            <v>46721</v>
          </cell>
        </row>
        <row r="3422">
          <cell r="A3422" t="str">
            <v>WBM-40612</v>
          </cell>
          <cell r="B3422" t="str">
            <v>נעמן</v>
          </cell>
          <cell r="C3422" t="str">
            <v>נעמן- שדה 7, החלפת מפסק, מנתק, משנה זרם והגנות שנאי</v>
          </cell>
          <cell r="D3422">
            <v>45684</v>
          </cell>
        </row>
        <row r="3423">
          <cell r="A3423" t="str">
            <v>WBM-10634</v>
          </cell>
          <cell r="B3423" t="str">
            <v>נעמן</v>
          </cell>
          <cell r="C3423" t="str">
            <v>נעמן- הת' תיילים מהדקים בפורטל wbo-842</v>
          </cell>
          <cell r="D3423">
            <v>46934</v>
          </cell>
        </row>
        <row r="3424">
          <cell r="A3424" t="str">
            <v>WBM-10597-014</v>
          </cell>
          <cell r="B3424" t="str">
            <v>נעמן</v>
          </cell>
          <cell r="C3424" t="str">
            <v>נעמן- משיק נהריה שדה 2 -פיילוט יישום תקשורת הגנות בשדה 15</v>
          </cell>
          <cell r="D3424">
            <v>45704</v>
          </cell>
        </row>
        <row r="3425">
          <cell r="A3425" t="str">
            <v>WBM-60205-044</v>
          </cell>
          <cell r="B3425" t="str">
            <v>נעמן</v>
          </cell>
          <cell r="C3425" t="str">
            <v>נעמן - ניטור הצפות</v>
          </cell>
          <cell r="D3425">
            <v>46175</v>
          </cell>
        </row>
        <row r="3426">
          <cell r="A3426" t="str">
            <v>WBM-00885-154</v>
          </cell>
          <cell r="B3426" t="str">
            <v>נעמן</v>
          </cell>
          <cell r="C3426" t="str">
            <v>תחמ"ש נעמן -החלפת מז"ח</v>
          </cell>
          <cell r="D3426">
            <v>45818</v>
          </cell>
        </row>
        <row r="3427">
          <cell r="A3427" t="str">
            <v>WBM-10736</v>
          </cell>
          <cell r="B3427" t="str">
            <v>נעמן</v>
          </cell>
          <cell r="C3427" t="str">
            <v>נעמן-משיק לאבליים ש7, החלפת הגנות מרחק ש4.</v>
          </cell>
          <cell r="D3427">
            <v>46203</v>
          </cell>
        </row>
        <row r="3428">
          <cell r="A3428" t="str">
            <v>WBM-10740</v>
          </cell>
          <cell r="B3428" t="str">
            <v>נעמן</v>
          </cell>
          <cell r="C3428" t="str">
            <v>בוטל- נעמן 161 ק"ו , שדה 4: משיק לתחמ"ש אבליים שדה 7</v>
          </cell>
          <cell r="D3428">
            <v>43831</v>
          </cell>
        </row>
        <row r="3429">
          <cell r="A3429" t="str">
            <v>WBM-10741</v>
          </cell>
          <cell r="B3429" t="str">
            <v>נעמן</v>
          </cell>
          <cell r="C3429" t="str">
            <v>נעמן -בוטל - 161 ק"ו , שדה 4: משיק לתחמ"ש אבליים שדה 7.</v>
          </cell>
          <cell r="D3429">
            <v>43831</v>
          </cell>
        </row>
        <row r="3430">
          <cell r="A3430" t="str">
            <v>WBM-10796</v>
          </cell>
          <cell r="B3430" t="str">
            <v>נעמן</v>
          </cell>
          <cell r="C3430" t="str">
            <v>נעמן - בוטל - השלמת תכולות לא נורמטיביות לפרויקט WBE-255</v>
          </cell>
        </row>
        <row r="3431">
          <cell r="A3431" t="str">
            <v>WBM-10335</v>
          </cell>
          <cell r="B3431" t="str">
            <v>נס ציונה ארעית</v>
          </cell>
          <cell r="C3431" t="str">
            <v>נס ציונה ארעית - תיקון ושיפור מערכת חשמל</v>
          </cell>
          <cell r="D3431">
            <v>44936</v>
          </cell>
        </row>
        <row r="3432">
          <cell r="A3432" t="str">
            <v>WBM-40521-016</v>
          </cell>
          <cell r="B3432" t="str">
            <v>נס ציונה ארעית</v>
          </cell>
          <cell r="C3432" t="str">
            <v>נס ציונה - החלפת 3 שנאי הארקה</v>
          </cell>
          <cell r="D3432">
            <v>46721</v>
          </cell>
        </row>
        <row r="3433">
          <cell r="A3433" t="str">
            <v>HIS-010</v>
          </cell>
          <cell r="B3433" t="str">
            <v>נס ציונה</v>
          </cell>
          <cell r="C3433" t="str">
            <v>נס ציונה ארעית</v>
          </cell>
          <cell r="D3433">
            <v>40908</v>
          </cell>
        </row>
        <row r="3434">
          <cell r="A3434" t="str">
            <v>WBC-026-ST2</v>
          </cell>
          <cell r="B3434" t="str">
            <v>נס ציונה</v>
          </cell>
          <cell r="C3434" t="str">
            <v>נס ציונה ניידת-פירוק 2 תחמ"ש ניידות</v>
          </cell>
          <cell r="D3434">
            <v>45106</v>
          </cell>
        </row>
        <row r="3435">
          <cell r="A3435" t="str">
            <v>WBC-026</v>
          </cell>
          <cell r="B3435" t="str">
            <v>נס ציונה</v>
          </cell>
          <cell r="C3435" t="str">
            <v>נס ציונה- הקמת תחמ"ש חיצונית 161/24 ק"ו</v>
          </cell>
          <cell r="D3435">
            <v>45089</v>
          </cell>
        </row>
        <row r="3436">
          <cell r="A3436" t="str">
            <v>WBD-065</v>
          </cell>
          <cell r="B3436" t="str">
            <v>נס ציונה</v>
          </cell>
          <cell r="C3436" t="str">
            <v>נס ציונה 2 ניידת-הצבת  תחמ"ש ניידת שניה</v>
          </cell>
          <cell r="D3436">
            <v>43388</v>
          </cell>
        </row>
        <row r="3437">
          <cell r="A3437" t="str">
            <v>WBE-121</v>
          </cell>
          <cell r="B3437" t="str">
            <v>נס ציונה</v>
          </cell>
          <cell r="C3437" t="str">
            <v>נס ציונה-בוטל- התקנת שנאי שלישי</v>
          </cell>
          <cell r="D3437">
            <v>44561</v>
          </cell>
        </row>
        <row r="3438">
          <cell r="A3438" t="str">
            <v>WDA-1-PA27</v>
          </cell>
          <cell r="B3438" t="str">
            <v>נס ציונה</v>
          </cell>
          <cell r="C3438" t="str">
            <v>נס ציונה ארעית-החלפה של יחידת קצה של פיק</v>
          </cell>
          <cell r="D3438">
            <v>43008</v>
          </cell>
        </row>
        <row r="3439">
          <cell r="A3439" t="str">
            <v>WBM-00512</v>
          </cell>
          <cell r="B3439" t="str">
            <v>נס ציונה</v>
          </cell>
          <cell r="C3439" t="str">
            <v>נס ציונה ארעית-פירוק תחמ"ש ארעית</v>
          </cell>
          <cell r="D3439">
            <v>45125</v>
          </cell>
        </row>
        <row r="3440">
          <cell r="A3440" t="str">
            <v>WBM-00303</v>
          </cell>
          <cell r="B3440" t="str">
            <v>נס ציונה</v>
          </cell>
          <cell r="C3440" t="str">
            <v>נס ציונה-התקנת 3 ס"ק 5*2 מגווא"ר כ"א</v>
          </cell>
          <cell r="D3440">
            <v>47057</v>
          </cell>
        </row>
        <row r="3441">
          <cell r="A3441" t="str">
            <v>WBG-074-004</v>
          </cell>
          <cell r="B3441" t="str">
            <v>נס ציונה</v>
          </cell>
          <cell r="C3441" t="str">
            <v>נס ציונה ארעית-התקנת מערכת מניה</v>
          </cell>
          <cell r="D3441">
            <v>41263</v>
          </cell>
        </row>
        <row r="3442">
          <cell r="A3442" t="str">
            <v>WBM-40117</v>
          </cell>
          <cell r="B3442" t="str">
            <v>נס ציונה</v>
          </cell>
          <cell r="C3442" t="str">
            <v>נס ציונה ארעית- בוטל - החלפת הגנת שנאי</v>
          </cell>
          <cell r="D3442">
            <v>43115</v>
          </cell>
        </row>
        <row r="3443">
          <cell r="A3443" t="str">
            <v>WBG-074-003</v>
          </cell>
          <cell r="B3443" t="str">
            <v>נס ציונה</v>
          </cell>
          <cell r="C3443" t="str">
            <v>נס ציונה ארעית-בוטל-התקנת שעון נוכחות</v>
          </cell>
          <cell r="D3443">
            <v>39933</v>
          </cell>
        </row>
        <row r="3444">
          <cell r="A3444" t="str">
            <v>WBD-063</v>
          </cell>
          <cell r="B3444" t="str">
            <v>נס ציונה</v>
          </cell>
          <cell r="C3444" t="str">
            <v>נס ציונה ניידת-הצבת  תחמ"ש ניידת</v>
          </cell>
          <cell r="D3444">
            <v>42580</v>
          </cell>
        </row>
        <row r="3445">
          <cell r="A3445" t="str">
            <v>WBM-00885-082</v>
          </cell>
          <cell r="B3445" t="str">
            <v>נס ציונה</v>
          </cell>
          <cell r="C3445" t="str">
            <v>נס ציונה - שדרוג מערכת המים לכיבוי אש</v>
          </cell>
          <cell r="D3445">
            <v>46217</v>
          </cell>
        </row>
        <row r="3446">
          <cell r="A3446" t="str">
            <v>WBM-40479-037</v>
          </cell>
          <cell r="B3446" t="str">
            <v>נס ציונה</v>
          </cell>
          <cell r="C3446" t="str">
            <v>נס ציונה- החלפת בקר טמפ' וגובה שמן בשנאי</v>
          </cell>
          <cell r="D3446">
            <v>47299</v>
          </cell>
        </row>
        <row r="3447">
          <cell r="A3447" t="str">
            <v>WBM-10792</v>
          </cell>
          <cell r="B3447" t="str">
            <v>נס ציונה</v>
          </cell>
          <cell r="C3447" t="str">
            <v>נס ציונה- משיק לרחובות צפון שדה 1, יישום דרך קשר אופטית בין הגנות בשדה 7</v>
          </cell>
          <cell r="D3447">
            <v>46326</v>
          </cell>
        </row>
        <row r="3448">
          <cell r="A3448">
            <v>202832</v>
          </cell>
          <cell r="B3448" t="str">
            <v>נמל המפרץ -פרטית</v>
          </cell>
          <cell r="C3448" t="str">
            <v>נמל המפרץ--הקמת תחמ"ש פרטית</v>
          </cell>
          <cell r="D3448">
            <v>43805</v>
          </cell>
        </row>
        <row r="3449">
          <cell r="A3449">
            <v>438024</v>
          </cell>
          <cell r="B3449" t="str">
            <v>נמל הדרום פרטית</v>
          </cell>
          <cell r="C3449" t="str">
            <v>נמל הדרום-הקמת תחמ"ש פרטית</v>
          </cell>
          <cell r="D3449">
            <v>43920</v>
          </cell>
        </row>
        <row r="3450">
          <cell r="A3450" t="str">
            <v>HIS-174</v>
          </cell>
          <cell r="B3450" t="str">
            <v>נמל אשדוד-פרטית</v>
          </cell>
          <cell r="C3450" t="str">
            <v>נמל אשדוד-פרטית</v>
          </cell>
          <cell r="D3450">
            <v>40908</v>
          </cell>
        </row>
        <row r="3451">
          <cell r="A3451" t="str">
            <v>WBC-092</v>
          </cell>
          <cell r="B3451" t="str">
            <v>ניר צבי</v>
          </cell>
          <cell r="C3451" t="str">
            <v>ניר צבי- הקמת תחמ"ש פנימית 161/24 ק"ו</v>
          </cell>
          <cell r="D3451">
            <v>47664</v>
          </cell>
        </row>
        <row r="3452">
          <cell r="A3452" t="str">
            <v>WBD-093</v>
          </cell>
          <cell r="B3452" t="str">
            <v>ניר יצחק ניידות</v>
          </cell>
          <cell r="C3452" t="str">
            <v>ניר יצחק ניידת-הצבת ניידת תחמ"ש 20 מגוו"א</v>
          </cell>
          <cell r="D3452">
            <v>46234</v>
          </cell>
        </row>
        <row r="3453">
          <cell r="A3453" t="str">
            <v>WBD-093-ST2</v>
          </cell>
          <cell r="B3453" t="str">
            <v>ניר יצחק ניידות</v>
          </cell>
          <cell r="C3453" t="str">
            <v>ניר יצחק- פירוק תחמ"ש ניידת 20 מגוו"א</v>
          </cell>
          <cell r="D3453">
            <v>46783</v>
          </cell>
        </row>
        <row r="3454">
          <cell r="A3454" t="str">
            <v>HIS-009</v>
          </cell>
          <cell r="B3454" t="str">
            <v>ניר יצחק</v>
          </cell>
          <cell r="C3454" t="str">
            <v>ניר יצחק ארעית</v>
          </cell>
          <cell r="D3454">
            <v>40908</v>
          </cell>
        </row>
        <row r="3455">
          <cell r="A3455" t="str">
            <v>WBC-122-ST3</v>
          </cell>
          <cell r="B3455" t="str">
            <v>ניר יצחק</v>
          </cell>
          <cell r="C3455" t="str">
            <v>ניר יצחק ארעית-פירוק תחמ"ש ארעית</v>
          </cell>
          <cell r="D3455">
            <v>46782</v>
          </cell>
        </row>
        <row r="3456">
          <cell r="A3456" t="str">
            <v>WBC-122</v>
          </cell>
          <cell r="B3456" t="str">
            <v>ניר יצחק</v>
          </cell>
          <cell r="C3456" t="str">
            <v>ניר יצחק-הקמת תחמ"ש חיצונית ו- 2 שלבים</v>
          </cell>
          <cell r="D3456">
            <v>46691</v>
          </cell>
        </row>
        <row r="3457">
          <cell r="A3457" t="str">
            <v>WBC-122-ST2</v>
          </cell>
          <cell r="B3457" t="str">
            <v>ניר יצחק</v>
          </cell>
          <cell r="C3457" t="str">
            <v>ניר יצחק-הקמת תחמ"ש חיצונית 161/24 ק"ו</v>
          </cell>
          <cell r="D3457">
            <v>46691</v>
          </cell>
        </row>
        <row r="3458">
          <cell r="A3458" t="str">
            <v>WBC-122-ST1</v>
          </cell>
          <cell r="B3458" t="str">
            <v>ניר יצחק</v>
          </cell>
          <cell r="C3458" t="str">
            <v>ניר יצחק-קידום סטטוטורי</v>
          </cell>
          <cell r="D3458">
            <v>45515</v>
          </cell>
        </row>
        <row r="3459">
          <cell r="A3459" t="str">
            <v>WBE-207</v>
          </cell>
          <cell r="B3459" t="str">
            <v>ניר יצחק</v>
          </cell>
          <cell r="C3459" t="str">
            <v>ניר יצחק-בוטל - שולב ב WBC-122,התקנת 2 שנאים 161/24 50מו"א כ"א</v>
          </cell>
        </row>
        <row r="3460">
          <cell r="A3460" t="str">
            <v>WDA-1-PA26</v>
          </cell>
          <cell r="B3460" t="str">
            <v>ניר יצחק</v>
          </cell>
          <cell r="C3460" t="str">
            <v>ניר יצחק ארעית-החלפה של יחידת קצה של פיק</v>
          </cell>
          <cell r="D3460">
            <v>42520</v>
          </cell>
        </row>
        <row r="3461">
          <cell r="A3461" t="str">
            <v>WBM-10140</v>
          </cell>
          <cell r="B3461" t="str">
            <v>ניר יצחק</v>
          </cell>
          <cell r="C3461" t="str">
            <v>ניר יצחק - התקנת מתמרים ב-1 פ"צ</v>
          </cell>
          <cell r="D3461">
            <v>46386</v>
          </cell>
        </row>
        <row r="3462">
          <cell r="A3462" t="str">
            <v>WBM-40116</v>
          </cell>
          <cell r="B3462" t="str">
            <v>ניר יצחק</v>
          </cell>
          <cell r="C3462" t="str">
            <v>ניר יצחק ארעית-החלפת הגנ.מ"ג והג.שנאי</v>
          </cell>
          <cell r="D3462">
            <v>46203</v>
          </cell>
        </row>
        <row r="3463">
          <cell r="A3463" t="str">
            <v>WBM-60005</v>
          </cell>
          <cell r="B3463" t="str">
            <v>ניר יצחק</v>
          </cell>
          <cell r="C3463" t="str">
            <v>ניר יצחק - התקנת מאצרת שמן זמנית לשנאי</v>
          </cell>
          <cell r="D3463">
            <v>43888</v>
          </cell>
        </row>
        <row r="3464">
          <cell r="A3464" t="str">
            <v>WBM-01119</v>
          </cell>
          <cell r="B3464" t="str">
            <v>ניר יצחק</v>
          </cell>
          <cell r="C3464" t="str">
            <v>ניר יצחק ארעית- מיגון התחמ"ש</v>
          </cell>
          <cell r="D3464">
            <v>43569</v>
          </cell>
        </row>
        <row r="3465">
          <cell r="A3465" t="str">
            <v>WBG-072-005</v>
          </cell>
          <cell r="B3465" t="str">
            <v>ניר יצחק</v>
          </cell>
          <cell r="C3465" t="str">
            <v>ניר יצחק ארעית-התקנת מערכת מניה</v>
          </cell>
          <cell r="D3465">
            <v>41486</v>
          </cell>
        </row>
        <row r="3466">
          <cell r="A3466">
            <v>534505</v>
          </cell>
          <cell r="B3466" t="str">
            <v>ניר יצחק</v>
          </cell>
          <cell r="C3466" t="str">
            <v>ניר יצחק ארעית-התקנת מערכת התראה ביטחוני</v>
          </cell>
          <cell r="D3466">
            <v>39902</v>
          </cell>
        </row>
        <row r="3467">
          <cell r="A3467">
            <v>534511</v>
          </cell>
          <cell r="B3467" t="str">
            <v>ניר יצחק</v>
          </cell>
          <cell r="C3467" t="str">
            <v>ניר יצחק ארעית-התקנת מערכת טמ"ס</v>
          </cell>
          <cell r="D3467">
            <v>41090</v>
          </cell>
        </row>
        <row r="3468">
          <cell r="A3468" t="str">
            <v>WBM-00885-116</v>
          </cell>
          <cell r="B3468" t="str">
            <v>ניר יצחק</v>
          </cell>
          <cell r="C3468" t="str">
            <v>ניר יצחק-התאמת מע' המים לכיבוי אש</v>
          </cell>
          <cell r="D3468">
            <v>46387</v>
          </cell>
        </row>
        <row r="3469">
          <cell r="A3469" t="str">
            <v>WBM-60116-013</v>
          </cell>
          <cell r="B3469" t="str">
            <v>ניר יצחק</v>
          </cell>
          <cell r="C3469" t="str">
            <v>ניר יצחק - ביטול - שידרוג גלאים בתחנות משנה ומית</v>
          </cell>
        </row>
        <row r="3470">
          <cell r="A3470" t="str">
            <v>HIS-173</v>
          </cell>
          <cell r="B3470" t="str">
            <v>נילית-פרטית</v>
          </cell>
          <cell r="C3470" t="str">
            <v>נילית-פרטית</v>
          </cell>
          <cell r="D3470">
            <v>40908</v>
          </cell>
        </row>
        <row r="3471">
          <cell r="A3471" t="str">
            <v>WDA-1-02-15-14</v>
          </cell>
          <cell r="B3471" t="str">
            <v>נילית</v>
          </cell>
          <cell r="C3471" t="str">
            <v>נילית-החלפת יחידת קצה של פיקוח ארצי</v>
          </cell>
          <cell r="D3471">
            <v>42885</v>
          </cell>
        </row>
        <row r="3472">
          <cell r="A3472" t="str">
            <v>WBM-10371</v>
          </cell>
          <cell r="B3472" t="str">
            <v>נילית</v>
          </cell>
          <cell r="C3472" t="str">
            <v>נילית-הת' תיילים-מהדקים-פורט'wbo-089</v>
          </cell>
          <cell r="D3472">
            <v>47118</v>
          </cell>
        </row>
        <row r="3473">
          <cell r="A3473" t="str">
            <v>WBM-01158</v>
          </cell>
          <cell r="B3473" t="str">
            <v>נילית</v>
          </cell>
          <cell r="C3473" t="str">
            <v>נילית-יישום דרך קשר שנייה, שדות 1,2</v>
          </cell>
          <cell r="D3473">
            <v>43709</v>
          </cell>
        </row>
        <row r="3474">
          <cell r="A3474" t="str">
            <v>WBM-10102</v>
          </cell>
          <cell r="B3474" t="str">
            <v>נילית</v>
          </cell>
          <cell r="C3474" t="str">
            <v>נילית-החלפת מנתקים בשד' 1,5-6</v>
          </cell>
          <cell r="D3474">
            <v>43709</v>
          </cell>
        </row>
        <row r="3475">
          <cell r="A3475" t="str">
            <v>WBM-00377</v>
          </cell>
          <cell r="B3475" t="str">
            <v>נילית</v>
          </cell>
          <cell r="C3475" t="str">
            <v>נילית-התקנת הגנה דיפרנציאלית בשד'1 ו-2</v>
          </cell>
          <cell r="D3475">
            <v>41627</v>
          </cell>
        </row>
        <row r="3476">
          <cell r="A3476" t="str">
            <v>WBG-071-005</v>
          </cell>
          <cell r="B3476" t="str">
            <v>נילית</v>
          </cell>
          <cell r="C3476" t="str">
            <v>נילית-התקנת תמסורת תפעולית</v>
          </cell>
          <cell r="D3476">
            <v>41598</v>
          </cell>
        </row>
        <row r="3477">
          <cell r="A3477" t="str">
            <v>WBG-071-006</v>
          </cell>
          <cell r="B3477" t="str">
            <v>נילית</v>
          </cell>
          <cell r="C3477" t="str">
            <v>נילית-התקנת ארון ז"י 48 וולט</v>
          </cell>
          <cell r="D3477">
            <v>41519</v>
          </cell>
        </row>
        <row r="3478">
          <cell r="A3478">
            <v>523213</v>
          </cell>
          <cell r="B3478" t="str">
            <v>נילית</v>
          </cell>
          <cell r="C3478" t="str">
            <v>נילית-התקנת ציוד קשר הג.מרחק בקו לזבולון</v>
          </cell>
          <cell r="D3478">
            <v>41059</v>
          </cell>
        </row>
        <row r="3479">
          <cell r="A3479" t="str">
            <v>WBM-00080</v>
          </cell>
          <cell r="B3479" t="str">
            <v>נילית</v>
          </cell>
          <cell r="C3479" t="str">
            <v>נילית-בוטל-התקנת רושם הפרעות</v>
          </cell>
          <cell r="D3479">
            <v>41249</v>
          </cell>
        </row>
        <row r="3480">
          <cell r="A3480" t="str">
            <v>WBM-10540</v>
          </cell>
          <cell r="B3480" t="str">
            <v>נילית</v>
          </cell>
          <cell r="C3480" t="str">
            <v>נילית- שדה 9, יישום דרך קשר שנייה בין הגנות, משיק ליזרעאל שדה 3</v>
          </cell>
          <cell r="D3480">
            <v>48578</v>
          </cell>
        </row>
        <row r="3481">
          <cell r="A3481" t="str">
            <v>WBM-60118-033</v>
          </cell>
          <cell r="B3481" t="str">
            <v>נילית</v>
          </cell>
          <cell r="C3481" t="str">
            <v>נילית - שיפור מערכת הארקה</v>
          </cell>
          <cell r="D3481">
            <v>46387</v>
          </cell>
        </row>
        <row r="3482">
          <cell r="A3482" t="str">
            <v>WBM-40637-040</v>
          </cell>
          <cell r="B3482" t="str">
            <v>נילית</v>
          </cell>
          <cell r="C3482" t="str">
            <v>נילית-החלפת רושמי הפרעות קיימים מדגם IDM-T3 לרושמים חדשים מדגם IDM+</v>
          </cell>
          <cell r="D3482">
            <v>46721</v>
          </cell>
        </row>
        <row r="3483">
          <cell r="A3483" t="str">
            <v>HIS-113</v>
          </cell>
          <cell r="B3483" t="str">
            <v>נייר-חדרה</v>
          </cell>
          <cell r="C3483" t="str">
            <v>נייר-חדרה</v>
          </cell>
          <cell r="D3483">
            <v>40908</v>
          </cell>
        </row>
        <row r="3484">
          <cell r="A3484" t="str">
            <v>WBE-100</v>
          </cell>
          <cell r="B3484" t="str">
            <v>נייר-חדרה</v>
          </cell>
          <cell r="C3484" t="str">
            <v>נייר חדרה - שידרוג התחמ"ש</v>
          </cell>
          <cell r="D3484">
            <v>46752</v>
          </cell>
        </row>
        <row r="3485">
          <cell r="A3485" t="str">
            <v>WBM-00987</v>
          </cell>
          <cell r="B3485" t="str">
            <v>נייר-חדרה</v>
          </cell>
          <cell r="C3485" t="str">
            <v>נייר חדרה-התקנת 2 סלילי כיבוי 24 ק"ו,300</v>
          </cell>
          <cell r="D3485">
            <v>46568</v>
          </cell>
        </row>
        <row r="3486">
          <cell r="A3486" t="str">
            <v>WBM-00508</v>
          </cell>
          <cell r="B3486" t="str">
            <v>נייר-חדרה</v>
          </cell>
          <cell r="C3486" t="str">
            <v>נייר-חדרה-בוטל - התאמת מערכת מים לכי.אש למכ"ר.</v>
          </cell>
        </row>
        <row r="3487">
          <cell r="A3487" t="str">
            <v>WBM-40178</v>
          </cell>
          <cell r="B3487" t="str">
            <v>נייר-חדרה</v>
          </cell>
          <cell r="C3487" t="str">
            <v>ניר חדרה - החלפת ציוד בשדות 1,2,3,4</v>
          </cell>
          <cell r="D3487">
            <v>46690</v>
          </cell>
        </row>
        <row r="3488">
          <cell r="A3488" t="str">
            <v>WBM-40179</v>
          </cell>
          <cell r="B3488" t="str">
            <v>נייר-חדרה</v>
          </cell>
          <cell r="C3488" t="str">
            <v>ניר חדרה- החלפת ציוד בשדות 5-6,7,8,9</v>
          </cell>
          <cell r="D3488">
            <v>46690</v>
          </cell>
        </row>
        <row r="3489">
          <cell r="A3489" t="str">
            <v>0243149</v>
          </cell>
          <cell r="B3489" t="str">
            <v>נייר-חדרה</v>
          </cell>
          <cell r="C3489" t="str">
            <v>נייר חדרה - החלפת רושם הפרעות</v>
          </cell>
          <cell r="D3489">
            <v>44895</v>
          </cell>
        </row>
        <row r="3490">
          <cell r="A3490" t="str">
            <v>WBM-10105</v>
          </cell>
          <cell r="B3490" t="str">
            <v>נייר-חדרה</v>
          </cell>
          <cell r="C3490" t="str">
            <v>נייר חדרה-החלפת 12 מ"ז מ"ג ב2 מסדרים משו</v>
          </cell>
          <cell r="D3490">
            <v>44189</v>
          </cell>
        </row>
        <row r="3491">
          <cell r="A3491" t="str">
            <v>WBM-20002</v>
          </cell>
          <cell r="B3491" t="str">
            <v>נייר-חדרה</v>
          </cell>
          <cell r="C3491" t="str">
            <v>נייר חדרה-בניית חומה המגינה מחדירת מים</v>
          </cell>
          <cell r="D3491">
            <v>43986</v>
          </cell>
        </row>
        <row r="3492">
          <cell r="A3492" t="str">
            <v>WBM-00506</v>
          </cell>
          <cell r="B3492" t="str">
            <v>נייר-חדרה</v>
          </cell>
          <cell r="C3492" t="str">
            <v>נייר-חדרה-החלפת מגיני ברק מ"ג  של השנאים</v>
          </cell>
          <cell r="D3492">
            <v>43607</v>
          </cell>
        </row>
        <row r="3493">
          <cell r="A3493" t="str">
            <v>WBM-01232</v>
          </cell>
          <cell r="B3493" t="str">
            <v>נייר-חדרה</v>
          </cell>
          <cell r="C3493" t="str">
            <v>נייר חדרה-שיפור אוטמטיקת סלילי הכיבוי</v>
          </cell>
          <cell r="D3493">
            <v>43479</v>
          </cell>
        </row>
        <row r="3494">
          <cell r="A3494" t="str">
            <v>WBM-01139</v>
          </cell>
          <cell r="B3494" t="str">
            <v>נייר-חדרה</v>
          </cell>
          <cell r="C3494" t="str">
            <v>נייר חדרה- התקנת הגנה דיפרנציאלית שד'3,7</v>
          </cell>
          <cell r="D3494">
            <v>43402</v>
          </cell>
        </row>
        <row r="3495">
          <cell r="A3495" t="str">
            <v>WBM-00510</v>
          </cell>
          <cell r="B3495" t="str">
            <v>נייר-חדרה</v>
          </cell>
          <cell r="C3495" t="str">
            <v>נייר חדרה- צביעת כבלים חומר מעכב אש</v>
          </cell>
          <cell r="D3495">
            <v>42142</v>
          </cell>
        </row>
        <row r="3496">
          <cell r="A3496" t="str">
            <v>WBM-00699</v>
          </cell>
          <cell r="B3496" t="str">
            <v>נייר-חדרה</v>
          </cell>
          <cell r="C3496" t="str">
            <v>נייר-חדרה-הוספת פונקצית comm . - fail.</v>
          </cell>
          <cell r="D3496">
            <v>41827</v>
          </cell>
        </row>
        <row r="3497">
          <cell r="A3497" t="str">
            <v>WBM-01238</v>
          </cell>
          <cell r="B3497" t="str">
            <v>נייר-חדרה</v>
          </cell>
          <cell r="C3497" t="str">
            <v>ניר חדרה - בוטל-מאצרות שמן קבועות לשנאים</v>
          </cell>
          <cell r="D3497">
            <v>42901</v>
          </cell>
        </row>
        <row r="3498">
          <cell r="A3498" t="str">
            <v>WBM-01101</v>
          </cell>
          <cell r="B3498" t="str">
            <v>נייר-חדרה</v>
          </cell>
          <cell r="C3498" t="str">
            <v>נייר חדרה-בוטל-התקנת 2 מאצרות שמן זמניות</v>
          </cell>
          <cell r="D3498">
            <v>42684</v>
          </cell>
        </row>
        <row r="3499">
          <cell r="A3499" t="str">
            <v>WBM-40172</v>
          </cell>
          <cell r="B3499" t="str">
            <v>נייר-חדרה</v>
          </cell>
          <cell r="C3499" t="str">
            <v>ניר חדרה -בוטל-החלפת 17 הגנות מ"ג</v>
          </cell>
          <cell r="D3499">
            <v>43131</v>
          </cell>
        </row>
        <row r="3500">
          <cell r="A3500" t="str">
            <v>WBM-60036</v>
          </cell>
          <cell r="B3500" t="str">
            <v>נייר-חדרה</v>
          </cell>
          <cell r="C3500" t="str">
            <v>נייר חדרה - בוטל-החלפת מע' גילוי אש</v>
          </cell>
          <cell r="D3500">
            <v>43864</v>
          </cell>
        </row>
        <row r="3501">
          <cell r="A3501" t="str">
            <v>WBM-00791</v>
          </cell>
          <cell r="B3501" t="str">
            <v>נייר-חדרה</v>
          </cell>
          <cell r="C3501" t="str">
            <v>נייר חדרה-בוטל-פירוק הרצפה בקומת הפיקוד</v>
          </cell>
          <cell r="D3501">
            <v>41820</v>
          </cell>
        </row>
        <row r="3502">
          <cell r="A3502" t="str">
            <v>WBM-00511</v>
          </cell>
          <cell r="B3502" t="str">
            <v>נייר-חדרה</v>
          </cell>
          <cell r="C3502" t="str">
            <v>נייר חדרה-בוטל- שדרוג מפסקי זרם מ"ג</v>
          </cell>
          <cell r="D3502">
            <v>41421</v>
          </cell>
        </row>
        <row r="3503">
          <cell r="A3503">
            <v>523825</v>
          </cell>
          <cell r="B3503" t="str">
            <v>נייר-חדרה</v>
          </cell>
          <cell r="C3503" t="str">
            <v>נייר-חדרה-התקנת מערכת התראה ביטחונית</v>
          </cell>
          <cell r="D3503">
            <v>39659</v>
          </cell>
        </row>
        <row r="3504">
          <cell r="A3504" t="str">
            <v>WBM-00509</v>
          </cell>
          <cell r="B3504" t="str">
            <v>נייר-חדרה</v>
          </cell>
          <cell r="C3504" t="str">
            <v>נייר-חדרה-בוטל שיפור מערכת הארקה בתחמ"ש</v>
          </cell>
          <cell r="D3504">
            <v>39798</v>
          </cell>
        </row>
        <row r="3505">
          <cell r="A3505" t="str">
            <v>WBM-00817</v>
          </cell>
          <cell r="B3505" t="str">
            <v>נייר-חדרה</v>
          </cell>
          <cell r="C3505" t="str">
            <v>נייר-חדרה-בוטל-הת.הגנת מרחק שנייה בשדה 3</v>
          </cell>
          <cell r="D3505">
            <v>40207</v>
          </cell>
        </row>
        <row r="3506">
          <cell r="A3506">
            <v>523833</v>
          </cell>
          <cell r="B3506" t="str">
            <v>נייר-חדרה</v>
          </cell>
          <cell r="C3506" t="str">
            <v>נייר-חדרה-התקנת מאווררים בארונות פיקוד</v>
          </cell>
          <cell r="D3506">
            <v>40311</v>
          </cell>
        </row>
        <row r="3507">
          <cell r="A3507" t="str">
            <v>WBM-00505</v>
          </cell>
          <cell r="B3507" t="str">
            <v>נייר-חדרה</v>
          </cell>
          <cell r="C3507" t="str">
            <v>נייר-חדרה-בוטל-שינויים בחיווט ר. הפרעות</v>
          </cell>
          <cell r="D3507">
            <v>41249</v>
          </cell>
        </row>
        <row r="3508">
          <cell r="A3508" t="str">
            <v>WBM-00504</v>
          </cell>
          <cell r="B3508" t="str">
            <v>נייר-חדרה</v>
          </cell>
          <cell r="C3508" t="str">
            <v>נייר-חדרה-בוטלחיבור פ"צ מ"ג לרושם הפרעות</v>
          </cell>
          <cell r="D3508">
            <v>41249</v>
          </cell>
        </row>
        <row r="3509">
          <cell r="A3509" t="str">
            <v>WBM-00507</v>
          </cell>
          <cell r="B3509" t="str">
            <v>נייר-חדרה</v>
          </cell>
          <cell r="C3509" t="str">
            <v>נייר-חדרה-בוטל-הוספת סוללת מצברים</v>
          </cell>
          <cell r="D3509">
            <v>41249</v>
          </cell>
        </row>
        <row r="3510">
          <cell r="A3510" t="str">
            <v>WBM-01259</v>
          </cell>
          <cell r="B3510" t="str">
            <v>נייר-חדרה</v>
          </cell>
          <cell r="C3510" t="str">
            <v>נייר חדרה -התקנת מערכת טמ"ס</v>
          </cell>
          <cell r="D3510">
            <v>43044</v>
          </cell>
        </row>
        <row r="3511">
          <cell r="A3511" t="str">
            <v>WBM-10456-033</v>
          </cell>
          <cell r="B3511" t="str">
            <v>נייר-חדרה</v>
          </cell>
          <cell r="C3511" t="str">
            <v>נייר חדרה- הוספת מתמרים ב-3 פ"צ</v>
          </cell>
          <cell r="D3511">
            <v>46752</v>
          </cell>
        </row>
        <row r="3512">
          <cell r="A3512" t="str">
            <v>WBM-20004-010</v>
          </cell>
          <cell r="B3512" t="str">
            <v>נייר-חדרה</v>
          </cell>
          <cell r="C3512" t="str">
            <v>נייר חדרה - שיפור מערכת תאורה בתחמש</v>
          </cell>
          <cell r="D3512">
            <v>45442</v>
          </cell>
        </row>
        <row r="3513">
          <cell r="A3513" t="str">
            <v>WBM-40479-051</v>
          </cell>
          <cell r="B3513" t="str">
            <v>נייר-חדרה</v>
          </cell>
          <cell r="C3513" t="str">
            <v>נייר חדרה- החלפת בקרי טמפ' וגובה שמן בשנ</v>
          </cell>
          <cell r="D3513">
            <v>47542</v>
          </cell>
        </row>
        <row r="3514">
          <cell r="A3514" t="str">
            <v>WBM-60008-086</v>
          </cell>
          <cell r="B3514" t="str">
            <v>נייר-חדרה</v>
          </cell>
          <cell r="C3514" t="str">
            <v>נייר חדרה -מע' בקרה, טמ"ס וגדר אלקטרונית</v>
          </cell>
          <cell r="D3514">
            <v>46568</v>
          </cell>
        </row>
        <row r="3515">
          <cell r="A3515" t="str">
            <v>WBM-60088-049</v>
          </cell>
          <cell r="B3515" t="str">
            <v>נייר-חדרה</v>
          </cell>
          <cell r="C3515" t="str">
            <v>נייר חדרה - מאצרה משותפת ל-2 שנאים</v>
          </cell>
          <cell r="D3515">
            <v>45930</v>
          </cell>
        </row>
        <row r="3516">
          <cell r="A3516" t="str">
            <v>WBM-60118-022</v>
          </cell>
          <cell r="B3516" t="str">
            <v>נייר-חדרה</v>
          </cell>
          <cell r="C3516" t="str">
            <v>נייר חדרה - שיפור מערכת הארקה</v>
          </cell>
          <cell r="D3516">
            <v>46751</v>
          </cell>
        </row>
        <row r="3517">
          <cell r="A3517" t="str">
            <v>WBM-60130-033</v>
          </cell>
          <cell r="B3517" t="str">
            <v>נייר-חדרה</v>
          </cell>
          <cell r="C3517" t="str">
            <v>נייר חדרה - בוטל - התקנת מפסק פטריה להפסקת מערכת החשמל בחירום</v>
          </cell>
        </row>
        <row r="3518">
          <cell r="A3518" t="str">
            <v>WBM-00350-064</v>
          </cell>
          <cell r="B3518" t="str">
            <v>נייר-חדרה</v>
          </cell>
          <cell r="C3518" t="str">
            <v>נייר חדרה - שיפוץ שנאי 521 עקב תקלה</v>
          </cell>
          <cell r="D3518">
            <v>46203</v>
          </cell>
        </row>
        <row r="3519">
          <cell r="A3519" t="str">
            <v>WBM-00350-067</v>
          </cell>
          <cell r="B3519" t="str">
            <v>נייר-חדרה</v>
          </cell>
          <cell r="C3519" t="str">
            <v>נייר חדרה - שיפוץ שנאי 522 עקב תקלה</v>
          </cell>
          <cell r="D3519">
            <v>46203</v>
          </cell>
        </row>
        <row r="3520">
          <cell r="A3520" t="str">
            <v>HIS-172</v>
          </cell>
          <cell r="B3520" t="str">
            <v>נייר חדרה- פרטית</v>
          </cell>
          <cell r="C3520" t="str">
            <v>נייר חדרה- פרטית</v>
          </cell>
          <cell r="D3520">
            <v>40908</v>
          </cell>
        </row>
        <row r="3521">
          <cell r="A3521" t="str">
            <v>HIS-198</v>
          </cell>
          <cell r="B3521" t="str">
            <v>נייר חדרה- פרטית</v>
          </cell>
          <cell r="C3521" t="str">
            <v>נייר חדרה פרטית - פירוק תחמ"ש פרטית</v>
          </cell>
          <cell r="D3521">
            <v>45149</v>
          </cell>
        </row>
        <row r="3522">
          <cell r="A3522" t="str">
            <v>WBM-00885-120</v>
          </cell>
          <cell r="B3522" t="str">
            <v>נייר חדרה- פרטית</v>
          </cell>
          <cell r="C3522" t="str">
            <v>נייר חדרה- תיקון אינדרנט</v>
          </cell>
          <cell r="D3522">
            <v>45657</v>
          </cell>
        </row>
        <row r="3523">
          <cell r="A3523" t="str">
            <v>WBM-60205-033</v>
          </cell>
          <cell r="B3523" t="str">
            <v>נייר חדרה- פרטית</v>
          </cell>
          <cell r="C3523" t="str">
            <v>נייר חדרה - ניטור הצפות</v>
          </cell>
          <cell r="D3523">
            <v>46175</v>
          </cell>
        </row>
        <row r="3524">
          <cell r="A3524" t="str">
            <v>WBM-10531-016</v>
          </cell>
          <cell r="B3524" t="str">
            <v>ניידת מספר 30</v>
          </cell>
          <cell r="C3524" t="str">
            <v>שיפוץ ניידת מס' 30 - ח.ב.</v>
          </cell>
          <cell r="D3524">
            <v>45747</v>
          </cell>
        </row>
        <row r="3525">
          <cell r="A3525" t="str">
            <v>WBM-10531-007</v>
          </cell>
          <cell r="B3525" t="str">
            <v>ניידת 39</v>
          </cell>
          <cell r="C3525" t="str">
            <v>שיפוץ ניידת מס' 39-ח.ב</v>
          </cell>
          <cell r="D3525">
            <v>45747</v>
          </cell>
        </row>
        <row r="3526">
          <cell r="A3526" t="str">
            <v>WBM-10531-011</v>
          </cell>
          <cell r="B3526" t="str">
            <v>ניידת 32</v>
          </cell>
          <cell r="C3526" t="str">
            <v>שיפוץ ניידת מס' 32- ח.ב</v>
          </cell>
          <cell r="D3526">
            <v>45747</v>
          </cell>
        </row>
        <row r="3527">
          <cell r="A3527" t="str">
            <v>WBM-10531-001</v>
          </cell>
          <cell r="B3527" t="str">
            <v>ניידת 3</v>
          </cell>
          <cell r="C3527" t="str">
            <v>שיפוץ ניידת מס' 3- ח.ב</v>
          </cell>
          <cell r="D3527">
            <v>45747</v>
          </cell>
        </row>
        <row r="3528">
          <cell r="A3528" t="str">
            <v>WBM-10531-010</v>
          </cell>
          <cell r="B3528" t="str">
            <v>ניידת 24</v>
          </cell>
          <cell r="C3528" t="str">
            <v>שיפוץ ניידת מס' 24- ח.ב</v>
          </cell>
          <cell r="D3528">
            <v>45747</v>
          </cell>
        </row>
        <row r="3529">
          <cell r="A3529" t="str">
            <v>WBM-10531-008</v>
          </cell>
          <cell r="B3529" t="str">
            <v>ניידת 20</v>
          </cell>
          <cell r="C3529" t="str">
            <v>שיפוץ ניידת מס' 20- ח.ב</v>
          </cell>
          <cell r="D3529">
            <v>45747</v>
          </cell>
        </row>
        <row r="3530">
          <cell r="A3530" t="str">
            <v>WBM-10531-002</v>
          </cell>
          <cell r="B3530" t="str">
            <v>ניידת 12</v>
          </cell>
          <cell r="C3530" t="str">
            <v>שיפוץ ניידת מס' 12- ח.ב</v>
          </cell>
          <cell r="D3530">
            <v>45747</v>
          </cell>
        </row>
        <row r="3531">
          <cell r="A3531" t="str">
            <v>HIS-112</v>
          </cell>
          <cell r="B3531" t="str">
            <v>נחל שחורת</v>
          </cell>
          <cell r="C3531" t="str">
            <v>נחל שחורת</v>
          </cell>
          <cell r="D3531">
            <v>40908</v>
          </cell>
        </row>
        <row r="3532">
          <cell r="A3532" t="str">
            <v>WDB-04COM30</v>
          </cell>
          <cell r="B3532" t="str">
            <v>נחל שחורת</v>
          </cell>
          <cell r="C3532" t="str">
            <v>נחל שחורת-הנחת כבל סיב אופטי תמנע-אילת</v>
          </cell>
          <cell r="D3532">
            <v>43465</v>
          </cell>
        </row>
        <row r="3533">
          <cell r="A3533" t="str">
            <v>WBM-00866</v>
          </cell>
          <cell r="B3533" t="str">
            <v>נחל שחורת</v>
          </cell>
          <cell r="C3533" t="str">
            <v>נחל שחורת-התקנת  2 סלילי כיבוי 36 ק"ו</v>
          </cell>
          <cell r="D3533">
            <v>46751</v>
          </cell>
        </row>
        <row r="3534">
          <cell r="A3534" t="str">
            <v>WBM-70037</v>
          </cell>
          <cell r="B3534" t="str">
            <v>נחל שחורת</v>
          </cell>
          <cell r="C3534" t="str">
            <v>נחל שחורת –החלפת ס"ק תקולות ל ש' 531,532</v>
          </cell>
          <cell r="D3534">
            <v>46842</v>
          </cell>
        </row>
        <row r="3535">
          <cell r="A3535" t="str">
            <v>WBM-00302</v>
          </cell>
          <cell r="B3535" t="str">
            <v>נחל שחורת</v>
          </cell>
          <cell r="C3535" t="str">
            <v>נחל שחורת-הפעלת 2 יח' קבלים  5 מגווא"ר</v>
          </cell>
          <cell r="D3535">
            <v>44508</v>
          </cell>
        </row>
        <row r="3536">
          <cell r="A3536" t="str">
            <v>WBM-10154</v>
          </cell>
          <cell r="B3536" t="str">
            <v>נחל שחורת</v>
          </cell>
          <cell r="C3536" t="str">
            <v>נחל שחורת - התקנת מתמרים ב-2 פ"צ</v>
          </cell>
          <cell r="D3536">
            <v>46233</v>
          </cell>
        </row>
        <row r="3537">
          <cell r="A3537" t="str">
            <v>WBM-00503</v>
          </cell>
          <cell r="B3537" t="str">
            <v>נחל שחורת</v>
          </cell>
          <cell r="C3537" t="str">
            <v>נחל שחורת-התקנת תקשורת מנהלתית</v>
          </cell>
          <cell r="D3537">
            <v>44216</v>
          </cell>
        </row>
        <row r="3538">
          <cell r="A3538" t="str">
            <v>WBM-70020</v>
          </cell>
          <cell r="B3538" t="str">
            <v>נחל שחורת</v>
          </cell>
          <cell r="C3538" t="str">
            <v>נחל שחורת-בוטל-הפעלת 2 ס"ק  5*3 מגווא"ר</v>
          </cell>
          <cell r="D3538">
            <v>43984</v>
          </cell>
        </row>
        <row r="3539">
          <cell r="A3539" t="str">
            <v>WBM-10074</v>
          </cell>
          <cell r="B3539" t="str">
            <v>נחל שחורת</v>
          </cell>
          <cell r="C3539" t="str">
            <v>נחל שחורת-בוטל-החלפת גשרי דיודות</v>
          </cell>
          <cell r="D3539">
            <v>43768</v>
          </cell>
        </row>
        <row r="3540">
          <cell r="A3540">
            <v>536006</v>
          </cell>
          <cell r="B3540" t="str">
            <v>נחל שחורת</v>
          </cell>
          <cell r="C3540" t="str">
            <v>נחל שחורת-התקנת מאווררים בארונות פיקוד</v>
          </cell>
          <cell r="D3540">
            <v>40311</v>
          </cell>
        </row>
        <row r="3541">
          <cell r="A3541">
            <v>536007</v>
          </cell>
          <cell r="B3541" t="str">
            <v>נחל שחורת</v>
          </cell>
          <cell r="C3541" t="str">
            <v>נחל שחורת-בוטל-החלפת מערכת התראה בטחונית</v>
          </cell>
          <cell r="D3541">
            <v>40353</v>
          </cell>
        </row>
        <row r="3542">
          <cell r="A3542" t="str">
            <v>WBM-00927</v>
          </cell>
          <cell r="B3542" t="str">
            <v>נחל שחורת</v>
          </cell>
          <cell r="C3542" t="str">
            <v>נחל שחורת-בוטל-הקמת רשת מחשבים תפעולית</v>
          </cell>
          <cell r="D3542">
            <v>40268</v>
          </cell>
        </row>
        <row r="3543">
          <cell r="A3543" t="str">
            <v>WBM-10461</v>
          </cell>
          <cell r="B3543" t="str">
            <v>נחל שחורת</v>
          </cell>
          <cell r="C3543" t="str">
            <v>נחל שחורת-משיק לאילת שדה 7, התקנת הגנה דיפרנציאלית בשדה 5</v>
          </cell>
          <cell r="D3543">
            <v>46326</v>
          </cell>
        </row>
        <row r="3544">
          <cell r="A3544" t="str">
            <v>WBM-10462</v>
          </cell>
          <cell r="B3544" t="str">
            <v>נחל שחורת</v>
          </cell>
          <cell r="C3544" t="str">
            <v>נחל שחורת -משיק לתמנע 10, התקנת הגנה דיפרנציאלית בשדה 9</v>
          </cell>
          <cell r="D3544">
            <v>46326</v>
          </cell>
        </row>
        <row r="3545">
          <cell r="A3545" t="str">
            <v>WBE-268</v>
          </cell>
          <cell r="B3545" t="str">
            <v>נחל שחורת</v>
          </cell>
          <cell r="C3545" t="str">
            <v>נחל שחורת- מתקן אגירת אנרגיה בסוללות</v>
          </cell>
          <cell r="D3545">
            <v>46752</v>
          </cell>
        </row>
        <row r="3546">
          <cell r="A3546" t="str">
            <v>WBM-00885-061</v>
          </cell>
          <cell r="B3546" t="str">
            <v>נחל שחורת</v>
          </cell>
          <cell r="C3546" t="str">
            <v>שחורת - תיקון מערכת המיים</v>
          </cell>
          <cell r="D3546">
            <v>45482</v>
          </cell>
        </row>
        <row r="3547">
          <cell r="A3547" t="str">
            <v>WBM-01431-015</v>
          </cell>
          <cell r="B3547" t="str">
            <v>נחל שחורת</v>
          </cell>
          <cell r="C3547" t="str">
            <v>נחל שחורת -ממסרי  שנאים 531, 532</v>
          </cell>
          <cell r="D3547">
            <v>45781</v>
          </cell>
        </row>
        <row r="3548">
          <cell r="A3548" t="str">
            <v>WBM-10315-022</v>
          </cell>
          <cell r="B3548" t="str">
            <v>נחל שחורת</v>
          </cell>
          <cell r="C3548" t="str">
            <v>נחל שחורת- התקנת מזגנים</v>
          </cell>
          <cell r="D3548">
            <v>45565</v>
          </cell>
        </row>
        <row r="3549">
          <cell r="A3549" t="str">
            <v>WBM-10316-050</v>
          </cell>
          <cell r="B3549" t="str">
            <v>נחל שחורת</v>
          </cell>
          <cell r="C3549" t="str">
            <v>נחל שחורת-חיבור רושמי הפרעות למתג מנהלת</v>
          </cell>
          <cell r="D3549">
            <v>45607</v>
          </cell>
        </row>
        <row r="3550">
          <cell r="A3550" t="str">
            <v>WBM-20004-002</v>
          </cell>
          <cell r="B3550" t="str">
            <v>נחל שחורת</v>
          </cell>
          <cell r="C3550" t="str">
            <v>נחל שחורת - התקנת רשת ניסקו והחלפת תאורה</v>
          </cell>
          <cell r="D3550">
            <v>46203</v>
          </cell>
        </row>
        <row r="3551">
          <cell r="A3551" t="str">
            <v>WBM-40295-072</v>
          </cell>
          <cell r="B3551" t="str">
            <v>נחל שחורת</v>
          </cell>
          <cell r="C3551" t="str">
            <v>נחל שחורת - פקקי רקומבינציה עבור סוללות</v>
          </cell>
          <cell r="D3551">
            <v>45575</v>
          </cell>
        </row>
        <row r="3552">
          <cell r="A3552" t="str">
            <v>WBM-10659</v>
          </cell>
          <cell r="B3552" t="str">
            <v>נחל שחורת</v>
          </cell>
          <cell r="C3552" t="str">
            <v>נחל שחורת – התקנת מסדר מ"ג 36 ק"ו חדש לטובת תוספת יציאות</v>
          </cell>
          <cell r="D3552">
            <v>46842</v>
          </cell>
        </row>
        <row r="3553">
          <cell r="A3553" t="str">
            <v>WBM-60205-030</v>
          </cell>
          <cell r="B3553" t="str">
            <v>נחל שחורת</v>
          </cell>
          <cell r="C3553" t="str">
            <v>נחל שחורת - ניטור הצפות</v>
          </cell>
          <cell r="D3553">
            <v>45929</v>
          </cell>
        </row>
        <row r="3554">
          <cell r="A3554" t="str">
            <v>WBM-60092-055</v>
          </cell>
          <cell r="B3554" t="str">
            <v>נחל שחורת</v>
          </cell>
          <cell r="C3554" t="str">
            <v>נחל שחורת - בדיקות/טיפול/פינוי מכלי אש בגז</v>
          </cell>
          <cell r="D3554">
            <v>46386</v>
          </cell>
        </row>
        <row r="3555">
          <cell r="A3555" t="str">
            <v>WBM-10748</v>
          </cell>
          <cell r="B3555" t="str">
            <v>נחל שחורת</v>
          </cell>
          <cell r="C3555" t="str">
            <v>נחל שחורת - התאמת תאי מ"ג מס' 104 ו-204 של סוללות קבלים לתאי יציאה מ"ג</v>
          </cell>
          <cell r="D3555">
            <v>46233</v>
          </cell>
        </row>
        <row r="3556">
          <cell r="A3556" t="str">
            <v>WBM-40637-001</v>
          </cell>
          <cell r="B3556" t="str">
            <v>נחל שחורת</v>
          </cell>
          <cell r="C3556" t="str">
            <v>נחל שחורת - החלפת רושמי הפרעות קיימים מדגם IDM-T3 לרושמים חדשים מדגם IDM+</v>
          </cell>
          <cell r="D3556">
            <v>47330</v>
          </cell>
        </row>
        <row r="3557">
          <cell r="A3557" t="str">
            <v>WBM-00885-162</v>
          </cell>
          <cell r="B3557" t="str">
            <v>נחל שחורת</v>
          </cell>
          <cell r="C3557" t="str">
            <v>תחמ"ש שחורת - החלפת מז"ח</v>
          </cell>
          <cell r="D3557">
            <v>46022</v>
          </cell>
        </row>
        <row r="3558">
          <cell r="A3558" t="str">
            <v>WBM-60131-018</v>
          </cell>
          <cell r="B3558" t="str">
            <v>נחל שחורת</v>
          </cell>
          <cell r="C3558" t="str">
            <v>נחל שחורת - טיפול באופיין מים</v>
          </cell>
          <cell r="D3558">
            <v>46387</v>
          </cell>
        </row>
        <row r="3559">
          <cell r="A3559" t="str">
            <v>HIS-171</v>
          </cell>
          <cell r="B3559" t="str">
            <v>נחל צין-פרטית</v>
          </cell>
          <cell r="C3559" t="str">
            <v>נחל צין-פרטית</v>
          </cell>
          <cell r="D3559">
            <v>40908</v>
          </cell>
        </row>
        <row r="3560">
          <cell r="A3560" t="str">
            <v>WBM-01096</v>
          </cell>
          <cell r="B3560" t="str">
            <v>נחל צופים ניידת</v>
          </cell>
          <cell r="C3560" t="str">
            <v>ניידת נחל צופים-התקנת מאצרת שמן</v>
          </cell>
          <cell r="D3560">
            <v>43517</v>
          </cell>
        </row>
        <row r="3561">
          <cell r="A3561" t="str">
            <v>WBD-038-ST2</v>
          </cell>
          <cell r="B3561" t="str">
            <v>נחל צופים</v>
          </cell>
          <cell r="C3561" t="str">
            <v>נחל צופים ניידת- פירוק תחמ"ש ניידת</v>
          </cell>
          <cell r="D3561">
            <v>46265</v>
          </cell>
        </row>
        <row r="3562">
          <cell r="A3562" t="str">
            <v>WBC-116</v>
          </cell>
          <cell r="B3562" t="str">
            <v>נחל צופים</v>
          </cell>
          <cell r="C3562" t="str">
            <v>נחל צופים-הקמת תחמ"ש פנימית 161/13.8 ק"ו</v>
          </cell>
          <cell r="D3562">
            <v>45988</v>
          </cell>
        </row>
        <row r="3563">
          <cell r="A3563" t="str">
            <v>WBM-00730</v>
          </cell>
          <cell r="B3563" t="str">
            <v>נחל צופים</v>
          </cell>
          <cell r="C3563" t="str">
            <v>נחל צופים-בוטל-התקנת 4 ס"ק 3*2 מגווא"ר.</v>
          </cell>
          <cell r="D3563">
            <v>36164</v>
          </cell>
        </row>
        <row r="3564">
          <cell r="A3564">
            <v>549804</v>
          </cell>
          <cell r="B3564" t="str">
            <v>נחל צופים</v>
          </cell>
          <cell r="C3564" t="str">
            <v>נחל צופים ניידת-התקנת מערכת מניה</v>
          </cell>
          <cell r="D3564">
            <v>41517</v>
          </cell>
        </row>
        <row r="3565">
          <cell r="A3565" t="str">
            <v>WBD-038</v>
          </cell>
          <cell r="B3565" t="str">
            <v>נחל צופים</v>
          </cell>
          <cell r="C3565" t="str">
            <v>נחל צופים ניידת- הצבת תחמ"ש ניידת</v>
          </cell>
          <cell r="D3565">
            <v>41205</v>
          </cell>
        </row>
        <row r="3566">
          <cell r="A3566" t="str">
            <v>WBM-60116-029</v>
          </cell>
          <cell r="B3566" t="str">
            <v>נחל צופים</v>
          </cell>
          <cell r="C3566" t="str">
            <v>ניידת נחל צופים - שידרוג גלאים בתחנות מש</v>
          </cell>
          <cell r="D3566">
            <v>46752</v>
          </cell>
        </row>
        <row r="3567">
          <cell r="A3567" t="str">
            <v>WBM-10683</v>
          </cell>
          <cell r="B3567" t="str">
            <v>נחל צופים</v>
          </cell>
          <cell r="C3567" t="str">
            <v>נחל צופים – שדרוג תא במסדר מ"ג ליכולת 600 א'</v>
          </cell>
          <cell r="D3567">
            <v>46782</v>
          </cell>
        </row>
        <row r="3568">
          <cell r="A3568" t="str">
            <v>WBM-80026-003</v>
          </cell>
          <cell r="B3568" t="str">
            <v>נחל צופים</v>
          </cell>
          <cell r="C3568" t="str">
            <v>נחל צופים- התקנת מתג מדגם JL663A - Aruba 6300M 48G 4SFP56 Swch</v>
          </cell>
          <cell r="D3568">
            <v>46043</v>
          </cell>
        </row>
        <row r="3569">
          <cell r="A3569" t="str">
            <v>WBC-093</v>
          </cell>
          <cell r="B3569" t="str">
            <v>נווה שאנן</v>
          </cell>
          <cell r="C3569" t="str">
            <v>נווה שאנן-בוטל-הקמת תחמ"ש פנימית 161/24</v>
          </cell>
          <cell r="D3569">
            <v>41568</v>
          </cell>
        </row>
        <row r="3570">
          <cell r="A3570">
            <v>9985283</v>
          </cell>
          <cell r="B3570" t="str">
            <v>נווה מדבר(קפ''ה)</v>
          </cell>
          <cell r="C3570" t="str">
            <v>קפ"ה-קליטת תח"כ בהספק של 60 מגוו"ט</v>
          </cell>
          <cell r="D3570">
            <v>43434</v>
          </cell>
        </row>
        <row r="3571">
          <cell r="A3571" t="str">
            <v>WBM-10509</v>
          </cell>
          <cell r="B3571" t="str">
            <v>נווה מדבר(קפ''ה)</v>
          </cell>
          <cell r="C3571" t="str">
            <v>נווה מדבר - בוטל - משיק לרמת חובב שדה 7. יישום דרך קשר אופטית בין הגנות בשדה 1</v>
          </cell>
        </row>
        <row r="3572">
          <cell r="A3572" t="str">
            <v>WBM-10512</v>
          </cell>
          <cell r="B3572" t="str">
            <v>נווה מדבר(קפ''ה)</v>
          </cell>
          <cell r="C3572" t="str">
            <v>נווה מדבר - משיק לרמת חובב שדה 11. יישום 2 דרכי קשר בין הגנות בשדה 1</v>
          </cell>
          <cell r="D3572">
            <v>47482</v>
          </cell>
        </row>
        <row r="3573">
          <cell r="A3573" t="str">
            <v>WBM-10513</v>
          </cell>
          <cell r="B3573" t="str">
            <v>נווה מדבר(קפ''ה)</v>
          </cell>
          <cell r="C3573" t="str">
            <v>נווה מדבר -משיק לאשלים שדה 7, יישום 2 דרכי קשר בין הגנות בשדה 5</v>
          </cell>
          <cell r="D3573">
            <v>47482</v>
          </cell>
        </row>
        <row r="3574">
          <cell r="A3574" t="str">
            <v>WBM-10701</v>
          </cell>
          <cell r="B3574" t="str">
            <v>נווה מדבר(קפ''ה)</v>
          </cell>
          <cell r="C3574" t="str">
            <v>נווה מדבר - הת' תיילים-מהדקים-פורט'wbo-851</v>
          </cell>
          <cell r="D3574">
            <v>47847</v>
          </cell>
        </row>
        <row r="3575">
          <cell r="A3575" t="str">
            <v>WBM-10765</v>
          </cell>
          <cell r="B3575" t="str">
            <v>נווה מדבר(קפ''ה)</v>
          </cell>
          <cell r="C3575" t="str">
            <v>נווה מדבר- משיק לרמת חובב שדה 7,  התקנת הגנה דיפרציאלית ויישום דרך קשר בין הגנות בשדה 1</v>
          </cell>
          <cell r="D3575">
            <v>46326</v>
          </cell>
        </row>
        <row r="3576">
          <cell r="A3576" t="str">
            <v>WBE-319</v>
          </cell>
          <cell r="B3576" t="str">
            <v>נווה מדבר(קפ''ה)</v>
          </cell>
          <cell r="C3576" t="str">
            <v>נווה מדבר - שדרוג מסדר 161 ק"ו</v>
          </cell>
          <cell r="D3576">
            <v>47483</v>
          </cell>
        </row>
        <row r="3577">
          <cell r="A3577" t="str">
            <v>WBC-082</v>
          </cell>
          <cell r="B3577" t="str">
            <v>נווה ימין</v>
          </cell>
          <cell r="C3577" t="str">
            <v>נווה ימין- הקמת תחמ"ש פנימית 161/24 ק"ו</v>
          </cell>
          <cell r="D3577">
            <v>49247</v>
          </cell>
        </row>
        <row r="3578">
          <cell r="A3578">
            <v>900024</v>
          </cell>
          <cell r="B3578" t="str">
            <v>נווה חריף</v>
          </cell>
          <cell r="C3578" t="str">
            <v>נווה חריף-הקמת מתקן אגירה במ"ע SA בהספק של 120 מגאווט.</v>
          </cell>
          <cell r="D3578">
            <v>46843</v>
          </cell>
        </row>
        <row r="3579">
          <cell r="A3579" t="str">
            <v>WBM-00718</v>
          </cell>
          <cell r="B3579" t="str">
            <v>נהריה</v>
          </cell>
          <cell r="C3579" t="str">
            <v>נהריה-התקנת 2 ס"ק 2*5 מגווא"ר כ"א</v>
          </cell>
          <cell r="D3579">
            <v>46477</v>
          </cell>
        </row>
        <row r="3580">
          <cell r="A3580" t="str">
            <v>WBM-10459</v>
          </cell>
          <cell r="B3580" t="str">
            <v>נהריה</v>
          </cell>
          <cell r="C3580" t="str">
            <v>נהריה-בוטל-משיק תה"ר עכו-יישום תקש.אופט.שדה 2</v>
          </cell>
        </row>
        <row r="3581">
          <cell r="A3581" t="str">
            <v>WBM-10115</v>
          </cell>
          <cell r="B3581" t="str">
            <v>נהריה</v>
          </cell>
          <cell r="C3581" t="str">
            <v>נהריה -שדרוג של מערכת SCS</v>
          </cell>
          <cell r="D3581">
            <v>46477</v>
          </cell>
        </row>
        <row r="3582">
          <cell r="A3582" t="str">
            <v>WBC-048</v>
          </cell>
          <cell r="B3582" t="str">
            <v>נהריה</v>
          </cell>
          <cell r="C3582" t="str">
            <v>נהריה- הקמת תחמ"ש פנימית 161/24 ק"ו</v>
          </cell>
          <cell r="D3582">
            <v>43829</v>
          </cell>
        </row>
        <row r="3583">
          <cell r="A3583" t="str">
            <v>WBM-10529</v>
          </cell>
          <cell r="B3583" t="str">
            <v>נהריה</v>
          </cell>
          <cell r="C3583" t="str">
            <v>נהריה- משיק להתפלה גליל מערבי שדה 3, יישום דרך קשר אופטית בין הגנות בשדה 2</v>
          </cell>
          <cell r="D3583">
            <v>46326</v>
          </cell>
        </row>
        <row r="3584">
          <cell r="A3584" t="str">
            <v>WBM-00885-111</v>
          </cell>
          <cell r="B3584" t="str">
            <v>נהריה</v>
          </cell>
          <cell r="C3584" t="str">
            <v>נהריה - החלפת מע'  מתזים ועמוד מצופים</v>
          </cell>
          <cell r="D3584">
            <v>45903</v>
          </cell>
        </row>
        <row r="3585">
          <cell r="A3585" t="str">
            <v>WBM-40521-001</v>
          </cell>
          <cell r="B3585" t="str">
            <v>נהריה</v>
          </cell>
          <cell r="C3585" t="str">
            <v>נהריה - החלפת 2 שנאי הארקה</v>
          </cell>
          <cell r="D3585">
            <v>46387</v>
          </cell>
        </row>
        <row r="3586">
          <cell r="A3586" t="str">
            <v>WBM-10597-001</v>
          </cell>
          <cell r="B3586" t="str">
            <v>נהריה</v>
          </cell>
          <cell r="C3586" t="str">
            <v>נהריה -משיק לנעמן שדה 15-פיילוט יישום תקשורת הגנות בשדה 2</v>
          </cell>
          <cell r="D3586">
            <v>45704</v>
          </cell>
        </row>
        <row r="3587">
          <cell r="A3587" t="str">
            <v>WBM-00236-010</v>
          </cell>
          <cell r="B3587" t="str">
            <v>נהריה</v>
          </cell>
          <cell r="C3587" t="str">
            <v>נהריה - הפרדת התראות מימן מהתראות כיבוי אש</v>
          </cell>
          <cell r="D3587">
            <v>46387</v>
          </cell>
        </row>
        <row r="3588">
          <cell r="A3588" t="str">
            <v>WCQ-1-00-01229</v>
          </cell>
          <cell r="B3588" t="str">
            <v>נגב 2902</v>
          </cell>
          <cell r="C3588" t="str">
            <v>יציאות מתחמ"ש רמת חובב</v>
          </cell>
          <cell r="D3588">
            <v>45900</v>
          </cell>
        </row>
        <row r="3589">
          <cell r="A3589" t="str">
            <v>WCQ-1-00-01231</v>
          </cell>
          <cell r="B3589" t="str">
            <v>נגב 2902</v>
          </cell>
          <cell r="C3589" t="str">
            <v>יציאות מתחמ"ש להבים</v>
          </cell>
          <cell r="D3589">
            <v>46446</v>
          </cell>
        </row>
        <row r="3590">
          <cell r="A3590" t="str">
            <v>WCQ-1-00-01232</v>
          </cell>
          <cell r="B3590" t="str">
            <v>נגב 2902</v>
          </cell>
          <cell r="C3590" t="str">
            <v>יציאות מתחמ"ש ב"ש צפון לאוניברסיטה - צבר</v>
          </cell>
          <cell r="D3590">
            <v>44925</v>
          </cell>
        </row>
        <row r="3591">
          <cell r="A3591" t="str">
            <v>WCQ-1-00-01272</v>
          </cell>
          <cell r="B3591" t="str">
            <v>נגב 2902</v>
          </cell>
          <cell r="C3591" t="str">
            <v>יציאות מתחמ"ש אופקים</v>
          </cell>
          <cell r="D3591">
            <v>44926</v>
          </cell>
        </row>
        <row r="3592">
          <cell r="A3592" t="str">
            <v>WCQ-1-00-01289</v>
          </cell>
          <cell r="B3592" t="str">
            <v>נגב 2902</v>
          </cell>
          <cell r="C3592" t="str">
            <v>יציאות מתחמ"ש פארן</v>
          </cell>
          <cell r="D3592">
            <v>46387</v>
          </cell>
        </row>
        <row r="3593">
          <cell r="A3593" t="str">
            <v>WCQ-1-00-01300</v>
          </cell>
          <cell r="B3593" t="str">
            <v>נגב 2902</v>
          </cell>
          <cell r="C3593" t="str">
            <v>יציאות מתחמ"ש ניידת חצבה</v>
          </cell>
          <cell r="D3593">
            <v>46022</v>
          </cell>
        </row>
        <row r="3594">
          <cell r="A3594" t="str">
            <v>WCQ-1-00-01301</v>
          </cell>
          <cell r="B3594" t="str">
            <v>נגב 2902</v>
          </cell>
          <cell r="C3594" t="str">
            <v>יציאות מתחמ"ש בית הלוחם</v>
          </cell>
          <cell r="D3594">
            <v>46752</v>
          </cell>
        </row>
        <row r="3595">
          <cell r="A3595" t="str">
            <v>WCS-1-00-01228</v>
          </cell>
          <cell r="B3595" t="str">
            <v>נגב 2902</v>
          </cell>
          <cell r="C3595" t="str">
            <v>אמינות אספקה קו שוקת- להבים</v>
          </cell>
          <cell r="D3595">
            <v>45657</v>
          </cell>
        </row>
        <row r="3596">
          <cell r="A3596" t="str">
            <v>WCQ-1-00-01306</v>
          </cell>
          <cell r="B3596" t="str">
            <v>נגב 2902</v>
          </cell>
          <cell r="C3596" t="str">
            <v>יציאות מתחמ"ש אופקים</v>
          </cell>
          <cell r="D3596">
            <v>46752</v>
          </cell>
        </row>
        <row r="3597">
          <cell r="A3597" t="str">
            <v>WCQ-1-00-01255</v>
          </cell>
          <cell r="B3597" t="str">
            <v>נגב 2902</v>
          </cell>
          <cell r="C3597" t="str">
            <v>יציאות מתחמ"ש נתיבות - הסתיים</v>
          </cell>
          <cell r="D3597">
            <v>44650</v>
          </cell>
        </row>
        <row r="3598">
          <cell r="A3598" t="str">
            <v>WCQ-1-00-01256</v>
          </cell>
          <cell r="B3598" t="str">
            <v>נגב 2902</v>
          </cell>
          <cell r="C3598" t="str">
            <v>יציאות מתחמ"ש ערד - מ"ב נגב</v>
          </cell>
          <cell r="D3598">
            <v>46387</v>
          </cell>
        </row>
        <row r="3599">
          <cell r="A3599" t="str">
            <v>WCS-1-00-01187</v>
          </cell>
          <cell r="B3599" t="str">
            <v>נגב 2902</v>
          </cell>
          <cell r="C3599" t="str">
            <v>חידוש אמינות פרויקט; מ"ב נגב</v>
          </cell>
          <cell r="D3599">
            <v>49674</v>
          </cell>
        </row>
        <row r="3600">
          <cell r="A3600" t="str">
            <v>WHP-1-00-01224</v>
          </cell>
          <cell r="B3600" t="str">
            <v>נגב 2902</v>
          </cell>
          <cell r="C3600" t="str">
            <v>אספקת חשמל לשכונת אפיקי נחל, אופקים</v>
          </cell>
          <cell r="D3600">
            <v>49674</v>
          </cell>
        </row>
        <row r="3601">
          <cell r="A3601" t="str">
            <v>WCT-1-00-01189</v>
          </cell>
          <cell r="B3601" t="str">
            <v>נגב 2902</v>
          </cell>
          <cell r="C3601" t="str">
            <v>בטיחות - סילוק מפגעים; מ"ב נגב</v>
          </cell>
          <cell r="D3601">
            <v>48579</v>
          </cell>
        </row>
        <row r="3602">
          <cell r="A3602" t="str">
            <v>WHP-1-00-01186</v>
          </cell>
          <cell r="B3602" t="str">
            <v>נגב 2902</v>
          </cell>
          <cell r="C3602" t="str">
            <v>יצור מבוזר מ"ב נגב</v>
          </cell>
          <cell r="D3602">
            <v>49674</v>
          </cell>
        </row>
        <row r="3603">
          <cell r="A3603" t="str">
            <v>WHP-1-00-01221</v>
          </cell>
          <cell r="B3603" t="str">
            <v>נגב 2902</v>
          </cell>
          <cell r="C3603" t="str">
            <v>אספקת חשמל לשכונת פסגת רמות  ב"ש</v>
          </cell>
          <cell r="D3603">
            <v>46752</v>
          </cell>
        </row>
        <row r="3604">
          <cell r="A3604" t="str">
            <v>WHP-1-00-01223</v>
          </cell>
          <cell r="B3604" t="str">
            <v>נגב 2902</v>
          </cell>
          <cell r="C3604" t="str">
            <v>אספקה וחיבור חשמל לשכונת ביר אל חמאם</v>
          </cell>
          <cell r="D3604">
            <v>47847</v>
          </cell>
        </row>
        <row r="3605">
          <cell r="A3605" t="str">
            <v>WHP-1-00-01227</v>
          </cell>
          <cell r="B3605" t="str">
            <v>נגב 2902</v>
          </cell>
          <cell r="C3605" t="str">
            <v>אספקה וחיבור חשמל לשכ' רמות יורם, נתיבות</v>
          </cell>
          <cell r="D3605">
            <v>47118</v>
          </cell>
        </row>
        <row r="3606">
          <cell r="A3606" t="str">
            <v>WHP-1-00-01241</v>
          </cell>
          <cell r="B3606" t="str">
            <v>נגב 2902</v>
          </cell>
          <cell r="C3606" t="str">
            <v>אספקה וחיבור חשמל לרכב חשמלי נגב</v>
          </cell>
          <cell r="D3606">
            <v>49674</v>
          </cell>
        </row>
        <row r="3607">
          <cell r="A3607" t="str">
            <v>WHP-1-00-01265</v>
          </cell>
          <cell r="B3607" t="str">
            <v>נגב 2902</v>
          </cell>
          <cell r="C3607" t="str">
            <v>אספקת חשמל להרחבת ערד</v>
          </cell>
          <cell r="D3607">
            <v>46387</v>
          </cell>
        </row>
        <row r="3608">
          <cell r="A3608" t="str">
            <v>WHP-1-00-01290</v>
          </cell>
          <cell r="B3608" t="str">
            <v>נגב 2902</v>
          </cell>
          <cell r="C3608" t="str">
            <v>אספקת חשמל לשכונה נאות הדרים, ב"ש</v>
          </cell>
          <cell r="D3608">
            <v>46387</v>
          </cell>
        </row>
        <row r="3609">
          <cell r="A3609" t="str">
            <v>WCQ-1-00-01335</v>
          </cell>
          <cell r="B3609" t="str">
            <v>נגב 2902</v>
          </cell>
          <cell r="C3609" t="str">
            <v>יציאות מתחמ"ש חלוציות</v>
          </cell>
          <cell r="D3609">
            <v>45382</v>
          </cell>
        </row>
        <row r="3610">
          <cell r="A3610" t="str">
            <v>WCQ-1-00-01336</v>
          </cell>
          <cell r="B3610" t="str">
            <v>נגב 2902</v>
          </cell>
          <cell r="C3610" t="str">
            <v>יציאות מתחמ"ש בשור</v>
          </cell>
          <cell r="D3610">
            <v>46356</v>
          </cell>
        </row>
        <row r="3611">
          <cell r="A3611" t="str">
            <v>WCQ-1-00-01380</v>
          </cell>
          <cell r="B3611" t="str">
            <v>נגב 2902</v>
          </cell>
          <cell r="C3611" t="str">
            <v>יציאות מתחמ"ש ניר יצחק;נגב</v>
          </cell>
          <cell r="D3611">
            <v>46752</v>
          </cell>
        </row>
        <row r="3612">
          <cell r="A3612" t="str">
            <v>WHP-1-00-01381</v>
          </cell>
          <cell r="B3612" t="str">
            <v>נגב 2902</v>
          </cell>
          <cell r="C3612" t="str">
            <v>אספקה וחיבור חשמל לא.ת שקד ; אופקים ;נגב</v>
          </cell>
          <cell r="D3612">
            <v>46752</v>
          </cell>
        </row>
        <row r="3613">
          <cell r="A3613" t="str">
            <v>WCS-1-00-01328</v>
          </cell>
          <cell r="B3613" t="str">
            <v>נגב 2902</v>
          </cell>
          <cell r="C3613" t="str">
            <v>מיגון רכיבי רשת להגנה על הציפורים - נגב</v>
          </cell>
          <cell r="D3613">
            <v>47848</v>
          </cell>
        </row>
        <row r="3614">
          <cell r="A3614" t="str">
            <v>WHP-1-00-01337</v>
          </cell>
          <cell r="B3614" t="str">
            <v>נגב 2902</v>
          </cell>
          <cell r="C3614" t="str">
            <v>אספקה וחיבור חשמל לשכ' רמות מאיר, נתיבות</v>
          </cell>
          <cell r="D3614">
            <v>47118</v>
          </cell>
        </row>
        <row r="3615">
          <cell r="A3615" t="str">
            <v>WHP-1-00-01367</v>
          </cell>
          <cell r="B3615" t="str">
            <v>נגב 2902</v>
          </cell>
          <cell r="C3615" t="str">
            <v>אספקה וחיבור חשמל לשכונה בפארן</v>
          </cell>
          <cell r="D3615">
            <v>46387</v>
          </cell>
        </row>
        <row r="3616">
          <cell r="A3616" t="str">
            <v>WCU-1-00-01387</v>
          </cell>
          <cell r="B3616" t="str">
            <v>נגב 2902</v>
          </cell>
          <cell r="C3616" t="str">
            <v>אספקת חשמל למוצבי צה"ל ;נגב</v>
          </cell>
          <cell r="D3616">
            <v>47483</v>
          </cell>
        </row>
        <row r="3617">
          <cell r="A3617" t="str">
            <v>WCS-1-00-01401</v>
          </cell>
          <cell r="B3617" t="str">
            <v>נגב 2902</v>
          </cell>
          <cell r="C3617" t="str">
            <v>נגב - אמינות תוספתי</v>
          </cell>
          <cell r="D3617">
            <v>48579</v>
          </cell>
        </row>
        <row r="3618">
          <cell r="A3618" t="str">
            <v>WCS-1-00-01414</v>
          </cell>
          <cell r="B3618" t="str">
            <v>נגב 2902</v>
          </cell>
          <cell r="C3618" t="str">
            <v>נגב - אמינות חידוש</v>
          </cell>
          <cell r="D3618">
            <v>49674</v>
          </cell>
        </row>
        <row r="3619">
          <cell r="A3619" t="str">
            <v>WHP-1-00-01268</v>
          </cell>
          <cell r="B3619" t="str">
            <v>נגב 2902</v>
          </cell>
          <cell r="C3619" t="str">
            <v>אספקת חשמל לשכונת חורשת נח, אופקים</v>
          </cell>
          <cell r="D3619">
            <v>46387</v>
          </cell>
        </row>
        <row r="3620">
          <cell r="A3620" t="str">
            <v>WHP-1-00-01226</v>
          </cell>
          <cell r="B3620" t="str">
            <v>נגב 2902</v>
          </cell>
          <cell r="C3620" t="str">
            <v>אספקה וחיבור חשמל לשכונת קריית גנים, ב"ש</v>
          </cell>
          <cell r="D3620">
            <v>47848</v>
          </cell>
        </row>
        <row r="3621">
          <cell r="A3621" t="str">
            <v>WHP-1-00-01285</v>
          </cell>
          <cell r="B3621" t="str">
            <v>נגב 2902</v>
          </cell>
          <cell r="C3621" t="str">
            <v>אספקת חשמל לאבו קרינאת</v>
          </cell>
          <cell r="D3621">
            <v>47118</v>
          </cell>
        </row>
        <row r="3622">
          <cell r="A3622" t="str">
            <v>WHP-1-00-01271</v>
          </cell>
          <cell r="B3622" t="str">
            <v>נגב 2902</v>
          </cell>
          <cell r="C3622" t="str">
            <v>אספקת חשמל אום בטין</v>
          </cell>
          <cell r="D3622">
            <v>46387</v>
          </cell>
        </row>
        <row r="3623">
          <cell r="A3623" t="str">
            <v>WHP-1-00-01214</v>
          </cell>
          <cell r="B3623" t="str">
            <v>נגב 2902</v>
          </cell>
          <cell r="C3623" t="str">
            <v>אספקת חשמל לשכ' נווה השרון נתיבות</v>
          </cell>
          <cell r="D3623">
            <v>45657</v>
          </cell>
        </row>
        <row r="3624">
          <cell r="A3624" t="str">
            <v>WHP-1-00-01222</v>
          </cell>
          <cell r="B3624" t="str">
            <v>נגב 2902</v>
          </cell>
          <cell r="C3624" t="str">
            <v>אספקת חשמל לשכונת השחר דימונה</v>
          </cell>
          <cell r="D3624">
            <v>46387</v>
          </cell>
        </row>
        <row r="3625">
          <cell r="A3625" t="str">
            <v>WHP-1-00-01225</v>
          </cell>
          <cell r="B3625" t="str">
            <v>נגב 2902</v>
          </cell>
          <cell r="C3625" t="str">
            <v>אספקה וחיבור חשמל להרחבת תל-שבע</v>
          </cell>
          <cell r="D3625">
            <v>46752</v>
          </cell>
        </row>
        <row r="3626">
          <cell r="A3626" t="str">
            <v>WHP-1-00-01213</v>
          </cell>
          <cell r="B3626" t="str">
            <v>נגב 2902</v>
          </cell>
          <cell r="C3626" t="str">
            <v>אספקת חשמל לשכ' הפארק באר שבע</v>
          </cell>
          <cell r="D3626">
            <v>47118</v>
          </cell>
        </row>
        <row r="3627">
          <cell r="A3627" t="str">
            <v>WHP-1-00-01212</v>
          </cell>
          <cell r="B3627" t="str">
            <v>נגב 2902</v>
          </cell>
          <cell r="C3627" t="str">
            <v>אספקת חשמל לשכ' הרקפות באר שבע</v>
          </cell>
          <cell r="D3627">
            <v>47848</v>
          </cell>
        </row>
        <row r="3628">
          <cell r="A3628" t="str">
            <v>WHP-1-00-01267</v>
          </cell>
          <cell r="B3628" t="str">
            <v>נגב 2902</v>
          </cell>
          <cell r="C3628" t="str">
            <v>אספקת חשמל לשכונות אל-סייד</v>
          </cell>
          <cell r="D3628">
            <v>46387</v>
          </cell>
        </row>
        <row r="3629">
          <cell r="A3629" t="str">
            <v>WHP-1-00-01427</v>
          </cell>
          <cell r="B3629" t="str">
            <v>נגב 2902</v>
          </cell>
          <cell r="C3629" t="str">
            <v>אספקה וחיבור חשמל ליישוב דרור</v>
          </cell>
          <cell r="D3629">
            <v>50770</v>
          </cell>
        </row>
        <row r="3630">
          <cell r="A3630" t="str">
            <v>WHP-1-00-01440</v>
          </cell>
          <cell r="B3630" t="str">
            <v>נגב 2902</v>
          </cell>
          <cell r="C3630" t="str">
            <v>שיקום ופיתוח תשתיות חשמל ביישובי הנגב המערבי</v>
          </cell>
          <cell r="D3630">
            <v>47118</v>
          </cell>
        </row>
        <row r="3631">
          <cell r="A3631" t="str">
            <v>WCQ-1-00-01443</v>
          </cell>
          <cell r="B3631" t="str">
            <v>נגב 2902</v>
          </cell>
          <cell r="C3631" t="str">
            <v>יציאות מתחמ"ש אשלים</v>
          </cell>
          <cell r="D3631">
            <v>46477</v>
          </cell>
        </row>
        <row r="3632">
          <cell r="A3632" t="str">
            <v>WCQ-1-00-01446</v>
          </cell>
          <cell r="B3632" t="str">
            <v>נגב 2902</v>
          </cell>
          <cell r="C3632" t="str">
            <v>יציאות מתחמ"ש אורים</v>
          </cell>
          <cell r="D3632">
            <v>46934</v>
          </cell>
        </row>
        <row r="3633">
          <cell r="A3633" t="str">
            <v>WCS-1-00-01457</v>
          </cell>
          <cell r="B3633" t="str">
            <v>נגב 2902</v>
          </cell>
          <cell r="C3633" t="str">
            <v>קווי העימות חידוש - מרחב נגב</v>
          </cell>
          <cell r="D3633">
            <v>49674</v>
          </cell>
        </row>
        <row r="3634">
          <cell r="A3634" t="str">
            <v>WCS-1-00-01479</v>
          </cell>
          <cell r="B3634" t="str">
            <v>נגב 2902</v>
          </cell>
          <cell r="C3634" t="str">
            <v>קווי העימות תוספתי - מרחב נגב</v>
          </cell>
          <cell r="D3634">
            <v>49674</v>
          </cell>
        </row>
        <row r="3635">
          <cell r="A3635" t="str">
            <v>WHP-1-00-01496</v>
          </cell>
          <cell r="B3635" t="str">
            <v>נגב 2902</v>
          </cell>
          <cell r="C3635" t="str">
            <v>אספקת חשמל לשכונת מעלות הנחל, נתיבות</v>
          </cell>
          <cell r="D3635">
            <v>47118</v>
          </cell>
        </row>
        <row r="3636">
          <cell r="A3636" t="str">
            <v>WCQ-1-00-01498</v>
          </cell>
          <cell r="B3636" t="str">
            <v>נגב 2902</v>
          </cell>
          <cell r="C3636" t="str">
            <v>יציאות מתחמ"ש קריית המודיעין</v>
          </cell>
          <cell r="D3636">
            <v>46934</v>
          </cell>
        </row>
        <row r="3637">
          <cell r="A3637" t="str">
            <v>WHP-1-00-01506</v>
          </cell>
          <cell r="B3637" t="str">
            <v>נגב 2902</v>
          </cell>
          <cell r="C3637" t="str">
            <v>הגרלה ייצור מבוזר נגב</v>
          </cell>
          <cell r="D3637">
            <v>46752</v>
          </cell>
        </row>
        <row r="3638">
          <cell r="A3638" t="str">
            <v>WCQ-1-00-01512</v>
          </cell>
          <cell r="B3638" t="str">
            <v>נגב 2902</v>
          </cell>
          <cell r="C3638" t="str">
            <v>יציאות מתחמ"ש ר.חובב לרמת בקע - לא פעיל</v>
          </cell>
          <cell r="D3638">
            <v>46022</v>
          </cell>
        </row>
        <row r="3639">
          <cell r="A3639" t="str">
            <v>WCQ-1-00-01514</v>
          </cell>
          <cell r="B3639" t="str">
            <v>נגב 2902</v>
          </cell>
          <cell r="C3639" t="str">
            <v>יציאות מתחמ"ש בית הגדי</v>
          </cell>
          <cell r="D3639">
            <v>46752</v>
          </cell>
        </row>
        <row r="3640">
          <cell r="A3640" t="str">
            <v>WHP-1-00-01515</v>
          </cell>
          <cell r="B3640" t="str">
            <v>נגב 2902</v>
          </cell>
          <cell r="C3640" t="str">
            <v>אספקה וחיבור חשמל לשכונת שיפולי ההר</v>
          </cell>
          <cell r="D3640">
            <v>47118</v>
          </cell>
        </row>
        <row r="3641">
          <cell r="A3641" t="str">
            <v>WHP-1-00-01516</v>
          </cell>
          <cell r="B3641" t="str">
            <v>נגב 2902</v>
          </cell>
          <cell r="C3641" t="str">
            <v>אספקה וחיבור חשמל ליישוב כרמית</v>
          </cell>
          <cell r="D3641">
            <v>46203</v>
          </cell>
        </row>
        <row r="3642">
          <cell r="A3642" t="str">
            <v>WCQ-1-00-01210</v>
          </cell>
          <cell r="B3642" t="str">
            <v>נגב 2902</v>
          </cell>
          <cell r="C3642" t="str">
            <v>יציאות מתחמ"ש דימונה</v>
          </cell>
          <cell r="D3642">
            <v>47269</v>
          </cell>
        </row>
        <row r="3643">
          <cell r="A3643" t="str">
            <v>WHP-1-00-01517</v>
          </cell>
          <cell r="B3643" t="str">
            <v>נגב 2902</v>
          </cell>
          <cell r="C3643" t="str">
            <v>אספקה וחיבור חשמל לאזור רמת בקע, ב"ש</v>
          </cell>
          <cell r="D3643">
            <v>46387</v>
          </cell>
        </row>
        <row r="3644">
          <cell r="A3644" t="str">
            <v>WCQ-1-00-01524</v>
          </cell>
          <cell r="B3644" t="str">
            <v>נגב 2902</v>
          </cell>
          <cell r="C3644" t="str">
            <v>יציאות מתחמ"ש מצפה רמון</v>
          </cell>
          <cell r="D3644">
            <v>46568</v>
          </cell>
        </row>
        <row r="3645">
          <cell r="A3645" t="str">
            <v>WCQ-1-00-01525</v>
          </cell>
          <cell r="B3645" t="str">
            <v>נגב 2902</v>
          </cell>
          <cell r="C3645" t="str">
            <v>יציאות מתחמ"ש יוטבתה</v>
          </cell>
          <cell r="D3645">
            <v>46934</v>
          </cell>
        </row>
        <row r="3646">
          <cell r="A3646" t="str">
            <v>WCQ-1-00-01530</v>
          </cell>
          <cell r="B3646" t="str">
            <v>נגב 2902</v>
          </cell>
          <cell r="C3646" t="str">
            <v>יציאות מתחמ"ש תמנע</v>
          </cell>
          <cell r="D3646">
            <v>46752</v>
          </cell>
        </row>
        <row r="3647">
          <cell r="A3647" t="str">
            <v>WHP-1-00-01533</v>
          </cell>
          <cell r="B3647" t="str">
            <v>נגב 2902</v>
          </cell>
          <cell r="C3647" t="str">
            <v>אספקה וחיבור חשמל לשכונת האקליפטוס, אופקים</v>
          </cell>
          <cell r="D3647">
            <v>47848</v>
          </cell>
        </row>
        <row r="3648">
          <cell r="A3648" t="str">
            <v>WHP-1-00-01535</v>
          </cell>
          <cell r="B3648" t="str">
            <v>נגב 2902</v>
          </cell>
          <cell r="C3648" t="str">
            <v>הרחבת מושב צופר</v>
          </cell>
          <cell r="D3648">
            <v>46752</v>
          </cell>
        </row>
        <row r="3649">
          <cell r="A3649" t="str">
            <v>WHP-1-00-01553</v>
          </cell>
          <cell r="B3649" t="str">
            <v>נגב 2902</v>
          </cell>
          <cell r="C3649" t="str">
            <v>אספקה וחיבור חשמל לפארק תעשיות נ.ע.מ</v>
          </cell>
          <cell r="D3649">
            <v>46752</v>
          </cell>
        </row>
        <row r="3650">
          <cell r="A3650" t="str">
            <v>WCS-1-00-01559</v>
          </cell>
          <cell r="B3650" t="str">
            <v>נגב 2902</v>
          </cell>
          <cell r="C3650" t="str">
            <v>החלפת מופות מ"ג - מרחב נגב</v>
          </cell>
          <cell r="D3650">
            <v>49674</v>
          </cell>
        </row>
        <row r="3651">
          <cell r="A3651" t="str">
            <v>WCQ-1-00-01574</v>
          </cell>
          <cell r="B3651" t="str">
            <v>נגב 2902</v>
          </cell>
          <cell r="C3651" t="str">
            <v>יציאות מניידות ספיר</v>
          </cell>
          <cell r="D3651">
            <v>46752</v>
          </cell>
        </row>
        <row r="3652">
          <cell r="A3652" t="str">
            <v>WHP-1-00-01585</v>
          </cell>
          <cell r="B3652" t="str">
            <v>נגב 2902</v>
          </cell>
          <cell r="C3652" t="str">
            <v>שיפור שאינו תמריצים; נגב</v>
          </cell>
          <cell r="D3652">
            <v>49918</v>
          </cell>
        </row>
        <row r="3653">
          <cell r="A3653" t="str">
            <v>WCR-1-00-01600</v>
          </cell>
          <cell r="B3653" t="str">
            <v>נגב 2902</v>
          </cell>
          <cell r="C3653" t="str">
            <v>שיקום קווים גדר מערבית</v>
          </cell>
          <cell r="D3653">
            <v>47848</v>
          </cell>
        </row>
        <row r="3654">
          <cell r="A3654" t="str">
            <v>WCQ-1-00-01605</v>
          </cell>
          <cell r="B3654" t="str">
            <v>נגב 2902</v>
          </cell>
          <cell r="C3654" t="str">
            <v>יציאות מתחמ"ש נתיבות</v>
          </cell>
          <cell r="D3654">
            <v>47238</v>
          </cell>
        </row>
        <row r="3655">
          <cell r="A3655">
            <v>9985257</v>
          </cell>
          <cell r="B3655" t="str">
            <v>נבטים</v>
          </cell>
          <cell r="C3655" t="str">
            <v>נבטים- קליטת תח"כ בהספק 18 מגוו"א</v>
          </cell>
          <cell r="D3655">
            <v>42463</v>
          </cell>
        </row>
        <row r="3656">
          <cell r="A3656" t="str">
            <v>WBM-10343</v>
          </cell>
          <cell r="B3656" t="str">
            <v>נבטים</v>
          </cell>
          <cell r="C3656" t="str">
            <v>נבטים – החלפת משנק שד'1 ופירוק ציוד הצמדה שד' 5</v>
          </cell>
          <cell r="D3656">
            <v>47483</v>
          </cell>
        </row>
        <row r="3657">
          <cell r="A3657" t="str">
            <v>WBM-10415</v>
          </cell>
          <cell r="B3657" t="str">
            <v>נבטים</v>
          </cell>
          <cell r="C3657" t="str">
            <v>נבטים-משיק צפית  ש13-קשר .בין הגנ.ש1</v>
          </cell>
          <cell r="D3657">
            <v>45062</v>
          </cell>
        </row>
        <row r="3658">
          <cell r="A3658" t="str">
            <v>WBM-10284</v>
          </cell>
          <cell r="B3658" t="str">
            <v>נבטים</v>
          </cell>
          <cell r="C3658" t="str">
            <v>נבטים-בוטל-התאמת תיילים-מהדקים-פ'W BO483</v>
          </cell>
          <cell r="D3658">
            <v>44593</v>
          </cell>
        </row>
        <row r="3659">
          <cell r="A3659" t="str">
            <v>WBM-10567</v>
          </cell>
          <cell r="B3659" t="str">
            <v>נבטים</v>
          </cell>
          <cell r="C3659" t="str">
            <v>נבטים -בוטל - משיק לקרית מודיעין שדה 3, יישום דרך קשר אופטית בין הגנות  בשדה 1</v>
          </cell>
        </row>
        <row r="3660">
          <cell r="A3660" t="str">
            <v>WBM-10601</v>
          </cell>
          <cell r="B3660" t="str">
            <v>נבטים</v>
          </cell>
          <cell r="C3660" t="str">
            <v>נבטים - משיק לבאר שבע שדה 11, יישום דרך קשר אופטית בין הגנות בשדה 1</v>
          </cell>
          <cell r="D3660">
            <v>45594</v>
          </cell>
        </row>
        <row r="3661">
          <cell r="A3661" t="str">
            <v>WBM-10316-013</v>
          </cell>
          <cell r="B3661" t="str">
            <v>נבטים</v>
          </cell>
          <cell r="C3661" t="str">
            <v>נבטים-חיבור רושמי הפרעות למתג מנהלת</v>
          </cell>
          <cell r="D3661">
            <v>45607</v>
          </cell>
        </row>
        <row r="3662">
          <cell r="A3662" t="str">
            <v>WBM-60128-007</v>
          </cell>
          <cell r="B3662" t="str">
            <v>נבטים</v>
          </cell>
          <cell r="C3662" t="str">
            <v>נבטים - שדרוג ותוספות מיגון בתחמשים פרטיים</v>
          </cell>
          <cell r="D3662">
            <v>46721</v>
          </cell>
        </row>
        <row r="3663">
          <cell r="A3663" t="str">
            <v>WBM-10794</v>
          </cell>
          <cell r="B3663" t="str">
            <v>נבטים</v>
          </cell>
          <cell r="C3663" t="str">
            <v>נבטים - משיק לדימונה שדה 20, יישום דרך קשר אופטית בין הגנות בשדה 5</v>
          </cell>
          <cell r="D3663">
            <v>46233</v>
          </cell>
        </row>
        <row r="3664">
          <cell r="A3664" t="str">
            <v>WBM-10343-ST1</v>
          </cell>
          <cell r="B3664" t="str">
            <v>נבטים</v>
          </cell>
          <cell r="C3664" t="str">
            <v>נבטים - שדה 1  – החלפת ציוד הצמדה ל-2000 א' (מעגל לאיתן), משיק לפרויקט WBO-483 (שדרוג קו דימונה-איתן)</v>
          </cell>
          <cell r="D3664">
            <v>47118</v>
          </cell>
        </row>
        <row r="3665">
          <cell r="A3665" t="str">
            <v>WBM-10343-ST2</v>
          </cell>
          <cell r="B3665" t="str">
            <v>נבטים</v>
          </cell>
          <cell r="C3665" t="str">
            <v>נבטים - שדה 5  – פירוק ציוד הצמדה</v>
          </cell>
          <cell r="D3665">
            <v>47483</v>
          </cell>
        </row>
        <row r="3666">
          <cell r="A3666" t="str">
            <v>WBE-312</v>
          </cell>
          <cell r="B3666" t="str">
            <v>נאות סמדר - תחמ"ש</v>
          </cell>
          <cell r="C3666" t="str">
            <v>נאות סמדר-הוספת 2 שנאי חח"י 50 מגוו"א</v>
          </cell>
          <cell r="D3666">
            <v>47118</v>
          </cell>
        </row>
        <row r="3667">
          <cell r="A3667">
            <v>900027</v>
          </cell>
          <cell r="B3667" t="str">
            <v>נאות סמדר</v>
          </cell>
          <cell r="C3667" t="str">
            <v>נאות סמדר-הקמת מתקן אגירה במ"ע SA בהספק של 150 מגאוו"ט</v>
          </cell>
          <cell r="D3667">
            <v>47118</v>
          </cell>
        </row>
        <row r="3668">
          <cell r="A3668" t="str">
            <v>79999-20</v>
          </cell>
          <cell r="B3668" t="str">
            <v>נאות חובב</v>
          </cell>
          <cell r="C3668" t="str">
            <v>נאות חובב-קליטת תח"כ 37.5 מגוו"ט</v>
          </cell>
          <cell r="D3668">
            <v>41973</v>
          </cell>
        </row>
        <row r="3669">
          <cell r="A3669" t="str">
            <v>WBM-10316-011</v>
          </cell>
          <cell r="B3669" t="str">
            <v>נאות חובב</v>
          </cell>
          <cell r="C3669" t="str">
            <v>נאות חובב-חיבור רושמי הפרעות למתג מנהלת</v>
          </cell>
          <cell r="D3669">
            <v>45607</v>
          </cell>
        </row>
        <row r="3670">
          <cell r="A3670" t="str">
            <v>WBM-80014-012</v>
          </cell>
          <cell r="B3670" t="str">
            <v>נאות חובב</v>
          </cell>
          <cell r="C3670" t="str">
            <v>נאות חובב - שדרוג SCS</v>
          </cell>
          <cell r="D3670">
            <v>46022</v>
          </cell>
        </row>
        <row r="3671">
          <cell r="A3671" t="str">
            <v>WBM-60128-012</v>
          </cell>
          <cell r="B3671" t="str">
            <v>נאות חובב</v>
          </cell>
          <cell r="C3671" t="str">
            <v>נאות חובב - שדרוג ותוספות מיגון בתחמשים פרטיים</v>
          </cell>
          <cell r="D3671">
            <v>46721</v>
          </cell>
        </row>
        <row r="3672">
          <cell r="A3672" t="str">
            <v>HIS-170</v>
          </cell>
          <cell r="B3672" t="str">
            <v>מתכים (כורנוב)-פרטית</v>
          </cell>
          <cell r="C3672" t="str">
            <v>מתכים (כורנוב)-פרטית</v>
          </cell>
          <cell r="D3672">
            <v>40908</v>
          </cell>
        </row>
        <row r="3673">
          <cell r="A3673" t="str">
            <v>79999-5</v>
          </cell>
          <cell r="B3673" t="str">
            <v>מתכים (כורנוב)-פרטית</v>
          </cell>
          <cell r="C3673" t="str">
            <v>מתכים(כורנוב)-פירוק תחמ"ש פרטית</v>
          </cell>
          <cell r="D3673">
            <v>43464</v>
          </cell>
        </row>
        <row r="3674">
          <cell r="A3674" t="str">
            <v>WBM-60029</v>
          </cell>
          <cell r="B3674" t="str">
            <v>משרד יח' תחמ''ש צפון</v>
          </cell>
          <cell r="C3674" t="str">
            <v>תחמ"ש צפון- פינוי פסולת אסבסט מהמחסן</v>
          </cell>
          <cell r="D3674">
            <v>44046</v>
          </cell>
        </row>
        <row r="3675">
          <cell r="A3675" t="str">
            <v>WBM-00375</v>
          </cell>
          <cell r="B3675" t="str">
            <v>משרד יח' תחמ''ש צפון</v>
          </cell>
          <cell r="C3675" t="str">
            <v>משרד יח' תחמ"ש צפון-התקנת מערכת כיבוי אש</v>
          </cell>
          <cell r="D3675">
            <v>41972</v>
          </cell>
        </row>
        <row r="3676">
          <cell r="A3676" t="str">
            <v>WBM-00746</v>
          </cell>
          <cell r="B3676" t="str">
            <v>משרד יח' תחמ''ש צפון</v>
          </cell>
          <cell r="C3676" t="str">
            <v>משרד יח' תחמ"ש צפון-התקנת מע' מיגון</v>
          </cell>
          <cell r="D3676">
            <v>41655</v>
          </cell>
        </row>
        <row r="3677">
          <cell r="A3677" t="str">
            <v>WBM-00079</v>
          </cell>
          <cell r="B3677" t="str">
            <v>משרד יח' תחמ''ש צפון</v>
          </cell>
          <cell r="C3677" t="str">
            <v>משרד יח' תחמ"ש צפון-התקנת דלת ביטחון</v>
          </cell>
          <cell r="D3677">
            <v>46476</v>
          </cell>
        </row>
        <row r="3678">
          <cell r="A3678" t="str">
            <v>WBM-00744</v>
          </cell>
          <cell r="B3678" t="str">
            <v>משרד יח' תחמ''ש נגב ואילת</v>
          </cell>
          <cell r="C3678" t="str">
            <v>משרד יח' תחמ"ש נגב ואילת-התקנת מע' מיגון</v>
          </cell>
          <cell r="D3678">
            <v>42277</v>
          </cell>
        </row>
        <row r="3679">
          <cell r="A3679" t="str">
            <v>WBM-00747</v>
          </cell>
          <cell r="B3679" t="str">
            <v>משרד יח' תחמ''ש ירושלים</v>
          </cell>
          <cell r="C3679" t="str">
            <v>משרד יח' תחמ"ש ירושלים-התקנת מערכת מיגון</v>
          </cell>
          <cell r="D3679">
            <v>42291</v>
          </cell>
        </row>
        <row r="3680">
          <cell r="A3680" t="str">
            <v>WBM-00745</v>
          </cell>
          <cell r="B3680" t="str">
            <v>משרד יח' תחמ''ש דרום</v>
          </cell>
          <cell r="C3680" t="str">
            <v>משרד יח' תחמ"ש דרום-התקנת מע' מיגון ביטח</v>
          </cell>
          <cell r="D3680">
            <v>43281</v>
          </cell>
        </row>
        <row r="3681">
          <cell r="A3681" t="str">
            <v>WBM-00792</v>
          </cell>
          <cell r="B3681" t="str">
            <v>משרד יח' תחמ''ש דרום</v>
          </cell>
          <cell r="C3681" t="str">
            <v>משרד יח' תחמ"ש דרום- מעבדת סייבר</v>
          </cell>
          <cell r="D3681">
            <v>43069</v>
          </cell>
        </row>
        <row r="3682">
          <cell r="A3682">
            <v>540100</v>
          </cell>
          <cell r="B3682" t="str">
            <v>משרד יח' תחמ''ש דרום</v>
          </cell>
          <cell r="C3682" t="str">
            <v>משרד יח' תחמ"ש דרום-הקמת רשת מחשבים תפעו</v>
          </cell>
          <cell r="D3682">
            <v>41273</v>
          </cell>
        </row>
        <row r="3683">
          <cell r="A3683" t="str">
            <v>HIS-111</v>
          </cell>
          <cell r="B3683" t="str">
            <v>משגב</v>
          </cell>
          <cell r="C3683" t="str">
            <v>משגב</v>
          </cell>
          <cell r="D3683">
            <v>40908</v>
          </cell>
        </row>
        <row r="3684">
          <cell r="A3684" t="str">
            <v>WBM-00301</v>
          </cell>
          <cell r="B3684" t="str">
            <v>משגב</v>
          </cell>
          <cell r="C3684" t="str">
            <v>משגב-התקנת ס"ק 24 ק"ו  5*1 מגווא"ר</v>
          </cell>
          <cell r="D3684">
            <v>44035</v>
          </cell>
        </row>
        <row r="3685">
          <cell r="A3685" t="str">
            <v>WBM-00078</v>
          </cell>
          <cell r="B3685" t="str">
            <v>משגב</v>
          </cell>
          <cell r="C3685" t="str">
            <v>משגב-התקנת 2 הגנת פ"צ 161 ק"ו</v>
          </cell>
          <cell r="D3685">
            <v>46842</v>
          </cell>
        </row>
        <row r="3686">
          <cell r="A3686" t="str">
            <v>WBM-00501</v>
          </cell>
          <cell r="B3686" t="str">
            <v>משגב</v>
          </cell>
          <cell r="C3686" t="str">
            <v>משגב-הזנת תאורת חירום ז"י.</v>
          </cell>
          <cell r="D3686">
            <v>46201</v>
          </cell>
        </row>
        <row r="3687">
          <cell r="A3687" t="str">
            <v>WBM-60071</v>
          </cell>
          <cell r="B3687" t="str">
            <v>משגב</v>
          </cell>
          <cell r="C3687" t="str">
            <v>משגב - עיגון ארונות פיקוד ושנאים</v>
          </cell>
          <cell r="D3687">
            <v>47024</v>
          </cell>
        </row>
        <row r="3688">
          <cell r="A3688" t="str">
            <v>WBM-40176</v>
          </cell>
          <cell r="B3688" t="str">
            <v>משגב</v>
          </cell>
          <cell r="C3688" t="str">
            <v>משגב- החלפת 23 הגנות מ"ג 7SJ512</v>
          </cell>
          <cell r="D3688">
            <v>46173</v>
          </cell>
        </row>
        <row r="3689">
          <cell r="A3689" t="str">
            <v>WBM-01353</v>
          </cell>
          <cell r="B3689" t="str">
            <v>משגב</v>
          </cell>
          <cell r="C3689" t="str">
            <v>משגב -שיפור אוטומטיקת סלילי כיבוי בתחמ"ש</v>
          </cell>
          <cell r="D3689">
            <v>43048</v>
          </cell>
        </row>
        <row r="3690">
          <cell r="A3690" t="str">
            <v>WBG-068-016</v>
          </cell>
          <cell r="B3690" t="str">
            <v>משגב</v>
          </cell>
          <cell r="C3690" t="str">
            <v>משגב-התקנת גלאי מימן</v>
          </cell>
          <cell r="D3690">
            <v>41617</v>
          </cell>
        </row>
        <row r="3691">
          <cell r="A3691" t="str">
            <v>WBG-068-020</v>
          </cell>
          <cell r="B3691" t="str">
            <v>משגב</v>
          </cell>
          <cell r="C3691" t="str">
            <v>משגב-שדרוג מערכת פיקוד ובקרה</v>
          </cell>
          <cell r="D3691">
            <v>41406</v>
          </cell>
        </row>
        <row r="3692">
          <cell r="A3692" t="str">
            <v>WBG-068-019</v>
          </cell>
          <cell r="B3692" t="str">
            <v>משגב</v>
          </cell>
          <cell r="C3692" t="str">
            <v>משגב-פתרון בעיית חיבור לא מבוקר-ממסרים</v>
          </cell>
          <cell r="D3692">
            <v>41378</v>
          </cell>
        </row>
        <row r="3693">
          <cell r="A3693" t="str">
            <v>WBG-068-015</v>
          </cell>
          <cell r="B3693" t="str">
            <v>משגב</v>
          </cell>
          <cell r="C3693" t="str">
            <v>משגב- ביצוע פיילוט OM בטבעת</v>
          </cell>
          <cell r="D3693">
            <v>41270</v>
          </cell>
        </row>
        <row r="3694">
          <cell r="A3694" t="str">
            <v>WBM-40177</v>
          </cell>
          <cell r="B3694" t="str">
            <v>משגב</v>
          </cell>
          <cell r="C3694" t="str">
            <v>משגב-בוטל-החלפת טרפוגרד בשדות 6,10</v>
          </cell>
        </row>
        <row r="3695">
          <cell r="A3695">
            <v>525817</v>
          </cell>
          <cell r="B3695" t="str">
            <v>משגב</v>
          </cell>
          <cell r="C3695" t="str">
            <v>משגב-החלפת רכזת התראה בטחונית</v>
          </cell>
          <cell r="D3695">
            <v>39659</v>
          </cell>
        </row>
        <row r="3696">
          <cell r="A3696" t="str">
            <v>WBM-00502</v>
          </cell>
          <cell r="B3696" t="str">
            <v>משגב</v>
          </cell>
          <cell r="C3696" t="str">
            <v>משגב-בוטל שיפור מערכת הארקה בתחמ"ש</v>
          </cell>
          <cell r="D3696">
            <v>39798</v>
          </cell>
        </row>
        <row r="3697">
          <cell r="A3697">
            <v>525829</v>
          </cell>
          <cell r="B3697" t="str">
            <v>משגב</v>
          </cell>
          <cell r="C3697" t="str">
            <v>משגב-התקנת מאווררים בארונות פיקוד והגנה</v>
          </cell>
          <cell r="D3697">
            <v>40311</v>
          </cell>
        </row>
        <row r="3698">
          <cell r="A3698" t="str">
            <v>WBE-010</v>
          </cell>
          <cell r="B3698" t="str">
            <v>משגב</v>
          </cell>
          <cell r="C3698" t="str">
            <v>משגב-התקנת שנאי שלישי 161/24, 50 מגוו"א.</v>
          </cell>
          <cell r="D3698">
            <v>41336</v>
          </cell>
        </row>
        <row r="3699">
          <cell r="A3699" t="str">
            <v>WBM-10576</v>
          </cell>
          <cell r="B3699" t="str">
            <v>משגב</v>
          </cell>
          <cell r="C3699" t="str">
            <v>משגב-התקנת הגנה דיפרנציאלית שדה 11 ,משיק לתחמ"ש כרמיאל שדה 3</v>
          </cell>
          <cell r="D3699">
            <v>47117</v>
          </cell>
        </row>
        <row r="3700">
          <cell r="A3700" t="str">
            <v>WBM-10582</v>
          </cell>
          <cell r="B3700" t="str">
            <v>משגב</v>
          </cell>
          <cell r="C3700" t="str">
            <v>משגב-שדה 5 - התקנת הגנת מרחק ודיפרנציאלית-משיק לנעמן שדה 2</v>
          </cell>
          <cell r="D3700">
            <v>46326</v>
          </cell>
        </row>
        <row r="3701">
          <cell r="A3701" t="str">
            <v>WBM-00885-114</v>
          </cell>
          <cell r="B3701" t="str">
            <v>משגב</v>
          </cell>
          <cell r="C3701" t="str">
            <v>משגב - בוטל- התכולה תקבע בהתאם לבדיקת מת"י</v>
          </cell>
        </row>
        <row r="3702">
          <cell r="A3702" t="str">
            <v>WBM-10101-007</v>
          </cell>
          <cell r="B3702" t="str">
            <v>משגב</v>
          </cell>
          <cell r="C3702" t="str">
            <v>משגב -  ביטול סוללה V60</v>
          </cell>
          <cell r="D3702">
            <v>46721</v>
          </cell>
        </row>
        <row r="3703">
          <cell r="A3703" t="str">
            <v>WBM-40295-065</v>
          </cell>
          <cell r="B3703" t="str">
            <v>משגב</v>
          </cell>
          <cell r="C3703" t="str">
            <v>משגב - החלפת סוללות מצברים</v>
          </cell>
          <cell r="D3703">
            <v>46721</v>
          </cell>
        </row>
        <row r="3704">
          <cell r="A3704" t="str">
            <v>WBM-40479-050</v>
          </cell>
          <cell r="B3704" t="str">
            <v>משגב</v>
          </cell>
          <cell r="C3704" t="str">
            <v>משגב- החלפת 2 בקרי טמפ' וגובה שמן בשנאי</v>
          </cell>
          <cell r="D3704">
            <v>47360</v>
          </cell>
        </row>
        <row r="3705">
          <cell r="A3705" t="str">
            <v>WBM-60118-032</v>
          </cell>
          <cell r="B3705" t="str">
            <v>משגב</v>
          </cell>
          <cell r="C3705" t="str">
            <v>משגב - שיפור מערכת הארקה</v>
          </cell>
          <cell r="D3705">
            <v>47118</v>
          </cell>
        </row>
        <row r="3706">
          <cell r="A3706" t="str">
            <v>WBM-60130-032</v>
          </cell>
          <cell r="B3706" t="str">
            <v>משגב</v>
          </cell>
          <cell r="C3706" t="str">
            <v>משגב - התקנת מפסק פטריה להפסקת מערכת החשמל בחירום</v>
          </cell>
          <cell r="D3706">
            <v>46568</v>
          </cell>
        </row>
        <row r="3707">
          <cell r="A3707" t="str">
            <v>WBM-60205-037</v>
          </cell>
          <cell r="B3707" t="str">
            <v>משגב</v>
          </cell>
          <cell r="C3707" t="str">
            <v>משגב - ניטור הצפות</v>
          </cell>
          <cell r="D3707">
            <v>46175</v>
          </cell>
        </row>
        <row r="3708">
          <cell r="A3708" t="str">
            <v>WBM-60092-060</v>
          </cell>
          <cell r="B3708" t="str">
            <v>משגב</v>
          </cell>
          <cell r="C3708" t="str">
            <v>משגב - בדיקות/טיפול/פינוי מכלי אש בגז</v>
          </cell>
          <cell r="D3708">
            <v>46022</v>
          </cell>
        </row>
        <row r="3709">
          <cell r="A3709" t="str">
            <v>WBM-40637-022</v>
          </cell>
          <cell r="B3709" t="str">
            <v>משגב</v>
          </cell>
          <cell r="C3709" t="str">
            <v>משגב -  החלפת רושמי הפרעות קיימים מדגם IDM-T3 לרושמים חדשים מדגם IDM+</v>
          </cell>
          <cell r="D3709">
            <v>46934</v>
          </cell>
        </row>
        <row r="3710">
          <cell r="A3710" t="str">
            <v>HIS-110</v>
          </cell>
          <cell r="B3710" t="str">
            <v>משאבי שדה</v>
          </cell>
          <cell r="C3710" t="str">
            <v>משאבי שדה</v>
          </cell>
          <cell r="D3710">
            <v>40908</v>
          </cell>
        </row>
        <row r="3711">
          <cell r="A3711" t="str">
            <v>WBE-203</v>
          </cell>
          <cell r="B3711" t="str">
            <v>משאבי שדה</v>
          </cell>
          <cell r="C3711" t="str">
            <v>משאבי שדה-החלפת שנאי 532 33 לשנאי 50 מגו</v>
          </cell>
          <cell r="D3711">
            <v>45271</v>
          </cell>
        </row>
        <row r="3712">
          <cell r="A3712" t="str">
            <v>WBE-113</v>
          </cell>
          <cell r="B3712" t="str">
            <v>משאבי שדה</v>
          </cell>
          <cell r="C3712" t="str">
            <v>משאבי שדה-החלפת שנאי 531  ל-50 מגוו"און</v>
          </cell>
          <cell r="D3712">
            <v>44837</v>
          </cell>
        </row>
        <row r="3713">
          <cell r="A3713" t="str">
            <v>WBE-133</v>
          </cell>
          <cell r="B3713" t="str">
            <v>משאבי שדה</v>
          </cell>
          <cell r="C3713" t="str">
            <v>משאבי שדה - בוטל-התקנת מתקן אגירת אנרגיה</v>
          </cell>
        </row>
        <row r="3714">
          <cell r="A3714" t="str">
            <v>WBM-00865</v>
          </cell>
          <cell r="B3714" t="str">
            <v>משאבי שדה</v>
          </cell>
          <cell r="C3714" t="str">
            <v>משאבי שדה-החלפת 2 סלילי כיבוי 36 ק"ו</v>
          </cell>
          <cell r="D3714">
            <v>45267</v>
          </cell>
        </row>
        <row r="3715">
          <cell r="A3715" t="str">
            <v>WBM-40229</v>
          </cell>
          <cell r="B3715" t="str">
            <v>משאבי שדה</v>
          </cell>
          <cell r="C3715" t="str">
            <v>משאבי שדה-החלפת 10 הגנות מ"ג</v>
          </cell>
          <cell r="D3715">
            <v>46752</v>
          </cell>
        </row>
        <row r="3716">
          <cell r="A3716" t="str">
            <v>WBM-00077</v>
          </cell>
          <cell r="B3716" t="str">
            <v>משאבי שדה</v>
          </cell>
          <cell r="C3716" t="str">
            <v>משאבי שדה-התקנת עמדת כיבוי אש שנייה</v>
          </cell>
          <cell r="D3716">
            <v>45189</v>
          </cell>
        </row>
        <row r="3717">
          <cell r="A3717" t="str">
            <v>WBM-40222</v>
          </cell>
          <cell r="B3717" t="str">
            <v>משאבי שדה</v>
          </cell>
          <cell r="C3717" t="str">
            <v>משאבי שדה-החלפת ציוד בפ"צ 1</v>
          </cell>
          <cell r="D3717">
            <v>46476</v>
          </cell>
        </row>
        <row r="3718">
          <cell r="A3718" t="str">
            <v>WBM-10012</v>
          </cell>
          <cell r="B3718" t="str">
            <v>משאבי שדה</v>
          </cell>
          <cell r="C3718" t="str">
            <v>משאבי שדה-התקנת רושם הפרעות 161 ק"ו</v>
          </cell>
          <cell r="D3718">
            <v>46568</v>
          </cell>
        </row>
        <row r="3719">
          <cell r="A3719" t="str">
            <v>WBM-00841</v>
          </cell>
          <cell r="B3719" t="str">
            <v>משאבי שדה</v>
          </cell>
          <cell r="C3719" t="str">
            <v>משאבי שדה-הסדרת צומת כניסה לתחמ"ש</v>
          </cell>
          <cell r="D3719">
            <v>46233</v>
          </cell>
        </row>
        <row r="3720">
          <cell r="A3720" t="str">
            <v>WBM-10158</v>
          </cell>
          <cell r="B3720" t="str">
            <v>משאבי שדה</v>
          </cell>
          <cell r="C3720" t="str">
            <v>משאבי שדה - התקנת מתמרים ב-2 פ"צ</v>
          </cell>
          <cell r="D3720">
            <v>46386</v>
          </cell>
        </row>
        <row r="3721">
          <cell r="A3721" t="str">
            <v>WBM-10218</v>
          </cell>
          <cell r="B3721" t="str">
            <v>משאבי שדה</v>
          </cell>
          <cell r="C3721" t="str">
            <v>משאבי שדה-הוספת 2  שדות יציאה מ"ג 36 ק"ו</v>
          </cell>
          <cell r="D3721">
            <v>45228</v>
          </cell>
        </row>
        <row r="3722">
          <cell r="A3722" t="str">
            <v>WBM-00500</v>
          </cell>
          <cell r="B3722" t="str">
            <v>משאבי שדה</v>
          </cell>
          <cell r="C3722" t="str">
            <v>משאבי שדה-החלפת מ.ברק מ"ג שנאים532,531</v>
          </cell>
          <cell r="D3722">
            <v>45223</v>
          </cell>
        </row>
        <row r="3723">
          <cell r="A3723" t="str">
            <v>WBM-40010</v>
          </cell>
          <cell r="B3723" t="str">
            <v>משאבי שדה</v>
          </cell>
          <cell r="C3723" t="str">
            <v>משאבי שדה - החלפת מפסק זרם שדה 206</v>
          </cell>
          <cell r="D3723">
            <v>45012</v>
          </cell>
        </row>
        <row r="3724">
          <cell r="A3724" t="str">
            <v>WBM-40502</v>
          </cell>
          <cell r="B3724" t="str">
            <v>משאבי שדה</v>
          </cell>
          <cell r="C3724" t="str">
            <v>משאבי שדה-החלפת ציוד בשדה 5</v>
          </cell>
          <cell r="D3724">
            <v>44525</v>
          </cell>
        </row>
        <row r="3725">
          <cell r="A3725" t="str">
            <v>WBM-01164</v>
          </cell>
          <cell r="B3725" t="str">
            <v>משאבי שדה</v>
          </cell>
          <cell r="C3725" t="str">
            <v>משאבי שדה-ישום דרך קשר להגנות בשדה 9</v>
          </cell>
          <cell r="D3725">
            <v>43235</v>
          </cell>
        </row>
        <row r="3726">
          <cell r="A3726" t="str">
            <v>WBM-00228</v>
          </cell>
          <cell r="B3726" t="str">
            <v>משאבי שדה</v>
          </cell>
          <cell r="C3726" t="str">
            <v>משאבי שדה-החלפת 2 מפ"ז מ"ג בשדות 204,208</v>
          </cell>
          <cell r="D3726">
            <v>43156</v>
          </cell>
        </row>
        <row r="3727">
          <cell r="A3727" t="str">
            <v>WBM-00499</v>
          </cell>
          <cell r="B3727" t="str">
            <v>משאבי שדה</v>
          </cell>
          <cell r="C3727" t="str">
            <v>משאבי שדה-התקנת תקשורת מנהלתית</v>
          </cell>
          <cell r="D3727">
            <v>43146</v>
          </cell>
        </row>
        <row r="3728">
          <cell r="A3728" t="str">
            <v>WBM-00926</v>
          </cell>
          <cell r="B3728" t="str">
            <v>משאבי שדה</v>
          </cell>
          <cell r="C3728" t="str">
            <v>משאבי שדה-החלפת מ.ברק מ"ג של פ"צ 1,2.</v>
          </cell>
          <cell r="D3728">
            <v>43087</v>
          </cell>
        </row>
        <row r="3729">
          <cell r="A3729" t="str">
            <v>WBG-067-012</v>
          </cell>
          <cell r="B3729" t="str">
            <v>משאבי שדה</v>
          </cell>
          <cell r="C3729" t="str">
            <v>משאבי שדה-התקנת ארון ז"י 48 וולט</v>
          </cell>
          <cell r="D3729">
            <v>41120</v>
          </cell>
        </row>
        <row r="3730">
          <cell r="A3730" t="str">
            <v>WBG-067-014-ST2</v>
          </cell>
          <cell r="B3730" t="str">
            <v>משאבי שדה</v>
          </cell>
          <cell r="C3730" t="str">
            <v>משאבי שדה-צביעת כבלים בצבע מעכב אש</v>
          </cell>
          <cell r="D3730">
            <v>41120</v>
          </cell>
        </row>
        <row r="3731">
          <cell r="A3731" t="str">
            <v>WBG-067-010</v>
          </cell>
          <cell r="B3731" t="str">
            <v>משאבי שדה</v>
          </cell>
          <cell r="C3731" t="str">
            <v>משאבי שדה-החלפת 5 מפ"ז 36 ק"ו בפ"צ 1</v>
          </cell>
          <cell r="D3731">
            <v>40998</v>
          </cell>
        </row>
        <row r="3732">
          <cell r="A3732" t="str">
            <v>WBM-01111</v>
          </cell>
          <cell r="B3732" t="str">
            <v>משאבי שדה</v>
          </cell>
          <cell r="C3732" t="str">
            <v>משאבי שדה-בוטל-התקנת 2 מאצרות שמן זמניות</v>
          </cell>
          <cell r="D3732">
            <v>42684</v>
          </cell>
        </row>
        <row r="3733">
          <cell r="A3733" t="str">
            <v>WBM-01250</v>
          </cell>
          <cell r="B3733" t="str">
            <v>משאבי שדה</v>
          </cell>
          <cell r="C3733" t="str">
            <v>משאבי שדה-בוטל-התקנת מאצרות שמן 'קבועות'</v>
          </cell>
          <cell r="D3733">
            <v>42902</v>
          </cell>
        </row>
        <row r="3734">
          <cell r="A3734" t="str">
            <v>WBM-60022</v>
          </cell>
          <cell r="B3734" t="str">
            <v>משאבי שדה</v>
          </cell>
          <cell r="C3734" t="str">
            <v>משאבי שדה -בוטל-בניית תשתית לאיסוף שפכים</v>
          </cell>
          <cell r="D3734">
            <v>43789</v>
          </cell>
        </row>
        <row r="3735">
          <cell r="A3735">
            <v>536418</v>
          </cell>
          <cell r="B3735" t="str">
            <v>משאבי שדה</v>
          </cell>
          <cell r="C3735" t="str">
            <v>משאבי שדה-החלפת מערכת התראה בטחונית</v>
          </cell>
          <cell r="D3735">
            <v>39902</v>
          </cell>
        </row>
        <row r="3736">
          <cell r="A3736">
            <v>536424</v>
          </cell>
          <cell r="B3736" t="str">
            <v>משאבי שדה</v>
          </cell>
          <cell r="C3736" t="str">
            <v>משאבי שדה-התקנת מאווררים בארונות פיקוד</v>
          </cell>
          <cell r="D3736">
            <v>40311</v>
          </cell>
        </row>
        <row r="3737">
          <cell r="A3737" t="str">
            <v>WBM-00936</v>
          </cell>
          <cell r="B3737" t="str">
            <v>משאבי שדה</v>
          </cell>
          <cell r="C3737" t="str">
            <v>משאבי שדה-בוטל-התקנת קשר בין הגנות</v>
          </cell>
          <cell r="D3737">
            <v>41249</v>
          </cell>
        </row>
        <row r="3738">
          <cell r="A3738" t="str">
            <v>WBG-067-015</v>
          </cell>
          <cell r="B3738" t="str">
            <v>משאבי שדה</v>
          </cell>
          <cell r="C3738" t="str">
            <v>משאבי שדה-הקמת רשת מחשבים תפעולית</v>
          </cell>
          <cell r="D3738">
            <v>40542</v>
          </cell>
        </row>
        <row r="3739">
          <cell r="A3739">
            <v>366414</v>
          </cell>
          <cell r="B3739" t="str">
            <v>משאבי שדה</v>
          </cell>
          <cell r="C3739" t="str">
            <v>משאבי שדה-קליטת קו מאשלים</v>
          </cell>
          <cell r="D3739">
            <v>40463</v>
          </cell>
        </row>
        <row r="3740">
          <cell r="A3740" t="str">
            <v>WBM-00935</v>
          </cell>
          <cell r="B3740" t="str">
            <v>משאבי שדה</v>
          </cell>
          <cell r="C3740" t="str">
            <v>משאבי שדה-החלפת הגנות קיימות בשדה 9</v>
          </cell>
          <cell r="D3740">
            <v>43027</v>
          </cell>
        </row>
        <row r="3741">
          <cell r="A3741" t="str">
            <v>WBM-10508</v>
          </cell>
          <cell r="B3741" t="str">
            <v>משאבי שדה</v>
          </cell>
          <cell r="C3741" t="str">
            <v>משאבי שדה - משיק לרמת חובב שדה 11, יישום דרך קשר אופטית בין הגנות בשדה 5</v>
          </cell>
          <cell r="D3741">
            <v>46326</v>
          </cell>
        </row>
        <row r="3742">
          <cell r="A3742" t="str">
            <v>WBM-10518</v>
          </cell>
          <cell r="B3742" t="str">
            <v>משאבי שדה</v>
          </cell>
          <cell r="C3742" t="str">
            <v>משאבי שדה- בוטל -  משיק לרמת חובב שדה 8. יישום  דרכי קשר בין הגנות בשדה 5</v>
          </cell>
        </row>
        <row r="3743">
          <cell r="A3743" t="str">
            <v>WBM-10519</v>
          </cell>
          <cell r="B3743" t="str">
            <v>משאבי שדה</v>
          </cell>
          <cell r="C3743" t="str">
            <v>משאבי שדה- משיק למצפה רמון שדה 2, יישום דרך קשר אופטית בין הגנות בשדה 9</v>
          </cell>
          <cell r="D3743">
            <v>46096</v>
          </cell>
        </row>
        <row r="3744">
          <cell r="A3744" t="str">
            <v>WBM-10101-014</v>
          </cell>
          <cell r="B3744" t="str">
            <v>משאבי שדה</v>
          </cell>
          <cell r="C3744" t="str">
            <v>משאבי שדה -  ביטול סוללה V60 + חלוקות</v>
          </cell>
          <cell r="D3744">
            <v>46203</v>
          </cell>
        </row>
        <row r="3745">
          <cell r="A3745" t="str">
            <v>WBM-60088-021</v>
          </cell>
          <cell r="B3745" t="str">
            <v>משאבי שדה</v>
          </cell>
          <cell r="C3745" t="str">
            <v>משאבי שדה - בניית סבכות למאצרות</v>
          </cell>
          <cell r="D3745">
            <v>46721</v>
          </cell>
        </row>
        <row r="3746">
          <cell r="A3746" t="str">
            <v>WBM-60116-012</v>
          </cell>
          <cell r="B3746" t="str">
            <v>משאבי שדה</v>
          </cell>
          <cell r="C3746" t="str">
            <v>משאבי שדה - שידרוג גלאים בתחנות משנה ומי</v>
          </cell>
          <cell r="D3746">
            <v>46387</v>
          </cell>
        </row>
        <row r="3747">
          <cell r="A3747" t="str">
            <v>WBM-60130-018</v>
          </cell>
          <cell r="B3747" t="str">
            <v>משאבי שדה</v>
          </cell>
          <cell r="C3747" t="str">
            <v>משאבי שדה - התקנת מפסק פטריה להפסקת מערכת החשמל בחירום</v>
          </cell>
          <cell r="D3747">
            <v>46568</v>
          </cell>
        </row>
        <row r="3748">
          <cell r="A3748" t="str">
            <v>WBM-10700</v>
          </cell>
          <cell r="B3748" t="str">
            <v>משאבי שדה</v>
          </cell>
          <cell r="C3748" t="str">
            <v>משאבי שדה -בוטל -  הת' תיילים-מהדקים-פורט'wbo-851</v>
          </cell>
        </row>
        <row r="3749">
          <cell r="A3749" t="str">
            <v>WBM-10763</v>
          </cell>
          <cell r="B3749" t="str">
            <v>משאבי שדה</v>
          </cell>
          <cell r="C3749" t="str">
            <v>משאבי שדה- משיק לרמת חובב שדה 8, יישום דרך קשר אופטית בין הגנות בשדה 5</v>
          </cell>
          <cell r="D3749">
            <v>46326</v>
          </cell>
        </row>
        <row r="3750">
          <cell r="A3750" t="str">
            <v>WBM-10768</v>
          </cell>
          <cell r="B3750" t="str">
            <v>משאבי שדה</v>
          </cell>
          <cell r="C3750" t="str">
            <v>משאבי שדה- משיק למצפה רמון שדה 2, יישום דרך קשר אופטית בין הגנות בשדה 9</v>
          </cell>
          <cell r="D3750">
            <v>46052</v>
          </cell>
        </row>
        <row r="3751">
          <cell r="A3751" t="str">
            <v>HIS-109</v>
          </cell>
          <cell r="B3751" t="str">
            <v>מצפה רמון</v>
          </cell>
          <cell r="C3751" t="str">
            <v>מצפה רמון</v>
          </cell>
          <cell r="D3751">
            <v>40908</v>
          </cell>
        </row>
        <row r="3752">
          <cell r="A3752" t="str">
            <v>WBE-260</v>
          </cell>
          <cell r="B3752" t="str">
            <v>מצפה רמון</v>
          </cell>
          <cell r="C3752" t="str">
            <v>מצפה רמון - התקנת שנאי מס' 533- מערכתי</v>
          </cell>
          <cell r="D3752">
            <v>46265</v>
          </cell>
        </row>
        <row r="3753">
          <cell r="A3753" t="str">
            <v>WBE-259</v>
          </cell>
          <cell r="B3753" t="str">
            <v>מצפה רמון</v>
          </cell>
          <cell r="C3753" t="str">
            <v>מצפה רמון - החלפת שנאי מס' 532- מערכתי</v>
          </cell>
          <cell r="D3753">
            <v>46537</v>
          </cell>
        </row>
        <row r="3754">
          <cell r="A3754" t="str">
            <v>WDA-1-PA05</v>
          </cell>
          <cell r="B3754" t="str">
            <v>מצפה רמון</v>
          </cell>
          <cell r="C3754" t="str">
            <v>מצפה רמון-החלפה של יחידת קצה של הפיקוח</v>
          </cell>
          <cell r="D3754">
            <v>41973</v>
          </cell>
        </row>
        <row r="3755">
          <cell r="A3755" t="str">
            <v>WDB-04COM29</v>
          </cell>
          <cell r="B3755" t="str">
            <v>מצפה רמון</v>
          </cell>
          <cell r="C3755" t="str">
            <v>מצפה רמון-התקנת כבל סיב אופטי מכיון פארן</v>
          </cell>
          <cell r="D3755">
            <v>45015</v>
          </cell>
        </row>
        <row r="3756">
          <cell r="A3756" t="str">
            <v>WBM-00802</v>
          </cell>
          <cell r="B3756" t="str">
            <v>מצפה רמון</v>
          </cell>
          <cell r="C3756" t="str">
            <v>מצפה רמון-ב'-הקמת שדה קו נוסף לפארן</v>
          </cell>
          <cell r="D3756">
            <v>44558</v>
          </cell>
        </row>
        <row r="3757">
          <cell r="A3757" t="str">
            <v>WBM-00300</v>
          </cell>
          <cell r="B3757" t="str">
            <v>מצפה רמון</v>
          </cell>
          <cell r="C3757" t="str">
            <v>מצפה רמון-א' -הקמת שדה 2 והתאמת שדה 4</v>
          </cell>
          <cell r="D3757">
            <v>42859</v>
          </cell>
        </row>
        <row r="3758">
          <cell r="A3758" t="str">
            <v>0243437</v>
          </cell>
          <cell r="B3758" t="str">
            <v>מצפה רמון</v>
          </cell>
          <cell r="C3758" t="str">
            <v>מצפה רמון-בוטל - החל' ציוד בשד' 3,7</v>
          </cell>
        </row>
        <row r="3759">
          <cell r="A3759" t="str">
            <v>WBM-40224</v>
          </cell>
          <cell r="B3759" t="str">
            <v>מצפה רמון</v>
          </cell>
          <cell r="C3759" t="str">
            <v>מצפה רמון- החלפת מנתקים בשדות 4,8</v>
          </cell>
          <cell r="D3759">
            <v>46752</v>
          </cell>
        </row>
        <row r="3760">
          <cell r="A3760" t="str">
            <v>WBM-40216</v>
          </cell>
          <cell r="B3760" t="str">
            <v>מצפה רמון</v>
          </cell>
          <cell r="C3760" t="str">
            <v>מצפה רמון-שולב-החלפת הגנות מ"ג</v>
          </cell>
        </row>
        <row r="3761">
          <cell r="A3761" t="str">
            <v>WBM-10149</v>
          </cell>
          <cell r="B3761" t="str">
            <v>מצפה רמון</v>
          </cell>
          <cell r="C3761" t="str">
            <v>מצפה רמון- בוטל-התקנת מתמרים ב-2 פ"צ</v>
          </cell>
        </row>
        <row r="3762">
          <cell r="A3762" t="str">
            <v>WBM-00497</v>
          </cell>
          <cell r="B3762" t="str">
            <v>מצפה רמון</v>
          </cell>
          <cell r="C3762" t="str">
            <v>מצפה רמון-שולב-החלפת מ.ברק מ"ג שנאים532,531</v>
          </cell>
        </row>
        <row r="3763">
          <cell r="A3763" t="str">
            <v>WBM-80013</v>
          </cell>
          <cell r="B3763" t="str">
            <v>מצפה רמון</v>
          </cell>
          <cell r="C3763" t="str">
            <v>מצפה רמון-כבל אופטי לכיוון פארן</v>
          </cell>
          <cell r="D3763">
            <v>46233</v>
          </cell>
        </row>
        <row r="3764">
          <cell r="A3764" t="str">
            <v>WBM-60121</v>
          </cell>
          <cell r="B3764" t="str">
            <v>מצפה רמון</v>
          </cell>
          <cell r="C3764" t="str">
            <v>מצפה רמון- בוטל - שיקום יסודות בטון מסדר 36 ק"ו</v>
          </cell>
        </row>
        <row r="3765">
          <cell r="A3765" t="str">
            <v>WBM-01022</v>
          </cell>
          <cell r="B3765" t="str">
            <v>מצפה רמון</v>
          </cell>
          <cell r="C3765" t="str">
            <v>מצפה רמון-התקנת קשר בין הגנות מרחק לפארן</v>
          </cell>
          <cell r="D3765">
            <v>44741</v>
          </cell>
        </row>
        <row r="3766">
          <cell r="A3766" t="str">
            <v>WBM-10224</v>
          </cell>
          <cell r="B3766" t="str">
            <v>מצפה רמון</v>
          </cell>
          <cell r="C3766" t="str">
            <v>מצפה רמון-משיק לקו לאילת-החלפת הגנה לדיפ</v>
          </cell>
          <cell r="D3766">
            <v>44608</v>
          </cell>
        </row>
        <row r="3767">
          <cell r="A3767" t="str">
            <v>WBM-00498</v>
          </cell>
          <cell r="B3767" t="str">
            <v>מצפה רמון</v>
          </cell>
          <cell r="C3767" t="str">
            <v>מצפה רמון-התקנת הגנות פ"צ 161 ק"ו</v>
          </cell>
          <cell r="D3767">
            <v>44129</v>
          </cell>
        </row>
        <row r="3768">
          <cell r="A3768" t="str">
            <v>WBM-01162</v>
          </cell>
          <cell r="B3768" t="str">
            <v>מצפה רמון</v>
          </cell>
          <cell r="C3768" t="str">
            <v>מצפה רמון-החלפת הגנות בשדה 8 לקפ"ה</v>
          </cell>
          <cell r="D3768">
            <v>43434</v>
          </cell>
        </row>
        <row r="3769">
          <cell r="A3769" t="str">
            <v>WBM-00076</v>
          </cell>
          <cell r="B3769" t="str">
            <v>מצפה רמון</v>
          </cell>
          <cell r="C3769" t="str">
            <v>מצפה רמון-התקנת עמדת כיבוי אש שנייה</v>
          </cell>
          <cell r="D3769">
            <v>43087</v>
          </cell>
        </row>
        <row r="3770">
          <cell r="A3770" t="str">
            <v>WBG-066-013</v>
          </cell>
          <cell r="B3770" t="str">
            <v>מצפה רמון</v>
          </cell>
          <cell r="C3770" t="str">
            <v>מצפה רמון-החלפת מערכת גילוי וכיבוי אש</v>
          </cell>
          <cell r="D3770">
            <v>41267</v>
          </cell>
        </row>
        <row r="3771">
          <cell r="A3771" t="str">
            <v>WBM-01094</v>
          </cell>
          <cell r="B3771" t="str">
            <v>מצפה רמון</v>
          </cell>
          <cell r="C3771" t="str">
            <v>מצפה רמון-בוטל-התקנת מאצרת שמן זמנית</v>
          </cell>
          <cell r="D3771">
            <v>42684</v>
          </cell>
        </row>
        <row r="3772">
          <cell r="A3772" t="str">
            <v>WBM-01256</v>
          </cell>
          <cell r="B3772" t="str">
            <v>מצפה רמון</v>
          </cell>
          <cell r="C3772" t="str">
            <v>מצפה רמון - בוטל-מאצרות שמן קבועות לשנאי</v>
          </cell>
          <cell r="D3772">
            <v>42905</v>
          </cell>
        </row>
        <row r="3773">
          <cell r="A3773" t="str">
            <v>WBM-30010</v>
          </cell>
          <cell r="B3773" t="str">
            <v>מצפה רמון</v>
          </cell>
          <cell r="C3773" t="str">
            <v>מצפה רמון בוטל--גדר אלקטרונית(ביטחון)</v>
          </cell>
          <cell r="D3773">
            <v>43830</v>
          </cell>
        </row>
        <row r="3774">
          <cell r="A3774" t="str">
            <v>WBM-40174</v>
          </cell>
          <cell r="B3774" t="str">
            <v>מצפה רמון</v>
          </cell>
          <cell r="C3774" t="str">
            <v>מצפה רמון -בוטל- החלפת שנאי מס' 532</v>
          </cell>
          <cell r="D3774">
            <v>43131</v>
          </cell>
        </row>
        <row r="3775">
          <cell r="A3775" t="str">
            <v>WBM-40171</v>
          </cell>
          <cell r="B3775" t="str">
            <v>מצפה רמון</v>
          </cell>
          <cell r="C3775" t="str">
            <v>מצפה רמון - בוטל-החלפת שנאי מס' 531</v>
          </cell>
          <cell r="D3775">
            <v>43131</v>
          </cell>
        </row>
        <row r="3776">
          <cell r="A3776" t="str">
            <v>WBM-01396</v>
          </cell>
          <cell r="B3776" t="str">
            <v>מצפה רמון</v>
          </cell>
          <cell r="C3776" t="str">
            <v>מצפה רמון-בוטל- התקנת מערכת טמ"ס</v>
          </cell>
          <cell r="D3776">
            <v>43646</v>
          </cell>
        </row>
        <row r="3777">
          <cell r="A3777">
            <v>534418</v>
          </cell>
          <cell r="B3777" t="str">
            <v>מצפה רמון</v>
          </cell>
          <cell r="C3777" t="str">
            <v>מצפה רמון-החלפת מערכת התראה בטחונית</v>
          </cell>
          <cell r="D3777">
            <v>39872</v>
          </cell>
        </row>
        <row r="3778">
          <cell r="A3778">
            <v>534428</v>
          </cell>
          <cell r="B3778" t="str">
            <v>מצפה רמון</v>
          </cell>
          <cell r="C3778" t="str">
            <v>מצפה רמון-התקנת מאווררים בארונות פיקוד</v>
          </cell>
          <cell r="D3778">
            <v>41394</v>
          </cell>
        </row>
        <row r="3779">
          <cell r="A3779" t="str">
            <v>WBM-00495</v>
          </cell>
          <cell r="B3779" t="str">
            <v>מצפה רמון</v>
          </cell>
          <cell r="C3779" t="str">
            <v>מצפה רמון-בוטל-התקנת תקשורת מנהלתית</v>
          </cell>
        </row>
        <row r="3780">
          <cell r="A3780" t="str">
            <v>WBM-00333</v>
          </cell>
          <cell r="B3780" t="str">
            <v>מצפה רמון</v>
          </cell>
          <cell r="C3780" t="str">
            <v>מצפה רמון-בוטל-התקנת ארון ז"י 48 וולט</v>
          </cell>
          <cell r="D3780">
            <v>40846</v>
          </cell>
        </row>
        <row r="3781">
          <cell r="A3781" t="str">
            <v>WBM-00334</v>
          </cell>
          <cell r="B3781" t="str">
            <v>מצפה רמון</v>
          </cell>
          <cell r="C3781" t="str">
            <v>מצפה רמון-בוטל-הקמת רשת מחשבים תפעולית</v>
          </cell>
          <cell r="D3781">
            <v>40907</v>
          </cell>
        </row>
        <row r="3782">
          <cell r="A3782" t="str">
            <v>WBM-00300-ST2</v>
          </cell>
          <cell r="B3782" t="str">
            <v>מצפה רמון</v>
          </cell>
          <cell r="C3782" t="str">
            <v>מצפה רמון-א'-הקמת שדה 161 ק"ו מס' 2</v>
          </cell>
          <cell r="D3782">
            <v>42859</v>
          </cell>
        </row>
        <row r="3783">
          <cell r="A3783" t="str">
            <v>WBM-00300-ST1</v>
          </cell>
          <cell r="B3783" t="str">
            <v>מצפה רמון</v>
          </cell>
          <cell r="C3783" t="str">
            <v>מצפה רמון-א-התאמת שדה מס' 4 לאשלים</v>
          </cell>
          <cell r="D3783">
            <v>42825</v>
          </cell>
        </row>
        <row r="3784">
          <cell r="A3784" t="str">
            <v>WBM-00801</v>
          </cell>
          <cell r="B3784" t="str">
            <v>מצפה רמון</v>
          </cell>
          <cell r="C3784" t="str">
            <v>מצפה רמון-א'-בוטל-הקמת שדה 161 ק"ו</v>
          </cell>
          <cell r="D3784">
            <v>41753</v>
          </cell>
        </row>
        <row r="3785">
          <cell r="A3785" t="str">
            <v>WBM-10520</v>
          </cell>
          <cell r="B3785" t="str">
            <v>מצפה רמון</v>
          </cell>
          <cell r="C3785" t="str">
            <v>מצפה רמון- בוטל - משיק למשאבי שדה  9,יישום דרך קשר אופטית בין הגנות בשדה 2</v>
          </cell>
        </row>
        <row r="3786">
          <cell r="A3786" t="str">
            <v>WBM-10522</v>
          </cell>
          <cell r="B3786" t="str">
            <v>מצפה רמון</v>
          </cell>
          <cell r="C3786" t="str">
            <v>מצפה רמון -משיק לתחמ"ש רמת חובב שדה 7, יישום דרכי קשר בין הגנות בשדה 8</v>
          </cell>
          <cell r="D3786">
            <v>47482</v>
          </cell>
        </row>
        <row r="3787">
          <cell r="A3787" t="str">
            <v>WBM-10315-045</v>
          </cell>
          <cell r="B3787" t="str">
            <v>מצפה רמון</v>
          </cell>
          <cell r="C3787" t="str">
            <v>מצפה רמון-התקנת מזגנים</v>
          </cell>
          <cell r="D3787">
            <v>46295</v>
          </cell>
        </row>
        <row r="3788">
          <cell r="A3788" t="str">
            <v>WBM-60088-002</v>
          </cell>
          <cell r="B3788" t="str">
            <v>מצפה רמון</v>
          </cell>
          <cell r="C3788" t="str">
            <v>מצפה רמון - בוטל- מאצרת שמן משותפת ל-2 שנאים</v>
          </cell>
        </row>
        <row r="3789">
          <cell r="A3789" t="str">
            <v>WBM-60088-050</v>
          </cell>
          <cell r="B3789" t="str">
            <v>מצפה רמון</v>
          </cell>
          <cell r="C3789" t="str">
            <v>מצפה רמון - התקנת תשתית ביוב</v>
          </cell>
          <cell r="D3789">
            <v>45711</v>
          </cell>
        </row>
        <row r="3790">
          <cell r="A3790" t="str">
            <v>WBM-60092-034</v>
          </cell>
          <cell r="B3790" t="str">
            <v>מצפה רמון</v>
          </cell>
          <cell r="C3790" t="str">
            <v>מצפה רמון -בדיקות/טיפול/פינוי מכלי אש בג</v>
          </cell>
        </row>
        <row r="3791">
          <cell r="A3791" t="str">
            <v>WBM-40295-082</v>
          </cell>
          <cell r="B3791" t="str">
            <v>מצפה רמון</v>
          </cell>
          <cell r="C3791" t="str">
            <v>מצפה רמון - החלפת סוללות מצברים</v>
          </cell>
          <cell r="D3791">
            <v>46203</v>
          </cell>
        </row>
        <row r="3792">
          <cell r="A3792" t="str">
            <v>WBM-00885-149</v>
          </cell>
          <cell r="B3792" t="str">
            <v>מצפה רמון</v>
          </cell>
          <cell r="C3792" t="str">
            <v>מצפה רמון- הוספת מיכל מים ומשאבה</v>
          </cell>
          <cell r="D3792">
            <v>46751</v>
          </cell>
        </row>
        <row r="3793">
          <cell r="A3793" t="str">
            <v>WBM-10769</v>
          </cell>
          <cell r="B3793" t="str">
            <v>מצפה רמון</v>
          </cell>
          <cell r="C3793" t="str">
            <v>מצפה רמון- משיק למשאבי שדה שדה 9, יישום דרך קשר אופטית בין הגנות בשדה 2</v>
          </cell>
          <cell r="D3793">
            <v>46052</v>
          </cell>
        </row>
        <row r="3794">
          <cell r="A3794" t="str">
            <v>WBM-10789</v>
          </cell>
          <cell r="B3794" t="str">
            <v>מצפה רמון</v>
          </cell>
          <cell r="C3794" t="str">
            <v>מצפה רמון - משיק ל- WBE-260, החלפת מסדרי מ"ג חיצוניים.</v>
          </cell>
          <cell r="D3794">
            <v>46203</v>
          </cell>
        </row>
        <row r="3795">
          <cell r="A3795" t="str">
            <v>WBM-10790</v>
          </cell>
          <cell r="B3795" t="str">
            <v>מצפה רמון</v>
          </cell>
          <cell r="C3795" t="str">
            <v>מצפה רמון -משיק ל- WBE-259, החלפת יסודות וציוד מ"ע בשדה 7</v>
          </cell>
          <cell r="D3795">
            <v>46387</v>
          </cell>
        </row>
        <row r="3796">
          <cell r="A3796" t="str">
            <v>HIS-108</v>
          </cell>
          <cell r="B3796" t="str">
            <v>מצדה</v>
          </cell>
          <cell r="C3796" t="str">
            <v>מצדה</v>
          </cell>
          <cell r="D3796">
            <v>40908</v>
          </cell>
        </row>
        <row r="3797">
          <cell r="A3797" t="str">
            <v>WBM-01137</v>
          </cell>
          <cell r="B3797" t="str">
            <v>מצדה</v>
          </cell>
          <cell r="C3797" t="str">
            <v>מצדה-תשלום אגרות קרקע</v>
          </cell>
          <cell r="D3797">
            <v>42794</v>
          </cell>
        </row>
        <row r="3798">
          <cell r="A3798" t="str">
            <v>WDB-04COM27</v>
          </cell>
          <cell r="B3798" t="str">
            <v>מצדה</v>
          </cell>
          <cell r="C3798" t="str">
            <v>מצדה-הנחת כבל סיב אופטי מכיוון ערד</v>
          </cell>
          <cell r="D3798">
            <v>45503</v>
          </cell>
        </row>
        <row r="3799">
          <cell r="A3799" t="str">
            <v>WDB-04COM28</v>
          </cell>
          <cell r="B3799" t="str">
            <v>מצדה</v>
          </cell>
          <cell r="C3799" t="str">
            <v>מצדה-הנחת כבל סיב אופטי מכיוון סדום צפון</v>
          </cell>
          <cell r="D3799">
            <v>43464</v>
          </cell>
        </row>
        <row r="3800">
          <cell r="A3800" t="str">
            <v>WBM-60053</v>
          </cell>
          <cell r="B3800" t="str">
            <v>מצדה</v>
          </cell>
          <cell r="C3800" t="str">
            <v>מצדה - עיגון ארונות פיקוד ושנאים</v>
          </cell>
          <cell r="D3800">
            <v>46356</v>
          </cell>
        </row>
        <row r="3801">
          <cell r="A3801" t="str">
            <v>WBM-40009</v>
          </cell>
          <cell r="B3801" t="str">
            <v>מצדה</v>
          </cell>
          <cell r="C3801" t="str">
            <v>מצדה - החלפת  מערכת scs</v>
          </cell>
          <cell r="D3801">
            <v>46568</v>
          </cell>
        </row>
        <row r="3802">
          <cell r="A3802" t="str">
            <v>WBM-00961</v>
          </cell>
          <cell r="B3802" t="str">
            <v>מצדה</v>
          </cell>
          <cell r="C3802" t="str">
            <v>מצדה-התקנת הגנות בשדה 2 לסדום</v>
          </cell>
          <cell r="D3802">
            <v>46568</v>
          </cell>
        </row>
        <row r="3803">
          <cell r="A3803" t="str">
            <v>WBM-00916</v>
          </cell>
          <cell r="B3803" t="str">
            <v>מצדה</v>
          </cell>
          <cell r="C3803" t="str">
            <v>מצדה-התקנה רושם הפרעות</v>
          </cell>
          <cell r="D3803">
            <v>46751</v>
          </cell>
        </row>
        <row r="3804">
          <cell r="A3804" t="str">
            <v>WBM-40115</v>
          </cell>
          <cell r="B3804" t="str">
            <v>מצדה</v>
          </cell>
          <cell r="C3804" t="str">
            <v>מצדה - הוספת הגנות פ"צ וכשל המפסק</v>
          </cell>
          <cell r="D3804">
            <v>46751</v>
          </cell>
        </row>
        <row r="3805">
          <cell r="A3805" t="str">
            <v>WBM-60041</v>
          </cell>
          <cell r="B3805" t="str">
            <v>מצדה</v>
          </cell>
          <cell r="C3805" t="str">
            <v>מצדה - שדרוג מערכת כיבוי אש והתאמה למכר</v>
          </cell>
          <cell r="D3805">
            <v>46568</v>
          </cell>
        </row>
        <row r="3806">
          <cell r="A3806" t="str">
            <v>WBM-10136</v>
          </cell>
          <cell r="B3806" t="str">
            <v>מצדה</v>
          </cell>
          <cell r="C3806" t="str">
            <v>מצדה - התקנת מתמרים ב-2 פ"צ</v>
          </cell>
          <cell r="D3806">
            <v>46295</v>
          </cell>
        </row>
        <row r="3807">
          <cell r="A3807" t="str">
            <v>WBM-00788</v>
          </cell>
          <cell r="B3807" t="str">
            <v>מצדה</v>
          </cell>
          <cell r="C3807" t="str">
            <v>מצדה-החלפת מערכת גילוי וכיבוי אש.</v>
          </cell>
          <cell r="D3807">
            <v>42675</v>
          </cell>
        </row>
        <row r="3808">
          <cell r="A3808">
            <v>537730</v>
          </cell>
          <cell r="B3808" t="str">
            <v>מצדה</v>
          </cell>
          <cell r="C3808" t="str">
            <v>מצדה-התקנת מערכת טמ"ס</v>
          </cell>
          <cell r="D3808">
            <v>41274</v>
          </cell>
        </row>
        <row r="3809">
          <cell r="A3809" t="str">
            <v>WBG-065-002</v>
          </cell>
          <cell r="B3809" t="str">
            <v>מצדה</v>
          </cell>
          <cell r="C3809" t="str">
            <v>מצדה-שיפור מערכת לביטול חיבור חוזר</v>
          </cell>
          <cell r="D3809">
            <v>41267</v>
          </cell>
        </row>
        <row r="3810">
          <cell r="A3810" t="str">
            <v>WBM-30002</v>
          </cell>
          <cell r="B3810" t="str">
            <v>מצדה</v>
          </cell>
          <cell r="C3810" t="str">
            <v>מצדה -בוטל-גדר אלקטרונית(ביטחון)</v>
          </cell>
          <cell r="D3810">
            <v>43094</v>
          </cell>
        </row>
        <row r="3811">
          <cell r="A3811">
            <v>537713</v>
          </cell>
          <cell r="B3811" t="str">
            <v>מצדה</v>
          </cell>
          <cell r="C3811" t="str">
            <v>מצדה-התקנת מערכת התראה ביטחונית</v>
          </cell>
          <cell r="D3811">
            <v>39872</v>
          </cell>
        </row>
        <row r="3812">
          <cell r="A3812">
            <v>537714</v>
          </cell>
          <cell r="B3812" t="str">
            <v>מצדה</v>
          </cell>
          <cell r="C3812" t="str">
            <v>מצדה-התקנת תקשורת מנהלתית</v>
          </cell>
          <cell r="D3812">
            <v>39902</v>
          </cell>
        </row>
        <row r="3813">
          <cell r="A3813">
            <v>537727</v>
          </cell>
          <cell r="B3813" t="str">
            <v>מצדה</v>
          </cell>
          <cell r="C3813" t="str">
            <v>מצדה-התקנת מאווררים בארונות פיקוד</v>
          </cell>
          <cell r="D3813">
            <v>40311</v>
          </cell>
        </row>
        <row r="3814">
          <cell r="A3814" t="str">
            <v>WBM-60008-047</v>
          </cell>
          <cell r="B3814" t="str">
            <v>מצדה</v>
          </cell>
          <cell r="C3814" t="str">
            <v>מצדה -  התקנת מערכת מיגון בתחמ"ש</v>
          </cell>
          <cell r="D3814">
            <v>46022</v>
          </cell>
        </row>
        <row r="3815">
          <cell r="A3815" t="str">
            <v>WBM-60092-033</v>
          </cell>
          <cell r="B3815" t="str">
            <v>מצדה</v>
          </cell>
          <cell r="C3815" t="str">
            <v>מצדה - בדיקות/טיפול/פינוי מכלי אש בגז</v>
          </cell>
          <cell r="D3815">
            <v>46162</v>
          </cell>
        </row>
        <row r="3816">
          <cell r="A3816" t="str">
            <v>WBM-60130-011</v>
          </cell>
          <cell r="B3816" t="str">
            <v>מצדה</v>
          </cell>
          <cell r="C3816" t="str">
            <v>מצדה - התקנת מפסק פטריה להפסקת מערכת החשמל בחירום</v>
          </cell>
          <cell r="D3816">
            <v>46568</v>
          </cell>
        </row>
        <row r="3817">
          <cell r="A3817" t="str">
            <v>WBM-10315-073</v>
          </cell>
          <cell r="B3817" t="str">
            <v>מצדה</v>
          </cell>
          <cell r="C3817" t="str">
            <v>מצדה-התקנת מזגנים</v>
          </cell>
          <cell r="D3817">
            <v>46295</v>
          </cell>
        </row>
        <row r="3818">
          <cell r="A3818" t="str">
            <v>WBM-40295-081</v>
          </cell>
          <cell r="B3818" t="str">
            <v>מצדה</v>
          </cell>
          <cell r="C3818" t="str">
            <v>מצדה - החלפת מצברים</v>
          </cell>
          <cell r="D3818">
            <v>46203</v>
          </cell>
        </row>
        <row r="3819">
          <cell r="A3819" t="str">
            <v>WBM-00885-141</v>
          </cell>
          <cell r="B3819" t="str">
            <v>מצדה</v>
          </cell>
          <cell r="C3819" t="str">
            <v>מצדה- החלפת שסתומי הצפה עקב תקלות חוזרות</v>
          </cell>
          <cell r="D3819">
            <v>45677</v>
          </cell>
        </row>
        <row r="3820">
          <cell r="A3820" t="str">
            <v>WBM-80024-006</v>
          </cell>
          <cell r="B3820" t="str">
            <v>מצדה</v>
          </cell>
          <cell r="C3820" t="str">
            <v>מצדה - שדרוג בקר במסדר  P88</v>
          </cell>
          <cell r="D3820">
            <v>46387</v>
          </cell>
        </row>
        <row r="3821">
          <cell r="A3821" t="str">
            <v>HIS-169</v>
          </cell>
          <cell r="B3821" t="str">
            <v>מפעלי פלדה פרטית</v>
          </cell>
          <cell r="C3821" t="str">
            <v>מפעלי פלדה פרטית</v>
          </cell>
          <cell r="D3821">
            <v>40908</v>
          </cell>
        </row>
        <row r="3822">
          <cell r="A3822" t="str">
            <v>WBC-134</v>
          </cell>
          <cell r="B3822" t="str">
            <v>מערב בנימין</v>
          </cell>
          <cell r="C3822" t="str">
            <v>מערב בנימין-הקמת תחמ"ש חיצונית 161/36 ק"ו</v>
          </cell>
          <cell r="D3822">
            <v>49248</v>
          </cell>
        </row>
        <row r="3823">
          <cell r="A3823">
            <v>4606</v>
          </cell>
          <cell r="B3823" t="str">
            <v>מעקפים לתחמ''ש תל גיבורים</v>
          </cell>
          <cell r="C3823" t="str">
            <v>מעקפים לתל גיבורים-גישור מעגל לגזר כחול</v>
          </cell>
          <cell r="D3823">
            <v>43831</v>
          </cell>
        </row>
        <row r="3824">
          <cell r="A3824" t="str">
            <v>4604-ST1</v>
          </cell>
          <cell r="B3824" t="str">
            <v>מעקפים לתחמ''ש ת''א מזרח</v>
          </cell>
          <cell r="C3824" t="str">
            <v>מעקפים לת"א מזרח-גישור מעגל מראשון-לציון</v>
          </cell>
          <cell r="D3824">
            <v>43831</v>
          </cell>
        </row>
        <row r="3825">
          <cell r="A3825" t="str">
            <v>4604-ST2</v>
          </cell>
          <cell r="B3825" t="str">
            <v>מעקפים לתחמ''ש ת''א מזרח</v>
          </cell>
          <cell r="C3825" t="str">
            <v>מעקפים לת"א מזרח-גישור מעגל לפתח תקוה</v>
          </cell>
          <cell r="D3825">
            <v>43831</v>
          </cell>
        </row>
        <row r="3826">
          <cell r="A3826">
            <v>4605</v>
          </cell>
          <cell r="B3826" t="str">
            <v>מעקפים לתחמ''ש רמת גן</v>
          </cell>
          <cell r="C3826" t="str">
            <v>מעקפים לרמת גן-גישור 2 מעגלים לפתח תקוה</v>
          </cell>
          <cell r="D3826">
            <v>43831</v>
          </cell>
        </row>
        <row r="3827">
          <cell r="A3827">
            <v>3545</v>
          </cell>
          <cell r="B3827" t="str">
            <v>מעקפים לתחמ''ש פארן</v>
          </cell>
          <cell r="C3827" t="str">
            <v>מעקפים לפארן-בוטל-גישור מעגלים דימ.+מ.ש.</v>
          </cell>
          <cell r="D3827">
            <v>40180</v>
          </cell>
        </row>
        <row r="3828">
          <cell r="A3828" t="str">
            <v>2188-ST1</v>
          </cell>
          <cell r="B3828" t="str">
            <v>מעקפים לתחמ''ש עין חרוד</v>
          </cell>
          <cell r="C3828" t="str">
            <v>מעקפים לעין חרוד-גישור מעגל 1 מאלון תבור</v>
          </cell>
          <cell r="D3828">
            <v>43831</v>
          </cell>
        </row>
        <row r="3829">
          <cell r="A3829" t="str">
            <v>2188-ST2</v>
          </cell>
          <cell r="B3829" t="str">
            <v>מעקפים לתחמ''ש עין חרוד</v>
          </cell>
          <cell r="C3829" t="str">
            <v>מעקפים לעין חרוד-גישור מעגל 2 מאלון תבור</v>
          </cell>
          <cell r="D3829">
            <v>43831</v>
          </cell>
        </row>
        <row r="3830">
          <cell r="A3830" t="str">
            <v>ST1-2182</v>
          </cell>
          <cell r="B3830" t="str">
            <v>מעקפים לתחמ''ש נצרת</v>
          </cell>
          <cell r="C3830" t="str">
            <v>מעקפים לנצרת-גישור מ.מזבולון למ.לא.תבור</v>
          </cell>
          <cell r="D3830">
            <v>43831</v>
          </cell>
        </row>
        <row r="3831">
          <cell r="A3831" t="str">
            <v>2182-ST2</v>
          </cell>
          <cell r="B3831" t="str">
            <v>מעקפים לתחמ''ש נצרת</v>
          </cell>
          <cell r="C3831" t="str">
            <v>מעקפים לנצרת-גישור מ.מזבולון למ.לציפורית</v>
          </cell>
          <cell r="D3831">
            <v>43831</v>
          </cell>
        </row>
        <row r="3832">
          <cell r="A3832" t="str">
            <v>MAK-3-1</v>
          </cell>
          <cell r="B3832" t="str">
            <v>מעקפים לתחמ''ש נעמן</v>
          </cell>
          <cell r="C3832" t="str">
            <v>מעקפים לנעמן-גישור בין 2 מעגלים מקישון</v>
          </cell>
          <cell r="D3832">
            <v>43831</v>
          </cell>
        </row>
        <row r="3833">
          <cell r="A3833" t="str">
            <v>MAK-3-2</v>
          </cell>
          <cell r="B3833" t="str">
            <v>מעקפים לתחמ''ש נעמן</v>
          </cell>
          <cell r="C3833" t="str">
            <v>מעקפים לנעמן- גישור מ' מצור שלום לבר לב</v>
          </cell>
          <cell r="D3833">
            <v>40180</v>
          </cell>
        </row>
        <row r="3834">
          <cell r="A3834" t="str">
            <v>2185-ST1</v>
          </cell>
          <cell r="B3834" t="str">
            <v>מעקפים לתחמ''ש כנרות</v>
          </cell>
          <cell r="C3834" t="str">
            <v>מעקפים לכנרות-גישור מ. מצלמון למעגל לצפת</v>
          </cell>
          <cell r="D3834">
            <v>43831</v>
          </cell>
        </row>
        <row r="3835">
          <cell r="A3835" t="str">
            <v>2185-ST2</v>
          </cell>
          <cell r="B3835" t="str">
            <v>מעקפים לתחמ''ש כנרות</v>
          </cell>
          <cell r="C3835" t="str">
            <v>מעקפים לכנרות-גישור מ.מציפורית למ.מחולה</v>
          </cell>
          <cell r="D3835">
            <v>43831</v>
          </cell>
        </row>
        <row r="3836">
          <cell r="A3836" t="str">
            <v>2185-ST3</v>
          </cell>
          <cell r="B3836" t="str">
            <v>מעקפים לתחמ''ש כנרות</v>
          </cell>
          <cell r="C3836" t="str">
            <v>מעקפים לכנרות-גישור מ.מכורסי למעגל לחולה</v>
          </cell>
          <cell r="D3836">
            <v>43831</v>
          </cell>
        </row>
        <row r="3837">
          <cell r="A3837" t="str">
            <v>2185-ST4</v>
          </cell>
          <cell r="B3837" t="str">
            <v>מעקפים לתחמ''ש כנרות</v>
          </cell>
          <cell r="C3837" t="str">
            <v>מעקפים לכנרות-גישור מ.מפוריה עם מ.לכורסי</v>
          </cell>
          <cell r="D3837">
            <v>43831</v>
          </cell>
        </row>
        <row r="3838">
          <cell r="A3838" t="str">
            <v>MAK-7</v>
          </cell>
          <cell r="B3838" t="str">
            <v>מעקפים לתחמ''ש ירושלים ד</v>
          </cell>
          <cell r="C3838" t="str">
            <v>מעקפים לירושלים ד-גישור 2 מעגלים מא.ספיר</v>
          </cell>
          <cell r="D3838">
            <v>44196</v>
          </cell>
        </row>
        <row r="3839">
          <cell r="A3839">
            <v>2184</v>
          </cell>
          <cell r="B3839" t="str">
            <v>מעקפים לתחמ''ש יזרעאל</v>
          </cell>
          <cell r="C3839" t="str">
            <v>מעקפים ליזרעאל-גישור 2 מע' מכיוון קיסריה</v>
          </cell>
          <cell r="D3839">
            <v>43831</v>
          </cell>
        </row>
        <row r="3840">
          <cell r="A3840" t="str">
            <v>3544-ST1</v>
          </cell>
          <cell r="B3840" t="str">
            <v>מעקפים לתחמ''ש יבנה</v>
          </cell>
          <cell r="C3840" t="str">
            <v>מעקפים ליבנה-גישור קוי 161 ק"ו מאשכול ד'</v>
          </cell>
          <cell r="D3840">
            <v>40180</v>
          </cell>
        </row>
        <row r="3841">
          <cell r="A3841" t="str">
            <v>3544-ST2</v>
          </cell>
          <cell r="B3841" t="str">
            <v>מעקפים לתחמ''ש יבנה</v>
          </cell>
          <cell r="C3841" t="str">
            <v>מעקפים ליבנה-תכ' שני גישורים של ק.גנרציה</v>
          </cell>
          <cell r="D3841">
            <v>40180</v>
          </cell>
        </row>
        <row r="3842">
          <cell r="A3842" t="str">
            <v>4603-ST1</v>
          </cell>
          <cell r="B3842" t="str">
            <v>מעקפים לתחמ''ש חולון</v>
          </cell>
          <cell r="C3842" t="str">
            <v>מעקפים לחולון-גישור בין 2 מע'מסעף לחולון</v>
          </cell>
          <cell r="D3842">
            <v>40546</v>
          </cell>
        </row>
        <row r="3843">
          <cell r="A3843" t="str">
            <v>4603-ST2</v>
          </cell>
          <cell r="B3843" t="str">
            <v>מעקפים לתחמ''ש חולון</v>
          </cell>
          <cell r="C3843" t="str">
            <v>מעקפים לחולון- פתיחת מ.גן שורק-קניונים</v>
          </cell>
          <cell r="D3843">
            <v>41031</v>
          </cell>
        </row>
        <row r="3844">
          <cell r="A3844">
            <v>4613</v>
          </cell>
          <cell r="B3844" t="str">
            <v>מעקפים לתחמ''ש בארות יצחק</v>
          </cell>
          <cell r="C3844" t="str">
            <v>מעקפים לבארות יצחק-בוטל-גישור מ.לא.יהודה</v>
          </cell>
          <cell r="D3844">
            <v>40277</v>
          </cell>
        </row>
        <row r="3845">
          <cell r="A3845">
            <v>4607</v>
          </cell>
          <cell r="B3845" t="str">
            <v>מעקפים לתחמ''ש בארות יצחק</v>
          </cell>
          <cell r="C3845" t="str">
            <v>מעקפים לתחמ"ש בארות יצחק</v>
          </cell>
          <cell r="D3845">
            <v>40452</v>
          </cell>
        </row>
        <row r="3846">
          <cell r="A3846">
            <v>4611</v>
          </cell>
          <cell r="B3846" t="str">
            <v>מעקפים לתחמ''ש באר שבע מערב</v>
          </cell>
          <cell r="C3846" t="str">
            <v>מעקפים לב"ש מערב-גישור למעגלים לרמת חובב</v>
          </cell>
          <cell r="D3846">
            <v>40787</v>
          </cell>
        </row>
        <row r="3847">
          <cell r="A3847" t="str">
            <v>3548--ST1</v>
          </cell>
          <cell r="B3847" t="str">
            <v>מעקפים לתחמ''ג צפית 400 ק''ו</v>
          </cell>
          <cell r="C3847" t="str">
            <v>מעקפים לצפית 400 ק"ו-גישור מע' לרוטנברג</v>
          </cell>
          <cell r="D3847">
            <v>40544</v>
          </cell>
        </row>
        <row r="3848">
          <cell r="A3848" t="str">
            <v>3548--ST2</v>
          </cell>
          <cell r="B3848" t="str">
            <v>מעקפים לתחמ''ג צפית 400 ק''ו</v>
          </cell>
          <cell r="C3848" t="str">
            <v>מעקפים לצפית 400 ק"ו-גישור מעגל לגזר</v>
          </cell>
          <cell r="D3848">
            <v>40544</v>
          </cell>
        </row>
        <row r="3849">
          <cell r="A3849" t="str">
            <v>3543-ST1</v>
          </cell>
          <cell r="B3849" t="str">
            <v>מעקפים לתחמ''ג גן שורק 400 ק''ו</v>
          </cell>
          <cell r="C3849" t="str">
            <v>מעקפים לגן שורק 400 ק"ו-ג.מ.שחו.מרוטנברג</v>
          </cell>
          <cell r="D3849">
            <v>40544</v>
          </cell>
        </row>
        <row r="3850">
          <cell r="A3850" t="str">
            <v>3543-ST2</v>
          </cell>
          <cell r="B3850" t="str">
            <v>מעקפים לתחמ''ג גן שורק 400 ק''ו</v>
          </cell>
          <cell r="C3850" t="str">
            <v>מעקפים לגן שורק 400 ק"ו-ג.מ.כחול מדוראד</v>
          </cell>
          <cell r="D3850">
            <v>40544</v>
          </cell>
        </row>
        <row r="3851">
          <cell r="A3851" t="str">
            <v>3543-ST3</v>
          </cell>
          <cell r="B3851" t="str">
            <v>מעקפים לתחמ''ג גן שורק 400 ק''ו</v>
          </cell>
          <cell r="C3851" t="str">
            <v>מעקפים לגן שורק --בוטל-ג.מ.אדו.מרוטנברג</v>
          </cell>
          <cell r="D3851">
            <v>42185</v>
          </cell>
        </row>
        <row r="3852">
          <cell r="A3852" t="str">
            <v>4614-ST1</v>
          </cell>
          <cell r="B3852" t="str">
            <v>מעקפים לתחמ''ג גזר 400 ק''ו</v>
          </cell>
          <cell r="C3852" t="str">
            <v>מעקפים לגזר 400 ק"ו.-בוטל-לגן שורק ולפ"ת</v>
          </cell>
          <cell r="D3852">
            <v>40367</v>
          </cell>
        </row>
        <row r="3853">
          <cell r="A3853" t="str">
            <v>4614-ST2</v>
          </cell>
          <cell r="B3853" t="str">
            <v>מעקפים לתחמ''ג גזר 400 ק''ו</v>
          </cell>
          <cell r="C3853" t="str">
            <v>מעקפים לגזר 400 ק"ו-בוטללגן שורק עם צפית</v>
          </cell>
          <cell r="D3853">
            <v>40367</v>
          </cell>
        </row>
        <row r="3854">
          <cell r="A3854" t="str">
            <v>4620-ST4</v>
          </cell>
          <cell r="B3854" t="str">
            <v>מעקפים לתחמ''ג איילון</v>
          </cell>
          <cell r="C3854" t="str">
            <v>מעקפים לתחמ"ג איילון 400-בוטל-ג.שורק-פ"ת</v>
          </cell>
          <cell r="D3854">
            <v>41820</v>
          </cell>
        </row>
        <row r="3855">
          <cell r="A3855" t="str">
            <v>4620-ST1</v>
          </cell>
          <cell r="B3855" t="str">
            <v>מעקפים לתחמ''ג איילון</v>
          </cell>
          <cell r="C3855" t="str">
            <v>מעקפים לתחמ"ג איילון-בוטל-קריה-ת.גיבורים</v>
          </cell>
          <cell r="D3855">
            <v>41054</v>
          </cell>
        </row>
        <row r="3856">
          <cell r="A3856" t="str">
            <v>4620-ST2</v>
          </cell>
          <cell r="B3856" t="str">
            <v>מעקפים לתחמ''ג איילון</v>
          </cell>
          <cell r="C3856" t="str">
            <v>מעקפים לתחמ"ג איילון-בוטלגן שורק-א.יהודה</v>
          </cell>
          <cell r="D3856">
            <v>41054</v>
          </cell>
        </row>
        <row r="3857">
          <cell r="A3857" t="str">
            <v>4620-ST3</v>
          </cell>
          <cell r="B3857" t="str">
            <v>מעקפים לתחמ''ג איילון</v>
          </cell>
          <cell r="C3857" t="str">
            <v>מעקף לתחמ"ג איילון-בוטלג.שורק-ראשל"צ-עת.</v>
          </cell>
          <cell r="D3857">
            <v>41054</v>
          </cell>
        </row>
        <row r="3858">
          <cell r="A3858" t="str">
            <v>MAK-8</v>
          </cell>
          <cell r="B3858" t="str">
            <v>מעקפים לקיסריה 400 ק''ו</v>
          </cell>
          <cell r="C3858" t="str">
            <v>מעקפים לקיסריה 400 ק"ו-ג. מ.קיסריה-ע.תות</v>
          </cell>
          <cell r="D3858">
            <v>45387</v>
          </cell>
        </row>
        <row r="3859">
          <cell r="A3859" t="str">
            <v>MAK-5-1</v>
          </cell>
          <cell r="B3859" t="str">
            <v>מעקפים לקיסריה 400 ק''ו</v>
          </cell>
          <cell r="C3859" t="str">
            <v>מעקפים לקיסריה 400 ק"ו-גישור מ.יר-לב מ"ד</v>
          </cell>
          <cell r="D3859">
            <v>44196</v>
          </cell>
        </row>
        <row r="3860">
          <cell r="A3860" t="str">
            <v>MAK-5-2</v>
          </cell>
          <cell r="B3860" t="str">
            <v>מעקפים לקיסריה 400 ק''ו</v>
          </cell>
          <cell r="C3860" t="str">
            <v>מעקפים לקיסריה 400 ק"ו-גישור מ.אד-לב מ"ד</v>
          </cell>
          <cell r="D3860">
            <v>44196</v>
          </cell>
        </row>
        <row r="3861">
          <cell r="A3861" t="str">
            <v>MAK-4-1</v>
          </cell>
          <cell r="B3861" t="str">
            <v>מעקפים לקיסריה 161 ק''ו</v>
          </cell>
          <cell r="C3861" t="str">
            <v>מעקפים לקיסריה 161 ק"ו-גישור מ.כחול למ"ד</v>
          </cell>
          <cell r="D3861">
            <v>44196</v>
          </cell>
        </row>
        <row r="3862">
          <cell r="A3862" t="str">
            <v>MAK-4-2</v>
          </cell>
          <cell r="B3862" t="str">
            <v>מעקפים לקיסריה 161 ק''ו</v>
          </cell>
          <cell r="C3862" t="str">
            <v>מעקפים לקיסריה 161 ק"ו-גישור מ.לבן למ"ד</v>
          </cell>
          <cell r="D3862">
            <v>44196</v>
          </cell>
        </row>
        <row r="3863">
          <cell r="A3863" t="str">
            <v>MAK-4-3</v>
          </cell>
          <cell r="B3863" t="str">
            <v>מעקפים לקיסריה 161 ק''ו</v>
          </cell>
          <cell r="C3863" t="str">
            <v>מעקפים לקיסריה 161 ק"ו-גישור מ.צהוב למ"ד</v>
          </cell>
          <cell r="D3863">
            <v>44196</v>
          </cell>
        </row>
        <row r="3864">
          <cell r="A3864" t="str">
            <v>MAK-4-4</v>
          </cell>
          <cell r="B3864" t="str">
            <v>מעקפים לקיסריה 161 ק''ו</v>
          </cell>
          <cell r="C3864" t="str">
            <v>מעקפים לקיסריה161 ק"ו--גישור מ.שחור למ"ד</v>
          </cell>
          <cell r="D3864">
            <v>44196</v>
          </cell>
        </row>
        <row r="3865">
          <cell r="A3865" t="str">
            <v>MAK-4-5</v>
          </cell>
          <cell r="B3865" t="str">
            <v>מעקפים לקיסריה 161 ק''ו</v>
          </cell>
          <cell r="C3865" t="str">
            <v>מעקפים לקיסריה 161 ק"ו-גי מ.קיס-ש.אפרים</v>
          </cell>
          <cell r="D3865">
            <v>44196</v>
          </cell>
        </row>
        <row r="3866">
          <cell r="A3866" t="str">
            <v>MAK-4-6</v>
          </cell>
          <cell r="B3866" t="str">
            <v>מעקפים לקיסריה 161 ק''ו</v>
          </cell>
          <cell r="C3866" t="str">
            <v>מעקפים לקיסריה 161 ק"ו-גישור מעגל יזרעאל</v>
          </cell>
          <cell r="D3866">
            <v>44196</v>
          </cell>
        </row>
        <row r="3867">
          <cell r="A3867">
            <v>3542</v>
          </cell>
          <cell r="B3867" t="str">
            <v>מעקפים לפתח תקוה 400 ק''ו</v>
          </cell>
          <cell r="C3867" t="str">
            <v>מעקפים לפתח תקוה 400 ק"ו</v>
          </cell>
          <cell r="D3867">
            <v>40544</v>
          </cell>
        </row>
        <row r="3868">
          <cell r="A3868">
            <v>3541</v>
          </cell>
          <cell r="B3868" t="str">
            <v>מעקפים לגן שורק 161 ק''ו</v>
          </cell>
          <cell r="C3868" t="str">
            <v>מעקפים לגן שורק 161 ק"ו-גי.קו דו מ.ליבנה</v>
          </cell>
          <cell r="D3868">
            <v>40210</v>
          </cell>
        </row>
        <row r="3869">
          <cell r="A3869" t="str">
            <v>WBN-445</v>
          </cell>
          <cell r="B3869" t="str">
            <v>מעקף ראש העין</v>
          </cell>
          <cell r="C3869" t="str">
            <v>מוקפא - מעקף ראש העין-עע"א-הכנת תכנית המתאר</v>
          </cell>
        </row>
        <row r="3870">
          <cell r="A3870" t="str">
            <v>WBO-166</v>
          </cell>
          <cell r="B3870" t="str">
            <v>מעקף מבוא גלבוע-עפולה</v>
          </cell>
          <cell r="C3870" t="str">
            <v>מעקף מבוא גלבוע-עפולה-עע"א-הגבהת קווי 161 ק"ו</v>
          </cell>
          <cell r="D3870">
            <v>46752</v>
          </cell>
        </row>
        <row r="3871">
          <cell r="A3871" t="str">
            <v>WBO-345</v>
          </cell>
          <cell r="B3871" t="str">
            <v>מעקף מבוא גלבוע-עפולה</v>
          </cell>
          <cell r="C3871" t="str">
            <v>מעקף עפולה-עע"א-העתקת קו  לפי תמ"ל 1056</v>
          </cell>
          <cell r="D3871">
            <v>47118</v>
          </cell>
        </row>
        <row r="3872">
          <cell r="A3872">
            <v>2186</v>
          </cell>
          <cell r="B3872" t="str">
            <v>מעקף לתחמ''ש תל אור</v>
          </cell>
          <cell r="C3872" t="str">
            <v>מעקפים לתל אור-גישור מ.א.תבור למ.לב.שאן</v>
          </cell>
          <cell r="D3872">
            <v>41648</v>
          </cell>
        </row>
        <row r="3873">
          <cell r="A3873">
            <v>2187</v>
          </cell>
          <cell r="B3873" t="str">
            <v>מעקף לתחמ''ש פוריה</v>
          </cell>
          <cell r="C3873" t="str">
            <v>מעקפים לפוריה-גישור מ מתל אור למ.לכינרות</v>
          </cell>
          <cell r="D3873">
            <v>41648</v>
          </cell>
        </row>
        <row r="3874">
          <cell r="A3874">
            <v>3540</v>
          </cell>
          <cell r="B3874" t="str">
            <v>מעקף לתחמ''ש סדום צפון</v>
          </cell>
          <cell r="C3874" t="str">
            <v>מעקף לסדום צפון-גישור מעגל מכורנוב למצדה</v>
          </cell>
          <cell r="D3874">
            <v>45473</v>
          </cell>
        </row>
        <row r="3875">
          <cell r="A3875">
            <v>3547</v>
          </cell>
          <cell r="B3875" t="str">
            <v>מעקף לתחמ''ש יהלום</v>
          </cell>
          <cell r="C3875" t="str">
            <v>מעקפים ליהלום-הכנת גישור בין המע.לקיסריה</v>
          </cell>
          <cell r="D3875">
            <v>41648</v>
          </cell>
        </row>
        <row r="3876">
          <cell r="A3876">
            <v>4612</v>
          </cell>
          <cell r="B3876" t="str">
            <v>מעקף לפתח תקוה 161 ק''ו</v>
          </cell>
          <cell r="C3876" t="str">
            <v>מעקף לפתח תקוה 161 ק"ו-מוקפא</v>
          </cell>
          <cell r="D3876">
            <v>42370</v>
          </cell>
        </row>
        <row r="3877">
          <cell r="A3877" t="str">
            <v>WBO-120</v>
          </cell>
          <cell r="B3877" t="str">
            <v>מעקף אלפי מנשה</v>
          </cell>
          <cell r="C3877" t="str">
            <v>מעקף לאלפי מנשה-בוטל-שנוי ת' הקו לאריאל</v>
          </cell>
        </row>
        <row r="3878">
          <cell r="A3878" t="str">
            <v>HIS-107</v>
          </cell>
          <cell r="B3878" t="str">
            <v>מעלות</v>
          </cell>
          <cell r="C3878" t="str">
            <v>מעלות</v>
          </cell>
          <cell r="D3878">
            <v>40908</v>
          </cell>
        </row>
        <row r="3879">
          <cell r="A3879" t="str">
            <v>WBM-00299</v>
          </cell>
          <cell r="B3879" t="str">
            <v>מעלות</v>
          </cell>
          <cell r="C3879" t="str">
            <v>מעלות-התקנת 2 ס.קבלים 5*2 מגווא"ר</v>
          </cell>
          <cell r="D3879">
            <v>46203</v>
          </cell>
        </row>
        <row r="3880">
          <cell r="A3880" t="str">
            <v>WBM-10324</v>
          </cell>
          <cell r="B3880" t="str">
            <v>מעלות</v>
          </cell>
          <cell r="C3880" t="str">
            <v>מעלות-משיק לכברי ש14, הוספת הג.דיפ.ש9</v>
          </cell>
          <cell r="D3880">
            <v>45950</v>
          </cell>
        </row>
        <row r="3881">
          <cell r="A3881" t="str">
            <v>WBM-10118</v>
          </cell>
          <cell r="B3881" t="str">
            <v>מעלות</v>
          </cell>
          <cell r="C3881" t="str">
            <v>מעלות - שדרוג של מערכת SCS</v>
          </cell>
          <cell r="D3881">
            <v>46477</v>
          </cell>
        </row>
        <row r="3882">
          <cell r="A3882" t="str">
            <v>WBM-01360</v>
          </cell>
          <cell r="B3882" t="str">
            <v>מעלות</v>
          </cell>
          <cell r="C3882" t="str">
            <v>מעלות-שיפור אוטומטיקת סלילי כיבוי בתחמ"ש</v>
          </cell>
          <cell r="D3882">
            <v>43081</v>
          </cell>
        </row>
        <row r="3883">
          <cell r="A3883" t="str">
            <v>WBM-00750</v>
          </cell>
          <cell r="B3883" t="str">
            <v>מעלות</v>
          </cell>
          <cell r="C3883" t="str">
            <v>מעלות-חיבור מערכות EMS ו- SCS בתחמ"ש</v>
          </cell>
          <cell r="D3883">
            <v>42824</v>
          </cell>
        </row>
        <row r="3884">
          <cell r="A3884" t="str">
            <v>WBM-00816</v>
          </cell>
          <cell r="B3884" t="str">
            <v>מעלות</v>
          </cell>
          <cell r="C3884" t="str">
            <v>מעלות- ניעול פונקצית פחת בשנאים 521.522</v>
          </cell>
          <cell r="D3884">
            <v>41806</v>
          </cell>
        </row>
        <row r="3885">
          <cell r="A3885">
            <v>524502</v>
          </cell>
          <cell r="B3885" t="str">
            <v>מעלות</v>
          </cell>
          <cell r="C3885" t="str">
            <v>מעלות-החלפת רכזת התראה בטחונית</v>
          </cell>
          <cell r="D3885">
            <v>40785</v>
          </cell>
        </row>
        <row r="3886">
          <cell r="A3886" t="str">
            <v>WBM-00885-035</v>
          </cell>
          <cell r="B3886" t="str">
            <v>מעלות</v>
          </cell>
          <cell r="C3886" t="str">
            <v>מעלות - בוטל- התכולה תקבע בהתאם לבדיקת מת"י</v>
          </cell>
        </row>
        <row r="3887">
          <cell r="A3887" t="str">
            <v>WBM-10456-028</v>
          </cell>
          <cell r="B3887" t="str">
            <v>מעלות</v>
          </cell>
          <cell r="C3887" t="str">
            <v>מעלות- חיבור מדידות P ו Q במ"ג</v>
          </cell>
          <cell r="D3887">
            <v>46387</v>
          </cell>
        </row>
        <row r="3888">
          <cell r="A3888" t="str">
            <v>WBM-40295-054</v>
          </cell>
          <cell r="B3888" t="str">
            <v>מעלות</v>
          </cell>
          <cell r="C3888" t="str">
            <v>מעלות - החלפת סוללות מצברים</v>
          </cell>
          <cell r="D3888">
            <v>46721</v>
          </cell>
        </row>
        <row r="3889">
          <cell r="A3889" t="str">
            <v>WBM-60008-079</v>
          </cell>
          <cell r="B3889" t="str">
            <v>מעלות</v>
          </cell>
          <cell r="C3889" t="str">
            <v>מעלות - מערכת טמ"ס וגדר אלקטרונית</v>
          </cell>
          <cell r="D3889">
            <v>45544</v>
          </cell>
        </row>
        <row r="3890">
          <cell r="A3890" t="str">
            <v>WBM-60107-037</v>
          </cell>
          <cell r="B3890" t="str">
            <v>מעלות</v>
          </cell>
          <cell r="C3890" t="str">
            <v>מעלות - החלפת מנעולים אלק.מגנטיים באלק.מ</v>
          </cell>
          <cell r="D3890">
            <v>45607</v>
          </cell>
        </row>
        <row r="3891">
          <cell r="A3891" t="str">
            <v>WBM-00885-123</v>
          </cell>
          <cell r="B3891" t="str">
            <v>מעלות</v>
          </cell>
          <cell r="C3891" t="str">
            <v>מעלות - תיקון מערכת המים</v>
          </cell>
          <cell r="D3891">
            <v>46092</v>
          </cell>
        </row>
        <row r="3892">
          <cell r="A3892" t="str">
            <v>WBM-20004-034</v>
          </cell>
          <cell r="B3892" t="str">
            <v>מעלות</v>
          </cell>
          <cell r="C3892" t="str">
            <v>מעלות - שיפור מערכת תאורה</v>
          </cell>
          <cell r="D3892">
            <v>45657</v>
          </cell>
        </row>
        <row r="3893">
          <cell r="A3893" t="str">
            <v>WBM-01063-008</v>
          </cell>
          <cell r="B3893" t="str">
            <v>מעלות</v>
          </cell>
          <cell r="C3893" t="str">
            <v>החלפת חצץ באספלט - תחמ"ש מעלות</v>
          </cell>
          <cell r="D3893">
            <v>46387</v>
          </cell>
        </row>
        <row r="3894">
          <cell r="A3894" t="str">
            <v>WBM-60205-039</v>
          </cell>
          <cell r="B3894" t="str">
            <v>מעלות</v>
          </cell>
          <cell r="C3894" t="str">
            <v>מעלות - ניטור הצפות</v>
          </cell>
          <cell r="D3894">
            <v>46175</v>
          </cell>
        </row>
        <row r="3895">
          <cell r="A3895" t="str">
            <v>WBM-40637-023</v>
          </cell>
          <cell r="B3895" t="str">
            <v>מעלות</v>
          </cell>
          <cell r="C3895" t="str">
            <v>מעלות -  החלפת רושמי הפרעות קיימים מדגם IDM-T3 לרושמים חדשים מדגם IDM+.</v>
          </cell>
          <cell r="D3895">
            <v>46873</v>
          </cell>
        </row>
        <row r="3896">
          <cell r="A3896">
            <v>9985284</v>
          </cell>
          <cell r="B3896" t="str">
            <v>מעלה גלבוע</v>
          </cell>
          <cell r="C3896" t="str">
            <v>מעלה גלבוע-קליטת מתקן אג"ש בהספק 300 מגו</v>
          </cell>
          <cell r="D3896">
            <v>43188</v>
          </cell>
        </row>
        <row r="3897">
          <cell r="A3897" t="str">
            <v>WBM-10437</v>
          </cell>
          <cell r="B3897" t="str">
            <v>מעלה גלבוע</v>
          </cell>
          <cell r="C3897" t="str">
            <v>מעלה גלבוע-משיק ה.שאן9-יישום2דרכי קשר,ש1</v>
          </cell>
          <cell r="D3897">
            <v>46234</v>
          </cell>
        </row>
        <row r="3898">
          <cell r="A3898" t="str">
            <v>WBM-60203</v>
          </cell>
          <cell r="B3898" t="str">
            <v>מעלה גלבוע</v>
          </cell>
          <cell r="C3898" t="str">
            <v>מעלה גלבוע (פרטית) - עיגון שנאים</v>
          </cell>
          <cell r="D3898">
            <v>46142</v>
          </cell>
        </row>
        <row r="3899">
          <cell r="A3899" t="str">
            <v>WBM-10757</v>
          </cell>
          <cell r="B3899" t="str">
            <v>מעלה גלבוע</v>
          </cell>
          <cell r="C3899" t="str">
            <v>מעלה גלבוע - בוטל - משיק לאלון תבור שדה 19, יישום דרך קשר אופטית זמנית בין הגנות (להגנת מרחק בלבד)  בשדה 1</v>
          </cell>
          <cell r="D3899">
            <v>43831</v>
          </cell>
        </row>
        <row r="3900">
          <cell r="A3900" t="str">
            <v>HIS-138</v>
          </cell>
          <cell r="B3900" t="str">
            <v>מעלה אפריים</v>
          </cell>
          <cell r="C3900" t="str">
            <v>מעלה אפריים  ניידת</v>
          </cell>
          <cell r="D3900">
            <v>40908</v>
          </cell>
        </row>
        <row r="3901">
          <cell r="A3901" t="str">
            <v>WBD-034-ST3</v>
          </cell>
          <cell r="B3901" t="str">
            <v>מעלה אפריים</v>
          </cell>
          <cell r="C3901" t="str">
            <v>מעלה אפריים ניידת-פירוק 3 תחמ"ש ניידות</v>
          </cell>
          <cell r="D3901">
            <v>45229</v>
          </cell>
        </row>
        <row r="3902">
          <cell r="A3902" t="str">
            <v>WBC-033</v>
          </cell>
          <cell r="B3902" t="str">
            <v>מעלה אפריים</v>
          </cell>
          <cell r="C3902" t="str">
            <v>מעלה אפרים - הקמת תחמ"ש חיצונית 161/36</v>
          </cell>
          <cell r="D3902">
            <v>45133</v>
          </cell>
        </row>
        <row r="3903">
          <cell r="A3903" t="str">
            <v>WBD-070</v>
          </cell>
          <cell r="B3903" t="str">
            <v>מעלה אפריים</v>
          </cell>
          <cell r="C3903" t="str">
            <v>מעלה אפריים 3 - הצבת תחמ"ש ניידת</v>
          </cell>
          <cell r="D3903">
            <v>44179</v>
          </cell>
        </row>
        <row r="3904">
          <cell r="A3904" t="str">
            <v>WBM-01446</v>
          </cell>
          <cell r="B3904" t="str">
            <v>מעלה אפריים</v>
          </cell>
          <cell r="C3904" t="str">
            <v>מעלה אפריים-התקנת 3 סוללות קבלים 2*5 מגו</v>
          </cell>
          <cell r="D3904">
            <v>46568</v>
          </cell>
        </row>
        <row r="3905">
          <cell r="A3905" t="str">
            <v>WBM-01105</v>
          </cell>
          <cell r="B3905" t="str">
            <v>מעלה אפריים</v>
          </cell>
          <cell r="C3905" t="str">
            <v>מעלה אפריים ניידת-התקנת 2מאצרת שמן זמנית</v>
          </cell>
          <cell r="D3905">
            <v>43676</v>
          </cell>
        </row>
        <row r="3906">
          <cell r="A3906" t="str">
            <v>WBM-00075</v>
          </cell>
          <cell r="B3906" t="str">
            <v>מעלה אפריים</v>
          </cell>
          <cell r="C3906" t="str">
            <v>מעלה אפריים ניידות - התקנת מערכת טמ"ס</v>
          </cell>
          <cell r="D3906">
            <v>41998</v>
          </cell>
        </row>
        <row r="3907">
          <cell r="A3907" t="str">
            <v>WBM-10290</v>
          </cell>
          <cell r="B3907" t="str">
            <v>מעלה אפריים</v>
          </cell>
          <cell r="C3907" t="str">
            <v>מעלה אפרים-בוטל-התא' תיל'-מהד' 'WBO-129</v>
          </cell>
          <cell r="D3907">
            <v>44593</v>
          </cell>
        </row>
        <row r="3908">
          <cell r="A3908">
            <v>549806</v>
          </cell>
          <cell r="B3908" t="str">
            <v>מעלה אפריים</v>
          </cell>
          <cell r="C3908" t="str">
            <v>מעלה אפריים ניידות-התקנת מערכת מניה נ.1</v>
          </cell>
          <cell r="D3908">
            <v>40755</v>
          </cell>
        </row>
        <row r="3909">
          <cell r="A3909">
            <v>549809</v>
          </cell>
          <cell r="B3909" t="str">
            <v>מעלה אפריים</v>
          </cell>
          <cell r="C3909" t="str">
            <v>מעלה אפריים ניידות-התקנת מערכת מניה נ.2</v>
          </cell>
          <cell r="D3909">
            <v>41517</v>
          </cell>
        </row>
        <row r="3910">
          <cell r="A3910" t="str">
            <v>WBD-034</v>
          </cell>
          <cell r="B3910" t="str">
            <v>מעלה אפריים</v>
          </cell>
          <cell r="C3910" t="str">
            <v>מעלה אפריים 2 ניידת-  הצבת תחמ"ש ניידת</v>
          </cell>
          <cell r="D3910">
            <v>41003</v>
          </cell>
        </row>
        <row r="3911">
          <cell r="A3911" t="str">
            <v>WBD-034-ST2</v>
          </cell>
          <cell r="B3911" t="str">
            <v>מעלה אפריים</v>
          </cell>
          <cell r="C3911" t="str">
            <v>מעלה אפריים 2 ניידת- פירוק תחמ"ש -בוטל</v>
          </cell>
          <cell r="D3911">
            <v>40340</v>
          </cell>
        </row>
        <row r="3912">
          <cell r="A3912" t="str">
            <v>WBM-00885-119</v>
          </cell>
          <cell r="B3912" t="str">
            <v>מעלה אפריים</v>
          </cell>
          <cell r="C3912" t="str">
            <v>מעלה אפרים - תיקון מערכת מים</v>
          </cell>
          <cell r="D3912">
            <v>45673</v>
          </cell>
        </row>
        <row r="3913">
          <cell r="A3913" t="str">
            <v>WBE-279</v>
          </cell>
          <cell r="B3913" t="str">
            <v>מעלה אפריים</v>
          </cell>
          <cell r="C3913" t="str">
            <v>מעלה אפריים- משיק ל-wbn-103-הוספת ארבעה שדות מעגלים 161 ק"ו</v>
          </cell>
          <cell r="D3913">
            <v>47483</v>
          </cell>
        </row>
        <row r="3914">
          <cell r="A3914" t="str">
            <v>WBN-019</v>
          </cell>
          <cell r="B3914" t="str">
            <v>מעגלי 400 ק"ו מקיסריה</v>
          </cell>
          <cell r="C3914" t="str">
            <v>מעגלי 400 ק"ו מקיסריה-עע"א -הכפלת מסילת החוף- הגבהת קווי 400 ק"ו</v>
          </cell>
          <cell r="D3914">
            <v>46752</v>
          </cell>
        </row>
        <row r="3915">
          <cell r="A3915" t="str">
            <v>WBO-840</v>
          </cell>
          <cell r="B3915" t="str">
            <v>מעגלי 161 ק"ו מקיסריה</v>
          </cell>
          <cell r="C3915" t="str">
            <v>מעגלי 161 ק"ו מקיסריה-עע"א - הכפלת מסילת החוף- הגבהת קווי 161 ק"ו</v>
          </cell>
          <cell r="D3915">
            <v>46752</v>
          </cell>
        </row>
        <row r="3916">
          <cell r="A3916" t="str">
            <v>WBO-694</v>
          </cell>
          <cell r="B3916" t="str">
            <v>מעגל תעשיה אדומים-עטרות</v>
          </cell>
          <cell r="C3916" t="str">
            <v>מעגל תעשיה אדומים-עטרות-תגבור יכולת (Uprating) ל-100 מעלות בקטע קו מעמוד 11004 עד לעטרות</v>
          </cell>
          <cell r="D3916">
            <v>46752</v>
          </cell>
        </row>
        <row r="3917">
          <cell r="A3917" t="str">
            <v>WBO-672</v>
          </cell>
          <cell r="B3917" t="str">
            <v>מעגל תנובות - אייל</v>
          </cell>
          <cell r="C3917" t="str">
            <v>מעגל תנובות-אייל-החלפת בידוד על עמוד 3169</v>
          </cell>
          <cell r="D3917">
            <v>45803</v>
          </cell>
        </row>
        <row r="3918">
          <cell r="A3918" t="str">
            <v>WBO-672-ST2</v>
          </cell>
          <cell r="B3918" t="str">
            <v>מעגל תנובות - אייל</v>
          </cell>
          <cell r="C3918" t="str">
            <v>מעגל תנובות-אייל-בדיקת ישימות ותכנון תגבור יכולת</v>
          </cell>
          <cell r="D3918">
            <v>45354</v>
          </cell>
        </row>
        <row r="3919">
          <cell r="A3919" t="str">
            <v>WBO-849</v>
          </cell>
          <cell r="B3919" t="str">
            <v>מעגל שירת דבורה-יזרעאל</v>
          </cell>
          <cell r="C3919" t="str">
            <v>מעגל שירת דבורה-יזרעאל- שדרוג קו 161 ק"ו לסוג ACSS Bobolink  725/50</v>
          </cell>
          <cell r="D3919">
            <v>47117</v>
          </cell>
        </row>
        <row r="3920">
          <cell r="A3920" t="str">
            <v>WBO-690</v>
          </cell>
          <cell r="B3920" t="str">
            <v>מעגל ראשל"צ מזרח-נתב"ג-לוד</v>
          </cell>
          <cell r="C3920" t="str">
            <v>מעגל ראשל"צ מזרח-נתב"ג-לוד-UPRATING ל-100 מעלות</v>
          </cell>
          <cell r="D3920">
            <v>48213</v>
          </cell>
        </row>
        <row r="3921">
          <cell r="A3921" t="str">
            <v>WBO-686</v>
          </cell>
          <cell r="B3921" t="str">
            <v>מעגל עתידים-אבנת-שוהם</v>
          </cell>
          <cell r="C3921" t="str">
            <v>כבל באם המושבות -עע"א- הכנות מקדימות עבור הטמנת קו עתידים-אבנת-שוהם</v>
          </cell>
          <cell r="D3921">
            <v>46934</v>
          </cell>
        </row>
        <row r="3922">
          <cell r="A3922" t="str">
            <v>WBO-330</v>
          </cell>
          <cell r="B3922" t="str">
            <v>מעגל מבואות גלבוע - עין חרוד</v>
          </cell>
          <cell r="C3922" t="str">
            <v>מעגל מבואות גלבוע - עין חרוד - שידרוג הקו לסוג ל ACSS 725/50</v>
          </cell>
          <cell r="D3922">
            <v>48943</v>
          </cell>
        </row>
        <row r="3923">
          <cell r="A3923" t="str">
            <v>WBO-692</v>
          </cell>
          <cell r="B3923" t="str">
            <v>מעגל כפר אוריה-אבן ספיר</v>
          </cell>
          <cell r="C3923" t="str">
            <v>מעגל כפר אוריה-אבן ספיר-תגבור (Uprating) של המעגל השחור ל 100 מעלות</v>
          </cell>
          <cell r="D3923">
            <v>46568</v>
          </cell>
        </row>
        <row r="3924">
          <cell r="A3924" t="str">
            <v>WBO-693</v>
          </cell>
          <cell r="B3924" t="str">
            <v>מעגל הרטוב-ירושלים ג</v>
          </cell>
          <cell r="C3924" t="str">
            <v>מעגל הרטוב-ירושלים ג'-בחינת ישימות לביצוע הצלבה במעגלים של הרטוב-ירושלים ג' וכנות-ביתר</v>
          </cell>
          <cell r="D3924">
            <v>45795</v>
          </cell>
        </row>
        <row r="3925">
          <cell r="A3925" t="str">
            <v>WBO-614</v>
          </cell>
          <cell r="B3925" t="str">
            <v>מעגל הרטוב - סתריה</v>
          </cell>
          <cell r="C3925" t="str">
            <v>מעגל הרטוב -סתריה-uprating של מעגל אדום</v>
          </cell>
          <cell r="D3925">
            <v>46387</v>
          </cell>
        </row>
        <row r="3926">
          <cell r="A3926" t="str">
            <v>WBO-874</v>
          </cell>
          <cell r="B3926" t="str">
            <v>מעגל דימונה סולארי-דימונה סולארי D1</v>
          </cell>
          <cell r="C3926" t="str">
            <v>מעגל דימונה סולארי-דימונה סולארי D1-הקמת מעגל 161 ק"ו משדה מספר 20 בתחמ"ש "דימונה סולארי" לעמוד 21015</v>
          </cell>
          <cell r="D3926">
            <v>46538</v>
          </cell>
        </row>
        <row r="3927">
          <cell r="A3927" t="str">
            <v>WBO-613</v>
          </cell>
          <cell r="B3927" t="str">
            <v>מעגל איתן - תרקומיא</v>
          </cell>
          <cell r="C3927" t="str">
            <v>מעגל איתן- תרקומיא-שדרוג הקו לסוג 322/32 ACSS*</v>
          </cell>
          <cell r="D3927">
            <v>46934</v>
          </cell>
        </row>
        <row r="3928">
          <cell r="A3928" t="str">
            <v>WBN-604</v>
          </cell>
          <cell r="B3928" t="str">
            <v>מעגל 400 ק''ו קיסריה-פתח תקווה</v>
          </cell>
          <cell r="C3928" t="str">
            <v>מעגל 400 ק"ו קיסריה-פתח תקווה-התאמת המעגל לעבודה בטמפ' 80 מעלות  21.5 ק"מ</v>
          </cell>
          <cell r="D3928">
            <v>48944</v>
          </cell>
        </row>
        <row r="3929">
          <cell r="A3929" t="str">
            <v>WBN-616</v>
          </cell>
          <cell r="B3929" t="str">
            <v>מעגל 400 ק''ו קיסריה-פתח תקווה</v>
          </cell>
          <cell r="C3929" t="str">
            <v>הצלבה בקו 400 ק"ו חפר-מ"ד-בין מעגלי 400 ק"ו קיסריה – פ"ת ומ"ד – חפר</v>
          </cell>
          <cell r="D3929">
            <v>47452</v>
          </cell>
        </row>
        <row r="3930">
          <cell r="A3930" t="str">
            <v>WBN-603</v>
          </cell>
          <cell r="B3930" t="str">
            <v>מעגל 400 ק''ו קיסריה-גזר</v>
          </cell>
          <cell r="C3930" t="str">
            <v>מעגל 400 ק"ו- קיסריה-גזר-התאמת המעגל  לעבודה בטמפ' 100 מעלות.</v>
          </cell>
          <cell r="D3930">
            <v>48579</v>
          </cell>
        </row>
        <row r="3931">
          <cell r="A3931" t="str">
            <v>WBN-600</v>
          </cell>
          <cell r="B3931" t="str">
            <v>מעגל 400 ק''ו קיסריה-גזר</v>
          </cell>
          <cell r="C3931" t="str">
            <v>מעגל 400 ק"ו- קיסריה-גזר-התאמת המעגל  לעבודה בטמפ' 80 מעלות.</v>
          </cell>
          <cell r="D3931">
            <v>47118</v>
          </cell>
        </row>
        <row r="3932">
          <cell r="A3932" t="str">
            <v>WBN-020</v>
          </cell>
          <cell r="B3932" t="str">
            <v>מעגל 400 ק"ו קיסריה-מ"ד</v>
          </cell>
          <cell r="C3932" t="str">
            <v>מעגל 400 ק"ו קיסריה-מ"ד-התאמת המעגל לעבודה בטמפ' 80 מעלות</v>
          </cell>
          <cell r="D3932">
            <v>48579</v>
          </cell>
        </row>
        <row r="3933">
          <cell r="A3933" t="str">
            <v>9403-LN1</v>
          </cell>
          <cell r="B3933" t="str">
            <v>מעגל 115 ק''ו ירושלים ד'-אבן ספ</v>
          </cell>
          <cell r="C3933" t="str">
            <v>מעגל 115 ק"ו ירושלים ד'-אבן ספיר-הפעלה</v>
          </cell>
          <cell r="D3933">
            <v>42166</v>
          </cell>
        </row>
        <row r="3934">
          <cell r="A3934" t="str">
            <v>9403-LN2</v>
          </cell>
          <cell r="B3934" t="str">
            <v>מעגל 115 ק''ו ירושלים ד'-אבן ספ</v>
          </cell>
          <cell r="C3934" t="str">
            <v>מעגל 115 ק"ו ירושלים ד'-אבן ספיר</v>
          </cell>
          <cell r="D3934">
            <v>42166</v>
          </cell>
        </row>
        <row r="3935">
          <cell r="A3935" t="str">
            <v>WBN-606</v>
          </cell>
          <cell r="B3935" t="str">
            <v>מסעפים לניר גלים</v>
          </cell>
          <cell r="C3935" t="str">
            <v>מסעפים לניר גלים-הקמת שני מסעפי 400 ק"ו דו מעגליים</v>
          </cell>
          <cell r="D3935">
            <v>48944</v>
          </cell>
        </row>
        <row r="3936">
          <cell r="A3936" t="str">
            <v>WBO-846</v>
          </cell>
          <cell r="B3936" t="str">
            <v>מסעפים לניר גלים</v>
          </cell>
          <cell r="C3936" t="str">
            <v>מסעפים לניר גלים-הקמת שני מסעפי 161 ק"ו מקו אשכול ד'- התפלה שורק/התפלה אשדוד</v>
          </cell>
          <cell r="D3936">
            <v>48944</v>
          </cell>
        </row>
        <row r="3937">
          <cell r="A3937" t="str">
            <v>WBA-136-LN2</v>
          </cell>
          <cell r="B3937" t="str">
            <v>מסעפים למנרה</v>
          </cell>
          <cell r="C3937" t="str">
            <v>מסעפים למנרה-הקמת 2 מסעפים דו-מעגליים</v>
          </cell>
          <cell r="D3937">
            <v>40728</v>
          </cell>
        </row>
        <row r="3938">
          <cell r="A3938" t="str">
            <v>WBO-079</v>
          </cell>
          <cell r="B3938" t="str">
            <v>מסעפים למנרה</v>
          </cell>
          <cell r="C3938" t="str">
            <v>מסעפים למנרה-הקמת 2 מסעפים דו-מעגליים</v>
          </cell>
          <cell r="D3938">
            <v>47057</v>
          </cell>
        </row>
        <row r="3939">
          <cell r="A3939" t="str">
            <v>WBN-013</v>
          </cell>
          <cell r="B3939" t="str">
            <v>מסעפים למבואות גלבוע</v>
          </cell>
          <cell r="C3939" t="str">
            <v>חיבור מתחם תעשיה מבואות גלבוע-תכנית תמ"א 10/ב/11/ב</v>
          </cell>
          <cell r="D3939">
            <v>45249</v>
          </cell>
        </row>
        <row r="3940">
          <cell r="A3940" t="str">
            <v>WBO-094</v>
          </cell>
          <cell r="B3940" t="str">
            <v>מסעפים למבואות גלבוע</v>
          </cell>
          <cell r="C3940" t="str">
            <v>מסעפים למבואות גלבוע-161 ק"ו-קידום סטטוטורי</v>
          </cell>
          <cell r="D3940">
            <v>44957</v>
          </cell>
        </row>
        <row r="3941">
          <cell r="A3941" t="str">
            <v>WBO-051</v>
          </cell>
          <cell r="B3941" t="str">
            <v>מסעפים לכוכב הירדן</v>
          </cell>
          <cell r="C3941" t="str">
            <v>מסעפים לכוכב הירדן-2 מסעפים מת.אור-ב.שאן</v>
          </cell>
          <cell r="D3941">
            <v>45214</v>
          </cell>
        </row>
        <row r="3942">
          <cell r="A3942" t="str">
            <v>WBO-170</v>
          </cell>
          <cell r="B3942" t="str">
            <v>מסעפים להרטוב-MGDC</v>
          </cell>
          <cell r="C3942" t="str">
            <v>מסעפים להרטוב -MGDC- הקמת 2 מסעפים דו-מעגליים</v>
          </cell>
          <cell r="D3942">
            <v>47483</v>
          </cell>
        </row>
        <row r="3943">
          <cell r="A3943" t="str">
            <v>WBO-245</v>
          </cell>
          <cell r="B3943" t="str">
            <v>מסעפים לדן (מורשה)</v>
          </cell>
          <cell r="C3943" t="str">
            <v>כבלים ציר תמ"ל 3007-הנחת כבלים מנהרת תמ"ל 3007 לתחמ"ג דן (מורשה)</v>
          </cell>
          <cell r="D3943">
            <v>48579</v>
          </cell>
        </row>
        <row r="3944">
          <cell r="A3944" t="str">
            <v>WBO-879</v>
          </cell>
          <cell r="B3944" t="str">
            <v>מסעפים לדן (מורשה)</v>
          </cell>
          <cell r="C3944" t="str">
            <v>מסעף לדן-הקמת 2 עמודי טרמינלים למסעפים תחמ"ג דן (מורשה) - הוד השרון/שביב/עתידים הרצליה</v>
          </cell>
          <cell r="D3944">
            <v>47847</v>
          </cell>
        </row>
        <row r="3945">
          <cell r="A3945" t="str">
            <v>WBO-008</v>
          </cell>
          <cell r="B3945" t="str">
            <v>מסעפים לגליל</v>
          </cell>
          <cell r="C3945" t="str">
            <v>מסעפים לגליל-מקו צלמון-כנרות וצפת-כינרות-רב שלבי</v>
          </cell>
          <cell r="D3945">
            <v>46537</v>
          </cell>
        </row>
        <row r="3946">
          <cell r="A3946" t="str">
            <v>WBO-008-LN2</v>
          </cell>
          <cell r="B3946" t="str">
            <v>מסעפים לגליל</v>
          </cell>
          <cell r="C3946" t="str">
            <v>מסעפים לגליל-שולב-2 מסעפים מקו ינרות-צפת</v>
          </cell>
          <cell r="D3946">
            <v>39263</v>
          </cell>
        </row>
        <row r="3947">
          <cell r="A3947" t="str">
            <v>WBO-008-ST1</v>
          </cell>
          <cell r="B3947" t="str">
            <v>מסעפים לגליל</v>
          </cell>
          <cell r="C3947" t="str">
            <v>מסעפים לגליל מקו צלמון-כינורות – שלב ביניים</v>
          </cell>
          <cell r="D3947">
            <v>46234</v>
          </cell>
        </row>
        <row r="3948">
          <cell r="A3948" t="str">
            <v>WBO-008-ST2</v>
          </cell>
          <cell r="B3948" t="str">
            <v>מסעפים לגליל</v>
          </cell>
          <cell r="C3948" t="str">
            <v>מסעפים לגליל-הקמת מסעפים מקו צלמון-כנרות  וצפת-כינרות</v>
          </cell>
          <cell r="D3948">
            <v>46537</v>
          </cell>
        </row>
        <row r="3949">
          <cell r="A3949" t="str">
            <v>WBO-346</v>
          </cell>
          <cell r="B3949" t="str">
            <v>מסעפים לבית אליעזר</v>
          </cell>
          <cell r="C3949" t="str">
            <v>מסעפים לבית אליעזר-מקו קיסריה-עמק חפר</v>
          </cell>
          <cell r="D3949">
            <v>47572</v>
          </cell>
        </row>
        <row r="3950">
          <cell r="A3950" t="str">
            <v>WBO-573</v>
          </cell>
          <cell r="B3950" t="str">
            <v>מסעפים לאתגל</v>
          </cell>
          <cell r="C3950" t="str">
            <v>מסעפים לאתגל-2 מסעפים מאשכול ג-ניר גלים</v>
          </cell>
          <cell r="D3950">
            <v>45046</v>
          </cell>
        </row>
        <row r="3951">
          <cell r="A3951" t="str">
            <v>WBO-413-LN2</v>
          </cell>
          <cell r="B3951" t="str">
            <v>מסעפים לאיילון</v>
          </cell>
          <cell r="C3951" t="str">
            <v>מסעפים לאיילון-מקו שורק-ראשל"צ-ת.גיבורים</v>
          </cell>
          <cell r="D3951">
            <v>42338</v>
          </cell>
        </row>
        <row r="3952">
          <cell r="A3952" t="str">
            <v>WBN-448</v>
          </cell>
          <cell r="B3952" t="str">
            <v>מסעפי 400 ק''ו לדן</v>
          </cell>
          <cell r="C3952" t="str">
            <v>מסעפי 400 ק"ו לדן-שני מסעפים מקווים עתידים-קיסריה/גזר</v>
          </cell>
          <cell r="D3952">
            <v>47848</v>
          </cell>
        </row>
        <row r="3953">
          <cell r="A3953" t="str">
            <v>WBO-117</v>
          </cell>
          <cell r="B3953" t="str">
            <v>מסעף לתרקומיא</v>
          </cell>
          <cell r="C3953" t="str">
            <v>מסעף לתרקומיא-מקו איתן-חברון.</v>
          </cell>
          <cell r="D3953">
            <v>44090</v>
          </cell>
        </row>
        <row r="3954">
          <cell r="A3954" t="str">
            <v>WBO-563</v>
          </cell>
          <cell r="B3954" t="str">
            <v>מסעף לתמר</v>
          </cell>
          <cell r="C3954" t="str">
            <v>מסעף לתמר-ממעגל דימונה-OPC- ירוק- בוטל</v>
          </cell>
        </row>
        <row r="3955">
          <cell r="A3955" t="str">
            <v>WBO-516</v>
          </cell>
          <cell r="B3955" t="str">
            <v>מסעף לתל השומר</v>
          </cell>
          <cell r="C3955" t="str">
            <v>מסעף לתל השומר-מסעף מאיילון</v>
          </cell>
          <cell r="D3955">
            <v>46537</v>
          </cell>
        </row>
        <row r="3956">
          <cell r="A3956" t="str">
            <v>WBO-211</v>
          </cell>
          <cell r="B3956" t="str">
            <v>מסעף לתל השומר</v>
          </cell>
          <cell r="C3956" t="str">
            <v>מסעף לתל השומר-הנחת כבלים תת-קרקעיים</v>
          </cell>
          <cell r="D3956">
            <v>46537</v>
          </cell>
        </row>
        <row r="3957">
          <cell r="A3957" t="str">
            <v>WBO-808</v>
          </cell>
          <cell r="B3957" t="str">
            <v>מסעף לתל אביטל</v>
          </cell>
          <cell r="C3957" t="str">
            <v>מסעף לתל אביטל-  מקו קצרין -בראון</v>
          </cell>
          <cell r="D3957">
            <v>47483</v>
          </cell>
        </row>
        <row r="3958">
          <cell r="A3958" t="str">
            <v>WBO-497</v>
          </cell>
          <cell r="B3958" t="str">
            <v>מסעף לתימורים</v>
          </cell>
          <cell r="C3958" t="str">
            <v>מסעף לתימורים-מקו צפית-תה"ר פלשת, 774 סג-אל</v>
          </cell>
          <cell r="D3958">
            <v>46691</v>
          </cell>
        </row>
        <row r="3959">
          <cell r="A3959" t="str">
            <v>WBO-449</v>
          </cell>
          <cell r="B3959" t="str">
            <v>מסעף לתה''ר רשפון</v>
          </cell>
          <cell r="C3959" t="str">
            <v>מסעף לתה"ר רשפון-ממעגל בית יהושע-הרצליה</v>
          </cell>
          <cell r="D3959">
            <v>44477</v>
          </cell>
        </row>
        <row r="3960">
          <cell r="A3960" t="str">
            <v>WBO-447</v>
          </cell>
          <cell r="B3960" t="str">
            <v>מסעף לתה''ר פלשת</v>
          </cell>
          <cell r="C3960" t="str">
            <v>מסעף לתה"ר פלשת-ממעגל צפית-גאליה</v>
          </cell>
          <cell r="D3960">
            <v>44197</v>
          </cell>
        </row>
        <row r="3961">
          <cell r="A3961" t="str">
            <v>WBO-098</v>
          </cell>
          <cell r="B3961" t="str">
            <v>מסעף לתה''ר עכו</v>
          </cell>
          <cell r="C3961" t="str">
            <v>מסעף לתה"ר עכו-בוטל-הקמת מסעף חד-מעגלי ממעגל נעמן-נהריה</v>
          </cell>
        </row>
        <row r="3962">
          <cell r="A3962" t="str">
            <v>WBO-037-LN2</v>
          </cell>
          <cell r="B3962" t="str">
            <v>מסעף לתה''ר עכו</v>
          </cell>
          <cell r="C3962" t="str">
            <v>מסעף לתה"ר עכו-בוטל -ממעגל כברי-נעמן</v>
          </cell>
        </row>
        <row r="3963">
          <cell r="A3963" t="str">
            <v>WBO-037</v>
          </cell>
          <cell r="B3963" t="str">
            <v>מסעף לתה''ר עכו</v>
          </cell>
          <cell r="C3963" t="str">
            <v>מסעף לתה"ר עכו-בוטל-uprating מפרוטרום-</v>
          </cell>
        </row>
        <row r="3964">
          <cell r="A3964" t="str">
            <v>WBO-448</v>
          </cell>
          <cell r="B3964" t="str">
            <v>מסעף לתה''ר נען</v>
          </cell>
          <cell r="C3964" t="str">
            <v>מסעף לתה"ר נען-ממעגל הרטוב-סתריה</v>
          </cell>
          <cell r="D3964">
            <v>46752</v>
          </cell>
        </row>
        <row r="3965">
          <cell r="A3965" t="str">
            <v>WBO-444</v>
          </cell>
          <cell r="B3965" t="str">
            <v>מסעף לתה''ר לכיש</v>
          </cell>
          <cell r="C3965" t="str">
            <v>מסעף לתה"ר לכיש-ממעגל צפית-איתן</v>
          </cell>
          <cell r="D3965">
            <v>46295</v>
          </cell>
        </row>
        <row r="3966">
          <cell r="A3966" t="str">
            <v>WBO-036</v>
          </cell>
          <cell r="B3966" t="str">
            <v>מסעף לתה''ר לבון</v>
          </cell>
          <cell r="C3966" t="str">
            <v>מסעף לתה"ר לבון-ממעגל כרמיאל-משגב</v>
          </cell>
          <cell r="D3966">
            <v>46418</v>
          </cell>
        </row>
        <row r="3967">
          <cell r="A3967" t="str">
            <v>WBO-039</v>
          </cell>
          <cell r="B3967" t="str">
            <v>מסעף לתה''ר חופית</v>
          </cell>
          <cell r="C3967" t="str">
            <v>מסעף לתה"ר חופית-ממעגל שרון-נתניה דרום</v>
          </cell>
          <cell r="D3967">
            <v>46027</v>
          </cell>
        </row>
        <row r="3968">
          <cell r="A3968" t="str">
            <v>WBO-445</v>
          </cell>
          <cell r="B3968" t="str">
            <v>מסעף לתה''ר השפלה</v>
          </cell>
          <cell r="C3968" t="str">
            <v>מסעף לתה"ר השפלה-ממעגל מודיעין-לוד</v>
          </cell>
          <cell r="D3968">
            <v>43487</v>
          </cell>
        </row>
        <row r="3969">
          <cell r="A3969" t="str">
            <v>WBO-116</v>
          </cell>
          <cell r="B3969" t="str">
            <v>מסעף לתה''ר הראל</v>
          </cell>
          <cell r="C3969" t="str">
            <v>מסעף לתה"ר הראל-ממעגל אבן ספיר-שער הגיא</v>
          </cell>
          <cell r="D3969">
            <v>44321</v>
          </cell>
        </row>
        <row r="3970">
          <cell r="A3970" t="str">
            <v>WBO-307</v>
          </cell>
          <cell r="B3970" t="str">
            <v>מסעף לתה''ר הקיטור (המפרץ)</v>
          </cell>
          <cell r="C3970" t="str">
            <v>מסעף לתה"ר הקיטור (המפרץ)-מקו קישון-אדמירליטי</v>
          </cell>
          <cell r="D3970">
            <v>46721</v>
          </cell>
        </row>
        <row r="3971">
          <cell r="A3971" t="str">
            <v>WBO-207</v>
          </cell>
          <cell r="B3971" t="str">
            <v>מסעף לתה''ר הנגב</v>
          </cell>
          <cell r="C3971" t="str">
            <v>מסעף לתה"ר הנגב-מקו ב"ש-ב"ש צפון</v>
          </cell>
          <cell r="D3971">
            <v>46812</v>
          </cell>
        </row>
        <row r="3972">
          <cell r="A3972" t="str">
            <v>WBO-450</v>
          </cell>
          <cell r="B3972" t="str">
            <v>מסעף לתה''ר הולץ</v>
          </cell>
          <cell r="C3972" t="str">
            <v>מסעף לתה"ר הולץ-ממעגל איילון-קריה</v>
          </cell>
          <cell r="D3972">
            <v>44017</v>
          </cell>
        </row>
        <row r="3973">
          <cell r="A3973" t="str">
            <v>WBO-038</v>
          </cell>
          <cell r="B3973" t="str">
            <v>מסעף לתה''ר דור</v>
          </cell>
          <cell r="C3973" t="str">
            <v>מסעף לתה"ר דור-ממעגל זמיר-קיסריה</v>
          </cell>
          <cell r="D3973">
            <v>46295</v>
          </cell>
        </row>
        <row r="3974">
          <cell r="A3974" t="str">
            <v>WBO-446</v>
          </cell>
          <cell r="B3974" t="str">
            <v>מסעף לתה''ר אלישמע</v>
          </cell>
          <cell r="C3974" t="str">
            <v>מסעף לתה"ר אלישמע-מעגל פ"ת-כפר סבא</v>
          </cell>
          <cell r="D3974">
            <v>45170</v>
          </cell>
        </row>
        <row r="3975">
          <cell r="A3975" t="str">
            <v>WBO-891</v>
          </cell>
          <cell r="B3975" t="str">
            <v>מסעף לתה"ר פטיש</v>
          </cell>
          <cell r="C3975" t="str">
            <v>מסעף לתה"ר פטיש-ממעגל אופקים-באר שבע מערב</v>
          </cell>
          <cell r="D3975">
            <v>46842</v>
          </cell>
        </row>
        <row r="3976">
          <cell r="A3976" t="str">
            <v>WBO-458-LN3</v>
          </cell>
          <cell r="B3976" t="str">
            <v>מסעף לת''א צפון</v>
          </cell>
          <cell r="C3976" t="str">
            <v>מסעף לת"א צפון-הקמת טרמינלים בקרבת קו</v>
          </cell>
          <cell r="D3976">
            <v>42516</v>
          </cell>
        </row>
        <row r="3977">
          <cell r="A3977" t="str">
            <v>WBO-458-LN2</v>
          </cell>
          <cell r="B3977" t="str">
            <v>מסעף לת''א צפון</v>
          </cell>
          <cell r="C3977" t="str">
            <v>מסעף לת"א צפון-הקמת טרמינלים מת"א צפון</v>
          </cell>
          <cell r="D3977">
            <v>42516</v>
          </cell>
        </row>
        <row r="3978">
          <cell r="A3978" t="str">
            <v>WBO-458</v>
          </cell>
          <cell r="B3978" t="str">
            <v>מסעף לת''א צפון</v>
          </cell>
          <cell r="C3978" t="str">
            <v>מסעף לת"א צפון-מקו רמת אביב ירקון</v>
          </cell>
          <cell r="D3978">
            <v>42516</v>
          </cell>
        </row>
        <row r="3979">
          <cell r="A3979" t="str">
            <v>WBO-204</v>
          </cell>
          <cell r="B3979" t="str">
            <v>מסעף לת"א צפון C</v>
          </cell>
          <cell r="C3979" t="str">
            <v>מסעף לת"א צפון C-עע"א-הנחת כבלים ת"ק</v>
          </cell>
          <cell r="D3979">
            <v>42516</v>
          </cell>
        </row>
        <row r="3980">
          <cell r="A3980" t="str">
            <v>WBO-443</v>
          </cell>
          <cell r="B3980" t="str">
            <v>מסעף לשפיים</v>
          </cell>
          <cell r="C3980" t="str">
            <v>מסעף לשפיים -מקו נתניה-הרצליה</v>
          </cell>
          <cell r="D3980">
            <v>44792</v>
          </cell>
        </row>
        <row r="3981">
          <cell r="A3981" t="str">
            <v>WBO-637</v>
          </cell>
          <cell r="B3981" t="str">
            <v>מסעף לשער השומרון</v>
          </cell>
          <cell r="C3981" t="str">
            <v>מסעף לשער השומרון-בוטל-ממעגל אריאל-פתח תקווה, 500 מ'</v>
          </cell>
        </row>
        <row r="3982">
          <cell r="A3982" t="str">
            <v>WBO-508</v>
          </cell>
          <cell r="B3982" t="str">
            <v>מסעף לשניאור(צאלים)</v>
          </cell>
          <cell r="C3982" t="str">
            <v>מסעף לשניאור(צאלים)-מקו בשור-חלוציות2</v>
          </cell>
          <cell r="D3982">
            <v>43636</v>
          </cell>
        </row>
        <row r="3983">
          <cell r="A3983" t="str">
            <v>WBO-102</v>
          </cell>
          <cell r="B3983" t="str">
            <v>מסעף לשכם</v>
          </cell>
          <cell r="C3983" t="str">
            <v>מסעף לשכם-מקו אריאל-בנימין</v>
          </cell>
          <cell r="D3983">
            <v>44098</v>
          </cell>
        </row>
        <row r="3984">
          <cell r="A3984" t="str">
            <v>WBO-063</v>
          </cell>
          <cell r="B3984" t="str">
            <v>מסעף לשירת דבורה</v>
          </cell>
          <cell r="C3984" t="str">
            <v>מסעפים לשירת דבורה-יזרעאל-ג'נין-ע.חרוד</v>
          </cell>
          <cell r="D3984">
            <v>45484</v>
          </cell>
        </row>
        <row r="3985">
          <cell r="A3985" t="str">
            <v>WBO-466</v>
          </cell>
          <cell r="B3985" t="str">
            <v>מסעף לשדרות</v>
          </cell>
          <cell r="C3985" t="str">
            <v>מסעף לשדרות-מקו צומת כרמיה-אופקים</v>
          </cell>
          <cell r="D3985">
            <v>43615</v>
          </cell>
        </row>
        <row r="3986">
          <cell r="A3986" t="str">
            <v>WBO-438</v>
          </cell>
          <cell r="B3986" t="str">
            <v>מסעף לשביב</v>
          </cell>
          <cell r="C3986" t="str">
            <v>מסעף לשביב-בוטל-העברת קוים לתחמ"ש קבועה.</v>
          </cell>
          <cell r="D3986">
            <v>36891</v>
          </cell>
        </row>
        <row r="3987">
          <cell r="A3987" t="str">
            <v>WBO-875</v>
          </cell>
          <cell r="B3987" t="str">
            <v>מסעף לרעננה מערב</v>
          </cell>
          <cell r="C3987" t="str">
            <v>מסעף לרעננה מערב-הקמת טרמינלים למעבר בין הקטע העילי לתת-קרקעי</v>
          </cell>
          <cell r="D3987">
            <v>47452</v>
          </cell>
        </row>
        <row r="3988">
          <cell r="A3988" t="str">
            <v>WBO-253</v>
          </cell>
          <cell r="B3988" t="str">
            <v>מסעף לרעננה</v>
          </cell>
          <cell r="C3988" t="str">
            <v>מסעף לרעננה מערב-הנחת כבלים תת-קרקעיים, 4 ק"מ</v>
          </cell>
          <cell r="D3988">
            <v>47452</v>
          </cell>
        </row>
        <row r="3989">
          <cell r="A3989" t="str">
            <v>WBO-559</v>
          </cell>
          <cell r="B3989" t="str">
            <v>מסעף לרעננה</v>
          </cell>
          <cell r="C3989" t="str">
            <v>מסעף לרעננה-עע"א- העתקות קווים</v>
          </cell>
          <cell r="D3989">
            <v>44306</v>
          </cell>
        </row>
        <row r="3990">
          <cell r="A3990" t="str">
            <v>WBO-439</v>
          </cell>
          <cell r="B3990" t="str">
            <v>מסעף לרעות</v>
          </cell>
          <cell r="C3990" t="str">
            <v>מסעף לרעות-ממעגל מודיעין -שער הגיא</v>
          </cell>
          <cell r="D3990">
            <v>46934</v>
          </cell>
        </row>
        <row r="3991">
          <cell r="A3991" t="str">
            <v>WBO-858</v>
          </cell>
          <cell r="B3991" t="str">
            <v>מסעף לרמת בקע סינרג'י</v>
          </cell>
          <cell r="C3991" t="str">
            <v>מסעף לרמת בקע סינרג'י- ממעגל דימונה סולארי-רמת חובב</v>
          </cell>
          <cell r="D3991">
            <v>46782</v>
          </cell>
        </row>
        <row r="3992">
          <cell r="A3992" t="str">
            <v>WBO-119</v>
          </cell>
          <cell r="B3992" t="str">
            <v>מסעף לרמת בית שמש</v>
          </cell>
          <cell r="C3992" t="str">
            <v>מסעף לרמת בית שמש-מקו אבן ספיר- צפית</v>
          </cell>
          <cell r="D3992">
            <v>42711</v>
          </cell>
        </row>
        <row r="3993">
          <cell r="A3993" t="str">
            <v>WBO-100</v>
          </cell>
          <cell r="B3993" t="str">
            <v>מסעף לרמאללה</v>
          </cell>
          <cell r="C3993" t="str">
            <v>מסעף לרמאללה-מקו עטרות-ירושלים ד'</v>
          </cell>
          <cell r="D3993">
            <v>44084</v>
          </cell>
        </row>
        <row r="3994">
          <cell r="A3994" t="str">
            <v>WBO-247</v>
          </cell>
          <cell r="B3994" t="str">
            <v>מסעף לרחובות צפון</v>
          </cell>
          <cell r="C3994" t="str">
            <v>מסעף לרחובות צפון-כבל מהטרמינלים סתריה–נס ציונה קבועה</v>
          </cell>
          <cell r="D3994">
            <v>46325</v>
          </cell>
        </row>
        <row r="3995">
          <cell r="A3995" t="str">
            <v>WBO-455</v>
          </cell>
          <cell r="B3995" t="str">
            <v>מסעף לרחובות צפון</v>
          </cell>
          <cell r="C3995" t="str">
            <v>מסעף לרחובות צפון-מקו נס ציונה-סיתריה</v>
          </cell>
          <cell r="D3995">
            <v>46325</v>
          </cell>
        </row>
        <row r="3996">
          <cell r="A3996" t="str">
            <v>WBO-058</v>
          </cell>
          <cell r="B3996" t="str">
            <v>מסעף לרוח בראשית</v>
          </cell>
          <cell r="C3996" t="str">
            <v>מסעף לרוח בראשית- מקו כורסי-כנורות</v>
          </cell>
          <cell r="D3996">
            <v>45079</v>
          </cell>
        </row>
        <row r="3997">
          <cell r="A3997" t="str">
            <v>WBO-251</v>
          </cell>
          <cell r="B3997" t="str">
            <v>מסעף לרבידה</v>
          </cell>
          <cell r="C3997" t="str">
            <v>מסעף לרבידה-הנחת 2 מסעפים תת-קרקעים</v>
          </cell>
          <cell r="D3997">
            <v>48579</v>
          </cell>
        </row>
        <row r="3998">
          <cell r="A3998" t="str">
            <v>WBO-507</v>
          </cell>
          <cell r="B3998" t="str">
            <v>מסעף לראשון תעשיה</v>
          </cell>
          <cell r="C3998" t="str">
            <v>מסעף לראשון תעשיה- ממעגל גן שורק-נתב"ג</v>
          </cell>
          <cell r="D3998">
            <v>46356</v>
          </cell>
        </row>
        <row r="3999">
          <cell r="A3999" t="str">
            <v>9999-LN11</v>
          </cell>
          <cell r="B3999" t="str">
            <v>מסעף לראשון מזרח</v>
          </cell>
          <cell r="C3999" t="str">
            <v>מסעף לראשון מזרח-הנחת כבל מג.שורק-גזר</v>
          </cell>
          <cell r="D3999">
            <v>38655</v>
          </cell>
        </row>
        <row r="4000">
          <cell r="A4000" t="str">
            <v>9999-LN8</v>
          </cell>
          <cell r="B4000" t="str">
            <v>מסעף לראשון מזרח</v>
          </cell>
          <cell r="C4000" t="str">
            <v>מסעף לראשון מזרח-הקמת טרמינלים</v>
          </cell>
          <cell r="D4000">
            <v>39409</v>
          </cell>
        </row>
        <row r="4001">
          <cell r="A4001" t="str">
            <v>WBO-909</v>
          </cell>
          <cell r="B4001" t="str">
            <v>מסעף לקרני שומרון</v>
          </cell>
          <cell r="C4001" t="str">
            <v>מסעף לקרני שומרון-ממעגל אריאל-תה"ר אלישמע-כפר סבא</v>
          </cell>
          <cell r="D4001">
            <v>48152</v>
          </cell>
        </row>
        <row r="4002">
          <cell r="A4002" t="str">
            <v>WBO-462</v>
          </cell>
          <cell r="B4002" t="str">
            <v>מסעף לקרית משה</v>
          </cell>
          <cell r="C4002" t="str">
            <v>כניסה לקרית משה-הארכת המסעף מגאליה</v>
          </cell>
          <cell r="D4002">
            <v>45644</v>
          </cell>
        </row>
        <row r="4003">
          <cell r="A4003" t="str">
            <v>WBO-517</v>
          </cell>
          <cell r="B4003" t="str">
            <v>מסעף לקרית המודיעין</v>
          </cell>
          <cell r="C4003" t="str">
            <v>מסעף לקרית המודיעין-חיבור לקו איתן-ערד-דימונה</v>
          </cell>
          <cell r="D4003">
            <v>46386</v>
          </cell>
        </row>
        <row r="4004">
          <cell r="A4004" t="str">
            <v>WBO-239</v>
          </cell>
          <cell r="B4004" t="str">
            <v>מסעף לקרית אריה</v>
          </cell>
          <cell r="C4004" t="str">
            <v>מסעף לקרית אריה-הנחת כבלים 161,מעגל פתח תקוה-רמת גן</v>
          </cell>
          <cell r="D4004">
            <v>45648</v>
          </cell>
        </row>
        <row r="4005">
          <cell r="A4005" t="str">
            <v>WBO-496</v>
          </cell>
          <cell r="B4005" t="str">
            <v>מסעף לקרית אריה</v>
          </cell>
          <cell r="C4005" t="str">
            <v>מסעף לקרית אריה-טרמינלים מקו פ"ת-ר"ג</v>
          </cell>
          <cell r="D4005">
            <v>45648</v>
          </cell>
        </row>
        <row r="4006">
          <cell r="A4006" t="str">
            <v>WBO-137</v>
          </cell>
          <cell r="B4006" t="str">
            <v>מסעף לקרית ארבע</v>
          </cell>
          <cell r="C4006" t="str">
            <v>מסעף לקרית ארבע- מקו ביתר-חברון</v>
          </cell>
          <cell r="D4006">
            <v>47848</v>
          </cell>
        </row>
        <row r="4007">
          <cell r="A4007" t="str">
            <v>WBO-048</v>
          </cell>
          <cell r="B4007" t="str">
            <v>מסעף לקצרין</v>
          </cell>
          <cell r="C4007" t="str">
            <v>מסעף לקצרין-בנ מחדש ש.אליעזר-קצרין</v>
          </cell>
          <cell r="D4007">
            <v>46034</v>
          </cell>
        </row>
        <row r="4008">
          <cell r="A4008" t="str">
            <v>WBO-048-ST1</v>
          </cell>
          <cell r="B4008" t="str">
            <v>מסעף לקצרין</v>
          </cell>
          <cell r="C4008" t="str">
            <v>מסעף לקצרין-פירוק ש.אליעזר-קצרין לאור בניה מחדש</v>
          </cell>
          <cell r="D4008">
            <v>46387</v>
          </cell>
        </row>
        <row r="4009">
          <cell r="A4009" t="str">
            <v>WBO-416</v>
          </cell>
          <cell r="B4009" t="str">
            <v>מסעף לקציר המלח</v>
          </cell>
          <cell r="C4009" t="str">
            <v>מסעף לקציר המלח-בוטל - 4 מסעפים  מערד-מצדה</v>
          </cell>
        </row>
        <row r="4010">
          <cell r="A4010" t="str">
            <v>WBO-423</v>
          </cell>
          <cell r="B4010" t="str">
            <v>מסעף לקטורה</v>
          </cell>
          <cell r="C4010" t="str">
            <v>מסעף לקטורה-מקו פארן-יוטבתה, 2 ק"מ</v>
          </cell>
          <cell r="D4010">
            <v>42093</v>
          </cell>
        </row>
        <row r="4011">
          <cell r="A4011" t="str">
            <v>WBO-514</v>
          </cell>
          <cell r="B4011" t="str">
            <v>מסעף לקדימה</v>
          </cell>
          <cell r="C4011" t="str">
            <v>מסעף לקדימה-כבל מקו צומת חרושת-שביב</v>
          </cell>
          <cell r="D4011">
            <v>47847</v>
          </cell>
        </row>
        <row r="4012">
          <cell r="A4012" t="str">
            <v>WBO-678</v>
          </cell>
          <cell r="B4012" t="str">
            <v>מסעף לקדימה</v>
          </cell>
          <cell r="C4012" t="str">
            <v>מסעף לקדימה-הקמת טרמינלים למעבר בין הקטע העילי לתת-קרקעי</v>
          </cell>
          <cell r="D4012">
            <v>47847</v>
          </cell>
        </row>
        <row r="4013">
          <cell r="A4013">
            <v>9766</v>
          </cell>
          <cell r="B4013" t="str">
            <v>מסעף לצפורית</v>
          </cell>
          <cell r="C4013" t="str">
            <v>מסעף לצפורית</v>
          </cell>
          <cell r="D4013">
            <v>41485</v>
          </cell>
        </row>
        <row r="4014">
          <cell r="A4014" t="str">
            <v>WBO-319</v>
          </cell>
          <cell r="B4014" t="str">
            <v>מסעף לצחר</v>
          </cell>
          <cell r="C4014" t="str">
            <v>מסעף לצחר-הצלבת מעגלים בין צחר לקצרין (17802)</v>
          </cell>
          <cell r="D4014">
            <v>46356</v>
          </cell>
        </row>
        <row r="4015">
          <cell r="A4015" t="str">
            <v>WBO-002</v>
          </cell>
          <cell r="B4015" t="str">
            <v>מסעף לצחר</v>
          </cell>
          <cell r="C4015" t="str">
            <v>מסעף לצחר-מקו כנרות-קרית שמונה</v>
          </cell>
          <cell r="D4015">
            <v>46356</v>
          </cell>
        </row>
        <row r="4016">
          <cell r="A4016" t="str">
            <v>WBO-167</v>
          </cell>
          <cell r="B4016" t="str">
            <v>מסעף לצחר</v>
          </cell>
          <cell r="C4016" t="str">
            <v>מסעף לצחר-מקו כנרות-קרית שמונה, טרמינלים</v>
          </cell>
          <cell r="D4016">
            <v>46356</v>
          </cell>
        </row>
        <row r="4017">
          <cell r="A4017" t="str">
            <v>WBN-441</v>
          </cell>
          <cell r="B4017" t="str">
            <v>מסעף לצומת אנרגיה</v>
          </cell>
          <cell r="C4017" t="str">
            <v>מסעף לצומת אנרגיה-ממעגל צפית-רמת חובב</v>
          </cell>
          <cell r="D4017">
            <v>44978</v>
          </cell>
        </row>
        <row r="4018">
          <cell r="A4018" t="str">
            <v>WBN-444</v>
          </cell>
          <cell r="B4018" t="str">
            <v>מסעף לצומת אנרגיה</v>
          </cell>
          <cell r="C4018" t="str">
            <v>מסעף לצומת אנרגיה-עע"א- בנית מעקף</v>
          </cell>
          <cell r="D4018">
            <v>44978</v>
          </cell>
        </row>
        <row r="4019">
          <cell r="A4019" t="str">
            <v>WBO-132</v>
          </cell>
          <cell r="B4019" t="str">
            <v>מסעף לפסגת זאב</v>
          </cell>
          <cell r="C4019" t="str">
            <v>מסעף לפסגת זאב-ממעגל ת.אדומים - תחמ"ג ירושלים (ירושלים ד')</v>
          </cell>
          <cell r="D4019">
            <v>47938</v>
          </cell>
        </row>
        <row r="4020">
          <cell r="A4020" t="str">
            <v>WBO-847</v>
          </cell>
          <cell r="B4020" t="str">
            <v>מסעף לפסגת זאב</v>
          </cell>
          <cell r="C4020" t="str">
            <v>מסעף לפסגת זאב- ממעגל תחמ"ג ירושלים-עטרות</v>
          </cell>
          <cell r="D4020">
            <v>49674</v>
          </cell>
        </row>
        <row r="4021">
          <cell r="A4021" t="str">
            <v>WBO-534</v>
          </cell>
          <cell r="B4021" t="str">
            <v>מסעף לפארק יואב</v>
          </cell>
          <cell r="C4021" t="str">
            <v>מסעף לפארק יואב - בוטל-ממעגל צפית-חבצלת</v>
          </cell>
        </row>
        <row r="4022">
          <cell r="A4022" t="str">
            <v>WBO-017</v>
          </cell>
          <cell r="B4022" t="str">
            <v>מסעף לעתלית</v>
          </cell>
          <cell r="C4022" t="str">
            <v>מסעף לעתלית-מקו רוממה-קיסריה.</v>
          </cell>
          <cell r="D4022">
            <v>44791</v>
          </cell>
        </row>
        <row r="4023">
          <cell r="A4023" t="str">
            <v>WBO-599</v>
          </cell>
          <cell r="B4023" t="str">
            <v>מסעף לערד</v>
          </cell>
          <cell r="C4023" t="str">
            <v>העתקה במחלף ק.המודיעין- עע"א-העתקת 6772</v>
          </cell>
          <cell r="D4023">
            <v>44533</v>
          </cell>
        </row>
        <row r="4024">
          <cell r="A4024" t="str">
            <v>9999-LN62</v>
          </cell>
          <cell r="B4024" t="str">
            <v>מסעף לערבה</v>
          </cell>
          <cell r="C4024" t="str">
            <v>מסעף לערבה-בוטל-  תכנון מסעף</v>
          </cell>
          <cell r="D4024">
            <v>41596</v>
          </cell>
        </row>
        <row r="4025">
          <cell r="A4025" t="str">
            <v>WBO-621</v>
          </cell>
          <cell r="B4025" t="str">
            <v>מסעף לענבה (מודיעין תעשיה)</v>
          </cell>
          <cell r="C4025" t="str">
            <v>מסעף לענבה(מודיעין תעשיה)-ממעגל 161 ק"ו סתריה – גזר</v>
          </cell>
          <cell r="D4025">
            <v>49248</v>
          </cell>
        </row>
        <row r="4026">
          <cell r="A4026" t="str">
            <v>9999-LN161</v>
          </cell>
          <cell r="B4026" t="str">
            <v>מסעף לעין לוט ארעית</v>
          </cell>
          <cell r="C4026" t="str">
            <v>מסעף לעין לוט-מוקפא- מקו זבולון-נצרת</v>
          </cell>
          <cell r="D4026">
            <v>43220</v>
          </cell>
        </row>
        <row r="4027">
          <cell r="A4027" t="str">
            <v>WBO-128</v>
          </cell>
          <cell r="B4027" t="str">
            <v>מסעף לעין כרם</v>
          </cell>
          <cell r="C4027" t="str">
            <v>מסעף לעין כרם-מקו אבן ספיר-י-ם ג</v>
          </cell>
          <cell r="D4027">
            <v>44706</v>
          </cell>
        </row>
        <row r="4028">
          <cell r="A4028" t="str">
            <v>WBO-685</v>
          </cell>
          <cell r="B4028" t="str">
            <v>מסעף לעטרות 2</v>
          </cell>
          <cell r="C4028" t="str">
            <v>מסעף לעטרות 2-הקמת מסעף דו-מעגלי 161 ק"ו ממעגל שחור מודיעין-עטרות</v>
          </cell>
          <cell r="D4028">
            <v>49247</v>
          </cell>
        </row>
        <row r="4029">
          <cell r="A4029" t="str">
            <v>WBO-149</v>
          </cell>
          <cell r="B4029" t="str">
            <v>מסעף לעטרה</v>
          </cell>
          <cell r="C4029" t="str">
            <v>מסעף לעטרה-  קידום סטטוטורי בלבד מואדי חרמיה (צומת 60 ו-465) לת.אדומים-עטרות</v>
          </cell>
          <cell r="D4029">
            <v>46752</v>
          </cell>
        </row>
        <row r="4030">
          <cell r="A4030" t="str">
            <v>WBO-148</v>
          </cell>
          <cell r="B4030" t="str">
            <v>מסעף לעטרה</v>
          </cell>
          <cell r="C4030" t="str">
            <v>מסעף לעטרה-לקו 161 ק"ו אריאל - מעלה אפרים</v>
          </cell>
          <cell r="D4030">
            <v>46811</v>
          </cell>
        </row>
        <row r="4031">
          <cell r="A4031" t="str">
            <v>WBO-504</v>
          </cell>
          <cell r="B4031" t="str">
            <v>מסעף לעזריאלי</v>
          </cell>
          <cell r="C4031" t="str">
            <v>מוקפא - מסעף לעזריאלי-ממעגל איילון-גן שורק-הנחת כבלים תת קרקעיים 161 ק"ו</v>
          </cell>
        </row>
        <row r="4032">
          <cell r="A4032" t="str">
            <v>WBO-684</v>
          </cell>
          <cell r="B4032" t="str">
            <v>מסעף לעזריאלי</v>
          </cell>
          <cell r="C4032" t="str">
            <v>מוקפא - מסעף לעזריאלי- הקמת טרמינלים למעבר בין הקטע העילי לתת-קרקעי</v>
          </cell>
        </row>
        <row r="4033">
          <cell r="A4033" t="str">
            <v>WBO-359</v>
          </cell>
          <cell r="B4033" t="str">
            <v>מסעף לעדשים</v>
          </cell>
          <cell r="C4033" t="str">
            <v>מסעף לעדשים - ממעגל שירת דבורה - יזרעאל (בעתיד חבר)</v>
          </cell>
          <cell r="D4033">
            <v>47118</v>
          </cell>
        </row>
        <row r="4034">
          <cell r="A4034" t="str">
            <v>WBO-461</v>
          </cell>
          <cell r="B4034" t="str">
            <v>מסעף לסירקין</v>
          </cell>
          <cell r="C4034" t="str">
            <v>מסעף לסירקין-מקו אבן העזר-בארות יצחק</v>
          </cell>
          <cell r="D4034">
            <v>47786</v>
          </cell>
        </row>
        <row r="4035">
          <cell r="A4035" t="str">
            <v>WBO-899</v>
          </cell>
          <cell r="B4035" t="str">
            <v>מסעף לסירקין</v>
          </cell>
          <cell r="C4035" t="str">
            <v>מסעף לסירקין-הנחת מסעף כבלים דו-מעגלי 161 ק"ו בכניסה לתחמ"ש סירקין</v>
          </cell>
          <cell r="D4035">
            <v>47786</v>
          </cell>
        </row>
        <row r="4036">
          <cell r="A4036" t="str">
            <v>WBO-900</v>
          </cell>
          <cell r="B4036" t="str">
            <v>מסעף לסירקין</v>
          </cell>
          <cell r="C4036" t="str">
            <v>מסעף לסירקין-הקמת שני עמודי טרמינלים למעבר בין הקטע העילי לתת-קרקעי במסעף</v>
          </cell>
          <cell r="D4036">
            <v>47786</v>
          </cell>
        </row>
        <row r="4037">
          <cell r="A4037" t="str">
            <v>WBO-440-ST2</v>
          </cell>
          <cell r="B4037" t="str">
            <v>מסעף לסולאד</v>
          </cell>
          <cell r="C4037" t="str">
            <v>מסעף לסולאד-בוטל-הקמת טר יבנה-נמל אשדוד</v>
          </cell>
          <cell r="D4037">
            <v>41592</v>
          </cell>
        </row>
        <row r="4038">
          <cell r="A4038" t="str">
            <v>WBO-440</v>
          </cell>
          <cell r="B4038" t="str">
            <v>מסעף לסולאד</v>
          </cell>
          <cell r="C4038" t="str">
            <v>מסעף לסולאד-בוטל-מקו יבנה-נמל אשדוד לטר'</v>
          </cell>
          <cell r="D4038">
            <v>41592</v>
          </cell>
        </row>
        <row r="4039">
          <cell r="A4039" t="str">
            <v>WBO-219</v>
          </cell>
          <cell r="B4039" t="str">
            <v>מסעף לסולאד</v>
          </cell>
          <cell r="C4039" t="str">
            <v>מסעף לסולאד-בוטל-הנחת 2 מעגלי כבלים</v>
          </cell>
          <cell r="D4039">
            <v>41592</v>
          </cell>
        </row>
        <row r="4040">
          <cell r="A4040" t="str">
            <v>WBO-527</v>
          </cell>
          <cell r="B4040" t="str">
            <v>מסעף לסוגת</v>
          </cell>
          <cell r="C4040" t="str">
            <v>מסעף לסוגת- מקו איתן-צפית</v>
          </cell>
          <cell r="D4040">
            <v>43611</v>
          </cell>
        </row>
        <row r="4041">
          <cell r="A4041" t="str">
            <v>WBO-569</v>
          </cell>
          <cell r="B4041" t="str">
            <v>מסעף לנתניה</v>
          </cell>
          <cell r="C4041" t="str">
            <v>מסעף לנתניה-עע"א-העתקת  3048/2 – 3048/3</v>
          </cell>
          <cell r="D4041">
            <v>45754</v>
          </cell>
        </row>
        <row r="4042">
          <cell r="A4042" t="str">
            <v>WBO-652</v>
          </cell>
          <cell r="B4042" t="str">
            <v>מסעף לנתב''ג</v>
          </cell>
          <cell r="C4042" t="str">
            <v>מסעף לנתב"ג-בוטל-ממעגל ראשון תעשיה-לוד-איתור תוואי</v>
          </cell>
        </row>
        <row r="4043">
          <cell r="A4043" t="str">
            <v>WBO-570</v>
          </cell>
          <cell r="B4043" t="str">
            <v>מסעף לנתב''ג</v>
          </cell>
          <cell r="C4043" t="str">
            <v>מסעף לנתב"ג-עע"א-העתקת 2566-3/2566</v>
          </cell>
          <cell r="D4043">
            <v>44514</v>
          </cell>
        </row>
        <row r="4044">
          <cell r="A4044" t="str">
            <v>WBO-042</v>
          </cell>
          <cell r="B4044" t="str">
            <v>מסעף לנצרת צפון</v>
          </cell>
          <cell r="C4044" t="str">
            <v>מסעף לגבעת אלה-מקו זבולון-נצרת</v>
          </cell>
          <cell r="D4044">
            <v>45291</v>
          </cell>
        </row>
        <row r="4045">
          <cell r="A4045" t="str">
            <v>WBO-468</v>
          </cell>
          <cell r="B4045" t="str">
            <v>מסעף לנס ציונה</v>
          </cell>
          <cell r="C4045" t="str">
            <v>מסעף לנס ציונה-מקו סתריה-נס ציונה ארעית</v>
          </cell>
          <cell r="D4045">
            <v>45089</v>
          </cell>
        </row>
        <row r="4046">
          <cell r="A4046" t="str">
            <v>WBO-303</v>
          </cell>
          <cell r="B4046" t="str">
            <v>מסעף לנמל המפרץ</v>
          </cell>
          <cell r="C4046" t="str">
            <v>מסעף לנמל המפרץ- הנחת כבל מקו אדמי-נעמן</v>
          </cell>
          <cell r="D4046">
            <v>43805</v>
          </cell>
        </row>
        <row r="4047">
          <cell r="A4047" t="str">
            <v>WBO-486</v>
          </cell>
          <cell r="B4047" t="str">
            <v>מסעף לנמל הדרום</v>
          </cell>
          <cell r="C4047" t="str">
            <v>מסעף לנמל הדרום-ממעגל אתגל-פז"א</v>
          </cell>
          <cell r="D4047">
            <v>43916</v>
          </cell>
        </row>
        <row r="4048">
          <cell r="A4048" t="str">
            <v>WBO-581</v>
          </cell>
          <cell r="B4048" t="str">
            <v>מסעף לנמל אשדוד</v>
          </cell>
          <cell r="C4048" t="str">
            <v>מסעף לנמל אשדוד-עע"א-העתקת עמוד 16889</v>
          </cell>
          <cell r="D4048">
            <v>44165</v>
          </cell>
        </row>
        <row r="4049">
          <cell r="A4049" t="str">
            <v>WBO-460</v>
          </cell>
          <cell r="B4049" t="str">
            <v>מסעף לניר צבי</v>
          </cell>
          <cell r="C4049" t="str">
            <v>מסעף לניר צבי-מקו גזר-ראשון מזרח</v>
          </cell>
          <cell r="D4049">
            <v>47664</v>
          </cell>
        </row>
        <row r="4050">
          <cell r="A4050" t="str">
            <v>WBO-424</v>
          </cell>
          <cell r="B4050" t="str">
            <v>מסעף לנווה מדבר (קפ"ה)</v>
          </cell>
          <cell r="C4050" t="str">
            <v>מסעף לקפ"ה-מקו ר. חובב-מ.רמון(חדש)</v>
          </cell>
          <cell r="D4050">
            <v>43434</v>
          </cell>
        </row>
        <row r="4051">
          <cell r="A4051" t="str">
            <v>WBO-656</v>
          </cell>
          <cell r="B4051" t="str">
            <v>מסעף לנווה מדבר (קפ"ה)</v>
          </cell>
          <cell r="C4051" t="str">
            <v>מסעף לנווה מדבר (קפ"ה)- מהקו החדש אשלים-רמת חובב</v>
          </cell>
          <cell r="D4051">
            <v>47482</v>
          </cell>
        </row>
        <row r="4052">
          <cell r="A4052" t="str">
            <v>WBO-864</v>
          </cell>
          <cell r="B4052" t="str">
            <v>מסעף לנווה חריף</v>
          </cell>
          <cell r="C4052" t="str">
            <v>מסעף לנווה חריף-ממעגל נאות סמדר - קטורה</v>
          </cell>
          <cell r="D4052">
            <v>46843</v>
          </cell>
        </row>
        <row r="4053">
          <cell r="A4053" t="str">
            <v>WBO-001</v>
          </cell>
          <cell r="B4053" t="str">
            <v>מסעף לנהריה</v>
          </cell>
          <cell r="C4053" t="str">
            <v>מסעף לנהריה-מקו כברי-נעמן</v>
          </cell>
          <cell r="D4053">
            <v>43829</v>
          </cell>
        </row>
        <row r="4054">
          <cell r="A4054" t="str">
            <v>WBO-451</v>
          </cell>
          <cell r="B4054" t="str">
            <v>מסעף לנבטים</v>
          </cell>
          <cell r="C4054" t="str">
            <v>מסעף לנבטים-ממעגל איתן-דימונה</v>
          </cell>
          <cell r="D4054">
            <v>42463</v>
          </cell>
        </row>
        <row r="4055">
          <cell r="A4055" t="str">
            <v>WBO-866</v>
          </cell>
          <cell r="B4055" t="str">
            <v>מסעף לנאות סמדר</v>
          </cell>
          <cell r="C4055" t="str">
            <v>מסעפים לנאות סמדר-תכנון הנחת כבלים ממעגל קטורה-פארן וממעגל באר אורה - פארן</v>
          </cell>
          <cell r="D4055">
            <v>46387</v>
          </cell>
        </row>
        <row r="4056">
          <cell r="A4056" t="str">
            <v>WBO-911</v>
          </cell>
          <cell r="B4056" t="str">
            <v>מסעף לנאות סמדר</v>
          </cell>
          <cell r="C4056" t="str">
            <v>מסעפים לנאות סמדר-הקמת 4 טרמינלים למעבר מעילי לתת-קרקעי</v>
          </cell>
          <cell r="D4056">
            <v>46387</v>
          </cell>
        </row>
        <row r="4057">
          <cell r="A4057" t="str">
            <v>WBO-442</v>
          </cell>
          <cell r="B4057" t="str">
            <v>מסעף לנאות חובב</v>
          </cell>
          <cell r="C4057" t="str">
            <v>מסעף נאות חובב-מר.חובב טבע טק</v>
          </cell>
          <cell r="D4057">
            <v>41973</v>
          </cell>
        </row>
        <row r="4058">
          <cell r="A4058" t="str">
            <v>WBA-354</v>
          </cell>
          <cell r="B4058" t="str">
            <v>מסעף למתקן התפלה שורק</v>
          </cell>
          <cell r="C4058" t="str">
            <v>מסעף למתקן התפלה שורק</v>
          </cell>
          <cell r="D4058">
            <v>41252</v>
          </cell>
        </row>
        <row r="4059">
          <cell r="A4059" t="str">
            <v>WBO-877</v>
          </cell>
          <cell r="B4059" t="str">
            <v>מסעף למערב בנימין</v>
          </cell>
          <cell r="C4059" t="str">
            <v>מסעף לבנימין מערב- ממעגל גזר/שוהם SDS לאריאל</v>
          </cell>
          <cell r="D4059">
            <v>49247</v>
          </cell>
        </row>
        <row r="4060">
          <cell r="A4060" t="str">
            <v>WBO-007</v>
          </cell>
          <cell r="B4060" t="str">
            <v>מסעף למעלה גלבוע</v>
          </cell>
          <cell r="C4060" t="str">
            <v>מסעף למעלה גלבוע-מקו יזרעאל-בית שאן</v>
          </cell>
          <cell r="D4060">
            <v>43190</v>
          </cell>
        </row>
        <row r="4061">
          <cell r="A4061" t="str">
            <v>WBO-029</v>
          </cell>
          <cell r="B4061" t="str">
            <v>מסעף למנא''י</v>
          </cell>
          <cell r="C4061" t="str">
            <v>מסעף לצומת חרושת(מנא"י)-חיבור תחה"כ חדרה</v>
          </cell>
          <cell r="D4061">
            <v>43402</v>
          </cell>
        </row>
        <row r="4062">
          <cell r="A4062" t="str">
            <v>WBO-863</v>
          </cell>
          <cell r="B4062" t="str">
            <v>מסעף למלילות</v>
          </cell>
          <cell r="C4062" t="str">
            <v>מסעף למלילות- ממעגל אופקים-יכיני</v>
          </cell>
          <cell r="D4062">
            <v>46783</v>
          </cell>
        </row>
        <row r="4063">
          <cell r="A4063" t="str">
            <v>WBO-533</v>
          </cell>
          <cell r="B4063" t="str">
            <v>מסעף למכון ויצמן</v>
          </cell>
          <cell r="C4063" t="str">
            <v>מסעף למכון ויצמן-מקו סתריה-נס ציונה-בוטל</v>
          </cell>
          <cell r="D4063">
            <v>43097</v>
          </cell>
        </row>
        <row r="4064">
          <cell r="A4064" t="str">
            <v>WBO-452</v>
          </cell>
          <cell r="B4064" t="str">
            <v>מסעף למי''ה(סדום דרום)</v>
          </cell>
          <cell r="C4064" t="str">
            <v>מסעף למי"ה(סדום דרום)-מקו רותם-סדום צפון</v>
          </cell>
          <cell r="D4064">
            <v>43281</v>
          </cell>
        </row>
        <row r="4065">
          <cell r="A4065" t="str">
            <v>WBO-857</v>
          </cell>
          <cell r="B4065" t="str">
            <v>מסעף למטרו פארק אריאל שרון</v>
          </cell>
          <cell r="C4065" t="str">
            <v>מסעף למטרו פארק אריאל שרון(DSS07)-ממעגל איילון-תל השומר</v>
          </cell>
          <cell r="D4065">
            <v>47694</v>
          </cell>
        </row>
        <row r="4066">
          <cell r="A4066" t="str">
            <v>WBO-855</v>
          </cell>
          <cell r="B4066" t="str">
            <v>מסעף למטרו חולון</v>
          </cell>
          <cell r="C4066" t="str">
            <v>מסעף למטרו חולון(DSS05) -למעגל ת"א מזרח  ת"א דרום ,איילון–תל גיבורים</v>
          </cell>
          <cell r="D4066">
            <v>48151</v>
          </cell>
        </row>
        <row r="4067">
          <cell r="A4067" t="str">
            <v>WBO-856</v>
          </cell>
          <cell r="B4067" t="str">
            <v>מסעף למטרו חולון</v>
          </cell>
          <cell r="C4067" t="str">
            <v>מסעף למטרו חולון- הקמת מסעף דו מעגלי ליבור התחמ"ש</v>
          </cell>
          <cell r="D4067">
            <v>48151</v>
          </cell>
        </row>
        <row r="4068">
          <cell r="A4068" t="str">
            <v>WBO-647</v>
          </cell>
          <cell r="B4068" t="str">
            <v>מסעף למטרו הראשונים</v>
          </cell>
          <cell r="C4068" t="str">
            <v>מסעף למטרו הראשונים- ממעגל גן שורק-רשל"צ</v>
          </cell>
          <cell r="D4068">
            <v>48213</v>
          </cell>
        </row>
        <row r="4069">
          <cell r="A4069" t="str">
            <v>WBO-648</v>
          </cell>
          <cell r="B4069" t="str">
            <v>מסעף למטרו הראשונים</v>
          </cell>
          <cell r="C4069" t="str">
            <v>מסעף למטרו הראשונים-הקמת טרמינלים בין הקטע העילי לתת-קרקעי</v>
          </cell>
          <cell r="D4069">
            <v>48213</v>
          </cell>
        </row>
        <row r="4070">
          <cell r="A4070" t="str">
            <v>WBO-854</v>
          </cell>
          <cell r="B4070" t="str">
            <v>מסעף למטרו גלילות</v>
          </cell>
          <cell r="C4070" t="str">
            <v>מסעף למטרו גלילות - DSS02-הקמת מסעף תת-קרקעי 161 למורשה</v>
          </cell>
          <cell r="D4070">
            <v>48760</v>
          </cell>
        </row>
        <row r="4071">
          <cell r="A4071" t="str">
            <v>WBO-005</v>
          </cell>
          <cell r="B4071" t="str">
            <v>מסעף למוקיבלה</v>
          </cell>
          <cell r="C4071" t="str">
            <v>מסעף למוקיבלה (ג'נין)-הפעלה</v>
          </cell>
          <cell r="D4071">
            <v>42925</v>
          </cell>
        </row>
        <row r="4072">
          <cell r="A4072" t="str">
            <v>WBO-526</v>
          </cell>
          <cell r="B4072" t="str">
            <v>מסעף למודיעין מערב</v>
          </cell>
          <cell r="C4072" t="str">
            <v>מסעף למודיעין מערב- מקו גזר-סתריה</v>
          </cell>
          <cell r="D4072">
            <v>51439</v>
          </cell>
        </row>
        <row r="4073">
          <cell r="A4073" t="str">
            <v>WBO-872</v>
          </cell>
          <cell r="B4073" t="str">
            <v>מסעף למודיעין</v>
          </cell>
          <cell r="C4073" t="str">
            <v>מסעף למודיעין- ביצוע הצלבות בכניסה לתחמ"ש מודיעין</v>
          </cell>
          <cell r="D4073">
            <v>46568</v>
          </cell>
        </row>
        <row r="4074">
          <cell r="A4074" t="str">
            <v>WBN-614</v>
          </cell>
          <cell r="B4074" t="str">
            <v>מסעף למדבר ירוק</v>
          </cell>
          <cell r="C4074" t="str">
            <v>מסעף למדבר ירוק - 400 ק"ו - מקו חרובית-דימונה סולארי</v>
          </cell>
          <cell r="D4074">
            <v>47847</v>
          </cell>
        </row>
        <row r="4075">
          <cell r="A4075" t="str">
            <v>WBO-012</v>
          </cell>
          <cell r="B4075" t="str">
            <v>מסעף למבוא כרמל</v>
          </cell>
          <cell r="C4075" t="str">
            <v>מסעף למבוא כרמל-מקו חגית-קישון.</v>
          </cell>
          <cell r="D4075">
            <v>45703</v>
          </cell>
        </row>
        <row r="4076">
          <cell r="A4076" t="str">
            <v>WBO-338</v>
          </cell>
          <cell r="B4076" t="str">
            <v>מסעף למאגר הלל</v>
          </cell>
          <cell r="C4076" t="str">
            <v>מסעף למאגר הלל-עע"א-תכנון תוואי ממעגל ניר יצחק-בשור</v>
          </cell>
          <cell r="D4076">
            <v>46234</v>
          </cell>
        </row>
        <row r="4077">
          <cell r="A4077" t="str">
            <v>WBO-524</v>
          </cell>
          <cell r="B4077" t="str">
            <v>מסעף לליילנד</v>
          </cell>
          <cell r="C4077" t="str">
            <v>מסעף לליילנד-מקו אשדוד- אשדוד אנרגיה</v>
          </cell>
          <cell r="D4077">
            <v>46568</v>
          </cell>
        </row>
        <row r="4078">
          <cell r="A4078" t="str">
            <v>WBO-595</v>
          </cell>
          <cell r="B4078" t="str">
            <v>מסעף ללוטן</v>
          </cell>
          <cell r="C4078" t="str">
            <v>מסעף ללוטן- בוטל -  מקו פארן-אילת</v>
          </cell>
          <cell r="D4078">
            <v>43809</v>
          </cell>
        </row>
        <row r="4079">
          <cell r="A4079" t="str">
            <v>WBA-376</v>
          </cell>
          <cell r="B4079" t="str">
            <v>מסעף ללהבים ארעית</v>
          </cell>
          <cell r="C4079" t="str">
            <v>מסעף ללהבים-מקו איתן-ב"ש</v>
          </cell>
          <cell r="D4079">
            <v>41689</v>
          </cell>
        </row>
        <row r="4080">
          <cell r="A4080" t="str">
            <v>WBA-376-LN2</v>
          </cell>
          <cell r="B4080" t="str">
            <v>מסעף ללהבים</v>
          </cell>
          <cell r="C4080" t="str">
            <v>מסעף ללהבים-חיבור הניידת לקו איתן-בא.שבע</v>
          </cell>
          <cell r="D4080">
            <v>41689</v>
          </cell>
        </row>
        <row r="4081">
          <cell r="A4081" t="str">
            <v>WBO-491</v>
          </cell>
          <cell r="B4081" t="str">
            <v>מסעף ללהבים</v>
          </cell>
          <cell r="C4081" t="str">
            <v>מסעף ללהבים-חיבור  לקו באר שבע-איתן החדש</v>
          </cell>
          <cell r="D4081">
            <v>44195</v>
          </cell>
        </row>
        <row r="4082">
          <cell r="A4082" t="str">
            <v>WBO-080</v>
          </cell>
          <cell r="B4082" t="str">
            <v>מסעף ללב הגליל (סח'נין/סכנין)</v>
          </cell>
          <cell r="C4082" t="str">
            <v>מסעף ללב הגליל-מקו זבולון-שפרעם-צלמון</v>
          </cell>
          <cell r="D4082">
            <v>47847</v>
          </cell>
        </row>
        <row r="4083">
          <cell r="A4083" t="str">
            <v>WBO-688</v>
          </cell>
          <cell r="B4083" t="str">
            <v>מסעף לכפר סבא</v>
          </cell>
          <cell r="C4083" t="str">
            <v>מסעף לכפר סבא-מסעף שני מקו פתח תקווה-אריאל/אייל</v>
          </cell>
          <cell r="D4083">
            <v>46325</v>
          </cell>
        </row>
        <row r="4084">
          <cell r="A4084" t="str">
            <v>WBA-359</v>
          </cell>
          <cell r="B4084" t="str">
            <v>מסעף לכפר אוריה-פרטית</v>
          </cell>
          <cell r="C4084" t="str">
            <v>מסעף לכפר אוריה-פרטית-מקו סתריה-אבן ספיר</v>
          </cell>
          <cell r="D4084">
            <v>41709</v>
          </cell>
        </row>
        <row r="4085">
          <cell r="A4085" t="str">
            <v>WBO-127</v>
          </cell>
          <cell r="B4085" t="str">
            <v>מסעף לכסלון</v>
          </cell>
          <cell r="C4085" t="str">
            <v>מסעף לכסלון-מקו שער הגיא-אבן ספיר</v>
          </cell>
          <cell r="D4085">
            <v>44532</v>
          </cell>
        </row>
        <row r="4086">
          <cell r="A4086" t="str">
            <v>WBO-596</v>
          </cell>
          <cell r="B4086" t="str">
            <v>מסעף לכוכב מיכאל</v>
          </cell>
          <cell r="C4086" t="str">
            <v>מסעף לשחר(כוכב מיכאל)-ממעגל איתן-צפית</v>
          </cell>
          <cell r="D4086">
            <v>46752</v>
          </cell>
        </row>
        <row r="4087">
          <cell r="A4087" t="str">
            <v>WBO-596-ST1</v>
          </cell>
          <cell r="B4087" t="str">
            <v>מסעף לכוכב מיכאל</v>
          </cell>
          <cell r="C4087" t="str">
            <v>מסעף לשחר (כוכב מיכאל)-שולב-קידום סטטוטורי</v>
          </cell>
        </row>
        <row r="4088">
          <cell r="A4088" t="str">
            <v>WBN-426</v>
          </cell>
          <cell r="B4088" t="str">
            <v>מסעף לירקון</v>
          </cell>
          <cell r="C4088" t="str">
            <v>עתידים-ביצוע הצלבה באזור הכניסה לפ"ת</v>
          </cell>
          <cell r="D4088">
            <v>45056</v>
          </cell>
        </row>
        <row r="4089">
          <cell r="A4089" t="str">
            <v>WBN-402</v>
          </cell>
          <cell r="B4089" t="str">
            <v>מסעף לירקון</v>
          </cell>
          <cell r="C4089" t="str">
            <v>מסעף לעתידים-חיבור התחמ"ג-2 מסעפים</v>
          </cell>
          <cell r="D4089">
            <v>44920</v>
          </cell>
        </row>
        <row r="4090">
          <cell r="A4090" t="str">
            <v>WBN-402-ST1</v>
          </cell>
          <cell r="B4090" t="str">
            <v>מסעף לירקון</v>
          </cell>
          <cell r="C4090" t="str">
            <v>מסעף לעתידים-א-הקמת מסעף 400 ק"ו צפוני</v>
          </cell>
          <cell r="D4090">
            <v>44813</v>
          </cell>
        </row>
        <row r="4091">
          <cell r="A4091" t="str">
            <v>WBO-136</v>
          </cell>
          <cell r="B4091" t="str">
            <v>מסעף לירושלים מרכז</v>
          </cell>
          <cell r="C4091" t="str">
            <v>מסעף לגן סאקר (ירושלים מרכז)-ממעגל ירושלים ד–קריית הלאום</v>
          </cell>
          <cell r="D4091">
            <v>48212</v>
          </cell>
        </row>
        <row r="4092">
          <cell r="A4092" t="str">
            <v>WBO-172</v>
          </cell>
          <cell r="B4092" t="str">
            <v>מסעף לירושלים ג</v>
          </cell>
          <cell r="C4092" t="str">
            <v>מסעף ירושלים ג-כבל-ממעגל אבן ספיר -ירושלים ה'</v>
          </cell>
          <cell r="D4092">
            <v>47118</v>
          </cell>
        </row>
        <row r="4093">
          <cell r="A4093" t="str">
            <v>WBO-865</v>
          </cell>
          <cell r="B4093" t="str">
            <v>מסעף ליפתח</v>
          </cell>
          <cell r="C4093" t="str">
            <v>מסעף ליפתח- ממעגל חלוציות-בשור</v>
          </cell>
          <cell r="D4093">
            <v>46783</v>
          </cell>
        </row>
        <row r="4094">
          <cell r="A4094" t="str">
            <v>WBO-579</v>
          </cell>
          <cell r="B4094" t="str">
            <v>מסעף ליכיני</v>
          </cell>
          <cell r="C4094" t="str">
            <v>מסעף ליכיני- ממעגל שדרות-אופקים</v>
          </cell>
          <cell r="D4094">
            <v>45084</v>
          </cell>
        </row>
        <row r="4095">
          <cell r="A4095" t="str">
            <v>WBO-314</v>
          </cell>
          <cell r="B4095" t="str">
            <v>מסעף ליוקנעם</v>
          </cell>
          <cell r="C4095" t="str">
            <v>מסעף ליוקנעם-עע"א-הנחת 2 מעגלי כבלים</v>
          </cell>
          <cell r="D4095">
            <v>46387</v>
          </cell>
        </row>
        <row r="4096">
          <cell r="A4096" t="str">
            <v>WBO-326</v>
          </cell>
          <cell r="B4096" t="str">
            <v>מסעף ליוקנעם</v>
          </cell>
          <cell r="C4096" t="str">
            <v>מסעף ליוקנעם-עע"א- טרמינלים ופירוק</v>
          </cell>
          <cell r="D4096">
            <v>46387</v>
          </cell>
        </row>
        <row r="4097">
          <cell r="A4097" t="str">
            <v>WBO-600</v>
          </cell>
          <cell r="B4097" t="str">
            <v>מסעף ליוטבתה</v>
          </cell>
          <cell r="C4097" t="str">
            <v>מסעף ליוטבתה-החלפת תיילים ל-593 סג-אל</v>
          </cell>
          <cell r="D4097">
            <v>46356</v>
          </cell>
        </row>
        <row r="4098">
          <cell r="A4098" t="str">
            <v>WBO-609</v>
          </cell>
          <cell r="B4098" t="str">
            <v>מסעף ליוטבתה</v>
          </cell>
          <cell r="C4098" t="str">
            <v>מסעף ליוטבתה-החלפת התיילים ל 322/32 ACSS</v>
          </cell>
          <cell r="D4098">
            <v>44642</v>
          </cell>
        </row>
        <row r="4099">
          <cell r="A4099" t="str">
            <v>WBO-417-TR1</v>
          </cell>
          <cell r="B4099" t="str">
            <v>מסעף ליהלום קטע תת-קרקעי</v>
          </cell>
          <cell r="C4099" t="str">
            <v>מסעף ליהלום קטע תת-קרקעי-הקמת טרמינלים</v>
          </cell>
          <cell r="D4099">
            <v>42139</v>
          </cell>
        </row>
        <row r="4100">
          <cell r="A4100" t="str">
            <v>WBO-202</v>
          </cell>
          <cell r="B4100" t="str">
            <v>מסעף ליהלום קטע תת-קרקעי</v>
          </cell>
          <cell r="C4100" t="str">
            <v>מסעף ליהלום קטע תת-קרקעי</v>
          </cell>
          <cell r="D4100">
            <v>42139</v>
          </cell>
        </row>
        <row r="4101">
          <cell r="A4101" t="str">
            <v>WBO-417-LN2</v>
          </cell>
          <cell r="B4101" t="str">
            <v>מסעף ליהלום</v>
          </cell>
          <cell r="C4101" t="str">
            <v>מסעף ליהלום-ביצוע הצלבה בין מעגלים</v>
          </cell>
          <cell r="D4101">
            <v>42139</v>
          </cell>
        </row>
        <row r="4102">
          <cell r="A4102" t="str">
            <v>WBO-417</v>
          </cell>
          <cell r="B4102" t="str">
            <v>מסעף ליהלום</v>
          </cell>
          <cell r="C4102" t="str">
            <v>מסעף ליהלום-מקו קיסריה-בית יהושע</v>
          </cell>
          <cell r="D4102">
            <v>42139</v>
          </cell>
        </row>
        <row r="4103">
          <cell r="A4103" t="str">
            <v>WBO-557</v>
          </cell>
          <cell r="B4103" t="str">
            <v>מסעף ליהלום</v>
          </cell>
          <cell r="C4103" t="str">
            <v>מסגף ליהלום-בוטל-עע"א- 2/6311-6/6311</v>
          </cell>
          <cell r="D4103">
            <v>43465</v>
          </cell>
        </row>
        <row r="4104">
          <cell r="A4104" t="str">
            <v>WBO-076</v>
          </cell>
          <cell r="B4104" t="str">
            <v>מסעף ליאסיף</v>
          </cell>
          <cell r="C4104" t="str">
            <v>מסעף ליאסיף- ממעגל זבולון-בר לב</v>
          </cell>
          <cell r="D4104">
            <v>45758</v>
          </cell>
        </row>
        <row r="4105">
          <cell r="A4105" t="str">
            <v>WBO-150</v>
          </cell>
          <cell r="B4105" t="str">
            <v>מסעף לטרומן</v>
          </cell>
          <cell r="C4105" t="str">
            <v>מסעף לטרומן-2 מעגלי כבלים מתחמ"ש טרומן עד דרומית לכביש 1</v>
          </cell>
          <cell r="D4105">
            <v>46598</v>
          </cell>
        </row>
        <row r="4106">
          <cell r="A4106" t="str">
            <v>WBO-482</v>
          </cell>
          <cell r="B4106" t="str">
            <v>מסעף לטרומן</v>
          </cell>
          <cell r="C4106" t="str">
            <v>מסעף לטרומן- הקמת זוג טרמינלים ממעגל לוד-גזר</v>
          </cell>
          <cell r="D4106">
            <v>46598</v>
          </cell>
        </row>
        <row r="4107">
          <cell r="A4107" t="str">
            <v>WBO-681</v>
          </cell>
          <cell r="B4107" t="str">
            <v>מסעף לטנא עומרים</v>
          </cell>
          <cell r="C4107" t="str">
            <v>מסעף לטנא עומרים-ממעגל ערד-קרית המודיעין</v>
          </cell>
          <cell r="D4107">
            <v>48882</v>
          </cell>
        </row>
        <row r="4108">
          <cell r="A4108" t="str">
            <v>WBO-681-ST2</v>
          </cell>
          <cell r="B4108" t="str">
            <v>מסעף לטנא עומרים</v>
          </cell>
          <cell r="C4108" t="str">
            <v>מסעף לטנא עומרים-שולב ב-wbt-045-תכנון סטטוטורי</v>
          </cell>
        </row>
        <row r="4109">
          <cell r="A4109" t="str">
            <v>WBA-105</v>
          </cell>
          <cell r="B4109" t="str">
            <v>מסעף לטבע-טק פרטית</v>
          </cell>
          <cell r="C4109" t="str">
            <v>מסעף לטבע-טק פרטית-מקו ר. חובב מכתשים</v>
          </cell>
          <cell r="D4109">
            <v>41569</v>
          </cell>
        </row>
        <row r="4110">
          <cell r="A4110" t="str">
            <v>9999-LN127</v>
          </cell>
          <cell r="B4110" t="str">
            <v>מסעף לטבע-טק פרטית</v>
          </cell>
          <cell r="C4110" t="str">
            <v>מסעף לטבע טק-שינוי גישורים בעמוד 15481</v>
          </cell>
          <cell r="D4110">
            <v>41334</v>
          </cell>
        </row>
        <row r="4111">
          <cell r="A4111" t="str">
            <v>WBO-011</v>
          </cell>
          <cell r="B4111" t="str">
            <v>מסעף לחריש</v>
          </cell>
          <cell r="C4111" t="str">
            <v>מסעף לחריש-הפעלת קו דו-מעגלי קיסריה-חריש</v>
          </cell>
          <cell r="D4111">
            <v>44083</v>
          </cell>
        </row>
        <row r="4112">
          <cell r="A4112" t="str">
            <v>WBO-011-LN2</v>
          </cell>
          <cell r="B4112" t="str">
            <v>מסעף לחריש</v>
          </cell>
          <cell r="C4112" t="str">
            <v>מסעף לחריש-החלפת תילים מע'4391 לעירון</v>
          </cell>
          <cell r="D4112">
            <v>43432</v>
          </cell>
        </row>
        <row r="4113">
          <cell r="A4113" t="str">
            <v>WBO-011-ST3</v>
          </cell>
          <cell r="B4113" t="str">
            <v>מסעף לחריש</v>
          </cell>
          <cell r="C4113" t="str">
            <v>מסעף לחריש-מקו יזרעאל-קיסריה</v>
          </cell>
          <cell r="D4113">
            <v>43432</v>
          </cell>
        </row>
        <row r="4114">
          <cell r="A4114" t="str">
            <v>WBO-011-LN1</v>
          </cell>
          <cell r="B4114" t="str">
            <v>מסעף לחריש</v>
          </cell>
          <cell r="C4114" t="str">
            <v>מסעף לחריש-מעמוד 4390 לתחמ"ש חריש</v>
          </cell>
          <cell r="D4114">
            <v>42722</v>
          </cell>
        </row>
        <row r="4115">
          <cell r="A4115" t="str">
            <v>WBO-556</v>
          </cell>
          <cell r="B4115" t="str">
            <v>מסעף לחפר</v>
          </cell>
          <cell r="C4115" t="str">
            <v>מסעף לחפר-בוטל-עע"א-העתקת עמוד, 3030</v>
          </cell>
          <cell r="D4115">
            <v>36164</v>
          </cell>
        </row>
        <row r="4116">
          <cell r="A4116" t="str">
            <v>WBN-403-LN2</v>
          </cell>
          <cell r="B4116" t="str">
            <v>מסעף לחפר</v>
          </cell>
          <cell r="C4116" t="str">
            <v>מסעף לחפר-בוטל-הקמת קו דו-מעגלי 400 ק"ו</v>
          </cell>
          <cell r="D4116">
            <v>40904</v>
          </cell>
        </row>
        <row r="4117">
          <cell r="A4117" t="str">
            <v>WBO-657</v>
          </cell>
          <cell r="B4117" t="str">
            <v>מסעף לחמדיה(רמת הצבאים)</v>
          </cell>
          <cell r="C4117" t="str">
            <v>מסעף לחמדיה (רמת הצבאים)-הוקפא-מקו בית שאן - תל אור</v>
          </cell>
        </row>
        <row r="4118">
          <cell r="A4118" t="str">
            <v>WBO-801</v>
          </cell>
          <cell r="B4118" t="str">
            <v>מסעף לחמדיה(רמת הצבאים)</v>
          </cell>
          <cell r="C4118" t="str">
            <v>מסעף לחמדיה (רמת הצבאים)-מקו בית שאן-כוכב הירדן-תל אור</v>
          </cell>
          <cell r="D4118">
            <v>47482</v>
          </cell>
        </row>
        <row r="4119">
          <cell r="A4119" t="str">
            <v>WBO-420</v>
          </cell>
          <cell r="B4119" t="str">
            <v>מסעף לחלוציות</v>
          </cell>
          <cell r="C4119" t="str">
            <v>מסעף לחלוציות-מקו בשור-ניר יצחק</v>
          </cell>
          <cell r="D4119">
            <v>42184</v>
          </cell>
        </row>
        <row r="4120">
          <cell r="A4120" t="str">
            <v>WBO-873</v>
          </cell>
          <cell r="B4120" t="str">
            <v>מסעף לחוות שרתים אור יהודה</v>
          </cell>
          <cell r="C4120" t="str">
            <v>מסעף לחוות שרתים אור יהודה- ממעגל איילון -בארות יצחק</v>
          </cell>
          <cell r="D4120">
            <v>47483</v>
          </cell>
        </row>
        <row r="4121">
          <cell r="A4121" t="str">
            <v>WBO-071</v>
          </cell>
          <cell r="B4121" t="str">
            <v>מסעף לחבר (עפולה)</v>
          </cell>
          <cell r="C4121" t="str">
            <v>מסעף לחבר(עפולה)- ממעגל שירת דבורה - יזרעאל</v>
          </cell>
          <cell r="D4121">
            <v>47847</v>
          </cell>
        </row>
        <row r="4122">
          <cell r="A4122" t="str">
            <v>WBO-320</v>
          </cell>
          <cell r="B4122" t="str">
            <v>מסעף לחבר</v>
          </cell>
          <cell r="C4122" t="str">
            <v>מסעף לחבר ניידת-מקו ג'נין - הוקפא - יזרעאל/עין חרוד</v>
          </cell>
        </row>
        <row r="4123">
          <cell r="A4123" t="str">
            <v>WBA-950-LN2</v>
          </cell>
          <cell r="B4123" t="str">
            <v>מסעף לזמיר(טירת הכרמל)</v>
          </cell>
          <cell r="C4123" t="str">
            <v>מסעף לזמיר(טירת הכרמל)-הקמת טרמינלים</v>
          </cell>
          <cell r="D4123">
            <v>41820</v>
          </cell>
        </row>
        <row r="4124">
          <cell r="A4124" t="str">
            <v>WBO-302</v>
          </cell>
          <cell r="B4124" t="str">
            <v>מסעף לזמיר(טירת הכרמל)</v>
          </cell>
          <cell r="C4124" t="str">
            <v>מסעף לזמיר(טירת הכרמל)-העתקת קו והנ.כבל</v>
          </cell>
          <cell r="D4124">
            <v>42731</v>
          </cell>
        </row>
        <row r="4125">
          <cell r="A4125" t="str">
            <v>WBO-317</v>
          </cell>
          <cell r="B4125" t="str">
            <v>מסעף לזמיר(טירת הכרמל)</v>
          </cell>
          <cell r="C4125" t="str">
            <v>מסעף לזמיר-מבואות דרומיים ב'-עע"א</v>
          </cell>
          <cell r="D4125">
            <v>47483</v>
          </cell>
        </row>
        <row r="4126">
          <cell r="A4126" t="str">
            <v>WBO-316</v>
          </cell>
          <cell r="B4126" t="str">
            <v>מסעף לזמיר(טירת הכרמל)</v>
          </cell>
          <cell r="C4126" t="str">
            <v>מסעף לזמיר-מבואות דרומיים ב'-עע"א-כבל</v>
          </cell>
          <cell r="D4126">
            <v>46029</v>
          </cell>
        </row>
        <row r="4127">
          <cell r="A4127" t="str">
            <v>WBO-077</v>
          </cell>
          <cell r="B4127" t="str">
            <v>מסעף לזמיר(טירת הכרמל)</v>
          </cell>
          <cell r="C4127" t="str">
            <v>מסעף לזמיר-מבואות דרומיים ב'-עע"א-עילי</v>
          </cell>
          <cell r="D4127">
            <v>46029</v>
          </cell>
        </row>
        <row r="4128">
          <cell r="A4128" t="str">
            <v>WBO-073</v>
          </cell>
          <cell r="B4128" t="str">
            <v>מסעף לזכרון יעקב</v>
          </cell>
          <cell r="C4128" t="str">
            <v>מסעף לזכרון יעקב-חיבור התחמ"ש הקבועה</v>
          </cell>
          <cell r="D4128">
            <v>45309</v>
          </cell>
        </row>
        <row r="4129">
          <cell r="A4129" t="str">
            <v>WBO-016</v>
          </cell>
          <cell r="B4129" t="str">
            <v>מסעף לזכרון יעקב</v>
          </cell>
          <cell r="C4129" t="str">
            <v>מסעף לזכרון יעקב-מקו קיסריה-קישון</v>
          </cell>
          <cell r="D4129">
            <v>43817</v>
          </cell>
        </row>
        <row r="4130">
          <cell r="A4130" t="str">
            <v>WBO-601</v>
          </cell>
          <cell r="B4130" t="str">
            <v>מסעף להתפלה שורק 2</v>
          </cell>
          <cell r="C4130" t="str">
            <v>מסעף להתפלה שורק 2-מהת.שורק-להת-פלמחים</v>
          </cell>
          <cell r="D4130">
            <v>44977</v>
          </cell>
        </row>
        <row r="4131">
          <cell r="A4131" t="str">
            <v>WBO-680</v>
          </cell>
          <cell r="B4131" t="str">
            <v>מסעף להתפלה עמק חפר</v>
          </cell>
          <cell r="C4131" t="str">
            <v>מסעף להתפלה עמק חפר-עע"א-קידום סטטוטורי</v>
          </cell>
          <cell r="D4131">
            <v>46568</v>
          </cell>
        </row>
        <row r="4132">
          <cell r="A4132" t="str">
            <v>WBA-364</v>
          </cell>
          <cell r="B4132" t="str">
            <v>מסעף להתפלה אשדוד- פרטית</v>
          </cell>
          <cell r="C4132" t="str">
            <v>מסעף להתפלה אשדוד- פרטית</v>
          </cell>
          <cell r="D4132">
            <v>41709</v>
          </cell>
        </row>
        <row r="4133">
          <cell r="A4133" t="str">
            <v>WBO-802</v>
          </cell>
          <cell r="B4133" t="str">
            <v>מסעף להדרי שאן(טירת צבי)</v>
          </cell>
          <cell r="C4133" t="str">
            <v>מסעף להדרי שאן(טירת צבי) מקו יזרעאל-מעלה גלבוע</v>
          </cell>
          <cell r="D4133">
            <v>46085</v>
          </cell>
        </row>
        <row r="4134">
          <cell r="A4134" t="str">
            <v>WBO-349</v>
          </cell>
          <cell r="B4134" t="str">
            <v>מסעף לדרור בהט</v>
          </cell>
          <cell r="C4134" t="str">
            <v>מסעף לדרור בהט-ממעגל עין חרוד - בית שאן</v>
          </cell>
          <cell r="D4134">
            <v>46783</v>
          </cell>
        </row>
        <row r="4135">
          <cell r="A4135" t="str">
            <v>WBO-878</v>
          </cell>
          <cell r="B4135" t="str">
            <v>מסעף לדן</v>
          </cell>
          <cell r="C4135" t="str">
            <v>מסעף לדן-העתקה קו דו-מעגלי בנתיבים המהירים כביש 5 - הוד השרון/שביב/עתידים הרצליה</v>
          </cell>
          <cell r="D4135">
            <v>47847</v>
          </cell>
        </row>
        <row r="4136">
          <cell r="A4136" t="str">
            <v>WBO-072</v>
          </cell>
          <cell r="B4136" t="str">
            <v>מסעף לדלית אל כרמל</v>
          </cell>
          <cell r="C4136" t="str">
            <v>מסעף לדלית אל-כרמל -מקו קיסריה-קישון</v>
          </cell>
          <cell r="D4136">
            <v>48579</v>
          </cell>
        </row>
        <row r="4137">
          <cell r="A4137" t="str">
            <v>WBO-550</v>
          </cell>
          <cell r="B4137" t="str">
            <v>מסעף לדימונה-סולארי</v>
          </cell>
          <cell r="C4137" t="str">
            <v>מסעף לדימונה-סולארי-2 מסעפים דו מעגליים</v>
          </cell>
          <cell r="D4137">
            <v>45382</v>
          </cell>
        </row>
        <row r="4138">
          <cell r="A4138" t="str">
            <v>WBO-325</v>
          </cell>
          <cell r="B4138" t="str">
            <v>מסעף לגשר(כוכב הירדן)</v>
          </cell>
          <cell r="C4138" t="str">
            <v>מסעף לגשר- ממעגל כוכב הירדן–תל אור</v>
          </cell>
          <cell r="D4138">
            <v>47483</v>
          </cell>
        </row>
        <row r="4139">
          <cell r="A4139" t="str">
            <v>WBO-474</v>
          </cell>
          <cell r="B4139" t="str">
            <v>מסעף לגנים</v>
          </cell>
          <cell r="C4139" t="str">
            <v>מסעף לגנים-קטע קו מעמ' 15436/1 לגנים</v>
          </cell>
          <cell r="D4139">
            <v>46660</v>
          </cell>
        </row>
        <row r="4140">
          <cell r="A4140" t="str">
            <v>9999-LN14</v>
          </cell>
          <cell r="B4140" t="str">
            <v>מסעף לגן רווה</v>
          </cell>
          <cell r="C4140" t="str">
            <v>מסעף לגן רווה</v>
          </cell>
          <cell r="D4140">
            <v>39568</v>
          </cell>
        </row>
        <row r="4141">
          <cell r="A4141" t="str">
            <v>WBO-615</v>
          </cell>
          <cell r="B4141" t="str">
            <v>מסעף לגן רווה</v>
          </cell>
          <cell r="C4141" t="str">
            <v>מסעף לגן רווה-מקו גן שורק-ניר גלים</v>
          </cell>
          <cell r="D4141">
            <v>45839</v>
          </cell>
        </row>
        <row r="4142">
          <cell r="A4142" t="str">
            <v>WBO-876</v>
          </cell>
          <cell r="B4142" t="str">
            <v>מסעף לגילת</v>
          </cell>
          <cell r="C4142" t="str">
            <v>מסעף לגילת-ממעגל נתיבות - ב"ש מערב</v>
          </cell>
          <cell r="D4142">
            <v>46783</v>
          </cell>
        </row>
        <row r="4143">
          <cell r="A4143" t="str">
            <v>WBO-226</v>
          </cell>
          <cell r="B4143" t="str">
            <v>מסעף לגבעתיים</v>
          </cell>
          <cell r="C4143" t="str">
            <v>מעקף לגבעתיים- מעקף ליצירת קו קריה-אונו</v>
          </cell>
          <cell r="D4143">
            <v>43506</v>
          </cell>
        </row>
        <row r="4144">
          <cell r="A4144" t="str">
            <v>WBO-216</v>
          </cell>
          <cell r="B4144" t="str">
            <v>מסעף לגבעתיים</v>
          </cell>
          <cell r="C4144" t="str">
            <v>מסעף לגבעתיים-מכבל אונו-קריה</v>
          </cell>
          <cell r="D4144">
            <v>45489</v>
          </cell>
        </row>
        <row r="4145">
          <cell r="A4145" t="str">
            <v>WBO-418</v>
          </cell>
          <cell r="B4145" t="str">
            <v>מסעף לגבעתי</v>
          </cell>
          <cell r="C4145" t="str">
            <v>מסעף לגבעתי-מקו יבנה-זמורות</v>
          </cell>
          <cell r="D4145">
            <v>42480</v>
          </cell>
        </row>
        <row r="4146">
          <cell r="A4146" t="str">
            <v>WBB-800</v>
          </cell>
          <cell r="B4146" t="str">
            <v>מסעף לגבעת שאול</v>
          </cell>
          <cell r="C4146" t="str">
            <v>מסעף לגבעת שאול-uprating א. ספיר-י-ם ד</v>
          </cell>
          <cell r="D4146">
            <v>42166</v>
          </cell>
        </row>
        <row r="4147">
          <cell r="A4147" t="str">
            <v>WBB-AA4-LN2</v>
          </cell>
          <cell r="B4147" t="str">
            <v>מסעף לגבעת שאול</v>
          </cell>
          <cell r="C4147" t="str">
            <v>מסעף לגבעת שאול-הקמת מסעף דו-מעגלי 161</v>
          </cell>
          <cell r="D4147">
            <v>42166</v>
          </cell>
        </row>
        <row r="4148">
          <cell r="A4148" t="str">
            <v>WBB-AA4-LN3</v>
          </cell>
          <cell r="B4148" t="str">
            <v>מסעף לגבעת שאול</v>
          </cell>
          <cell r="C4148" t="str">
            <v>מסעף לגבעת שאול-הקמת עמוד מ"ע בכניסה</v>
          </cell>
          <cell r="D4148">
            <v>42166</v>
          </cell>
        </row>
        <row r="4149">
          <cell r="A4149" t="str">
            <v>WDB-04COM48</v>
          </cell>
          <cell r="B4149" t="str">
            <v>מסעף לגבעת שאול</v>
          </cell>
          <cell r="C4149" t="str">
            <v>מסעף לגבעת שאול-החלפת תייל הארקה קיים</v>
          </cell>
          <cell r="D4149">
            <v>42166</v>
          </cell>
        </row>
        <row r="4150">
          <cell r="A4150" t="str">
            <v>WBO-125</v>
          </cell>
          <cell r="B4150" t="str">
            <v>מסעף לגבעת המטוס (ירושלים דרום)</v>
          </cell>
          <cell r="C4150" t="str">
            <v>מסעף לגבעת המטוס (ירושלים דרום)-מכבל י-ם ג'-ר.רחל-ה'.</v>
          </cell>
          <cell r="D4150">
            <v>47299</v>
          </cell>
        </row>
        <row r="4151">
          <cell r="A4151" t="str">
            <v>WBO-027</v>
          </cell>
          <cell r="B4151" t="str">
            <v>מסעף לגבעת המורה</v>
          </cell>
          <cell r="C4151" t="str">
            <v>מסעף לגבעת המורה-מקו אלון תבור-עין חרוד</v>
          </cell>
          <cell r="D4151">
            <v>43601</v>
          </cell>
        </row>
        <row r="4152">
          <cell r="A4152" t="str">
            <v>WBO-220</v>
          </cell>
          <cell r="B4152" t="str">
            <v>מסעף לבת ים</v>
          </cell>
          <cell r="C4152" t="str">
            <v>מסעף לבת ים-הנחת כבלים תת-קרקעיים</v>
          </cell>
          <cell r="D4152">
            <v>46356</v>
          </cell>
        </row>
        <row r="4153">
          <cell r="A4153" t="str">
            <v>WBO-011-LN4</v>
          </cell>
          <cell r="B4153" t="str">
            <v>מסעף לברקאי ניידת</v>
          </cell>
          <cell r="C4153" t="str">
            <v>מסעף לברקאי ניידת-סמוך לאתר חריש</v>
          </cell>
          <cell r="D4153">
            <v>42722</v>
          </cell>
        </row>
        <row r="4154">
          <cell r="A4154" t="str">
            <v>WBO-250</v>
          </cell>
          <cell r="B4154" t="str">
            <v>מסעף לבני ברק</v>
          </cell>
          <cell r="C4154" t="str">
            <v>מסעף לבני ברק-הנחת  2 מסעפים תת-קרקעים</v>
          </cell>
          <cell r="D4154">
            <v>48213</v>
          </cell>
        </row>
        <row r="4155">
          <cell r="A4155" t="str">
            <v>WBO-160</v>
          </cell>
          <cell r="B4155" t="str">
            <v>מסעף לביתר</v>
          </cell>
          <cell r="C4155" t="str">
            <v>מסעף לביתר-uprating ל-100 מעלות, 4 ק"מ</v>
          </cell>
          <cell r="D4155">
            <v>45190</v>
          </cell>
        </row>
        <row r="4156">
          <cell r="A4156" t="str">
            <v>WBO-113</v>
          </cell>
          <cell r="B4156" t="str">
            <v>מסעף לבית שמש</v>
          </cell>
          <cell r="C4156" t="str">
            <v>מסעף לבית שמש-מקו אבן ספיר- צפית.</v>
          </cell>
          <cell r="D4156">
            <v>44721</v>
          </cell>
        </row>
        <row r="4157">
          <cell r="A4157" t="str">
            <v>WBO-862</v>
          </cell>
          <cell r="B4157" t="str">
            <v>מסעף לבית ניר</v>
          </cell>
          <cell r="C4157" t="str">
            <v>מסעף לבית ניר-ממעגל איתן-ניר גלים</v>
          </cell>
          <cell r="D4157">
            <v>46783</v>
          </cell>
        </row>
        <row r="4158">
          <cell r="A4158" t="str">
            <v>WBO-130</v>
          </cell>
          <cell r="B4158" t="str">
            <v>מסעף לבית וגן</v>
          </cell>
          <cell r="C4158" t="str">
            <v>מסעף לבית וגן- ממעגל א.ספיר-ירושלים ג' ו-קרית הלאום-ירושלים ה</v>
          </cell>
          <cell r="D4158">
            <v>46934</v>
          </cell>
        </row>
        <row r="4159">
          <cell r="A4159" t="str">
            <v>WBO-800</v>
          </cell>
          <cell r="B4159" t="str">
            <v>מסעף לבית השיטה</v>
          </cell>
          <cell r="C4159" t="str">
            <v>מסעף לבית השיטה-תת"ק- מקו בית שאן-עין חרוד</v>
          </cell>
          <cell r="D4159">
            <v>47483</v>
          </cell>
        </row>
        <row r="4160">
          <cell r="A4160" t="str">
            <v>WBO-355</v>
          </cell>
          <cell r="B4160" t="str">
            <v>מסעף לבית השיטה</v>
          </cell>
          <cell r="C4160" t="str">
            <v>מסעף לבית השיטה-הקמת 2 טרמינלים דו-מעגלים לחיבור בין הקטע העילי לתת"ק</v>
          </cell>
          <cell r="D4160">
            <v>47483</v>
          </cell>
        </row>
        <row r="4161">
          <cell r="A4161" t="str">
            <v>WBO-208</v>
          </cell>
          <cell r="B4161" t="str">
            <v>מסעף לבית הלוחם (סורוקה)</v>
          </cell>
          <cell r="C4161" t="str">
            <v>מסעף לבית הלוחם-הנחת כבל מקו ב"ש-להבים</v>
          </cell>
          <cell r="D4161">
            <v>45846</v>
          </cell>
        </row>
        <row r="4162">
          <cell r="A4162" t="str">
            <v>WBO-810</v>
          </cell>
          <cell r="B4162" t="str">
            <v>מסעף לבית הגדי</v>
          </cell>
          <cell r="C4162" t="str">
            <v>מסעף לבית הגדי-ממעגל נתיבות-ב"ש מערב</v>
          </cell>
          <cell r="D4162">
            <v>46690</v>
          </cell>
        </row>
        <row r="4163">
          <cell r="A4163" t="str">
            <v>WBO-803</v>
          </cell>
          <cell r="B4163" t="str">
            <v>מסעף לבית אלפא</v>
          </cell>
          <cell r="C4163" t="str">
            <v>מסעף לבית אלפא-מקו מעלה גלבוע - יזרעאל-בוטל</v>
          </cell>
        </row>
        <row r="4164">
          <cell r="A4164" t="str">
            <v>WBO-848</v>
          </cell>
          <cell r="B4164" t="str">
            <v>מסעף לבורסה (רמת גן 2)</v>
          </cell>
          <cell r="C4164" t="str">
            <v>מסעף לבורסה (רמת גן 2)  -מקו תת"ק ת"א צפון-רמת גן(ציר חרוזים)</v>
          </cell>
          <cell r="D4164">
            <v>48548</v>
          </cell>
        </row>
        <row r="4165">
          <cell r="A4165" t="str">
            <v>WBN-408</v>
          </cell>
          <cell r="B4165" t="str">
            <v>מסעף לבאר טוביה</v>
          </cell>
          <cell r="C4165" t="str">
            <v>מסעף לבאר טוביה-הקמת קו דו-מעגלי,10.6 קמ</v>
          </cell>
          <cell r="D4165">
            <v>43998</v>
          </cell>
        </row>
        <row r="4166">
          <cell r="A4166" t="str">
            <v>WBN-408-LN2</v>
          </cell>
          <cell r="B4166" t="str">
            <v>מסעף לבאר טוביה</v>
          </cell>
          <cell r="C4166" t="str">
            <v>מסעף לבאר טוביה- קטע 400 ק"ו,1.9 ק"מ</v>
          </cell>
          <cell r="D4166">
            <v>41562</v>
          </cell>
        </row>
        <row r="4167">
          <cell r="A4167" t="str">
            <v>WBN-408-ST2</v>
          </cell>
          <cell r="B4167" t="str">
            <v>מסעף לבאר טוביה</v>
          </cell>
          <cell r="C4167" t="str">
            <v>מסעף לבאר טוביה-הקמת קו דו-מעגלי,6.5 קמ</v>
          </cell>
          <cell r="D4167">
            <v>43793</v>
          </cell>
        </row>
        <row r="4168">
          <cell r="A4168" t="str">
            <v>WBO-562</v>
          </cell>
          <cell r="B4168" t="str">
            <v>מסעף לבאר אורה</v>
          </cell>
          <cell r="C4168" t="str">
            <v>מסעף לבאר אורה- מקו פארן-תמנע,50 מ</v>
          </cell>
          <cell r="D4168">
            <v>44202</v>
          </cell>
        </row>
        <row r="4169">
          <cell r="A4169" t="str">
            <v>WBO-502</v>
          </cell>
          <cell r="B4169" t="str">
            <v>מסעף לאשקלון צפון</v>
          </cell>
          <cell r="C4169" t="str">
            <v>מסעף לאשקלון צפון נידת-מקו צ.כרמיה-אשדוד</v>
          </cell>
          <cell r="D4169">
            <v>45902</v>
          </cell>
        </row>
        <row r="4170">
          <cell r="A4170">
            <v>3015</v>
          </cell>
          <cell r="B4170" t="str">
            <v>מסעף לאשדוד מזרח</v>
          </cell>
          <cell r="C4170" t="str">
            <v>מסעף לאשדוד מזרח-מקו יבנה-אשקלון</v>
          </cell>
          <cell r="D4170">
            <v>39385</v>
          </cell>
        </row>
        <row r="4171">
          <cell r="A4171" t="str">
            <v>WBO-422</v>
          </cell>
          <cell r="B4171" t="str">
            <v>מסעף לאשדוד אנרגיה -פרטית</v>
          </cell>
          <cell r="C4171" t="str">
            <v>מסעף לאשדוד אנרגיה-מסעף מקו יבנה-נ.אשדוד</v>
          </cell>
          <cell r="D4171">
            <v>42156</v>
          </cell>
        </row>
        <row r="4172">
          <cell r="A4172" t="str">
            <v>WBO-901</v>
          </cell>
          <cell r="B4172" t="str">
            <v>מסעף לאריאל 2</v>
          </cell>
          <cell r="C4172" t="str">
            <v>מסעף לאריאל 2-ממעגל לבן אריאל-גזר</v>
          </cell>
          <cell r="D4172">
            <v>48059</v>
          </cell>
        </row>
        <row r="4173">
          <cell r="A4173" t="str">
            <v>WBO-485</v>
          </cell>
          <cell r="B4173" t="str">
            <v>מסעף לאריאל (עימנואל)</v>
          </cell>
          <cell r="C4173" t="str">
            <v>מסעף לאריאל (עימנואל)-מקו כפר סבא-בנימין</v>
          </cell>
          <cell r="D4173">
            <v>42141</v>
          </cell>
        </row>
        <row r="4174">
          <cell r="A4174" t="str">
            <v>WBO-115</v>
          </cell>
          <cell r="B4174" t="str">
            <v>מסעף לאריאל (עימנואל)</v>
          </cell>
          <cell r="C4174" t="str">
            <v>מסעף לאריאל (עימנואל)-מקו כפר סבא-בנימין</v>
          </cell>
          <cell r="D4174">
            <v>42141</v>
          </cell>
        </row>
        <row r="4175">
          <cell r="A4175" t="str">
            <v>WBO-523</v>
          </cell>
          <cell r="B4175" t="str">
            <v>מסעף לאפולוניה</v>
          </cell>
          <cell r="C4175" t="str">
            <v>מסעף לאפולוניה-מב.יהושע-תה"ר רשפון-בוטל</v>
          </cell>
          <cell r="D4175">
            <v>42720</v>
          </cell>
        </row>
        <row r="4176">
          <cell r="A4176" t="str">
            <v>WBO-124</v>
          </cell>
          <cell r="B4176" t="str">
            <v>מסעף לאלפי מנשה</v>
          </cell>
          <cell r="C4176" t="str">
            <v>מסעף לאלפי מנשה-מקו אריאל-כפר סבא</v>
          </cell>
          <cell r="D4176">
            <v>44150</v>
          </cell>
        </row>
        <row r="4177">
          <cell r="A4177" t="str">
            <v>WBO-152</v>
          </cell>
          <cell r="B4177" t="str">
            <v>מסעף לאלעד</v>
          </cell>
          <cell r="C4177" t="str">
            <v>קו שוהם-אלעד-אבן העזר-uprating ל-100 מע.</v>
          </cell>
          <cell r="D4177">
            <v>46386</v>
          </cell>
        </row>
        <row r="4178">
          <cell r="A4178" t="str">
            <v>WBO-487</v>
          </cell>
          <cell r="B4178" t="str">
            <v>מסעף לאלעד</v>
          </cell>
          <cell r="C4178" t="str">
            <v>מסעף לאלעד-2 מסעפים דו מעגליים</v>
          </cell>
          <cell r="D4178">
            <v>45930</v>
          </cell>
        </row>
        <row r="4179">
          <cell r="A4179" t="str">
            <v>WBO-631</v>
          </cell>
          <cell r="B4179" t="str">
            <v>מסעף לאינטל 2</v>
          </cell>
          <cell r="C4179" t="str">
            <v>מסעף לאינטל 2-ממעגל סוגת-צפית</v>
          </cell>
          <cell r="D4179">
            <v>46965</v>
          </cell>
        </row>
        <row r="4180">
          <cell r="A4180" t="str">
            <v>WBO-631-ST2</v>
          </cell>
          <cell r="B4180" t="str">
            <v>מסעף לאינטל 2</v>
          </cell>
          <cell r="C4180" t="str">
            <v>מסעף לאינטל 2- קידום תכנית סטטוטורית</v>
          </cell>
          <cell r="D4180">
            <v>45067</v>
          </cell>
        </row>
        <row r="4181">
          <cell r="A4181" t="str">
            <v>WBN-406</v>
          </cell>
          <cell r="B4181" t="str">
            <v>מסעף לאיילון</v>
          </cell>
          <cell r="C4181" t="str">
            <v>מסעף לאיילון-2 מסעפים דו-מעגליים 400 ק"ו</v>
          </cell>
          <cell r="D4181">
            <v>42185</v>
          </cell>
        </row>
        <row r="4182">
          <cell r="A4182" t="str">
            <v>WBO-473</v>
          </cell>
          <cell r="B4182" t="str">
            <v>מסעף לאייל</v>
          </cell>
          <cell r="C4182" t="str">
            <v>מסעף לאייל-מקו פ"ת-תנובות(שער אפריים)</v>
          </cell>
          <cell r="D4182">
            <v>43798</v>
          </cell>
        </row>
        <row r="4183">
          <cell r="A4183" t="str">
            <v>WBO-673</v>
          </cell>
          <cell r="B4183" t="str">
            <v>מסעף לאורים</v>
          </cell>
          <cell r="C4183" t="str">
            <v>מסעף לאורים-מהקו הקיים אופקים - בשור</v>
          </cell>
          <cell r="D4183">
            <v>46660</v>
          </cell>
        </row>
        <row r="4184">
          <cell r="A4184" t="str">
            <v>WBO-633</v>
          </cell>
          <cell r="B4184" t="str">
            <v>מסעף לאוניברסיטת ת''א</v>
          </cell>
          <cell r="C4184" t="str">
            <v>מסעף לאוניברסיטת ת"א-בוטל-ביצוע הצלבה(בין עמודים 619 ל 618A)</v>
          </cell>
        </row>
        <row r="4185">
          <cell r="A4185" t="str">
            <v>WBO-471</v>
          </cell>
          <cell r="B4185" t="str">
            <v>מסעף לאוניברסיטת ת''א</v>
          </cell>
          <cell r="C4185" t="str">
            <v>מסעף לאוניברסיטת ת"א-הקמת טרמינלים</v>
          </cell>
          <cell r="D4185">
            <v>46233</v>
          </cell>
        </row>
        <row r="4186">
          <cell r="A4186" t="str">
            <v>WBO-200</v>
          </cell>
          <cell r="B4186" t="str">
            <v>מסעף לאוניברסיטת ת''א</v>
          </cell>
          <cell r="C4186" t="str">
            <v>מסעף לאוניברסיטת ת"א-הנחת כבלים תת-קרקעי</v>
          </cell>
          <cell r="D4186">
            <v>46233</v>
          </cell>
        </row>
        <row r="4187">
          <cell r="A4187" t="str">
            <v>WBO-078</v>
          </cell>
          <cell r="B4187" t="str">
            <v>מסעף לאום אל-פאחם</v>
          </cell>
          <cell r="C4187" t="str">
            <v>מסעף לאום אל-פחם-קו 161 מתחמ"ש "עירון"</v>
          </cell>
          <cell r="D4187">
            <v>47847</v>
          </cell>
        </row>
        <row r="4188">
          <cell r="A4188" t="str">
            <v>WBO-078-ST1</v>
          </cell>
          <cell r="B4188" t="str">
            <v>מסעף לאום אל-פאחם</v>
          </cell>
          <cell r="C4188" t="str">
            <v>מסעף לאום אל-פאחם- קידום תכנית מתאר</v>
          </cell>
          <cell r="D4188">
            <v>46387</v>
          </cell>
        </row>
        <row r="4189">
          <cell r="A4189" t="str">
            <v>WBO-352</v>
          </cell>
          <cell r="B4189" t="str">
            <v>מסעף לאום אל-פאחם</v>
          </cell>
          <cell r="C4189" t="str">
            <v>מסעף לאום אל-פאחם- תכנון לרצועה תת"ק למעבר 4 מעגלי 161 ק"ו בכביש 65</v>
          </cell>
          <cell r="D4189">
            <v>46387</v>
          </cell>
        </row>
        <row r="4190">
          <cell r="A4190" t="str">
            <v>WBO-035</v>
          </cell>
          <cell r="B4190" t="str">
            <v>מסעף לאבליים</v>
          </cell>
          <cell r="C4190" t="str">
            <v>מסעף לאבליים-מקו זבולון-נעמן</v>
          </cell>
          <cell r="D4190">
            <v>45991</v>
          </cell>
        </row>
        <row r="4191">
          <cell r="A4191" t="str">
            <v>WBO-168</v>
          </cell>
          <cell r="B4191" t="str">
            <v>מסעף ל-SDS שוהם</v>
          </cell>
          <cell r="C4191" t="str">
            <v>מסעף ל-SDS שוהם-הקמת מסעף דו מעגלי ממעגל גזר-אריאל</v>
          </cell>
          <cell r="D4191">
            <v>46356</v>
          </cell>
        </row>
        <row r="4192">
          <cell r="A4192" t="str">
            <v>WBO-169</v>
          </cell>
          <cell r="B4192" t="str">
            <v>מסעף ל-SDS שוהם</v>
          </cell>
          <cell r="C4192" t="str">
            <v>מסעף ל-SDS שוהם-הקמת 2 טרמינלים לחיבור בין הקטע העילי לתת-קרקעי במעגל גזר-אריאל</v>
          </cell>
          <cell r="D4192">
            <v>46356</v>
          </cell>
        </row>
        <row r="4193">
          <cell r="A4193" t="str">
            <v>WBO-841</v>
          </cell>
          <cell r="B4193" t="str">
            <v>מסעף ל-PPGC (ג'נין)</v>
          </cell>
          <cell r="C4193" t="str">
            <v>מסעף ל-PPGC (ג'נין)-ממעגל שירת דבורה -ג'נין (מאזור תחמ"ש ג'אלמה).</v>
          </cell>
          <cell r="D4193">
            <v>47149</v>
          </cell>
        </row>
        <row r="4194">
          <cell r="A4194" t="str">
            <v>WBO-841-ST1</v>
          </cell>
          <cell r="B4194" t="str">
            <v>מסעף ל-PPGC (ג'נין)</v>
          </cell>
          <cell r="C4194" t="str">
            <v>מסעף ל-PPGC (ג'נין)-איתור תוואי ותיאומים מול קמ"ט חשמל</v>
          </cell>
          <cell r="D4194">
            <v>46387</v>
          </cell>
        </row>
        <row r="4195">
          <cell r="A4195" t="str">
            <v>WBO-415</v>
          </cell>
          <cell r="B4195" t="str">
            <v>מסעף ל-P9</v>
          </cell>
          <cell r="C4195" t="str">
            <v>מסעף ל-P9- בוטל-מקו מצדה-ערד</v>
          </cell>
          <cell r="D4195">
            <v>41722</v>
          </cell>
        </row>
        <row r="4196">
          <cell r="A4196" t="str">
            <v>WBA-365</v>
          </cell>
          <cell r="B4196" t="str">
            <v>מסעף ל-DSI</v>
          </cell>
          <cell r="C4196" t="str">
            <v>מסעף ל-DSI</v>
          </cell>
          <cell r="D4196">
            <v>37771</v>
          </cell>
        </row>
        <row r="4197">
          <cell r="A4197" t="str">
            <v>0216843</v>
          </cell>
          <cell r="B4197" t="str">
            <v>מסעף ל קמפוס טכנולוגי ב''ש</v>
          </cell>
          <cell r="C4197" t="str">
            <v>מסעף לקמפוס טכנולוגי ב"ש</v>
          </cell>
          <cell r="D4197">
            <v>42038</v>
          </cell>
        </row>
        <row r="4198">
          <cell r="A4198" t="str">
            <v>WBN-610</v>
          </cell>
          <cell r="B4198" t="str">
            <v>מסילת עוקף לוד</v>
          </cell>
          <cell r="C4198" t="str">
            <v>מסילת עוקף לוד-עע"א - מסילת עוקף לוד - העתקת עמוד 40782A</v>
          </cell>
          <cell r="D4198">
            <v>46477</v>
          </cell>
        </row>
        <row r="4199">
          <cell r="A4199" t="str">
            <v>WBO-868</v>
          </cell>
          <cell r="B4199" t="str">
            <v>מסילת עוקף לוד</v>
          </cell>
          <cell r="C4199" t="str">
            <v>מסילת עוקף לוד-עע"א - מסילת עוקף לוד - העתקת עמוד 2980</v>
          </cell>
          <cell r="D4199">
            <v>46477</v>
          </cell>
        </row>
        <row r="4200">
          <cell r="A4200" t="str">
            <v>WBO-869</v>
          </cell>
          <cell r="B4200" t="str">
            <v>מסילת עוקף לוד</v>
          </cell>
          <cell r="C4200" t="str">
            <v>מסילת עוקף לוד-עע"א - העתקת עמודים 15110-15118</v>
          </cell>
          <cell r="D4200">
            <v>46477</v>
          </cell>
        </row>
        <row r="4201">
          <cell r="A4201" t="str">
            <v>WBO-897</v>
          </cell>
          <cell r="B4201" t="str">
            <v>מסילת עוקף לוד</v>
          </cell>
          <cell r="C4201" t="str">
            <v>מסילת עוקף לוד-עע"א - רכבת ישראל- תת"ל 79-הקמת עמודי מתח עליון</v>
          </cell>
          <cell r="D4201">
            <v>46752</v>
          </cell>
        </row>
        <row r="4202">
          <cell r="A4202">
            <v>900046</v>
          </cell>
          <cell r="B4202" t="str">
            <v>מסדר 161 ק"ו אשכול צפון</v>
          </cell>
          <cell r="C4202" t="str">
            <v>מסדר 161 ק"ו אשכול צפון-עע"א-עבודות לקליטת יחידות יצור 5 ו 6 והוספת שדות לקליטת חוות שרתים</v>
          </cell>
          <cell r="D4202">
            <v>46965</v>
          </cell>
        </row>
        <row r="4203">
          <cell r="A4203" t="str">
            <v>HIS-106</v>
          </cell>
          <cell r="B4203" t="str">
            <v>מנשיה</v>
          </cell>
          <cell r="C4203" t="str">
            <v>מנשיה</v>
          </cell>
          <cell r="D4203">
            <v>40908</v>
          </cell>
        </row>
        <row r="4204">
          <cell r="A4204" t="str">
            <v>WDA-1-PA10</v>
          </cell>
          <cell r="B4204" t="str">
            <v>מנשיה</v>
          </cell>
          <cell r="C4204" t="str">
            <v>מנשיה-החלפה של יחידת קצה של פיקוח ארצי</v>
          </cell>
          <cell r="D4204">
            <v>41789</v>
          </cell>
        </row>
        <row r="4205">
          <cell r="A4205" t="str">
            <v>WBM-00298</v>
          </cell>
          <cell r="B4205" t="str">
            <v>מנשיה</v>
          </cell>
          <cell r="C4205" t="str">
            <v>מנשיה-התקנת 8 סוללות קבלים, 3*2 מגווא"ר</v>
          </cell>
          <cell r="D4205">
            <v>46356</v>
          </cell>
        </row>
        <row r="4206">
          <cell r="A4206">
            <v>545815</v>
          </cell>
          <cell r="B4206" t="str">
            <v>מנשיה</v>
          </cell>
          <cell r="C4206" t="str">
            <v>מנשיה-התקנת רכזת התראה בטחונית</v>
          </cell>
          <cell r="D4206">
            <v>39629</v>
          </cell>
        </row>
        <row r="4207">
          <cell r="A4207" t="str">
            <v>WBM-01213</v>
          </cell>
          <cell r="B4207" t="str">
            <v>מנשיה</v>
          </cell>
          <cell r="C4207" t="str">
            <v>מנשיה-החלפת רושמי הפרעות INDACTIC</v>
          </cell>
          <cell r="D4207">
            <v>43373</v>
          </cell>
        </row>
        <row r="4208">
          <cell r="A4208" t="str">
            <v>WBM-00494</v>
          </cell>
          <cell r="B4208" t="str">
            <v>מנשיה</v>
          </cell>
          <cell r="C4208" t="str">
            <v>מנשיה-בוטל-שינויים בחיווט רושם הפרעות</v>
          </cell>
          <cell r="D4208">
            <v>41249</v>
          </cell>
        </row>
        <row r="4209">
          <cell r="A4209" t="str">
            <v>WBM-00496</v>
          </cell>
          <cell r="B4209" t="str">
            <v>מנשיה</v>
          </cell>
          <cell r="C4209" t="str">
            <v>מנשיה-הזנת תאורת חירום ז"י באמצעות ממיר</v>
          </cell>
          <cell r="D4209">
            <v>46752</v>
          </cell>
        </row>
        <row r="4210">
          <cell r="A4210" t="str">
            <v>WBM-40113</v>
          </cell>
          <cell r="B4210" t="str">
            <v>מנשיה</v>
          </cell>
          <cell r="C4210" t="str">
            <v>מנשיה-החלפת הגנות שנאי DT93</v>
          </cell>
          <cell r="D4210">
            <v>46476</v>
          </cell>
        </row>
        <row r="4211">
          <cell r="A4211" t="str">
            <v>WBM-60104</v>
          </cell>
          <cell r="B4211" t="str">
            <v>מנשיה</v>
          </cell>
          <cell r="C4211" t="str">
            <v>מנשיה – מיכל מים לכיבוי אש</v>
          </cell>
          <cell r="D4211">
            <v>46477</v>
          </cell>
        </row>
        <row r="4212">
          <cell r="A4212" t="str">
            <v>WBM-40114</v>
          </cell>
          <cell r="B4212" t="str">
            <v>מנשיה</v>
          </cell>
          <cell r="C4212" t="str">
            <v>מנשיה- החלפת הגנות מ"ג</v>
          </cell>
          <cell r="D4212">
            <v>46751</v>
          </cell>
        </row>
        <row r="4213">
          <cell r="A4213" t="str">
            <v>WBM-00074</v>
          </cell>
          <cell r="B4213" t="str">
            <v>מנשיה</v>
          </cell>
          <cell r="C4213" t="str">
            <v>מנשיה-התקנת הגנת BFP ב-4 מסדרי מ"ג.</v>
          </cell>
        </row>
        <row r="4214">
          <cell r="A4214" t="str">
            <v>0243183</v>
          </cell>
          <cell r="B4214" t="str">
            <v>מנשיה</v>
          </cell>
          <cell r="C4214" t="str">
            <v>מנשיה-החלפת הגנות שנאי DT93</v>
          </cell>
          <cell r="D4214">
            <v>44702</v>
          </cell>
        </row>
        <row r="4215">
          <cell r="A4215" t="str">
            <v>WBM-60015</v>
          </cell>
          <cell r="B4215" t="str">
            <v>מנשיה</v>
          </cell>
          <cell r="C4215" t="str">
            <v>מנשיה - שיקום גדר היקפית</v>
          </cell>
          <cell r="D4215">
            <v>44133</v>
          </cell>
        </row>
        <row r="4216">
          <cell r="A4216" t="str">
            <v>WBG-063-013</v>
          </cell>
          <cell r="B4216" t="str">
            <v>מנשיה</v>
          </cell>
          <cell r="C4216" t="str">
            <v>מנשיה-התאמת מערכת מים לכ.אש לדרישות מכ"ר</v>
          </cell>
          <cell r="D4216">
            <v>41364</v>
          </cell>
        </row>
        <row r="4217">
          <cell r="A4217" t="str">
            <v>WBG-063-016</v>
          </cell>
          <cell r="B4217" t="str">
            <v>מנשיה</v>
          </cell>
          <cell r="C4217" t="str">
            <v>מנשיה-הקמת רשת מחשבים תפעולית</v>
          </cell>
          <cell r="D4217">
            <v>41198</v>
          </cell>
        </row>
        <row r="4218">
          <cell r="A4218" t="str">
            <v>WBG-063-015</v>
          </cell>
          <cell r="B4218" t="str">
            <v>מנשיה</v>
          </cell>
          <cell r="C4218" t="str">
            <v>מנשיה-התקנת תקשורת מנהלתית</v>
          </cell>
          <cell r="D4218">
            <v>41152</v>
          </cell>
        </row>
        <row r="4219">
          <cell r="A4219" t="str">
            <v>WBG-063-009</v>
          </cell>
          <cell r="B4219" t="str">
            <v>מנשיה</v>
          </cell>
          <cell r="C4219" t="str">
            <v>מנשיה-התקנת ארון ז"י 48 וולט</v>
          </cell>
          <cell r="D4219">
            <v>41059</v>
          </cell>
        </row>
        <row r="4220">
          <cell r="A4220" t="str">
            <v>WBM-00073</v>
          </cell>
          <cell r="B4220" t="str">
            <v>מנשיה</v>
          </cell>
          <cell r="C4220" t="str">
            <v>מנשיה-בוטל-השלמת מערכת מים לכיבוי אש</v>
          </cell>
          <cell r="D4220">
            <v>41249</v>
          </cell>
        </row>
        <row r="4221">
          <cell r="A4221" t="str">
            <v>WBM-00884-036</v>
          </cell>
          <cell r="B4221" t="str">
            <v>מנשיה</v>
          </cell>
          <cell r="C4221" t="str">
            <v>מנשיה- החלפת מערכות כיבוי בגז NAF-S3</v>
          </cell>
          <cell r="D4221">
            <v>46477</v>
          </cell>
        </row>
        <row r="4222">
          <cell r="A4222" t="str">
            <v>WBM-00885-080</v>
          </cell>
          <cell r="B4222" t="str">
            <v>מנשיה</v>
          </cell>
          <cell r="C4222" t="str">
            <v>מנשיה - בוטל- טיפול בסתימות בחיבור לביוב העירו</v>
          </cell>
        </row>
        <row r="4223">
          <cell r="A4223" t="str">
            <v>WBM-60008-043</v>
          </cell>
          <cell r="B4223" t="str">
            <v>מנשיה</v>
          </cell>
          <cell r="C4223" t="str">
            <v>מנשיה -  התקנת מערכת מיגון בתחמ"ש</v>
          </cell>
          <cell r="D4223">
            <v>46477</v>
          </cell>
        </row>
        <row r="4224">
          <cell r="A4224" t="str">
            <v>WBM-60092-016</v>
          </cell>
          <cell r="B4224" t="str">
            <v>מנשיה</v>
          </cell>
          <cell r="C4224" t="str">
            <v>מנשיה - בדיקות/טיפול/פינוי מכלי אש בגז</v>
          </cell>
          <cell r="D4224">
            <v>46387</v>
          </cell>
        </row>
        <row r="4225">
          <cell r="A4225" t="str">
            <v>WBM-60116-007</v>
          </cell>
          <cell r="B4225" t="str">
            <v>מנשיה</v>
          </cell>
          <cell r="C4225" t="str">
            <v>מנשיה - שידרוג גלאים בתחנות משנה ומיתוגה</v>
          </cell>
          <cell r="D4225">
            <v>46387</v>
          </cell>
        </row>
        <row r="4226">
          <cell r="A4226" t="str">
            <v>WBM-10315-078</v>
          </cell>
          <cell r="B4226" t="str">
            <v>מנשיה</v>
          </cell>
          <cell r="C4226" t="str">
            <v>מנשיה- התקנת מזגנים</v>
          </cell>
          <cell r="D4226">
            <v>45711</v>
          </cell>
        </row>
        <row r="4227">
          <cell r="A4227" t="str">
            <v>WBM-01063-003</v>
          </cell>
          <cell r="B4227" t="str">
            <v>מנשיה</v>
          </cell>
          <cell r="C4227" t="str">
            <v>שיקום בטונים בתחמ"ש מנשיה ואיטום מב</v>
          </cell>
          <cell r="D4227">
            <v>46387</v>
          </cell>
        </row>
        <row r="4228">
          <cell r="A4228" t="str">
            <v>HIS-168</v>
          </cell>
          <cell r="B4228" t="str">
            <v>מנשה פרטית</v>
          </cell>
          <cell r="C4228" t="str">
            <v>מנשה (מקורות)-פרטית</v>
          </cell>
          <cell r="D4228">
            <v>40908</v>
          </cell>
        </row>
        <row r="4229">
          <cell r="A4229">
            <v>9985113</v>
          </cell>
          <cell r="B4229" t="str">
            <v>מנרה</v>
          </cell>
          <cell r="C4229" t="str">
            <v>מנרה-קליטת מתקן אג"ש בהספק של 156 מגוו"ט</v>
          </cell>
          <cell r="D4229">
            <v>47056</v>
          </cell>
        </row>
        <row r="4230">
          <cell r="A4230" t="str">
            <v>HIS-008</v>
          </cell>
          <cell r="B4230" t="str">
            <v>מנחת (ירושלים ג' ארעית)</v>
          </cell>
          <cell r="C4230" t="str">
            <v>מנחת (ירושלים ג' ארעית)</v>
          </cell>
          <cell r="D4230">
            <v>40908</v>
          </cell>
        </row>
        <row r="4231">
          <cell r="A4231" t="str">
            <v>WBE-166-ST2</v>
          </cell>
          <cell r="B4231" t="str">
            <v>מנחת (ירושלים ג' ארעית)</v>
          </cell>
          <cell r="C4231" t="str">
            <v>מנחת-פירוק תחמ"ש ארעית</v>
          </cell>
          <cell r="D4231">
            <v>47391</v>
          </cell>
        </row>
        <row r="4232">
          <cell r="A4232" t="str">
            <v>WBE-166</v>
          </cell>
          <cell r="B4232" t="str">
            <v>מנחת (ירושלים ג' ארעית)</v>
          </cell>
          <cell r="C4232" t="str">
            <v>מנחת-הוספת שנאי 28 מגוו"א ומכולה חדשה</v>
          </cell>
          <cell r="D4232">
            <v>45068</v>
          </cell>
        </row>
        <row r="4233">
          <cell r="A4233" t="str">
            <v>WBE-062-ST5</v>
          </cell>
          <cell r="B4233" t="str">
            <v>מנחת (ירושלים ג' ארעית)</v>
          </cell>
          <cell r="C4233" t="str">
            <v>מנחת (ירושלים ג' ארעית)-העבר שנאי לי-ם ג</v>
          </cell>
          <cell r="D4233">
            <v>44910</v>
          </cell>
        </row>
        <row r="4234">
          <cell r="A4234" t="str">
            <v>0243423</v>
          </cell>
          <cell r="B4234" t="str">
            <v>מנחת (ירושלים ג' ארעית)</v>
          </cell>
          <cell r="C4234" t="str">
            <v>מנחת- בוטל - החל' ציוד בשנאי 521</v>
          </cell>
        </row>
        <row r="4235">
          <cell r="A4235" t="str">
            <v>WBE-187</v>
          </cell>
          <cell r="B4235" t="str">
            <v>מנחת (ירושלים ג' ארעית)</v>
          </cell>
          <cell r="C4235" t="str">
            <v>מנחת-החלפת שנאי 161/13.8 ק"ו  28 מו"א בשנאי 161/13.8/13.8 ק"ו  56 מו"א</v>
          </cell>
          <cell r="D4235">
            <v>45302</v>
          </cell>
        </row>
        <row r="4236">
          <cell r="A4236" t="str">
            <v>WBM-10494</v>
          </cell>
          <cell r="B4236" t="str">
            <v>מנחת (ירושלים ג' ארעית)</v>
          </cell>
          <cell r="C4236" t="str">
            <v>מנחת-הוספת מכולה מס' 2 לניצול השנאי במלואו</v>
          </cell>
          <cell r="D4236">
            <v>46142</v>
          </cell>
        </row>
        <row r="4237">
          <cell r="A4237" t="str">
            <v>WBM-00350-043</v>
          </cell>
          <cell r="B4237" t="str">
            <v>מנחת (ירושלים ג' ארעית)</v>
          </cell>
          <cell r="C4237" t="str">
            <v>מנחת- תיקון שנאי 511</v>
          </cell>
          <cell r="D4237">
            <v>45291</v>
          </cell>
        </row>
        <row r="4238">
          <cell r="A4238" t="str">
            <v>WBM-60116-035</v>
          </cell>
          <cell r="B4238" t="str">
            <v>מנחת (ירושלים ג' ארעית)</v>
          </cell>
          <cell r="C4238" t="str">
            <v>מנחת - שידרוג גלאים בתחנות משנה</v>
          </cell>
          <cell r="D4238">
            <v>46175</v>
          </cell>
        </row>
        <row r="4239">
          <cell r="A4239" t="str">
            <v>WBO-306</v>
          </cell>
          <cell r="B4239" t="str">
            <v>מנהרת חוצה חיפה</v>
          </cell>
          <cell r="C4239" t="str">
            <v>מנהרת חוצה חיפה-בוטל - תכנון תוואי</v>
          </cell>
          <cell r="D4239">
            <v>41787</v>
          </cell>
        </row>
        <row r="4240">
          <cell r="A4240">
            <v>900023</v>
          </cell>
          <cell r="B4240" t="str">
            <v>מלילות</v>
          </cell>
          <cell r="C4240" t="str">
            <v>מלילות 2-הקמת מתקן אגירה SA  בהספק 150 מגאווט.</v>
          </cell>
          <cell r="D4240">
            <v>46783</v>
          </cell>
        </row>
        <row r="4241">
          <cell r="A4241">
            <v>900028</v>
          </cell>
          <cell r="B4241" t="str">
            <v>מלילות</v>
          </cell>
          <cell r="C4241" t="str">
            <v>מלילות-קליטת מתקני יצור PV + מתקני אגירה בהספק כולל 139.5 MW</v>
          </cell>
          <cell r="D4241">
            <v>46783</v>
          </cell>
        </row>
        <row r="4242">
          <cell r="A4242" t="str">
            <v>WBM-10470</v>
          </cell>
          <cell r="B4242" t="str">
            <v>מכתשים-פרטית</v>
          </cell>
          <cell r="C4242" t="str">
            <v>מכתשים-שדה 5, העברת אותות TT בציוד קרייר</v>
          </cell>
          <cell r="D4242">
            <v>46233</v>
          </cell>
        </row>
        <row r="4243">
          <cell r="A4243" t="str">
            <v>HIS-167</v>
          </cell>
          <cell r="B4243" t="str">
            <v>מכתשים-פרטית</v>
          </cell>
          <cell r="C4243" t="str">
            <v>מכתשים-פרטית</v>
          </cell>
          <cell r="D4243">
            <v>40908</v>
          </cell>
        </row>
        <row r="4244">
          <cell r="A4244" t="str">
            <v>79999-18</v>
          </cell>
          <cell r="B4244" t="str">
            <v>מכתשים-פרטית</v>
          </cell>
          <cell r="C4244" t="str">
            <v>מכתשים-קליטת תח"כ בהספק של 120 מגוו"ט</v>
          </cell>
          <cell r="D4244">
            <v>41879</v>
          </cell>
        </row>
        <row r="4245">
          <cell r="A4245" t="str">
            <v>WBM-10316-012</v>
          </cell>
          <cell r="B4245" t="str">
            <v>מכתשים-פרטית</v>
          </cell>
          <cell r="C4245" t="str">
            <v>מכתשים- חיבור רושמי הפרעות למתג מנהלת</v>
          </cell>
          <cell r="D4245">
            <v>45607</v>
          </cell>
        </row>
        <row r="4246">
          <cell r="A4246" t="str">
            <v>WBM-80014-011</v>
          </cell>
          <cell r="B4246" t="str">
            <v>מכתשים-פרטית</v>
          </cell>
          <cell r="C4246" t="str">
            <v>מכתשים - שדרוג SCS</v>
          </cell>
          <cell r="D4246">
            <v>45599</v>
          </cell>
        </row>
        <row r="4247">
          <cell r="A4247" t="str">
            <v>WBM-60128-001</v>
          </cell>
          <cell r="B4247" t="str">
            <v>מכתשים-פרטית</v>
          </cell>
          <cell r="C4247" t="str">
            <v>מכתשים - שדרוג ותוספות מיגון בתחמשים פרטיים</v>
          </cell>
          <cell r="D4247">
            <v>46721</v>
          </cell>
        </row>
        <row r="4248">
          <cell r="B4248" t="str">
            <v>מכתשים-פרטית</v>
          </cell>
          <cell r="C4248" t="str">
            <v>מכתשים -  בוטל - החלפת רושמי הפרעות קיימים מדגם IDM-T3 לרושמים חדשים מדגם IDM+</v>
          </cell>
        </row>
        <row r="4249">
          <cell r="A4249" t="str">
            <v>WBM-40637-005</v>
          </cell>
          <cell r="B4249" t="str">
            <v>מכתשים-פרטית</v>
          </cell>
          <cell r="C4249" t="str">
            <v>מכתשים -  החלפת רושמי הפרעות קיימים מדגם IDM-T3 לרושמים חדשים מדגם IDM+</v>
          </cell>
          <cell r="D4249">
            <v>46691</v>
          </cell>
        </row>
        <row r="4250">
          <cell r="A4250" t="str">
            <v>WBC-106</v>
          </cell>
          <cell r="B4250" t="str">
            <v>מכר-ג'דיידה</v>
          </cell>
          <cell r="C4250" t="str">
            <v>מכר/גדיידה-הקמת תחמ"ש חיצונית 161/24</v>
          </cell>
          <cell r="D4250">
            <v>49247</v>
          </cell>
        </row>
        <row r="4251">
          <cell r="A4251" t="str">
            <v>HIS-188</v>
          </cell>
          <cell r="B4251" t="str">
            <v>מכר</v>
          </cell>
          <cell r="C4251" t="str">
            <v>מכר</v>
          </cell>
          <cell r="D4251">
            <v>40908</v>
          </cell>
        </row>
        <row r="4252">
          <cell r="A4252">
            <v>526300</v>
          </cell>
          <cell r="B4252" t="str">
            <v>מכר</v>
          </cell>
          <cell r="C4252" t="str">
            <v>מכר ארעית-פירוק תחמ"ש ארעית</v>
          </cell>
          <cell r="D4252">
            <v>41091</v>
          </cell>
        </row>
        <row r="4253">
          <cell r="A4253">
            <v>336081</v>
          </cell>
          <cell r="B4253" t="str">
            <v>מכון ויצמן</v>
          </cell>
          <cell r="C4253" t="str">
            <v>מכון ויצמן- בוטל-הקמת תחמ"ש פרטית</v>
          </cell>
          <cell r="D4253">
            <v>43098</v>
          </cell>
        </row>
        <row r="4254">
          <cell r="A4254" t="str">
            <v>WBM-10400</v>
          </cell>
          <cell r="B4254" t="str">
            <v>מכולה לגריטה במחסן רוטנברג</v>
          </cell>
          <cell r="C4254" t="str">
            <v>מכולה לגריטה ברוטנברג-פירוק  3 הגנות</v>
          </cell>
          <cell r="D4254">
            <v>46476</v>
          </cell>
        </row>
        <row r="4255">
          <cell r="A4255" t="str">
            <v>HIS-007</v>
          </cell>
          <cell r="B4255" t="str">
            <v>מכבית</v>
          </cell>
          <cell r="C4255" t="str">
            <v>מכבית ארעית</v>
          </cell>
          <cell r="D4255">
            <v>40908</v>
          </cell>
        </row>
        <row r="4256">
          <cell r="A4256" t="str">
            <v>WBM-00071</v>
          </cell>
          <cell r="B4256" t="str">
            <v>מכבית</v>
          </cell>
          <cell r="C4256" t="str">
            <v>מכבית ארעית-פירוק תחמ"ש ארעית</v>
          </cell>
          <cell r="D4256">
            <v>46326</v>
          </cell>
        </row>
        <row r="4257">
          <cell r="A4257" t="str">
            <v>WBM-01270</v>
          </cell>
          <cell r="B4257" t="str">
            <v>מכבית</v>
          </cell>
          <cell r="C4257" t="str">
            <v>מכבית-החלפת סלילי כיבוי בנגד ראשוני</v>
          </cell>
          <cell r="D4257">
            <v>43846</v>
          </cell>
        </row>
        <row r="4258">
          <cell r="A4258" t="str">
            <v>WBG-060-005</v>
          </cell>
          <cell r="B4258" t="str">
            <v>מכבית</v>
          </cell>
          <cell r="C4258" t="str">
            <v>מכבית ארעית-התקנת מערכת מניה</v>
          </cell>
          <cell r="D4258">
            <v>41070</v>
          </cell>
        </row>
        <row r="4259">
          <cell r="A4259" t="str">
            <v>0243379</v>
          </cell>
          <cell r="B4259" t="str">
            <v>מכבית</v>
          </cell>
          <cell r="C4259" t="str">
            <v>מכבית - התקנת רושם הפרעות</v>
          </cell>
          <cell r="D4259">
            <v>36164</v>
          </cell>
        </row>
        <row r="4260">
          <cell r="A4260" t="str">
            <v>WBM-00072</v>
          </cell>
          <cell r="B4260" t="str">
            <v>מכבית</v>
          </cell>
          <cell r="C4260" t="str">
            <v>מכבית ארעית - התקנת ארון ז"י 48 וולט</v>
          </cell>
          <cell r="D4260">
            <v>41912</v>
          </cell>
        </row>
        <row r="4261">
          <cell r="A4261" t="str">
            <v>WBG-060-008</v>
          </cell>
          <cell r="B4261" t="str">
            <v>מכבית</v>
          </cell>
          <cell r="C4261" t="str">
            <v>מכבית ארעית-הפעלת 48 וולט ז"י וצי.תקשורת</v>
          </cell>
          <cell r="D4261">
            <v>41029</v>
          </cell>
        </row>
        <row r="4262">
          <cell r="A4262">
            <v>536301</v>
          </cell>
          <cell r="B4262" t="str">
            <v>מכבית</v>
          </cell>
          <cell r="C4262" t="str">
            <v>מכבית ארעית-החלפת מערכת התראה בטחונית</v>
          </cell>
          <cell r="D4262">
            <v>40086</v>
          </cell>
        </row>
        <row r="4263">
          <cell r="A4263" t="str">
            <v>WBG-060-004</v>
          </cell>
          <cell r="B4263" t="str">
            <v>מכבית</v>
          </cell>
          <cell r="C4263" t="str">
            <v>מכבית ארעית-התקנת תקשורת מנהלתית</v>
          </cell>
          <cell r="D4263">
            <v>40332</v>
          </cell>
        </row>
        <row r="4264">
          <cell r="A4264" t="str">
            <v>WBG-060-006</v>
          </cell>
          <cell r="B4264" t="str">
            <v>מכבית</v>
          </cell>
          <cell r="C4264" t="str">
            <v>מכבית ארעית-התקנת ארון ז"י 48 וולט</v>
          </cell>
          <cell r="D4264">
            <v>40332</v>
          </cell>
        </row>
        <row r="4265">
          <cell r="A4265" t="str">
            <v>WBM-10130</v>
          </cell>
          <cell r="B4265" t="str">
            <v>מכבית</v>
          </cell>
          <cell r="C4265" t="str">
            <v>מכבית - בוטל =הוספת מדידת מתח משולש פתוח במסדרי</v>
          </cell>
          <cell r="D4265">
            <v>44197</v>
          </cell>
        </row>
        <row r="4266">
          <cell r="A4266">
            <v>366303</v>
          </cell>
          <cell r="B4266" t="str">
            <v>מכבית</v>
          </cell>
          <cell r="C4266" t="str">
            <v>מכבית ארעית-החלפת 2 סלילי כיבוי(521,522)</v>
          </cell>
          <cell r="D4266">
            <v>40374</v>
          </cell>
        </row>
        <row r="4267">
          <cell r="A4267" t="str">
            <v>WBG-060-007</v>
          </cell>
          <cell r="B4267" t="str">
            <v>מכבית</v>
          </cell>
          <cell r="C4267" t="str">
            <v>מכבית ארעית-הוספת הגנה דיפ' עם תקשורת OM</v>
          </cell>
          <cell r="D4267">
            <v>41333</v>
          </cell>
        </row>
        <row r="4268">
          <cell r="A4268">
            <v>536310</v>
          </cell>
          <cell r="B4268" t="str">
            <v>מכבית</v>
          </cell>
          <cell r="C4268" t="str">
            <v>מכבית ארעית-התקנת תמסורת תפעולית ומרבב</v>
          </cell>
          <cell r="D4268">
            <v>41402</v>
          </cell>
        </row>
        <row r="4269">
          <cell r="A4269" t="str">
            <v>WBM-00362</v>
          </cell>
          <cell r="B4269" t="str">
            <v>מכבית</v>
          </cell>
          <cell r="C4269" t="str">
            <v>מכבית ארעית-בוטל-יישום השלת עומס שד.5</v>
          </cell>
          <cell r="D4269">
            <v>41467</v>
          </cell>
        </row>
        <row r="4270">
          <cell r="A4270" t="str">
            <v>WBM-40295-004</v>
          </cell>
          <cell r="B4270" t="str">
            <v>מכבית</v>
          </cell>
          <cell r="C4270" t="str">
            <v>מכבית-החלפת סוללת מצברים 2021</v>
          </cell>
          <cell r="D4270">
            <v>45575</v>
          </cell>
        </row>
        <row r="4271">
          <cell r="A4271" t="str">
            <v>WBM-10627</v>
          </cell>
          <cell r="B4271" t="str">
            <v>מכבית</v>
          </cell>
          <cell r="C4271" t="str">
            <v>מכבית- בוטל שדה 5, משיק לבארות יצחק שדה 10. התקנת הגנת דיפרנציאלית והגנת מרחק. יישום דרך קשר אופטית בין הגנות.</v>
          </cell>
          <cell r="D4271">
            <v>45594</v>
          </cell>
        </row>
        <row r="4272">
          <cell r="A4272" t="str">
            <v>79999-12</v>
          </cell>
          <cell r="B4272" t="str">
            <v>מישור רותם</v>
          </cell>
          <cell r="C4272" t="str">
            <v>OPC מישור רותם-קליטת תח"כ בהספק של 440 מ</v>
          </cell>
          <cell r="D4272">
            <v>41357</v>
          </cell>
        </row>
        <row r="4273">
          <cell r="A4273" t="str">
            <v>WBJ-007</v>
          </cell>
          <cell r="B4273" t="str">
            <v>מישור רותם</v>
          </cell>
          <cell r="C4273" t="str">
            <v>מישור רותם-הקמת תחמ"ג 400/161 ק"ו,575*2</v>
          </cell>
          <cell r="D4273">
            <v>55091</v>
          </cell>
        </row>
        <row r="4274">
          <cell r="A4274">
            <v>9985200</v>
          </cell>
          <cell r="B4274" t="str">
            <v>מי''ה (סדום דרום)</v>
          </cell>
          <cell r="C4274" t="str">
            <v>מי"ה(סדום דרום)-קליטת תח"כ  בסדום דרום</v>
          </cell>
          <cell r="D4274">
            <v>43342</v>
          </cell>
        </row>
        <row r="4275">
          <cell r="A4275" t="str">
            <v>WBM-10638</v>
          </cell>
          <cell r="B4275" t="str">
            <v>מי''ה (סדום דרום)</v>
          </cell>
          <cell r="C4275" t="str">
            <v>סדום דרום- התאמת תיילים - מהדקים - פורטל WBO-813</v>
          </cell>
          <cell r="D4275">
            <v>47117</v>
          </cell>
        </row>
        <row r="4276">
          <cell r="A4276">
            <v>900019</v>
          </cell>
          <cell r="B4276" t="str">
            <v>מטרו פארק אריאל שרון</v>
          </cell>
          <cell r="C4276" t="str">
            <v>מטרו פארק אריאל שרון-DSS07-הקמת תחמ"ש פרטית</v>
          </cell>
          <cell r="D4276">
            <v>47694</v>
          </cell>
        </row>
        <row r="4277">
          <cell r="A4277">
            <v>900018</v>
          </cell>
          <cell r="B4277" t="str">
            <v>מטרו חולון</v>
          </cell>
          <cell r="C4277" t="str">
            <v>מטרו חולון -DSS05-הקמת תחמ"ש פרטית</v>
          </cell>
          <cell r="D4277">
            <v>48151</v>
          </cell>
        </row>
        <row r="4278">
          <cell r="A4278" t="str">
            <v>WBE-292</v>
          </cell>
          <cell r="B4278" t="str">
            <v>מטרו הראשונים - תחמ"ש</v>
          </cell>
          <cell r="C4278" t="str">
            <v>מטרו הראשונים- DSS06- חח"י-הוספת 2 שנאים 161/24 ק"ו, 75 מגוו"א כ"א</v>
          </cell>
          <cell r="D4278">
            <v>48213</v>
          </cell>
        </row>
        <row r="4279">
          <cell r="A4279">
            <v>900007</v>
          </cell>
          <cell r="B4279" t="str">
            <v>מטרו הראשונים</v>
          </cell>
          <cell r="C4279" t="str">
            <v>מטרו הראשונים- DSS06 - הקמת תחמ"ש פרטית</v>
          </cell>
          <cell r="D4279">
            <v>48213</v>
          </cell>
        </row>
        <row r="4280">
          <cell r="A4280" t="str">
            <v>WBE-291</v>
          </cell>
          <cell r="B4280" t="str">
            <v>מטרו גלילות - תחמ"ש</v>
          </cell>
          <cell r="C4280" t="str">
            <v>מטרו גלילות- חח"י-הוספת 2 שנאים 161/24 ק"ו, 75 מגוו"א כ"א</v>
          </cell>
          <cell r="D4280">
            <v>48760</v>
          </cell>
        </row>
        <row r="4281">
          <cell r="A4281">
            <v>900017</v>
          </cell>
          <cell r="B4281" t="str">
            <v>מטרו גלילות</v>
          </cell>
          <cell r="C4281" t="str">
            <v>מטרו גלילות-DSS02-הקמת תחמ"ש פרטית</v>
          </cell>
          <cell r="D4281">
            <v>48760</v>
          </cell>
        </row>
        <row r="4282">
          <cell r="A4282" t="str">
            <v>WBC-132</v>
          </cell>
          <cell r="B4282" t="str">
            <v>מטווח 24 (מתחם 2000)</v>
          </cell>
          <cell r="C4282" t="str">
            <v>מטווח 24 (מתחם 2000)- קידום סטטוטורי בלבד של הקמת תחמ"ש פנימית 161/24 ק"ו</v>
          </cell>
          <cell r="D4282">
            <v>47786</v>
          </cell>
        </row>
        <row r="4283">
          <cell r="A4283" t="str">
            <v>WBN-021</v>
          </cell>
          <cell r="B4283" t="str">
            <v>מחלף חדרה מזרח כביש 65</v>
          </cell>
          <cell r="C4283" t="str">
            <v>מוקפא, מחלף חדרה מזרח כביש 65-עע"א-העתקת קו 400 ק"ו-עמודים 40396-40398</v>
          </cell>
        </row>
        <row r="4284">
          <cell r="A4284" t="str">
            <v>WBO-334</v>
          </cell>
          <cell r="B4284" t="str">
            <v>מחלף חדרה מזרח כביש 65</v>
          </cell>
          <cell r="C4284" t="str">
            <v>מוקפא, מחלף חדרה מזרח כביש 65-עע"א-העתקת קו 161 ק"ו, עמודים 6365-6364</v>
          </cell>
        </row>
        <row r="4285">
          <cell r="A4285" t="str">
            <v>WBM-10784</v>
          </cell>
          <cell r="B4285" t="str">
            <v>מחז"מ חיפה - תחמ"ש</v>
          </cell>
          <cell r="C4285" t="str">
            <v>מחז"מ חיפה – משיק לקישון שדה 25, התקנת הגנת מרחק והגנה דיפרציאלית בשדה 9</v>
          </cell>
          <cell r="D4285">
            <v>46356</v>
          </cell>
        </row>
        <row r="4286">
          <cell r="B4286" t="str">
            <v>מחז"מ חיפה - תחמ"ש</v>
          </cell>
          <cell r="C4286" t="str">
            <v>מחז"מ חיפה תחמ"ש –בוטל -  משיק לקישון שדה 25, התקנת הגנת מרחק  והגנה דיפרנציאלית בשדה 1</v>
          </cell>
        </row>
        <row r="4287">
          <cell r="A4287" t="str">
            <v>WBM-10786</v>
          </cell>
          <cell r="B4287" t="str">
            <v>מחז"מ חיפה - תחמ"ש</v>
          </cell>
          <cell r="C4287" t="str">
            <v>תחמ"ש מחז"מ חיפה -  משיק לקישון שדה 20, התקנת הגנת מרחק והגנה דיפרנציאלית בשדה 8</v>
          </cell>
          <cell r="D4287">
            <v>46295</v>
          </cell>
        </row>
        <row r="4288">
          <cell r="A4288" t="str">
            <v>WBM-80006-002</v>
          </cell>
          <cell r="B4288" t="str">
            <v>מחוז חיפה</v>
          </cell>
          <cell r="C4288" t="str">
            <v>תחנת הכח חיפה - החלפת טכ' מרבבי MP2  לתק</v>
          </cell>
          <cell r="D4288">
            <v>47934</v>
          </cell>
        </row>
        <row r="4289">
          <cell r="A4289" t="str">
            <v>HIS-137</v>
          </cell>
          <cell r="B4289" t="str">
            <v>מוצא</v>
          </cell>
          <cell r="C4289" t="str">
            <v>מוצא  ניידת</v>
          </cell>
          <cell r="D4289">
            <v>40908</v>
          </cell>
        </row>
        <row r="4290">
          <cell r="A4290" t="str">
            <v>WBM-00296</v>
          </cell>
          <cell r="B4290" t="str">
            <v>מוצא</v>
          </cell>
          <cell r="C4290" t="str">
            <v>מוצא-פירוק תחמ"ש ניידת</v>
          </cell>
          <cell r="D4290">
            <v>42480</v>
          </cell>
        </row>
        <row r="4291">
          <cell r="A4291" t="str">
            <v>WBC-202</v>
          </cell>
          <cell r="B4291" t="str">
            <v>מולדה</v>
          </cell>
          <cell r="C4291" t="str">
            <v>מולדה-מוקפא-הקמת תחנת משנה חיצונית 161/24 ק"ו, 50*2 מגוו"א</v>
          </cell>
          <cell r="D4291">
            <v>49674</v>
          </cell>
        </row>
        <row r="4292">
          <cell r="A4292" t="str">
            <v>WBC-108</v>
          </cell>
          <cell r="B4292" t="str">
            <v>מודיעין מערב</v>
          </cell>
          <cell r="C4292" t="str">
            <v>מודיעין מערב-הקמת תחמ"ש חיצונית 161/24</v>
          </cell>
          <cell r="D4292">
            <v>51439</v>
          </cell>
        </row>
        <row r="4293">
          <cell r="A4293" t="str">
            <v>WBM-40295-018</v>
          </cell>
          <cell r="B4293" t="str">
            <v>מודיעין מערב</v>
          </cell>
          <cell r="C4293" t="str">
            <v>מודיעין -החלפת סוללת מצברים 2021</v>
          </cell>
          <cell r="D4293">
            <v>45607</v>
          </cell>
        </row>
        <row r="4294">
          <cell r="A4294">
            <v>900041</v>
          </cell>
          <cell r="B4294" t="str">
            <v>מודיעין SDS</v>
          </cell>
          <cell r="C4294" t="str">
            <v>מודיעין SDS-הקמת תחמ"ש פרטית-חוות שרתים</v>
          </cell>
          <cell r="D4294">
            <v>46843</v>
          </cell>
        </row>
        <row r="4295">
          <cell r="A4295" t="str">
            <v>HIS-105</v>
          </cell>
          <cell r="B4295" t="str">
            <v>מודיעין</v>
          </cell>
          <cell r="C4295" t="str">
            <v>מודיעין</v>
          </cell>
          <cell r="D4295">
            <v>40908</v>
          </cell>
        </row>
        <row r="4296">
          <cell r="A4296" t="str">
            <v>WBE-126</v>
          </cell>
          <cell r="B4296" t="str">
            <v>מודיעין</v>
          </cell>
          <cell r="C4296" t="str">
            <v>מודיעין-התקנת שנאי (526) 50 מגוו"א</v>
          </cell>
          <cell r="D4296">
            <v>44942</v>
          </cell>
        </row>
        <row r="4297">
          <cell r="A4297" t="str">
            <v>WBM-01269</v>
          </cell>
          <cell r="B4297" t="str">
            <v>מודיעין</v>
          </cell>
          <cell r="C4297" t="str">
            <v>מודיעין-החלפת סלילי כיבוי בנגד ראשוני</v>
          </cell>
          <cell r="D4297">
            <v>43790</v>
          </cell>
        </row>
        <row r="4298">
          <cell r="A4298" t="str">
            <v>WBM-70027</v>
          </cell>
          <cell r="B4298" t="str">
            <v>מודיעין</v>
          </cell>
          <cell r="C4298" t="str">
            <v>מודיעין–התקנת ס"ק לשנאים 524, 526</v>
          </cell>
          <cell r="D4298">
            <v>46568</v>
          </cell>
        </row>
        <row r="4299">
          <cell r="A4299" t="str">
            <v>WBM-00294</v>
          </cell>
          <cell r="B4299" t="str">
            <v>מודיעין</v>
          </cell>
          <cell r="C4299" t="str">
            <v>מודיעין-התקנת ס"ק-שנאי 523, 5*2 מגווא"ר</v>
          </cell>
          <cell r="D4299">
            <v>44564</v>
          </cell>
        </row>
        <row r="4300">
          <cell r="A4300" t="str">
            <v>WBM-01382</v>
          </cell>
          <cell r="B4300" t="str">
            <v>מודיעין</v>
          </cell>
          <cell r="C4300" t="str">
            <v>מודיעין- בוטל-התקנת ס"ק לשנאי 524</v>
          </cell>
          <cell r="D4300">
            <v>44377</v>
          </cell>
        </row>
        <row r="4301">
          <cell r="A4301" t="str">
            <v>WBM-10129</v>
          </cell>
          <cell r="B4301" t="str">
            <v>מודיעין</v>
          </cell>
          <cell r="C4301" t="str">
            <v>מודיעין - הוספת מדידת מתח משולש פתוח במסד</v>
          </cell>
          <cell r="D4301">
            <v>45914</v>
          </cell>
        </row>
        <row r="4302">
          <cell r="A4302" t="str">
            <v>WBM-00070</v>
          </cell>
          <cell r="B4302" t="str">
            <v>מודיעין</v>
          </cell>
          <cell r="C4302" t="str">
            <v>מודיעין-איטום בורות ספיגה</v>
          </cell>
          <cell r="D4302">
            <v>43465</v>
          </cell>
        </row>
        <row r="4303">
          <cell r="A4303" t="str">
            <v>WBM-01180</v>
          </cell>
          <cell r="B4303" t="str">
            <v>מודיעין</v>
          </cell>
          <cell r="C4303" t="str">
            <v>מודיעין-שדרוג הגנות מרחק בשדה 9</v>
          </cell>
          <cell r="D4303">
            <v>43314</v>
          </cell>
        </row>
        <row r="4304">
          <cell r="A4304" t="str">
            <v>WBM-01069</v>
          </cell>
          <cell r="B4304" t="str">
            <v>מודיעין</v>
          </cell>
          <cell r="C4304" t="str">
            <v>מודיעין-שיפור אוטומצית ס"כ ושנאים</v>
          </cell>
          <cell r="D4304">
            <v>42673</v>
          </cell>
        </row>
        <row r="4305">
          <cell r="A4305" t="str">
            <v>WBG-059-004</v>
          </cell>
          <cell r="B4305" t="str">
            <v>מודיעין</v>
          </cell>
          <cell r="C4305" t="str">
            <v>מודיעין-החלפת מערכת התראה בטחונית</v>
          </cell>
          <cell r="D4305">
            <v>41835</v>
          </cell>
        </row>
        <row r="4306">
          <cell r="A4306" t="str">
            <v>WBM-00649</v>
          </cell>
          <cell r="B4306" t="str">
            <v>מודיעין</v>
          </cell>
          <cell r="C4306" t="str">
            <v>מודיעין-התקנת הגנת מרחק שנייה בשדות 9,11</v>
          </cell>
          <cell r="D4306">
            <v>41835</v>
          </cell>
        </row>
        <row r="4307">
          <cell r="A4307" t="str">
            <v>WBM-00784</v>
          </cell>
          <cell r="B4307" t="str">
            <v>מודיעין</v>
          </cell>
          <cell r="C4307" t="str">
            <v>מודיעין-הוספת סוללת מצברים 220 וולט.</v>
          </cell>
          <cell r="D4307">
            <v>41697</v>
          </cell>
        </row>
        <row r="4308">
          <cell r="A4308" t="str">
            <v>WBG-059-022</v>
          </cell>
          <cell r="B4308" t="str">
            <v>מודיעין</v>
          </cell>
          <cell r="C4308" t="str">
            <v>מודיעין-פירוק הגנה למרחק בשדה מס' 5</v>
          </cell>
          <cell r="D4308">
            <v>41638</v>
          </cell>
        </row>
        <row r="4309">
          <cell r="A4309" t="str">
            <v>WBG-059-020</v>
          </cell>
          <cell r="B4309" t="str">
            <v>מודיעין</v>
          </cell>
          <cell r="C4309" t="str">
            <v>מודיעין-התקנת מערכת טמ"ס</v>
          </cell>
          <cell r="D4309">
            <v>41274</v>
          </cell>
        </row>
        <row r="4310">
          <cell r="A4310" t="str">
            <v>WBG-059-013</v>
          </cell>
          <cell r="B4310" t="str">
            <v>מודיעין</v>
          </cell>
          <cell r="C4310" t="str">
            <v>מודיעין-החלפת הממסר להשלת עומס לפי תדר</v>
          </cell>
          <cell r="D4310">
            <v>41101</v>
          </cell>
        </row>
        <row r="4311">
          <cell r="A4311" t="str">
            <v>WBG-059-010</v>
          </cell>
          <cell r="B4311" t="str">
            <v>מודיעין</v>
          </cell>
          <cell r="C4311" t="str">
            <v>מודיעין-הקמת רשת מחשבים תפעולית</v>
          </cell>
          <cell r="D4311">
            <v>41029</v>
          </cell>
        </row>
        <row r="4312">
          <cell r="A4312">
            <v>532834</v>
          </cell>
          <cell r="B4312" t="str">
            <v>מודיעין</v>
          </cell>
          <cell r="C4312" t="str">
            <v>מודיעין - החלפת גשרי דיודות</v>
          </cell>
          <cell r="D4312">
            <v>42185</v>
          </cell>
        </row>
        <row r="4313">
          <cell r="A4313" t="str">
            <v>WBG-059-012</v>
          </cell>
          <cell r="B4313" t="str">
            <v>מודיעין</v>
          </cell>
          <cell r="C4313" t="str">
            <v>מודיעין-שדרוג הגנת מרחק בשדה 3 כחול לגזר</v>
          </cell>
          <cell r="D4313">
            <v>40420</v>
          </cell>
        </row>
        <row r="4314">
          <cell r="A4314">
            <v>532830</v>
          </cell>
          <cell r="B4314" t="str">
            <v>מודיעין</v>
          </cell>
          <cell r="C4314" t="str">
            <v>מודיעין-התקנת מאווררים בארונות פיקוד</v>
          </cell>
          <cell r="D4314">
            <v>40311</v>
          </cell>
        </row>
        <row r="4315">
          <cell r="A4315" t="str">
            <v>WBM-00493</v>
          </cell>
          <cell r="B4315" t="str">
            <v>מודיעין</v>
          </cell>
          <cell r="C4315" t="str">
            <v>מודיעין-הזנת תאורת חירום ז"י</v>
          </cell>
          <cell r="D4315">
            <v>46751</v>
          </cell>
        </row>
        <row r="4316">
          <cell r="A4316" t="str">
            <v>WBM-40112</v>
          </cell>
          <cell r="B4316" t="str">
            <v>מודיעין</v>
          </cell>
          <cell r="C4316" t="str">
            <v>מודיעין-החלפת  2 הגנת שנאי</v>
          </cell>
          <cell r="D4316">
            <v>46568</v>
          </cell>
        </row>
        <row r="4317">
          <cell r="A4317" t="str">
            <v>WBM-10057</v>
          </cell>
          <cell r="B4317" t="str">
            <v>מודיעין</v>
          </cell>
          <cell r="C4317" t="str">
            <v>מודיעין -בוטל- החלפת גשרי דיודות</v>
          </cell>
          <cell r="D4317">
            <v>43769</v>
          </cell>
        </row>
        <row r="4318">
          <cell r="A4318" t="str">
            <v>WBM-01121</v>
          </cell>
          <cell r="B4318" t="str">
            <v>מודיעין</v>
          </cell>
          <cell r="C4318" t="str">
            <v>מודיעין -בוטל- שיפור אוטומטיקת ס. כיבוי</v>
          </cell>
          <cell r="D4318">
            <v>42709</v>
          </cell>
        </row>
        <row r="4319">
          <cell r="A4319" t="str">
            <v>0243204</v>
          </cell>
          <cell r="B4319" t="str">
            <v>מודיעין</v>
          </cell>
          <cell r="C4319" t="str">
            <v>מודיעין- בוטל - החלפת מערכת SCS</v>
          </cell>
        </row>
        <row r="4320">
          <cell r="A4320" t="str">
            <v>WBD-058</v>
          </cell>
          <cell r="B4320" t="str">
            <v>מודיעין</v>
          </cell>
          <cell r="C4320" t="str">
            <v>מודיעין-בוטל-הצבת תחמ"ש ניידת</v>
          </cell>
          <cell r="D4320">
            <v>42152</v>
          </cell>
        </row>
        <row r="4321">
          <cell r="A4321" t="str">
            <v>WBE-084</v>
          </cell>
          <cell r="B4321" t="str">
            <v>מודיעין</v>
          </cell>
          <cell r="C4321" t="str">
            <v>מודיעין-התקנת שנאי רביעי 50 מגו"א-ר.שלבי</v>
          </cell>
          <cell r="D4321">
            <v>43669</v>
          </cell>
        </row>
        <row r="4322">
          <cell r="A4322" t="str">
            <v>WBE-084-ST2</v>
          </cell>
          <cell r="B4322" t="str">
            <v>מודיעין</v>
          </cell>
          <cell r="C4322" t="str">
            <v>מודיעין- הותקנת מערכת scs לשנאי 524</v>
          </cell>
          <cell r="D4322">
            <v>43669</v>
          </cell>
        </row>
        <row r="4323">
          <cell r="A4323" t="str">
            <v>WBE-084-ST1</v>
          </cell>
          <cell r="B4323" t="str">
            <v>מודיעין</v>
          </cell>
          <cell r="C4323" t="str">
            <v>מודיעין-התקנת שנאי רביעי 50 מגוו"א</v>
          </cell>
          <cell r="D4323">
            <v>42708</v>
          </cell>
        </row>
        <row r="4324">
          <cell r="A4324" t="str">
            <v>WBM-00985</v>
          </cell>
          <cell r="B4324" t="str">
            <v>מודיעין</v>
          </cell>
          <cell r="C4324" t="str">
            <v>מודיעין-בוטל-התקנת 3 סלילי כיבוי 24 ק"ו</v>
          </cell>
          <cell r="D4324">
            <v>42165</v>
          </cell>
        </row>
        <row r="4325">
          <cell r="A4325" t="str">
            <v>WBM-01058</v>
          </cell>
          <cell r="B4325" t="str">
            <v>מודיעין</v>
          </cell>
          <cell r="C4325" t="str">
            <v>מודיעין-החלפת הגנת מרחק בדיפרנציאלית,5</v>
          </cell>
          <cell r="D4325">
            <v>43128</v>
          </cell>
        </row>
        <row r="4326">
          <cell r="A4326" t="str">
            <v>WBM-00295</v>
          </cell>
          <cell r="B4326" t="str">
            <v>מודיעין</v>
          </cell>
          <cell r="C4326" t="str">
            <v>מודיעין-שדרוג הגנת מרחק בשדה 3 כחול לגזר</v>
          </cell>
          <cell r="D4326">
            <v>46476</v>
          </cell>
        </row>
        <row r="4327">
          <cell r="A4327" t="str">
            <v>WBM-10315-058</v>
          </cell>
          <cell r="B4327" t="str">
            <v>מודיעין</v>
          </cell>
          <cell r="C4327" t="str">
            <v>מודיעין- התקנת מזגנים</v>
          </cell>
          <cell r="D4327">
            <v>46133</v>
          </cell>
        </row>
        <row r="4328">
          <cell r="A4328" t="str">
            <v>WBM-20004-008</v>
          </cell>
          <cell r="B4328" t="str">
            <v>מודיעין</v>
          </cell>
          <cell r="C4328" t="str">
            <v>מודיעין- התקנת מונורייל</v>
          </cell>
          <cell r="D4328">
            <v>46386</v>
          </cell>
        </row>
        <row r="4329">
          <cell r="A4329" t="str">
            <v>WBM-40479-016</v>
          </cell>
          <cell r="B4329" t="str">
            <v>מודיעין</v>
          </cell>
          <cell r="C4329" t="str">
            <v>מודיעין-החלפת בקר טמפ' וגובה שמן בשנאי</v>
          </cell>
          <cell r="D4329">
            <v>47847</v>
          </cell>
        </row>
        <row r="4330">
          <cell r="A4330" t="str">
            <v>WBM-60008-046</v>
          </cell>
          <cell r="B4330" t="str">
            <v>מודיעין</v>
          </cell>
          <cell r="C4330" t="str">
            <v>מודעין -  התקנת מערכת מיגון בתחמ"ש</v>
          </cell>
          <cell r="D4330">
            <v>45741</v>
          </cell>
        </row>
        <row r="4331">
          <cell r="A4331" t="str">
            <v>WBM-60107-017</v>
          </cell>
          <cell r="B4331" t="str">
            <v>מודיעין</v>
          </cell>
          <cell r="C4331" t="str">
            <v>מודעין - החלפת מנעולים אלק.מגנטיים באלק.</v>
          </cell>
          <cell r="D4331">
            <v>45627</v>
          </cell>
        </row>
        <row r="4332">
          <cell r="A4332" t="str">
            <v>WBM-60116-023</v>
          </cell>
          <cell r="B4332" t="str">
            <v>מודיעין</v>
          </cell>
          <cell r="C4332" t="str">
            <v>מודעין - שידרוג גלאים בתחנות משנה ומיתוג</v>
          </cell>
          <cell r="D4332">
            <v>46721</v>
          </cell>
        </row>
        <row r="4333">
          <cell r="A4333" t="str">
            <v>WBM-60130-002</v>
          </cell>
          <cell r="B4333" t="str">
            <v>מודיעין</v>
          </cell>
          <cell r="C4333" t="str">
            <v>מודיעין -התקנת מפסק פטריה להפסקת מערכת החשמל בחירום</v>
          </cell>
          <cell r="D4333">
            <v>46568</v>
          </cell>
        </row>
        <row r="4334">
          <cell r="A4334" t="str">
            <v>WBE-281</v>
          </cell>
          <cell r="B4334" t="str">
            <v>מודיעין</v>
          </cell>
          <cell r="C4334" t="str">
            <v>מודיעין – התקנת שנאי שישי 161/24 ק"ו, 50 מגוו"א, מס' 525.</v>
          </cell>
          <cell r="D4334">
            <v>46477</v>
          </cell>
        </row>
        <row r="4335">
          <cell r="A4335" t="str">
            <v>WBM-10729</v>
          </cell>
          <cell r="B4335" t="str">
            <v>מודיעין</v>
          </cell>
          <cell r="C4335" t="str">
            <v>מודיעין- משיק שער הגיא ש 3, התקנת הגנה דיפרנציאלית  ויישום דרך קשר אופטית בשדה 11</v>
          </cell>
          <cell r="D4335">
            <v>46203</v>
          </cell>
        </row>
        <row r="4336">
          <cell r="A4336" t="str">
            <v>WBM-10759</v>
          </cell>
          <cell r="B4336" t="str">
            <v>מודיעין</v>
          </cell>
          <cell r="C4336" t="str">
            <v>מודיעין – אינטגרציה של מסדרי מ"ג קיימים למערכת ה-SCS. משיק ל-WBE-281.</v>
          </cell>
          <cell r="D4336">
            <v>46387</v>
          </cell>
        </row>
        <row r="4337">
          <cell r="A4337" t="str">
            <v>WBM-40637-032</v>
          </cell>
          <cell r="B4337" t="str">
            <v>מודיעין</v>
          </cell>
          <cell r="C4337" t="str">
            <v>מודיעין-החלפת רושמי הפרעות קיימים מדגם IDM-T3 לרושמים חדשים מדגם IDM+</v>
          </cell>
          <cell r="D4337">
            <v>47118</v>
          </cell>
        </row>
        <row r="4338">
          <cell r="A4338" t="str">
            <v>WBE-302</v>
          </cell>
          <cell r="B4338" t="str">
            <v>מודיעין</v>
          </cell>
          <cell r="C4338" t="str">
            <v>מודיעין-הקמת שני שדות 1 ו-13</v>
          </cell>
          <cell r="D4338">
            <v>46843</v>
          </cell>
        </row>
        <row r="4339">
          <cell r="A4339">
            <v>900048</v>
          </cell>
          <cell r="B4339" t="str">
            <v>מדבר ירוק</v>
          </cell>
          <cell r="C4339" t="str">
            <v>מדבר ירוק - קליטת מסדר מיתוג 400 ק"ו</v>
          </cell>
          <cell r="D4339">
            <v>47848</v>
          </cell>
        </row>
        <row r="4340">
          <cell r="A4340">
            <v>900031</v>
          </cell>
          <cell r="B4340" t="str">
            <v>מגן</v>
          </cell>
          <cell r="C4340" t="str">
            <v>מגן-קליטת מתקן אגירה SA במ"ע בהספק של 150 מגאווט</v>
          </cell>
          <cell r="D4340">
            <v>46783</v>
          </cell>
        </row>
        <row r="4341">
          <cell r="A4341" t="str">
            <v>HIS-104</v>
          </cell>
          <cell r="B4341" t="str">
            <v>מגדל העמק</v>
          </cell>
          <cell r="C4341" t="str">
            <v>מגדל העמק</v>
          </cell>
          <cell r="D4341">
            <v>40908</v>
          </cell>
        </row>
        <row r="4342">
          <cell r="A4342" t="str">
            <v>WBM-00293</v>
          </cell>
          <cell r="B4342" t="str">
            <v>מגדל העמק</v>
          </cell>
          <cell r="C4342" t="str">
            <v>מגדל העמק-התקנת  2 ס"ק 5*2 מגווא"ר כ"א.</v>
          </cell>
          <cell r="D4342">
            <v>46842</v>
          </cell>
        </row>
        <row r="4343">
          <cell r="A4343" t="str">
            <v>WBM-40111</v>
          </cell>
          <cell r="B4343" t="str">
            <v>מגדל העמק</v>
          </cell>
          <cell r="C4343" t="str">
            <v>מגדל העמק - החלפת 24 הגנות מ"ג 7SJ512</v>
          </cell>
          <cell r="D4343">
            <v>46752</v>
          </cell>
        </row>
        <row r="4344">
          <cell r="A4344" t="str">
            <v>WBM-00490</v>
          </cell>
          <cell r="B4344" t="str">
            <v>מגדל העמק</v>
          </cell>
          <cell r="C4344" t="str">
            <v>מגדל העמק-הזנת תאורת חירום ז"י.</v>
          </cell>
          <cell r="D4344">
            <v>46752</v>
          </cell>
        </row>
        <row r="4345">
          <cell r="A4345" t="str">
            <v>WBM-60068</v>
          </cell>
          <cell r="B4345" t="str">
            <v>מגדל העמק</v>
          </cell>
          <cell r="C4345" t="str">
            <v>מגדל העמק - עיגון ארונות פיקוד ושנאים</v>
          </cell>
          <cell r="D4345">
            <v>46961</v>
          </cell>
        </row>
        <row r="4346">
          <cell r="A4346" t="str">
            <v>WBM-01159</v>
          </cell>
          <cell r="B4346" t="str">
            <v>מגדל העמק</v>
          </cell>
          <cell r="C4346" t="str">
            <v>מגדל העמק-יישום דרך קשר שנייה בשדה 3</v>
          </cell>
          <cell r="D4346">
            <v>43709</v>
          </cell>
        </row>
        <row r="4347">
          <cell r="A4347" t="str">
            <v>WBM-00492</v>
          </cell>
          <cell r="B4347" t="str">
            <v>מגדל העמק</v>
          </cell>
          <cell r="C4347" t="str">
            <v>מגדל העמק-התקנת הגנה דיפרנ.שדות  8+3</v>
          </cell>
          <cell r="D4347">
            <v>42635</v>
          </cell>
        </row>
        <row r="4348">
          <cell r="A4348" t="str">
            <v>WBM-00068</v>
          </cell>
          <cell r="B4348" t="str">
            <v>מגדל העמק</v>
          </cell>
          <cell r="C4348" t="str">
            <v>מגדל העמק-הוספת 2 ממרים 220/60 וולט.</v>
          </cell>
          <cell r="D4348">
            <v>41669</v>
          </cell>
        </row>
        <row r="4349">
          <cell r="A4349" t="str">
            <v>WBM-00378</v>
          </cell>
          <cell r="B4349" t="str">
            <v>מגדל העמק</v>
          </cell>
          <cell r="C4349" t="str">
            <v>מגדל העמק-התקנת הגנה דיפרנציאלית שדה 3</v>
          </cell>
          <cell r="D4349">
            <v>41627</v>
          </cell>
        </row>
        <row r="4350">
          <cell r="A4350" t="str">
            <v>WBG-058-004</v>
          </cell>
          <cell r="B4350" t="str">
            <v>מגדל העמק</v>
          </cell>
          <cell r="C4350" t="str">
            <v>מגדל העמק -התקנת רושם הפרעות</v>
          </cell>
          <cell r="D4350">
            <v>41574</v>
          </cell>
        </row>
        <row r="4351">
          <cell r="A4351" t="str">
            <v>WBG-058-009</v>
          </cell>
          <cell r="B4351" t="str">
            <v>מגדל העמק</v>
          </cell>
          <cell r="C4351" t="str">
            <v>מגדל העמק-התקנת רכזת לגילוי מימן</v>
          </cell>
          <cell r="D4351">
            <v>41534</v>
          </cell>
        </row>
        <row r="4352">
          <cell r="A4352" t="str">
            <v>WBG-058-014</v>
          </cell>
          <cell r="B4352" t="str">
            <v>מגדל העמק</v>
          </cell>
          <cell r="C4352" t="str">
            <v>מגדל העמק-פתרון בעיית חי.לא מבוקר-ממסרים</v>
          </cell>
          <cell r="D4352">
            <v>41123</v>
          </cell>
        </row>
        <row r="4353">
          <cell r="A4353">
            <v>51020053</v>
          </cell>
          <cell r="B4353" t="str">
            <v>מגדל העמק</v>
          </cell>
          <cell r="C4353" t="str">
            <v>מגדל העמק -שידרוג מערכות פיקוד</v>
          </cell>
          <cell r="D4353">
            <v>42024</v>
          </cell>
        </row>
        <row r="4354">
          <cell r="A4354" t="str">
            <v>WBM-00069</v>
          </cell>
          <cell r="B4354" t="str">
            <v>מגדל העמק</v>
          </cell>
          <cell r="C4354" t="str">
            <v>מגדל העמק - בוטל-התקנת מערכת טמ"ס</v>
          </cell>
          <cell r="D4354">
            <v>41396</v>
          </cell>
        </row>
        <row r="4355">
          <cell r="A4355">
            <v>526107</v>
          </cell>
          <cell r="B4355" t="str">
            <v>מגדל העמק</v>
          </cell>
          <cell r="C4355" t="str">
            <v>מגדל העמק-בוטל-החלפת רכזת התראה בטחונית</v>
          </cell>
          <cell r="D4355">
            <v>38990</v>
          </cell>
        </row>
        <row r="4356">
          <cell r="A4356" t="str">
            <v>WBM-00491</v>
          </cell>
          <cell r="B4356" t="str">
            <v>מגדל העמק</v>
          </cell>
          <cell r="C4356" t="str">
            <v>מגדל העמק -בוטל שיפור מערכת הארקת בתחמ"ש</v>
          </cell>
          <cell r="D4356">
            <v>39798</v>
          </cell>
        </row>
        <row r="4357">
          <cell r="A4357">
            <v>526119</v>
          </cell>
          <cell r="B4357" t="str">
            <v>מגדל העמק</v>
          </cell>
          <cell r="C4357" t="str">
            <v>מגדל העמק-התקנת מאווררים בארונות פיקוד</v>
          </cell>
          <cell r="D4357">
            <v>40311</v>
          </cell>
        </row>
        <row r="4358">
          <cell r="A4358" t="str">
            <v>WBM-00067</v>
          </cell>
          <cell r="B4358" t="str">
            <v>מגדל העמק</v>
          </cell>
          <cell r="C4358" t="str">
            <v>מגדל העמק-בוטל-התאמת מע' מים לכיבוי אש</v>
          </cell>
          <cell r="D4358">
            <v>39812</v>
          </cell>
        </row>
        <row r="4359">
          <cell r="A4359" t="str">
            <v>WBG-058-010</v>
          </cell>
          <cell r="B4359" t="str">
            <v>מגדל העמק</v>
          </cell>
          <cell r="C4359" t="str">
            <v>מגדל העמק-עיגון 2 שנאים</v>
          </cell>
          <cell r="D4359">
            <v>40420</v>
          </cell>
        </row>
        <row r="4360">
          <cell r="A4360" t="str">
            <v>WBM-10541</v>
          </cell>
          <cell r="B4360" t="str">
            <v>מגדל העמק</v>
          </cell>
          <cell r="C4360" t="str">
            <v>מגדל העמק- שדה 8, פרוק הגנת מרחק REL316*4DISTAR, משיק ליזרעאל שדה 7</v>
          </cell>
          <cell r="D4360">
            <v>48578</v>
          </cell>
        </row>
        <row r="4361">
          <cell r="A4361" t="str">
            <v>WBM-00885-062</v>
          </cell>
          <cell r="B4361" t="str">
            <v>מגדל העמק</v>
          </cell>
          <cell r="C4361" t="str">
            <v>מגדל העמק - תיקון מערכת המיים</v>
          </cell>
          <cell r="D4361">
            <v>45475</v>
          </cell>
        </row>
        <row r="4362">
          <cell r="A4362" t="str">
            <v>WBM-40295-050</v>
          </cell>
          <cell r="B4362" t="str">
            <v>מגדל העמק</v>
          </cell>
          <cell r="C4362" t="str">
            <v>מגדל העמק - החלפת סוללות מצברים</v>
          </cell>
          <cell r="D4362">
            <v>46721</v>
          </cell>
        </row>
        <row r="4363">
          <cell r="A4363" t="str">
            <v>WBM-60118-016</v>
          </cell>
          <cell r="B4363" t="str">
            <v>מגדל העמק</v>
          </cell>
          <cell r="C4363" t="str">
            <v>מגדל העמק - שיפור מערכת הארקה</v>
          </cell>
          <cell r="D4363">
            <v>46387</v>
          </cell>
        </row>
        <row r="4364">
          <cell r="A4364" t="str">
            <v>WBM-60130-031</v>
          </cell>
          <cell r="B4364" t="str">
            <v>מגדל העמק</v>
          </cell>
          <cell r="C4364" t="str">
            <v>מגדל העמק - התקנת מפסק פטריה להפסקת מערכת החשמל בחירום</v>
          </cell>
          <cell r="D4364">
            <v>46125</v>
          </cell>
        </row>
        <row r="4365">
          <cell r="A4365" t="str">
            <v>WBM-00884-038</v>
          </cell>
          <cell r="B4365" t="str">
            <v>מגדל העמק</v>
          </cell>
          <cell r="C4365" t="str">
            <v>מגדל העמק - שדרוג כללי הכולל החלפת רכזת</v>
          </cell>
          <cell r="D4365">
            <v>45808</v>
          </cell>
        </row>
        <row r="4366">
          <cell r="A4366" t="str">
            <v>WBM-60202-004</v>
          </cell>
          <cell r="B4366" t="str">
            <v>מגדל העמק</v>
          </cell>
          <cell r="C4366" t="str">
            <v>מגדל העמק - החלפת לוח פיקוד משאבות ולוח גוקי בתחמשים</v>
          </cell>
          <cell r="D4366">
            <v>46721</v>
          </cell>
        </row>
        <row r="4367">
          <cell r="A4367" t="str">
            <v>WBM-60116-054</v>
          </cell>
          <cell r="B4367" t="str">
            <v>מגדל העמק</v>
          </cell>
          <cell r="C4367" t="str">
            <v>מגדל העמק- מערכת גילוי וכיבוי אש אוטומטית CERBERUS</v>
          </cell>
          <cell r="D4367">
            <v>46387</v>
          </cell>
        </row>
        <row r="4368">
          <cell r="A4368" t="str">
            <v>WBM-40637-025</v>
          </cell>
          <cell r="B4368" t="str">
            <v>מגדל העמק</v>
          </cell>
          <cell r="C4368" t="str">
            <v>מגדל העמק - החלפת רושמי הפרעות קיימים מדגם IDM-T3 לרושמים חדשים מדגם IDM+</v>
          </cell>
          <cell r="D4368">
            <v>46812</v>
          </cell>
        </row>
        <row r="4369">
          <cell r="A4369" t="str">
            <v>WBJ-019</v>
          </cell>
          <cell r="B4369" t="str">
            <v>מבואות גלבוע</v>
          </cell>
          <cell r="C4369" t="str">
            <v>מבואות גלבוע-קידום סטטוטורי של הקמת תחמ"</v>
          </cell>
          <cell r="D4369">
            <v>45275</v>
          </cell>
        </row>
        <row r="4370">
          <cell r="A4370" t="str">
            <v>WBC-071</v>
          </cell>
          <cell r="B4370" t="str">
            <v>מבוא כרמל</v>
          </cell>
          <cell r="C4370" t="str">
            <v>מבוא כרמל - הקמת תחמ"ש פנימית 161/24 ק"ו</v>
          </cell>
          <cell r="D4370">
            <v>45929</v>
          </cell>
        </row>
        <row r="4371">
          <cell r="A4371" t="str">
            <v>WBD-089-ST1</v>
          </cell>
          <cell r="B4371" t="str">
            <v>מבוא כרמל</v>
          </cell>
          <cell r="C4371" t="str">
            <v>מבוא כרמל-פירוק תחמ"ש ניידת 20 מגוו"א</v>
          </cell>
          <cell r="D4371">
            <v>45970</v>
          </cell>
        </row>
        <row r="4372">
          <cell r="A4372" t="str">
            <v>WBD-089</v>
          </cell>
          <cell r="B4372" t="str">
            <v>מבוא כרמל</v>
          </cell>
          <cell r="C4372" t="str">
            <v>מבוא כרמל– הצבת תחמ"ש ניידת</v>
          </cell>
          <cell r="D4372">
            <v>45704</v>
          </cell>
        </row>
        <row r="4373">
          <cell r="A4373" t="str">
            <v>WBC-210</v>
          </cell>
          <cell r="B4373" t="str">
            <v>מאגרים (יונתן 2)</v>
          </cell>
          <cell r="C4373" t="str">
            <v>מאגרים (יונתן 2)-הקמת תחנת משנה חיצונית 161/24 ק"ו, 75*4  מגוו"א</v>
          </cell>
          <cell r="D4373">
            <v>47847</v>
          </cell>
        </row>
        <row r="4374">
          <cell r="A4374" t="str">
            <v>WBC-210-ST2</v>
          </cell>
          <cell r="B4374" t="str">
            <v>מאגרים (יונתן 2)</v>
          </cell>
          <cell r="C4374" t="str">
            <v>מאגרים (יונתן 2)-שולב-WBT-001-אישור תוכנית סטטוטורית</v>
          </cell>
        </row>
        <row r="4375">
          <cell r="A4375" t="str">
            <v>WBC-043</v>
          </cell>
          <cell r="B4375" t="str">
            <v>למד</v>
          </cell>
          <cell r="C4375" t="str">
            <v>נמיר(למד)- הקמת תחמ"ש פנימית 161/24 ק"ו</v>
          </cell>
          <cell r="D4375">
            <v>51804</v>
          </cell>
        </row>
        <row r="4376">
          <cell r="A4376" t="str">
            <v>WBC-057</v>
          </cell>
          <cell r="B4376" t="str">
            <v>ליילנד</v>
          </cell>
          <cell r="C4376" t="str">
            <v>ליילנד-הקמת תחמ"ש פנימית 161/24ק"ו 50*2</v>
          </cell>
          <cell r="D4376">
            <v>46568</v>
          </cell>
        </row>
        <row r="4377">
          <cell r="A4377" t="str">
            <v>WBC-097-ST1</v>
          </cell>
          <cell r="B4377" t="str">
            <v>לוטן</v>
          </cell>
          <cell r="C4377" t="str">
            <v>לוטן-בוטל - קידום סטטוטורי</v>
          </cell>
          <cell r="D4377">
            <v>41596</v>
          </cell>
        </row>
        <row r="4378">
          <cell r="A4378" t="str">
            <v>WBC-097-ST2</v>
          </cell>
          <cell r="B4378" t="str">
            <v>לוטן</v>
          </cell>
          <cell r="C4378" t="str">
            <v>לוטן-בוטל-הקמת תחמ"ש חיצונית 161/36 ק"ו</v>
          </cell>
          <cell r="D4378">
            <v>43808</v>
          </cell>
        </row>
        <row r="4379">
          <cell r="A4379" t="str">
            <v>WBC-097</v>
          </cell>
          <cell r="B4379" t="str">
            <v>לוטן</v>
          </cell>
          <cell r="C4379" t="str">
            <v>לוטן-בוטל-הקמת תחמ"ש חיצונית 161/36 ק"ו</v>
          </cell>
          <cell r="D4379">
            <v>43808</v>
          </cell>
        </row>
        <row r="4380">
          <cell r="A4380" t="str">
            <v>WBC-129</v>
          </cell>
          <cell r="B4380" t="str">
            <v>לוד צפון</v>
          </cell>
          <cell r="C4380" t="str">
            <v>לוד צפון-הקמת תחנת משנה חיצונית 161/24</v>
          </cell>
          <cell r="D4380">
            <v>51500</v>
          </cell>
        </row>
        <row r="4381">
          <cell r="A4381" t="str">
            <v>WBC-120</v>
          </cell>
          <cell r="B4381" t="str">
            <v>לוד מרכז</v>
          </cell>
          <cell r="C4381" t="str">
            <v>לוד מרכז-הקמת תחנת משנה פנימית</v>
          </cell>
          <cell r="D4381">
            <v>50708</v>
          </cell>
        </row>
        <row r="4382">
          <cell r="A4382" t="str">
            <v>WBM-40479-036</v>
          </cell>
          <cell r="B4382" t="str">
            <v>לוד מרכז</v>
          </cell>
          <cell r="C4382" t="str">
            <v>לוד-החלפת 2 בקרי טמפ' וגובה שמן בשנאי</v>
          </cell>
          <cell r="D4382">
            <v>48182</v>
          </cell>
        </row>
        <row r="4383">
          <cell r="A4383" t="str">
            <v>HIS-103</v>
          </cell>
          <cell r="B4383" t="str">
            <v>לוד</v>
          </cell>
          <cell r="C4383" t="str">
            <v>לוד</v>
          </cell>
          <cell r="D4383">
            <v>40908</v>
          </cell>
        </row>
        <row r="4384">
          <cell r="A4384" t="str">
            <v>WBE-170</v>
          </cell>
          <cell r="B4384" t="str">
            <v>לוד</v>
          </cell>
          <cell r="C4384" t="str">
            <v>לוד-הוספת שנאי 526 161/24 ק"ו 50 מגוו"א</v>
          </cell>
          <cell r="D4384">
            <v>45666</v>
          </cell>
        </row>
        <row r="4385">
          <cell r="A4385" t="str">
            <v>WBM-01150</v>
          </cell>
          <cell r="B4385" t="str">
            <v>לוד</v>
          </cell>
          <cell r="C4385" t="str">
            <v>לוד - הוספת פיקוד מרחוק לשנאי הארקה</v>
          </cell>
          <cell r="D4385">
            <v>46326</v>
          </cell>
        </row>
        <row r="4386">
          <cell r="A4386" t="str">
            <v>WBM-10220</v>
          </cell>
          <cell r="B4386" t="str">
            <v>לוד</v>
          </cell>
          <cell r="C4386" t="str">
            <v>לוד - שיפור אוטומטיקת סליל כיבוי בשנאים</v>
          </cell>
          <cell r="D4386">
            <v>46326</v>
          </cell>
        </row>
        <row r="4387">
          <cell r="A4387" t="str">
            <v>WBG-057-009</v>
          </cell>
          <cell r="B4387" t="str">
            <v>לוד</v>
          </cell>
          <cell r="C4387" t="str">
            <v>לוד-החלפת 2 סלילי כיבוי במס.האפס 524,523</v>
          </cell>
          <cell r="D4387">
            <v>41448</v>
          </cell>
        </row>
        <row r="4388">
          <cell r="A4388" t="str">
            <v>WBM-40097</v>
          </cell>
          <cell r="B4388" t="str">
            <v>לוד</v>
          </cell>
          <cell r="C4388" t="str">
            <v>לוד-הקמת 4 מכולות מ"ג</v>
          </cell>
          <cell r="D4388">
            <v>46812</v>
          </cell>
        </row>
        <row r="4389">
          <cell r="A4389" t="str">
            <v>WBM-01377</v>
          </cell>
          <cell r="B4389" t="str">
            <v>לוד</v>
          </cell>
          <cell r="C4389" t="str">
            <v>לוד - הגנה דיפרנציאלית לכיוון טרומן</v>
          </cell>
          <cell r="D4389">
            <v>46599</v>
          </cell>
        </row>
        <row r="4390">
          <cell r="A4390" t="str">
            <v>WBM-00066</v>
          </cell>
          <cell r="B4390" t="str">
            <v>לוד</v>
          </cell>
          <cell r="C4390" t="str">
            <v>לוד-החלפת 2 מגיני ברק 108 ק"ו</v>
          </cell>
          <cell r="D4390">
            <v>46476</v>
          </cell>
        </row>
        <row r="4391">
          <cell r="A4391" t="str">
            <v>WBM-40099</v>
          </cell>
          <cell r="B4391" t="str">
            <v>לוד</v>
          </cell>
          <cell r="C4391" t="str">
            <v>לוד - החלפת הגנת מרחק LZ31 בשדות 6,9,10</v>
          </cell>
          <cell r="D4391">
            <v>45900</v>
          </cell>
        </row>
        <row r="4392">
          <cell r="A4392" t="str">
            <v>WBM-40518</v>
          </cell>
          <cell r="B4392" t="str">
            <v>לוד</v>
          </cell>
          <cell r="C4392" t="str">
            <v>לוד - החלפת רושם הפרעות</v>
          </cell>
          <cell r="D4392">
            <v>45621</v>
          </cell>
        </row>
        <row r="4393">
          <cell r="A4393" t="str">
            <v>WBM-10109</v>
          </cell>
          <cell r="B4393" t="str">
            <v>לוד</v>
          </cell>
          <cell r="C4393" t="str">
            <v>לוד - הגנה דיפרנציאלית בשדה 6 לנתב"ג</v>
          </cell>
          <cell r="D4393">
            <v>44507</v>
          </cell>
        </row>
        <row r="4394">
          <cell r="A4394" t="str">
            <v>WBM-01115</v>
          </cell>
          <cell r="B4394" t="str">
            <v>לוד</v>
          </cell>
          <cell r="C4394" t="str">
            <v>לוד-התקנת 2 מאצרות שמן  זמניות</v>
          </cell>
          <cell r="D4394">
            <v>43517</v>
          </cell>
        </row>
        <row r="4395">
          <cell r="A4395" t="str">
            <v>WBM-00832</v>
          </cell>
          <cell r="B4395" t="str">
            <v>לוד</v>
          </cell>
          <cell r="C4395" t="str">
            <v>לוד - התקנת מערכת טמ"ס</v>
          </cell>
          <cell r="D4395">
            <v>43255</v>
          </cell>
        </row>
        <row r="4396">
          <cell r="A4396" t="str">
            <v>WBM-00785</v>
          </cell>
          <cell r="B4396" t="str">
            <v>לוד</v>
          </cell>
          <cell r="C4396" t="str">
            <v>לוד-התאמת מערכת גילוי אש אוטומטית-מכ"ר.</v>
          </cell>
          <cell r="D4396">
            <v>41667</v>
          </cell>
        </row>
        <row r="4397">
          <cell r="A4397" t="str">
            <v>WBG-057-023</v>
          </cell>
          <cell r="B4397" t="str">
            <v>לוד</v>
          </cell>
          <cell r="C4397" t="str">
            <v>לוד-פירוק ההגנה הדיפרנציאלית משדה מס' 5</v>
          </cell>
          <cell r="D4397">
            <v>41638</v>
          </cell>
        </row>
        <row r="4398">
          <cell r="A4398" t="str">
            <v>WBG-057-019</v>
          </cell>
          <cell r="B4398" t="str">
            <v>לוד</v>
          </cell>
          <cell r="C4398" t="str">
            <v>לוד-החלפת מגיני ברק מ"ג של שנאים</v>
          </cell>
          <cell r="D4398">
            <v>41577</v>
          </cell>
        </row>
        <row r="4399">
          <cell r="A4399" t="str">
            <v>WBG-057-021</v>
          </cell>
          <cell r="B4399" t="str">
            <v>לוד</v>
          </cell>
          <cell r="C4399" t="str">
            <v>לוד--התאמת מערכת המים לכיבוי אש-מכ"ר</v>
          </cell>
          <cell r="D4399">
            <v>41577</v>
          </cell>
        </row>
        <row r="4400">
          <cell r="A4400" t="str">
            <v>WBG-057-016</v>
          </cell>
          <cell r="B4400" t="str">
            <v>לוד</v>
          </cell>
          <cell r="C4400" t="str">
            <v>לוד-החלפת מפ"ז מ"ג ב-4 שדות ס"ק</v>
          </cell>
          <cell r="D4400">
            <v>41448</v>
          </cell>
        </row>
        <row r="4401">
          <cell r="A4401" t="str">
            <v>WBG-057-018</v>
          </cell>
          <cell r="B4401" t="str">
            <v>לוד</v>
          </cell>
          <cell r="C4401" t="str">
            <v>לוד-התקנת תקשורת מנהלתית</v>
          </cell>
          <cell r="D4401">
            <v>41243</v>
          </cell>
        </row>
        <row r="4402">
          <cell r="A4402" t="str">
            <v>WBG-057-020</v>
          </cell>
          <cell r="B4402" t="str">
            <v>לוד</v>
          </cell>
          <cell r="C4402" t="str">
            <v>לוד-הקמת רשת מחשבים תפעולית</v>
          </cell>
          <cell r="D4402">
            <v>41105</v>
          </cell>
        </row>
        <row r="4403">
          <cell r="A4403" t="str">
            <v>WBG-057-003</v>
          </cell>
          <cell r="B4403" t="str">
            <v>לוד</v>
          </cell>
          <cell r="C4403" t="str">
            <v>לוד-התקנת ארון ז"י 48 וולט הכולל חלוקה</v>
          </cell>
          <cell r="D4403">
            <v>41090</v>
          </cell>
        </row>
        <row r="4404">
          <cell r="A4404" t="str">
            <v>WBM-01242</v>
          </cell>
          <cell r="B4404" t="str">
            <v>לוד</v>
          </cell>
          <cell r="C4404" t="str">
            <v>לוד - בוטל-מאצרות שמן קבועות לשנאים</v>
          </cell>
          <cell r="D4404">
            <v>42902</v>
          </cell>
        </row>
        <row r="4405">
          <cell r="A4405" t="str">
            <v>WBM-40098</v>
          </cell>
          <cell r="B4405" t="str">
            <v>לוד</v>
          </cell>
          <cell r="C4405" t="str">
            <v>לוד - בוטל-החלפת הגנת שנאי</v>
          </cell>
          <cell r="D4405">
            <v>44773</v>
          </cell>
        </row>
        <row r="4406">
          <cell r="A4406">
            <v>532625</v>
          </cell>
          <cell r="B4406" t="str">
            <v>לוד</v>
          </cell>
          <cell r="C4406" t="str">
            <v>לוד-החלפת מערכת התראה בטחונית</v>
          </cell>
          <cell r="D4406">
            <v>39721</v>
          </cell>
        </row>
        <row r="4407">
          <cell r="A4407">
            <v>532634</v>
          </cell>
          <cell r="B4407" t="str">
            <v>לוד</v>
          </cell>
          <cell r="C4407" t="str">
            <v>לוד-התקנת מאווררים בארונות פיקוד</v>
          </cell>
          <cell r="D4407">
            <v>41363</v>
          </cell>
        </row>
        <row r="4408">
          <cell r="A4408" t="str">
            <v>WBM-00292</v>
          </cell>
          <cell r="B4408" t="str">
            <v>לוד</v>
          </cell>
          <cell r="C4408" t="str">
            <v>לוד-בוטל-הוספת 3 יחידות ראקטורים</v>
          </cell>
          <cell r="D4408">
            <v>41249</v>
          </cell>
        </row>
        <row r="4409">
          <cell r="A4409" t="str">
            <v>WBM-01057</v>
          </cell>
          <cell r="B4409" t="str">
            <v>לוד</v>
          </cell>
          <cell r="C4409" t="str">
            <v>לוד-החלפת הגנת מרחק בדיפרנציאלית,שדה 5</v>
          </cell>
          <cell r="D4409">
            <v>43128</v>
          </cell>
        </row>
        <row r="4410">
          <cell r="A4410" t="str">
            <v>WBM-10545</v>
          </cell>
          <cell r="B4410" t="str">
            <v>לוד</v>
          </cell>
          <cell r="C4410" t="str">
            <v>לוד - משיק לתה"ר שפלה שדה 5, יישום דרך קשר בין הגנות בשדה 9</v>
          </cell>
          <cell r="D4410">
            <v>45808</v>
          </cell>
        </row>
        <row r="4411">
          <cell r="A4411" t="str">
            <v>WBM-20004-005</v>
          </cell>
          <cell r="B4411" t="str">
            <v>לוד</v>
          </cell>
          <cell r="C4411" t="str">
            <v>לוד- התקנת רשת ניסקו והחלפת תאורה</v>
          </cell>
          <cell r="D4411">
            <v>46568</v>
          </cell>
        </row>
        <row r="4412">
          <cell r="A4412" t="str">
            <v>WBM-60088-009</v>
          </cell>
          <cell r="B4412" t="str">
            <v>לוד</v>
          </cell>
          <cell r="C4412" t="str">
            <v>לוד - מאצרות שמן</v>
          </cell>
          <cell r="D4412">
            <v>46022</v>
          </cell>
        </row>
        <row r="4413">
          <cell r="A4413" t="str">
            <v>WBM-60088-062</v>
          </cell>
          <cell r="B4413" t="str">
            <v>לוד</v>
          </cell>
          <cell r="C4413" t="str">
            <v>לוד - הסדרת תשתית שפכים במקום בור ספיגה</v>
          </cell>
          <cell r="D4413">
            <v>46002</v>
          </cell>
        </row>
        <row r="4414">
          <cell r="A4414" t="str">
            <v>WBM-80002-043</v>
          </cell>
          <cell r="B4414" t="str">
            <v>לוד</v>
          </cell>
          <cell r="C4414" t="str">
            <v>לוד - הסבות</v>
          </cell>
          <cell r="D4414">
            <v>45292</v>
          </cell>
        </row>
        <row r="4415">
          <cell r="A4415" t="str">
            <v>WBE-198</v>
          </cell>
          <cell r="B4415" t="str">
            <v>לוד</v>
          </cell>
          <cell r="C4415" t="str">
            <v>לוד-הוספת שנאי שישי  (525) 161/24 ק"ו 50 מגוו"א</v>
          </cell>
          <cell r="D4415">
            <v>46538</v>
          </cell>
        </row>
        <row r="4416">
          <cell r="A4416" t="str">
            <v>WBM-60130-053</v>
          </cell>
          <cell r="B4416" t="str">
            <v>לוד</v>
          </cell>
          <cell r="C4416" t="str">
            <v>לוד - התקנת מפסק פטריה להפסקת מערכת החשמל בחירום</v>
          </cell>
          <cell r="D4416">
            <v>46568</v>
          </cell>
        </row>
        <row r="4417">
          <cell r="A4417" t="str">
            <v>WBM-40628</v>
          </cell>
          <cell r="B4417" t="str">
            <v>לוד</v>
          </cell>
          <cell r="C4417" t="str">
            <v>לוד – התאמת שדה מקשר 7-8 ליכולת 2000 א'</v>
          </cell>
          <cell r="D4417">
            <v>46356</v>
          </cell>
        </row>
        <row r="4418">
          <cell r="A4418" t="str">
            <v>WBM-80024-002</v>
          </cell>
          <cell r="B4418" t="str">
            <v>לוד</v>
          </cell>
          <cell r="C4418" t="str">
            <v>לוד - החלפת בקר RTU</v>
          </cell>
          <cell r="D4418">
            <v>45351</v>
          </cell>
        </row>
        <row r="4419">
          <cell r="A4419" t="str">
            <v>WBM-40295-087</v>
          </cell>
          <cell r="B4419" t="str">
            <v>לוד</v>
          </cell>
          <cell r="C4419" t="str">
            <v>לוד - החלפת סוללות מצברים</v>
          </cell>
          <cell r="D4419">
            <v>46184</v>
          </cell>
        </row>
        <row r="4420">
          <cell r="A4420" t="str">
            <v>WBM-40097-ST1</v>
          </cell>
          <cell r="B4420" t="str">
            <v>לוד</v>
          </cell>
          <cell r="C4420" t="str">
            <v>לוד הקמת 2 מכולות מ"ג, (עבור פסי צבירה 2+4)</v>
          </cell>
          <cell r="D4420">
            <v>46538</v>
          </cell>
        </row>
        <row r="4421">
          <cell r="A4421" t="str">
            <v>WBM-40097-ST2</v>
          </cell>
          <cell r="B4421" t="str">
            <v>לוד</v>
          </cell>
          <cell r="C4421" t="str">
            <v>לוד - הקמת 2 מכולות מ"ג, (עבור פסי צבירה 1+3)</v>
          </cell>
          <cell r="D4421">
            <v>46812</v>
          </cell>
        </row>
        <row r="4422">
          <cell r="A4422" t="str">
            <v>WBD-048-ST2</v>
          </cell>
          <cell r="B4422" t="str">
            <v>להבים</v>
          </cell>
          <cell r="C4422" t="str">
            <v>להבים ניידת- פרוק תחמ"ש ניידת</v>
          </cell>
          <cell r="D4422">
            <v>44316</v>
          </cell>
        </row>
        <row r="4423">
          <cell r="A4423" t="str">
            <v>WBC-053</v>
          </cell>
          <cell r="B4423" t="str">
            <v>להבים</v>
          </cell>
          <cell r="C4423" t="str">
            <v>להבים- הקמת תחמ"ש חיצונית 161/24 ק"ו</v>
          </cell>
          <cell r="D4423">
            <v>44195</v>
          </cell>
        </row>
        <row r="4424">
          <cell r="A4424" t="str">
            <v>WBE-206</v>
          </cell>
          <cell r="B4424" t="str">
            <v>להבים</v>
          </cell>
          <cell r="C4424" t="str">
            <v>להבים-התקנת שנאי שלישי 50 מגוו"א</v>
          </cell>
          <cell r="D4424">
            <v>46169</v>
          </cell>
        </row>
        <row r="4425">
          <cell r="A4425" t="str">
            <v>WBM-00723</v>
          </cell>
          <cell r="B4425" t="str">
            <v>להבים</v>
          </cell>
          <cell r="C4425" t="str">
            <v>להבים - התקנת 3 ס"ק 5*2 מגווא"ר כ"א</v>
          </cell>
          <cell r="D4425">
            <v>48518</v>
          </cell>
        </row>
        <row r="4426">
          <cell r="A4426" t="str">
            <v>WBM-10203</v>
          </cell>
          <cell r="B4426" t="str">
            <v>להבים</v>
          </cell>
          <cell r="C4426" t="str">
            <v>להבים - משיק לבית הלוחם, יישום תקשורת בין  הגנות בשדה 7</v>
          </cell>
          <cell r="D4426">
            <v>45973</v>
          </cell>
        </row>
        <row r="4427">
          <cell r="A4427" t="str">
            <v>WBM-60093</v>
          </cell>
          <cell r="B4427" t="str">
            <v>להבים</v>
          </cell>
          <cell r="C4427" t="str">
            <v>להבים - משטר עבודה של מפוחים להוצאת עשן</v>
          </cell>
          <cell r="D4427">
            <v>44738</v>
          </cell>
        </row>
        <row r="4428">
          <cell r="A4428" t="str">
            <v>WBM-10200</v>
          </cell>
          <cell r="B4428" t="str">
            <v>להבים</v>
          </cell>
          <cell r="C4428" t="str">
            <v>להבים - מערכת בקרת טמפ' בחדר מצברים</v>
          </cell>
          <cell r="D4428">
            <v>44712</v>
          </cell>
        </row>
        <row r="4429">
          <cell r="A4429" t="str">
            <v>WBD-048</v>
          </cell>
          <cell r="B4429" t="str">
            <v>להבים</v>
          </cell>
          <cell r="C4429" t="str">
            <v>להבים ניידת- הצבת תחמ"ש ניידת</v>
          </cell>
          <cell r="D4429">
            <v>41759</v>
          </cell>
        </row>
        <row r="4430">
          <cell r="A4430">
            <v>368303</v>
          </cell>
          <cell r="B4430" t="str">
            <v>להבים</v>
          </cell>
          <cell r="C4430" t="str">
            <v>להבים - שולב-התקנת שנאי שני, 50 מגוו"א</v>
          </cell>
        </row>
        <row r="4431">
          <cell r="A4431" t="str">
            <v>WBM-10554</v>
          </cell>
          <cell r="B4431" t="str">
            <v>להבים</v>
          </cell>
          <cell r="C4431" t="str">
            <v>להבים-התקנת הגנת פ"צ שנייה</v>
          </cell>
          <cell r="D4431">
            <v>46783</v>
          </cell>
        </row>
        <row r="4432">
          <cell r="A4432" t="str">
            <v>WBM-10456-035</v>
          </cell>
          <cell r="B4432" t="str">
            <v>להבים</v>
          </cell>
          <cell r="C4432" t="str">
            <v>להבים - התקנת מתמרים</v>
          </cell>
          <cell r="D4432">
            <v>46203</v>
          </cell>
        </row>
        <row r="4433">
          <cell r="A4433" t="str">
            <v>WBM-40521-018</v>
          </cell>
          <cell r="B4433" t="str">
            <v>להבים</v>
          </cell>
          <cell r="C4433" t="str">
            <v>להבים - החלפת שנאי הארקה</v>
          </cell>
          <cell r="D4433">
            <v>46021</v>
          </cell>
        </row>
        <row r="4434">
          <cell r="A4434" t="str">
            <v>WBM-00350-036</v>
          </cell>
          <cell r="B4434" t="str">
            <v>להבים</v>
          </cell>
          <cell r="C4434" t="str">
            <v>שנאי הארקה תקול להבים</v>
          </cell>
          <cell r="D4434">
            <v>45616</v>
          </cell>
        </row>
        <row r="4435">
          <cell r="A4435" t="str">
            <v>WBM-10679</v>
          </cell>
          <cell r="B4435" t="str">
            <v>להבים</v>
          </cell>
          <cell r="C4435" t="str">
            <v>להבים- שדה 7, משיק לבאר שבע צפון שדה 5, ישום תקשורת אופטית בין הגנות</v>
          </cell>
          <cell r="D4435">
            <v>45777</v>
          </cell>
        </row>
        <row r="4436">
          <cell r="A4436" t="str">
            <v>WBC-130</v>
          </cell>
          <cell r="B4436" t="str">
            <v>לב הגליל (סח'נין/סכנין)</v>
          </cell>
          <cell r="C4436" t="str">
            <v>לב הגליל-הקמת תחנת משנה חיצונית 161/24 ק"ו</v>
          </cell>
          <cell r="D4436">
            <v>47847</v>
          </cell>
        </row>
        <row r="4437">
          <cell r="A4437" t="str">
            <v>WBD-127</v>
          </cell>
          <cell r="B4437" t="str">
            <v>כרמיאל ניידת</v>
          </cell>
          <cell r="C4437" t="str">
            <v>כרמיאל ניידת- הצבת תחמ"ש ניידת</v>
          </cell>
          <cell r="D4437">
            <v>46215</v>
          </cell>
        </row>
        <row r="4438">
          <cell r="A4438" t="str">
            <v>HIS-102</v>
          </cell>
          <cell r="B4438" t="str">
            <v>כרמיאל</v>
          </cell>
          <cell r="C4438" t="str">
            <v>כרמיאל</v>
          </cell>
          <cell r="D4438">
            <v>40908</v>
          </cell>
        </row>
        <row r="4439">
          <cell r="A4439" t="str">
            <v>WBE-263-ST2</v>
          </cell>
          <cell r="B4439" t="str">
            <v>כרמיאל</v>
          </cell>
          <cell r="C4439" t="str">
            <v>כרמיאל-החלפת שנאים 523 ו-524, מ-33 מגוו''א ל-50 מגוו''א</v>
          </cell>
          <cell r="D4439">
            <v>46752</v>
          </cell>
        </row>
        <row r="4440">
          <cell r="A4440" t="str">
            <v>WBE-263</v>
          </cell>
          <cell r="B4440" t="str">
            <v>כרמיאל</v>
          </cell>
          <cell r="C4440" t="str">
            <v>כרמיאל-החלפת 4 שנ.מ-33 ל-50 מו"א-רב שלבי</v>
          </cell>
          <cell r="D4440">
            <v>46752</v>
          </cell>
        </row>
        <row r="4441">
          <cell r="A4441" t="str">
            <v>WBE-263-ST1</v>
          </cell>
          <cell r="B4441" t="str">
            <v>כרמיאל</v>
          </cell>
          <cell r="C4441" t="str">
            <v>כרמיאל-החלפת שנאים 522 ו-521, מ-33 מגוו''א ל- 50 מגוו''א</v>
          </cell>
          <cell r="D4441">
            <v>46568</v>
          </cell>
        </row>
        <row r="4442">
          <cell r="A4442" t="str">
            <v>WBE-106</v>
          </cell>
          <cell r="B4442" t="str">
            <v>כרמיאל</v>
          </cell>
          <cell r="C4442" t="str">
            <v>כרמיאל-הוקפא-החלפת שנאי  מ33 ל-50 מגו"א</v>
          </cell>
        </row>
        <row r="4443">
          <cell r="A4443" t="str">
            <v>WBM-00807</v>
          </cell>
          <cell r="B4443" t="str">
            <v>כרמיאל</v>
          </cell>
          <cell r="C4443" t="str">
            <v>כרמיאל-תשלום היטלי ביוב</v>
          </cell>
          <cell r="D4443">
            <v>42034</v>
          </cell>
        </row>
        <row r="4444">
          <cell r="A4444" t="str">
            <v>WDA-1-PA04</v>
          </cell>
          <cell r="B4444" t="str">
            <v>כרמיאל</v>
          </cell>
          <cell r="C4444" t="str">
            <v>כרמיאל-החלפה של יחידת קצה של פיקוח ארצי</v>
          </cell>
          <cell r="D4444">
            <v>41238</v>
          </cell>
        </row>
        <row r="4445">
          <cell r="A4445" t="str">
            <v>WDB-04COM14</v>
          </cell>
          <cell r="B4445" t="str">
            <v>כרמיאל</v>
          </cell>
          <cell r="C4445" t="str">
            <v>כרמיאל-הנחת כבל אופטי  מכיוון כמון לח"פ</v>
          </cell>
          <cell r="D4445">
            <v>41364</v>
          </cell>
        </row>
        <row r="4446">
          <cell r="A4446" t="str">
            <v>WBM-40325</v>
          </cell>
          <cell r="B4446" t="str">
            <v>כרמיאל</v>
          </cell>
          <cell r="C4446" t="str">
            <v>כרמיאל-התאמת שדות 5,13 ליכולת 1440 א'</v>
          </cell>
          <cell r="D4446">
            <v>47118</v>
          </cell>
        </row>
        <row r="4447">
          <cell r="A4447" t="str">
            <v>WBG-055-004</v>
          </cell>
          <cell r="B4447" t="str">
            <v>כרמיאל</v>
          </cell>
          <cell r="C4447" t="str">
            <v>כרמיאל-החלפת משנק ל- 1,600 א' בש.3 למשגב</v>
          </cell>
          <cell r="D4447">
            <v>38168</v>
          </cell>
        </row>
        <row r="4448">
          <cell r="A4448" t="str">
            <v>WBM-00291</v>
          </cell>
          <cell r="B4448" t="str">
            <v>כרמיאל</v>
          </cell>
          <cell r="C4448" t="str">
            <v>כרמיאל-בוטל - החלפת 2 סלילי כיבוי</v>
          </cell>
        </row>
        <row r="4449">
          <cell r="A4449" t="str">
            <v>WBM-01084</v>
          </cell>
          <cell r="B4449" t="str">
            <v>כרמיאל</v>
          </cell>
          <cell r="C4449" t="str">
            <v>כרמיאל - החלפת מסדר משוריין פ"צ 1</v>
          </cell>
          <cell r="D4449">
            <v>42908</v>
          </cell>
        </row>
        <row r="4450">
          <cell r="A4450" t="str">
            <v>WBM-00660</v>
          </cell>
          <cell r="B4450" t="str">
            <v>כרמיאל</v>
          </cell>
          <cell r="C4450" t="str">
            <v>כרמיאל--בוטל-התקנת 4 ס"ק ,2*5 מגווא"ר</v>
          </cell>
          <cell r="D4450">
            <v>41578</v>
          </cell>
        </row>
        <row r="4451">
          <cell r="A4451" t="str">
            <v>WBM-10192</v>
          </cell>
          <cell r="B4451" t="str">
            <v>כרמיאל</v>
          </cell>
          <cell r="C4451" t="str">
            <v>כרמיאל-משיק ל- wbo-086 התאמת שדות 5+13 כולל בדיקת תיילים ופורטלים</v>
          </cell>
          <cell r="D4451">
            <v>47118</v>
          </cell>
        </row>
        <row r="4452">
          <cell r="A4452" t="str">
            <v>WBM-60067</v>
          </cell>
          <cell r="B4452" t="str">
            <v>כרמיאל</v>
          </cell>
          <cell r="C4452" t="str">
            <v>כרמיאל - בוטל עיגון ארונות פיקוד והגנה</v>
          </cell>
        </row>
        <row r="4453">
          <cell r="A4453" t="str">
            <v>WBM-40096</v>
          </cell>
          <cell r="B4453" t="str">
            <v>כרמיאל</v>
          </cell>
          <cell r="C4453" t="str">
            <v>כרמיאל-החלפת ציוד בשדות161 ק"ו</v>
          </cell>
          <cell r="D4453">
            <v>47118</v>
          </cell>
        </row>
        <row r="4454">
          <cell r="A4454" t="str">
            <v>WBM-40095</v>
          </cell>
          <cell r="B4454" t="str">
            <v>כרמיאל</v>
          </cell>
          <cell r="C4454" t="str">
            <v>כרמיאל- בוטל - החלפת 23 הגנות מ"ג</v>
          </cell>
        </row>
        <row r="4455">
          <cell r="A4455" t="str">
            <v>WBM-00489</v>
          </cell>
          <cell r="B4455" t="str">
            <v>כרמיאל</v>
          </cell>
          <cell r="C4455" t="str">
            <v>כרמיאל-בוטל - החלפת 6 מגיני ברק 132 ק"ו ישנים.</v>
          </cell>
        </row>
        <row r="4456">
          <cell r="A4456" t="str">
            <v>WBM-00064</v>
          </cell>
          <cell r="B4456" t="str">
            <v>כרמיאל</v>
          </cell>
          <cell r="C4456" t="str">
            <v>כרמיאל-שיקום גדר  מרותכת שקופה</v>
          </cell>
          <cell r="D4456">
            <v>45908</v>
          </cell>
        </row>
        <row r="4457">
          <cell r="A4457" t="str">
            <v>WBM-10187</v>
          </cell>
          <cell r="B4457" t="str">
            <v>כרמיאל</v>
          </cell>
          <cell r="C4457" t="str">
            <v>כרמיאל - החלפת משנק בשדה 5  - משיק</v>
          </cell>
          <cell r="D4457">
            <v>45137</v>
          </cell>
        </row>
        <row r="4458">
          <cell r="A4458" t="str">
            <v>WBM-10232</v>
          </cell>
          <cell r="B4458" t="str">
            <v>כרמיאל</v>
          </cell>
          <cell r="C4458" t="str">
            <v>כרמיאל-שדרוג ציוד בשדה 11 ל- 1250 א'</v>
          </cell>
          <cell r="D4458">
            <v>46356</v>
          </cell>
        </row>
        <row r="4459">
          <cell r="A4459" t="str">
            <v>WBM-40495</v>
          </cell>
          <cell r="B4459" t="str">
            <v>כרמיאל</v>
          </cell>
          <cell r="C4459" t="str">
            <v>כרמיאל-בוטל - הוסב-שדרוג ציוד בשדות 3,5,9,13</v>
          </cell>
        </row>
        <row r="4460">
          <cell r="A4460" t="str">
            <v>WBM-60091</v>
          </cell>
          <cell r="B4460" t="str">
            <v>כרמיאל</v>
          </cell>
          <cell r="C4460" t="str">
            <v>כרמיאל - שדרוג רכזת גילוי אש</v>
          </cell>
          <cell r="D4460">
            <v>44895</v>
          </cell>
        </row>
        <row r="4461">
          <cell r="A4461" t="str">
            <v>0243157</v>
          </cell>
          <cell r="B4461" t="str">
            <v>כרמיאל</v>
          </cell>
          <cell r="C4461" t="str">
            <v>כרמיאל - החלפת רושם הפרעות</v>
          </cell>
          <cell r="D4461">
            <v>44134</v>
          </cell>
        </row>
        <row r="4462">
          <cell r="A4462" t="str">
            <v>WBM-10106</v>
          </cell>
          <cell r="B4462" t="str">
            <v>כרמיאל</v>
          </cell>
          <cell r="C4462" t="str">
            <v>כרמיאל  - שיפור אוטמטיקת סליל כיבוי</v>
          </cell>
          <cell r="D4462">
            <v>44019</v>
          </cell>
        </row>
        <row r="4463">
          <cell r="A4463" t="str">
            <v>0256440</v>
          </cell>
          <cell r="B4463" t="str">
            <v>כרמיאל</v>
          </cell>
          <cell r="C4463" t="str">
            <v>דוגמה ניסיון- שיפור</v>
          </cell>
        </row>
        <row r="4464">
          <cell r="A4464" t="str">
            <v>WBM-01098</v>
          </cell>
          <cell r="B4464" t="str">
            <v>כרמיאל</v>
          </cell>
          <cell r="C4464" t="str">
            <v>כרמיאל-התקנת 4 מאצרות שמן זמניות</v>
          </cell>
          <cell r="D4464">
            <v>43457</v>
          </cell>
        </row>
        <row r="4465">
          <cell r="A4465">
            <v>523725</v>
          </cell>
          <cell r="B4465" t="str">
            <v>כרמיאל</v>
          </cell>
          <cell r="C4465" t="str">
            <v>כרמיאל-החלפת רכזת התראה בטחונית</v>
          </cell>
          <cell r="D4465">
            <v>42490</v>
          </cell>
        </row>
        <row r="4466">
          <cell r="A4466" t="str">
            <v>WBG-055-022</v>
          </cell>
          <cell r="B4466" t="str">
            <v>כרמיאל</v>
          </cell>
          <cell r="C4466" t="str">
            <v>כרמיאל-הקמת טבעת 20N ,OM להעברת תקשורת</v>
          </cell>
          <cell r="D4466">
            <v>41638</v>
          </cell>
        </row>
        <row r="4467">
          <cell r="A4467" t="str">
            <v>WBG-055-021</v>
          </cell>
          <cell r="B4467" t="str">
            <v>כרמיאל</v>
          </cell>
          <cell r="C4467" t="str">
            <v>כרמיאל-צביעת כבלים בצבע מעכב אש</v>
          </cell>
          <cell r="D4467">
            <v>41605</v>
          </cell>
        </row>
        <row r="4468">
          <cell r="A4468" t="str">
            <v>WBM-00065</v>
          </cell>
          <cell r="B4468" t="str">
            <v>כרמיאל</v>
          </cell>
          <cell r="C4468" t="str">
            <v>כרמיאל -התקנת מע' גילוי וכיבוי אש</v>
          </cell>
          <cell r="D4468">
            <v>41508</v>
          </cell>
        </row>
        <row r="4469">
          <cell r="A4469" t="str">
            <v>WBG-055-017</v>
          </cell>
          <cell r="B4469" t="str">
            <v>כרמיאל</v>
          </cell>
          <cell r="C4469" t="str">
            <v>כרמיאל-החלפת מפס"ז מ"ג ב-3 שד' של ס"ק</v>
          </cell>
          <cell r="D4469">
            <v>41332</v>
          </cell>
        </row>
        <row r="4470">
          <cell r="A4470" t="str">
            <v>WBG-055-018</v>
          </cell>
          <cell r="B4470" t="str">
            <v>כרמיאל</v>
          </cell>
          <cell r="C4470" t="str">
            <v>כרמיאל- הקמת טבעת  OM  30N</v>
          </cell>
          <cell r="D4470">
            <v>41270</v>
          </cell>
        </row>
        <row r="4471">
          <cell r="A4471" t="str">
            <v>WBG-055-006</v>
          </cell>
          <cell r="B4471" t="str">
            <v>כרמיאל</v>
          </cell>
          <cell r="C4471" t="str">
            <v>כרמיאל-החלפה ועיגון לוח חלוקה ז"ח</v>
          </cell>
          <cell r="D4471">
            <v>41254</v>
          </cell>
        </row>
        <row r="4472">
          <cell r="A4472" t="str">
            <v>WBM-01237</v>
          </cell>
          <cell r="B4472" t="str">
            <v>כרמיאל</v>
          </cell>
          <cell r="C4472" t="str">
            <v>כרמיאל - בוטל-מאצרות שמן קבועות לשנאים</v>
          </cell>
          <cell r="D4472">
            <v>42901</v>
          </cell>
        </row>
        <row r="4473">
          <cell r="A4473" t="str">
            <v>WBM-01395</v>
          </cell>
          <cell r="B4473" t="str">
            <v>כרמיאל</v>
          </cell>
          <cell r="C4473" t="str">
            <v>כרמיאל-בוטל-התקנת מערכת טמ"ס</v>
          </cell>
          <cell r="D4473">
            <v>43646</v>
          </cell>
        </row>
        <row r="4474">
          <cell r="A4474" t="str">
            <v>WBM-00883</v>
          </cell>
          <cell r="B4474" t="str">
            <v>כרמיאל</v>
          </cell>
          <cell r="C4474" t="str">
            <v>כרמיאל-ביטול-שדרוג מערכת אזעקה ביטחונית</v>
          </cell>
          <cell r="D4474">
            <v>41898</v>
          </cell>
        </row>
        <row r="4475">
          <cell r="A4475" t="str">
            <v>WBM-00488</v>
          </cell>
          <cell r="B4475" t="str">
            <v>כרמיאל</v>
          </cell>
          <cell r="C4475" t="str">
            <v>כרמיאל-בוטל שיפור מערכת הארקה בתחמ"ש</v>
          </cell>
          <cell r="D4475">
            <v>39798</v>
          </cell>
        </row>
        <row r="4476">
          <cell r="A4476">
            <v>523733</v>
          </cell>
          <cell r="B4476" t="str">
            <v>כרמיאל</v>
          </cell>
          <cell r="C4476" t="str">
            <v>כרמיאל-התקנת מאווררים בארונות פיקוד והגנ</v>
          </cell>
          <cell r="D4476">
            <v>41333</v>
          </cell>
        </row>
        <row r="4477">
          <cell r="A4477" t="str">
            <v>WBG-055-005</v>
          </cell>
          <cell r="B4477" t="str">
            <v>כרמיאל</v>
          </cell>
          <cell r="C4477" t="str">
            <v>כרמיאל-שינויים בחיווט רושם הפרעות קיים</v>
          </cell>
          <cell r="D4477">
            <v>38533</v>
          </cell>
        </row>
        <row r="4478">
          <cell r="A4478" t="str">
            <v>WBM-00487</v>
          </cell>
          <cell r="B4478" t="str">
            <v>כרמיאל</v>
          </cell>
          <cell r="C4478" t="str">
            <v>כרמיאל-בוטל-הרחבת רושם הפרעות 161 ק"ו.</v>
          </cell>
          <cell r="D4478">
            <v>41249</v>
          </cell>
        </row>
        <row r="4479">
          <cell r="A4479" t="str">
            <v>WBM-00290</v>
          </cell>
          <cell r="B4479" t="str">
            <v>כרמיאל</v>
          </cell>
          <cell r="C4479" t="str">
            <v>כרמיאל-בוטל-הוספת 3 יחידות ראקטורים</v>
          </cell>
          <cell r="D4479">
            <v>41249</v>
          </cell>
        </row>
        <row r="4480">
          <cell r="A4480" t="str">
            <v>WBM-10497</v>
          </cell>
          <cell r="B4480" t="str">
            <v>כרמיאל</v>
          </cell>
          <cell r="C4480" t="str">
            <v>כרמיאל - החלפת מסדרי מ"ג  במכולות לשנאים 522,523, 524</v>
          </cell>
          <cell r="D4480">
            <v>46386</v>
          </cell>
        </row>
        <row r="4481">
          <cell r="A4481" t="str">
            <v>WBM-10498</v>
          </cell>
          <cell r="B4481" t="str">
            <v>כרמיאל</v>
          </cell>
          <cell r="C4481" t="str">
            <v>כרמיאל -בוטל/שולב בפרויקט אחר - החלפת מסדרי מ"ג במכולה לשנאי 523</v>
          </cell>
        </row>
        <row r="4482">
          <cell r="A4482" t="str">
            <v>WBM-10506</v>
          </cell>
          <cell r="B4482" t="str">
            <v>כרמיאל</v>
          </cell>
          <cell r="C4482" t="str">
            <v>כרמיאל - הקמת בנין פקוד והתקנת מסדרי מ"ג , סוללות קבלים</v>
          </cell>
          <cell r="D4482">
            <v>46995</v>
          </cell>
        </row>
        <row r="4483">
          <cell r="A4483" t="str">
            <v>WBM-00885-117</v>
          </cell>
          <cell r="B4483" t="str">
            <v>כרמיאל</v>
          </cell>
          <cell r="C4483" t="str">
            <v>כרמיאל - תיקון תקלה במערכת מיים</v>
          </cell>
          <cell r="D4483">
            <v>45607</v>
          </cell>
        </row>
        <row r="4484">
          <cell r="A4484" t="str">
            <v>WBM-60088-003</v>
          </cell>
          <cell r="B4484" t="str">
            <v>כרמיאל</v>
          </cell>
          <cell r="C4484" t="str">
            <v>כרמיאל - מאצרות ל-4 שנאים ומסדרי אפס</v>
          </cell>
          <cell r="D4484">
            <v>46446</v>
          </cell>
        </row>
        <row r="4485">
          <cell r="A4485" t="str">
            <v>WBM-60118-013</v>
          </cell>
          <cell r="B4485" t="str">
            <v>כרמיאל</v>
          </cell>
          <cell r="C4485" t="str">
            <v>כרמיאל - שיפור מערכת הארקה</v>
          </cell>
          <cell r="D4485">
            <v>46721</v>
          </cell>
        </row>
        <row r="4486">
          <cell r="A4486" t="str">
            <v>WBM-40622</v>
          </cell>
          <cell r="B4486" t="str">
            <v>כרמיאל</v>
          </cell>
          <cell r="C4486" t="str">
            <v>כרמיאל - החלפת 4 מסדרי אפס</v>
          </cell>
          <cell r="D4486">
            <v>46446</v>
          </cell>
        </row>
        <row r="4487">
          <cell r="A4487" t="str">
            <v>WBM-10770</v>
          </cell>
          <cell r="B4487" t="str">
            <v>כרמיאל</v>
          </cell>
          <cell r="C4487" t="str">
            <v>כרמיאל- משיק לתפן שדה 9, יישום דרך קשר אופטית זמנית בין הגנות בשדה 13</v>
          </cell>
          <cell r="D4487">
            <v>46326</v>
          </cell>
        </row>
        <row r="4488">
          <cell r="A4488" t="str">
            <v>HIS-140</v>
          </cell>
          <cell r="B4488" t="str">
            <v>כפר סבא (ניידת)</v>
          </cell>
          <cell r="C4488" t="str">
            <v>כפר סבא ניידת</v>
          </cell>
          <cell r="D4488">
            <v>40908</v>
          </cell>
        </row>
        <row r="4489">
          <cell r="A4489" t="str">
            <v>WBD-026</v>
          </cell>
          <cell r="B4489" t="str">
            <v>כפר סבא (ניידת)</v>
          </cell>
          <cell r="C4489" t="str">
            <v>כפר סבא  (ניידת)-פירוק תחמ"ש ניידת</v>
          </cell>
          <cell r="D4489">
            <v>40917</v>
          </cell>
        </row>
        <row r="4490">
          <cell r="A4490" t="str">
            <v>HIS-101</v>
          </cell>
          <cell r="B4490" t="str">
            <v>כפר סבא</v>
          </cell>
          <cell r="C4490" t="str">
            <v>כפר סבא</v>
          </cell>
          <cell r="D4490">
            <v>40908</v>
          </cell>
        </row>
        <row r="4491">
          <cell r="A4491" t="str">
            <v>WBM-00289</v>
          </cell>
          <cell r="B4491" t="str">
            <v>כפר סבא</v>
          </cell>
          <cell r="C4491" t="str">
            <v>כפר סבא-התקנת 4 ס"ק 5*2 מגווא"ר כ"א</v>
          </cell>
          <cell r="D4491">
            <v>46843</v>
          </cell>
        </row>
        <row r="4492">
          <cell r="A4492" t="str">
            <v>WBM-70008</v>
          </cell>
          <cell r="B4492" t="str">
            <v>כפר סבא</v>
          </cell>
          <cell r="C4492" t="str">
            <v>כפר סבא - משיק לאלישמע,הג. דיפ. בשדה 9</v>
          </cell>
          <cell r="D4492">
            <v>45091</v>
          </cell>
        </row>
        <row r="4493">
          <cell r="A4493" t="str">
            <v>WBM-40480</v>
          </cell>
          <cell r="B4493" t="str">
            <v>כפר סבא</v>
          </cell>
          <cell r="C4493" t="str">
            <v>כפר סבא -הוספת הגנה דיפ. בש' 7 ותק' OM71</v>
          </cell>
          <cell r="D4493">
            <v>44320</v>
          </cell>
        </row>
        <row r="4494">
          <cell r="A4494" t="str">
            <v>WBM-10113</v>
          </cell>
          <cell r="B4494" t="str">
            <v>כפר סבא</v>
          </cell>
          <cell r="C4494" t="str">
            <v>כפר סבא - הוספת תקשורת בין הגנות OM (ש7)</v>
          </cell>
          <cell r="D4494">
            <v>44098</v>
          </cell>
        </row>
        <row r="4495">
          <cell r="A4495" t="str">
            <v>WBM-01419</v>
          </cell>
          <cell r="B4495" t="str">
            <v>כפר סבא</v>
          </cell>
          <cell r="C4495" t="str">
            <v>כפר סבא-יישום השלת עומס לפי מתח בממסר</v>
          </cell>
          <cell r="D4495">
            <v>43976</v>
          </cell>
        </row>
        <row r="4496">
          <cell r="A4496" t="str">
            <v>WBM-01035</v>
          </cell>
          <cell r="B4496" t="str">
            <v>כפר סבא</v>
          </cell>
          <cell r="C4496" t="str">
            <v>כפר סבא-בוטל-יצירת תקשורת לפי"א לשכם</v>
          </cell>
          <cell r="D4496">
            <v>42304</v>
          </cell>
        </row>
        <row r="4497">
          <cell r="A4497">
            <v>531505</v>
          </cell>
          <cell r="B4497" t="str">
            <v>כפר סבא</v>
          </cell>
          <cell r="C4497" t="str">
            <v>כפר סבא - התקנת בקרת כניסה ביומטרית</v>
          </cell>
          <cell r="D4497">
            <v>41942</v>
          </cell>
        </row>
        <row r="4498">
          <cell r="A4498" t="str">
            <v>WBM-00808</v>
          </cell>
          <cell r="B4498" t="str">
            <v>כפר סבא</v>
          </cell>
          <cell r="C4498" t="str">
            <v>כפר סבא-התקנת קשר הגנות מרחק לאריאל</v>
          </cell>
          <cell r="D4498">
            <v>43222</v>
          </cell>
        </row>
        <row r="4499">
          <cell r="A4499" t="str">
            <v>WBE-182</v>
          </cell>
          <cell r="B4499" t="str">
            <v>כפר סבא</v>
          </cell>
          <cell r="C4499" t="str">
            <v>כפר סבא-הרחבת מסדר פנימי 161 ק"ו בשדה שנאי והתקנת שנאי רביעי 161/24 ק"ו  50 מגוו"א</v>
          </cell>
          <cell r="D4499">
            <v>46326</v>
          </cell>
        </row>
        <row r="4500">
          <cell r="A4500" t="str">
            <v>WBM-10495</v>
          </cell>
          <cell r="B4500" t="str">
            <v>כפר סבא</v>
          </cell>
          <cell r="C4500" t="str">
            <v>כפר סבא - משיק אייל ש7, יישום תקשורת בין הגנות בשדה 7</v>
          </cell>
          <cell r="D4500">
            <v>45371</v>
          </cell>
        </row>
        <row r="4501">
          <cell r="A4501" t="str">
            <v>wbm-10499</v>
          </cell>
          <cell r="B4501" t="str">
            <v>כפר סבא</v>
          </cell>
          <cell r="C4501" t="str">
            <v>כפר סבא- משיק פ"ת שדה 3, יישום דרך קשר אופטית בין הגנות בשדה 9</v>
          </cell>
          <cell r="D4501">
            <v>45371</v>
          </cell>
        </row>
        <row r="4502">
          <cell r="A4502" t="str">
            <v>WBM-00350-049</v>
          </cell>
          <cell r="B4502" t="str">
            <v>כפר סבא</v>
          </cell>
          <cell r="C4502" t="str">
            <v>כפר סבא - החלפת ממסר הגנה של שנאי 522</v>
          </cell>
          <cell r="D4502">
            <v>45621</v>
          </cell>
        </row>
        <row r="4503">
          <cell r="A4503" t="str">
            <v>WBM-00885-109</v>
          </cell>
          <cell r="B4503" t="str">
            <v>כפר סבא</v>
          </cell>
          <cell r="C4503" t="str">
            <v>כפר סבא - איפיון מים</v>
          </cell>
          <cell r="D4503">
            <v>45503</v>
          </cell>
        </row>
        <row r="4504">
          <cell r="A4504" t="str">
            <v>WBM-10315-034</v>
          </cell>
          <cell r="B4504" t="str">
            <v>כפר סבא</v>
          </cell>
          <cell r="C4504" t="str">
            <v>כפר סבא -התקנת מזגנים</v>
          </cell>
          <cell r="D4504">
            <v>45579</v>
          </cell>
        </row>
        <row r="4505">
          <cell r="A4505" t="str">
            <v>WBM-60008-080</v>
          </cell>
          <cell r="B4505" t="str">
            <v>כפר סבא</v>
          </cell>
          <cell r="C4505" t="str">
            <v>כפר סבא -מערכת בקרה, טמ"ס וגדר אלקטרונית</v>
          </cell>
          <cell r="D4505">
            <v>46161</v>
          </cell>
        </row>
        <row r="4506">
          <cell r="A4506" t="str">
            <v>WBM-60107-011</v>
          </cell>
          <cell r="B4506" t="str">
            <v>כפר סבא</v>
          </cell>
          <cell r="C4506" t="str">
            <v>כפר סבא - החלפת מנעולים אלק.מגנטיים באלק</v>
          </cell>
          <cell r="D4506">
            <v>45657</v>
          </cell>
        </row>
        <row r="4507">
          <cell r="A4507" t="str">
            <v>WBM-40295-078</v>
          </cell>
          <cell r="B4507" t="str">
            <v>כפר סבא</v>
          </cell>
          <cell r="C4507" t="str">
            <v>כפר סבא - החלפת מצברים</v>
          </cell>
          <cell r="D4507">
            <v>46387</v>
          </cell>
        </row>
        <row r="4508">
          <cell r="A4508" t="str">
            <v>WBM-00885-145</v>
          </cell>
          <cell r="B4508" t="str">
            <v>כפר סבא</v>
          </cell>
          <cell r="C4508" t="str">
            <v>כפר סבא- החלפת ארון פיקוד למשאבת כיבוי אש</v>
          </cell>
          <cell r="D4508">
            <v>45977</v>
          </cell>
        </row>
        <row r="4509">
          <cell r="A4509" t="str">
            <v>WBM-60131-001</v>
          </cell>
          <cell r="B4509" t="str">
            <v>כפר סבא</v>
          </cell>
          <cell r="C4509" t="str">
            <v>כפר סבא- אישור מפוחים</v>
          </cell>
          <cell r="D4509">
            <v>46721</v>
          </cell>
        </row>
        <row r="4510">
          <cell r="A4510" t="str">
            <v>WBM-60205-014</v>
          </cell>
          <cell r="B4510" t="str">
            <v>כפר סבא</v>
          </cell>
          <cell r="C4510" t="str">
            <v>כפר סבא - ניטור הצפות</v>
          </cell>
          <cell r="D4510">
            <v>46175</v>
          </cell>
        </row>
        <row r="4511">
          <cell r="A4511" t="str">
            <v>WBM-10707</v>
          </cell>
          <cell r="B4511" t="str">
            <v>כפר סבא</v>
          </cell>
          <cell r="C4511" t="str">
            <v>כפר סבא- שדה 1, משיק לאריאל-שדה 7. התקנת P545SCHNEIDER והגנת מרחק</v>
          </cell>
          <cell r="D4511">
            <v>46326</v>
          </cell>
        </row>
        <row r="4512">
          <cell r="A4512" t="str">
            <v>WBM-10709</v>
          </cell>
          <cell r="B4512" t="str">
            <v>כפר סבא</v>
          </cell>
          <cell r="C4512" t="str">
            <v>כפר סבא- שדה 3, משיק לאייל שדה 7. התקנת L311SEL והגנת מרחק</v>
          </cell>
          <cell r="D4512">
            <v>46326</v>
          </cell>
        </row>
        <row r="4513">
          <cell r="A4513" t="str">
            <v>WBM-10711</v>
          </cell>
          <cell r="B4513" t="str">
            <v>כפר סבא</v>
          </cell>
          <cell r="C4513" t="str">
            <v>כפר סבא-שדה 7, משיק לפ"ת שדה 3. יישום דרך קשר אופטית בין הגנות</v>
          </cell>
          <cell r="D4513">
            <v>46387</v>
          </cell>
        </row>
        <row r="4514">
          <cell r="A4514" t="str">
            <v>WBM-10714</v>
          </cell>
          <cell r="B4514" t="str">
            <v>כפר סבא</v>
          </cell>
          <cell r="C4514" t="str">
            <v>כפר סבא- שדה 9, משיק לאלישמע שדה 5. יישום דרך קשר אופטית בין הגנות</v>
          </cell>
          <cell r="D4514">
            <v>46387</v>
          </cell>
        </row>
        <row r="4515">
          <cell r="A4515" t="str">
            <v>WBM-00350-061</v>
          </cell>
          <cell r="B4515" t="str">
            <v>כפר סבא</v>
          </cell>
          <cell r="C4515" t="str">
            <v>כפר סבא - החלפת כבלי מ"ג של שנאי 523 בין השנאי לתא מ"ג ובין השנאי לשנאי הארקה</v>
          </cell>
          <cell r="D4515">
            <v>46022</v>
          </cell>
        </row>
        <row r="4516">
          <cell r="A4516" t="str">
            <v>WBM-40637-031</v>
          </cell>
          <cell r="B4516" t="str">
            <v>כפר סבא</v>
          </cell>
          <cell r="C4516" t="str">
            <v>כפר סבא קבועה-החלפת רושמי הפרעות קיימים מדגם IDM-T3 לרושמים חדשים מדגם IDM+</v>
          </cell>
          <cell r="D4516">
            <v>47057</v>
          </cell>
        </row>
        <row r="4517">
          <cell r="A4517" t="str">
            <v>WBE-297</v>
          </cell>
          <cell r="B4517" t="str">
            <v>כפר סבא</v>
          </cell>
          <cell r="C4517" t="str">
            <v>כפר סבא- הרחבת מסדר 161 ק"ו – הוספת 2 שדות קו חדשים, יכולת 2000 א'.</v>
          </cell>
          <cell r="D4517">
            <v>46325</v>
          </cell>
        </row>
        <row r="4518">
          <cell r="A4518" t="str">
            <v>WBE-182-ST1</v>
          </cell>
          <cell r="B4518" t="str">
            <v>כפר סבא</v>
          </cell>
          <cell r="C4518" t="str">
            <v>כפר סבא-תקנת מסדר מ"ג לשנאי</v>
          </cell>
          <cell r="D4518">
            <v>46203</v>
          </cell>
        </row>
        <row r="4519">
          <cell r="A4519" t="str">
            <v>WBE-182-ST2</v>
          </cell>
          <cell r="B4519" t="str">
            <v>כפר סבא</v>
          </cell>
          <cell r="C4519" t="str">
            <v>כפר סבא-התקנת שנאי רביעי 161/24 ק"ו  50 מגוו"א</v>
          </cell>
          <cell r="D4519">
            <v>46326</v>
          </cell>
        </row>
        <row r="4520">
          <cell r="A4520" t="str">
            <v>WBM-10804</v>
          </cell>
          <cell r="B4520" t="str">
            <v>כפר סבא</v>
          </cell>
          <cell r="C4520" t="str">
            <v>כפר סבא-שיפור אוטומטיקה לסלילי כיבוי</v>
          </cell>
          <cell r="D4520">
            <v>46326</v>
          </cell>
        </row>
        <row r="4521">
          <cell r="A4521" t="str">
            <v>WBM-60209</v>
          </cell>
          <cell r="B4521" t="str">
            <v>כפר סבא</v>
          </cell>
          <cell r="C4521" t="str">
            <v>כפר סבא- החלפת SCS, DCS ומערכת בקרת גז BW</v>
          </cell>
          <cell r="D4521">
            <v>46326</v>
          </cell>
        </row>
        <row r="4522">
          <cell r="A4522" t="str">
            <v>WBM-60210</v>
          </cell>
          <cell r="B4522" t="str">
            <v>כפר סבא</v>
          </cell>
          <cell r="C4522" t="str">
            <v>כפר סבא-שולב - עדכון מערכת כיבוי אש והחלפת משאבת מים</v>
          </cell>
          <cell r="D4522">
            <v>43831</v>
          </cell>
        </row>
        <row r="4523">
          <cell r="A4523" t="str">
            <v>WBM-70046</v>
          </cell>
          <cell r="B4523" t="str">
            <v>כפר סבא</v>
          </cell>
          <cell r="C4523" t="str">
            <v>כפר סבא-התקנת ציוד הצמדה בשדה 7</v>
          </cell>
          <cell r="D4523">
            <v>46843</v>
          </cell>
        </row>
        <row r="4524">
          <cell r="A4524" t="str">
            <v>79999-3</v>
          </cell>
          <cell r="B4524" t="str">
            <v>כפר אוריה-פרטית</v>
          </cell>
          <cell r="C4524" t="str">
            <v>כפר אוריה-הקמת תחמ"ש פרטית</v>
          </cell>
          <cell r="D4524">
            <v>41709</v>
          </cell>
        </row>
        <row r="4525">
          <cell r="A4525" t="str">
            <v>WBM-60116-028</v>
          </cell>
          <cell r="B4525" t="str">
            <v>כפר אוריה-פרטית</v>
          </cell>
          <cell r="C4525" t="str">
            <v>כפר אוריה - בוטל - שידרוג גלאים בתחנות משנה ומי</v>
          </cell>
        </row>
        <row r="4526">
          <cell r="A4526" t="str">
            <v>WBD-052</v>
          </cell>
          <cell r="B4526" t="str">
            <v>כפר אוריה ניידת</v>
          </cell>
          <cell r="C4526" t="str">
            <v>כפר אוריה ניידת-הצבת תחמ"ש ניידת</v>
          </cell>
          <cell r="D4526">
            <v>44390</v>
          </cell>
        </row>
        <row r="4527">
          <cell r="A4527" t="str">
            <v>WBM-01106</v>
          </cell>
          <cell r="B4527" t="str">
            <v>כפר אוריה ניידת</v>
          </cell>
          <cell r="C4527" t="str">
            <v>ניידת כפר אוריה--בוטל-התקנת מאצרת שמן</v>
          </cell>
          <cell r="D4527">
            <v>42684</v>
          </cell>
        </row>
        <row r="4528">
          <cell r="A4528" t="str">
            <v>WBM-00350-046</v>
          </cell>
          <cell r="B4528" t="str">
            <v>כפר אוריה ניידת</v>
          </cell>
          <cell r="C4528" t="str">
            <v>ניידת כפר אוריה- החלפת שנאי עקב תקלה</v>
          </cell>
          <cell r="D4528">
            <v>45629</v>
          </cell>
        </row>
        <row r="4529">
          <cell r="A4529" t="str">
            <v>WBM-60116-039</v>
          </cell>
          <cell r="B4529" t="str">
            <v>כפר אוריה ניידת</v>
          </cell>
          <cell r="C4529" t="str">
            <v>ניידת כפר אוריה - שידרוג גלאים בתחנות מש</v>
          </cell>
          <cell r="D4529">
            <v>46752</v>
          </cell>
        </row>
        <row r="4530">
          <cell r="A4530">
            <v>611637</v>
          </cell>
          <cell r="B4530" t="str">
            <v>כסלון</v>
          </cell>
          <cell r="C4530" t="str">
            <v>כסלון-מקורות-הקמת תחמ"ש פרטית</v>
          </cell>
          <cell r="D4530">
            <v>44532</v>
          </cell>
        </row>
        <row r="4531">
          <cell r="A4531" t="str">
            <v>WBC-201</v>
          </cell>
          <cell r="B4531" t="str">
            <v>כסיף</v>
          </cell>
          <cell r="C4531" t="str">
            <v>כסיף-מוקפא-הקמת תחנת משנה חיצונית 161/36 ק"ו, 50*2 מגוו"א</v>
          </cell>
          <cell r="D4531">
            <v>49674</v>
          </cell>
        </row>
        <row r="4532">
          <cell r="A4532" t="str">
            <v>HIS-166</v>
          </cell>
          <cell r="B4532" t="str">
            <v>כנרות (מקורות)-פרטית</v>
          </cell>
          <cell r="C4532" t="str">
            <v>כנרות (מקורות)-פרטית</v>
          </cell>
          <cell r="D4532">
            <v>40908</v>
          </cell>
        </row>
        <row r="4533">
          <cell r="A4533" t="str">
            <v>WBE-227</v>
          </cell>
          <cell r="B4533" t="str">
            <v>כנרות (מקורות)-פרטית</v>
          </cell>
          <cell r="C4533" t="str">
            <v>כינרות-הוקפא-חלפת 2 שנאים 33  ל-50 מו"א</v>
          </cell>
        </row>
        <row r="4534">
          <cell r="A4534" t="str">
            <v>WBO-305-ST2</v>
          </cell>
          <cell r="B4534" t="str">
            <v>כניסות  כבלים  לגליל</v>
          </cell>
          <cell r="C4534" t="str">
            <v>כניסות כבלים לגליל-טרמינלים.</v>
          </cell>
          <cell r="D4534">
            <v>46234</v>
          </cell>
        </row>
        <row r="4535">
          <cell r="A4535" t="str">
            <v>WBO-305</v>
          </cell>
          <cell r="B4535" t="str">
            <v>כניסות  כבלים  לגליל</v>
          </cell>
          <cell r="C4535" t="str">
            <v>כניסות כבלים לגליל-הנחת 8 מעגלי כבלים-רב שלבי</v>
          </cell>
          <cell r="D4535">
            <v>46537</v>
          </cell>
        </row>
        <row r="4536">
          <cell r="A4536" t="str">
            <v>WBO-305-ST3</v>
          </cell>
          <cell r="B4536" t="str">
            <v>כניסות  כבלים  לגליל</v>
          </cell>
          <cell r="C4536" t="str">
            <v>כניסות כבלים לגליל-3 טרמינלים.</v>
          </cell>
          <cell r="D4536">
            <v>46537</v>
          </cell>
        </row>
        <row r="4537">
          <cell r="A4537" t="str">
            <v>WBO-305-ST1</v>
          </cell>
          <cell r="B4537" t="str">
            <v>כניסות  כבלים  לגליל</v>
          </cell>
          <cell r="C4537" t="str">
            <v>כניסות כבלים לגליל- הנחת 2 קטעי כבלים תת-קרקעיים</v>
          </cell>
          <cell r="D4537">
            <v>46234</v>
          </cell>
        </row>
        <row r="4538">
          <cell r="A4538" t="str">
            <v>WBO-305-ST4</v>
          </cell>
          <cell r="B4538" t="str">
            <v>כניסות  כבלים  לגליל</v>
          </cell>
          <cell r="C4538" t="str">
            <v>כניסות כבלים לגליל-הנחת 6 מעגלי כבלים</v>
          </cell>
          <cell r="D4538">
            <v>46537</v>
          </cell>
        </row>
        <row r="4539">
          <cell r="A4539" t="str">
            <v>WBO-025</v>
          </cell>
          <cell r="B4539" t="str">
            <v>כניסות לעירון</v>
          </cell>
          <cell r="C4539" t="str">
            <v>כניסות לעירון-בוטל-תכנון uprating</v>
          </cell>
          <cell r="D4539">
            <v>41274</v>
          </cell>
        </row>
        <row r="4540">
          <cell r="A4540" t="str">
            <v>WBO-413</v>
          </cell>
          <cell r="B4540" t="str">
            <v>כניסות לאיילון (גנות)</v>
          </cell>
          <cell r="C4540" t="str">
            <v>כניסות לאיילון חיבור איילון לפ"ת</v>
          </cell>
          <cell r="D4540">
            <v>42442</v>
          </cell>
        </row>
        <row r="4541">
          <cell r="A4541" t="str">
            <v>WBA-911</v>
          </cell>
          <cell r="B4541" t="str">
            <v>כניסות לאבנת</v>
          </cell>
          <cell r="C4541" t="str">
            <v>כניסות לאבנת-תכנון הטמנת קטע כבל תת-קרקע</v>
          </cell>
          <cell r="D4541">
            <v>41059</v>
          </cell>
        </row>
        <row r="4542">
          <cell r="A4542" t="str">
            <v>WBA-373</v>
          </cell>
          <cell r="B4542" t="str">
            <v>כניסות לאבנת</v>
          </cell>
          <cell r="C4542" t="str">
            <v>כניסות לאבנת-תכנון פרוק קו עילי והק. טרמ</v>
          </cell>
          <cell r="D4542">
            <v>41058</v>
          </cell>
        </row>
        <row r="4543">
          <cell r="A4543" t="str">
            <v>9999-LN29</v>
          </cell>
          <cell r="B4543" t="str">
            <v>כניסות כבלים לגזר</v>
          </cell>
          <cell r="C4543" t="str">
            <v>כניסות כבלים לגזר-תכנון החלפת כבלים</v>
          </cell>
          <cell r="D4543">
            <v>40930</v>
          </cell>
        </row>
        <row r="4544">
          <cell r="A4544" t="str">
            <v>HIS-100</v>
          </cell>
          <cell r="B4544" t="str">
            <v>כנות</v>
          </cell>
          <cell r="C4544" t="str">
            <v>כנות</v>
          </cell>
          <cell r="D4544">
            <v>40908</v>
          </cell>
        </row>
        <row r="4545">
          <cell r="A4545" t="str">
            <v>WBE-216</v>
          </cell>
          <cell r="B4545" t="str">
            <v>כנות</v>
          </cell>
          <cell r="C4545" t="str">
            <v>כנות-התקנת שנאי שלישי 161/24 ק"ו 50 מו"א</v>
          </cell>
          <cell r="D4545">
            <v>46507</v>
          </cell>
        </row>
        <row r="4546">
          <cell r="A4546" t="str">
            <v>WDB-04COM26</v>
          </cell>
          <cell r="B4546" t="str">
            <v>כנות</v>
          </cell>
          <cell r="C4546" t="str">
            <v>כנות-הנחת כבל סיב אופטי מכיוון הרטוב</v>
          </cell>
          <cell r="D4546">
            <v>43099</v>
          </cell>
        </row>
        <row r="4547">
          <cell r="A4547" t="str">
            <v>WBM-00288</v>
          </cell>
          <cell r="B4547" t="str">
            <v>כנות</v>
          </cell>
          <cell r="C4547" t="str">
            <v>כנות-התקנת 2 ס"ק 2*5 מגווא"ר כ"א</v>
          </cell>
          <cell r="D4547">
            <v>46418</v>
          </cell>
        </row>
        <row r="4548">
          <cell r="A4548" t="str">
            <v>WBM-00063</v>
          </cell>
          <cell r="B4548" t="str">
            <v>כנות</v>
          </cell>
          <cell r="C4548" t="str">
            <v>כנות - בוטל- התקנת מערכת טמ"ס</v>
          </cell>
        </row>
        <row r="4549">
          <cell r="A4549" t="str">
            <v>WBM-10044</v>
          </cell>
          <cell r="B4549" t="str">
            <v>כנות</v>
          </cell>
          <cell r="C4549" t="str">
            <v>כנות - התקנת רושם הפרעות</v>
          </cell>
          <cell r="D4549">
            <v>46417</v>
          </cell>
        </row>
        <row r="4550">
          <cell r="A4550" t="str">
            <v>WBM-10273</v>
          </cell>
          <cell r="B4550" t="str">
            <v>כנות</v>
          </cell>
          <cell r="C4550" t="str">
            <v>כנות-התאמת תיילים-מהדקים-פורט'WBO-576</v>
          </cell>
          <cell r="D4550">
            <v>44788</v>
          </cell>
        </row>
        <row r="4551">
          <cell r="A4551" t="str">
            <v>WBM-70001</v>
          </cell>
          <cell r="B4551" t="str">
            <v>כנות</v>
          </cell>
          <cell r="C4551" t="str">
            <v>כנות - החלפת מ"ז, מנתקים ומשנק בשדה 5</v>
          </cell>
          <cell r="D4551">
            <v>44292</v>
          </cell>
        </row>
        <row r="4552">
          <cell r="A4552" t="str">
            <v>WBM-01003</v>
          </cell>
          <cell r="B4552" t="str">
            <v>כנות</v>
          </cell>
          <cell r="C4552" t="str">
            <v>כנות - הוספת הגנה דיפרנציאלית ליבנה</v>
          </cell>
          <cell r="D4552">
            <v>43793</v>
          </cell>
        </row>
        <row r="4553">
          <cell r="A4553" t="str">
            <v>WBG-135-005</v>
          </cell>
          <cell r="B4553" t="str">
            <v>כנות</v>
          </cell>
          <cell r="C4553" t="str">
            <v>כנות-הקמת רשת מחשבים תפעולית</v>
          </cell>
          <cell r="D4553">
            <v>40979</v>
          </cell>
        </row>
        <row r="4554">
          <cell r="A4554" t="str">
            <v>WBM-10345</v>
          </cell>
          <cell r="B4554" t="str">
            <v>כנות</v>
          </cell>
          <cell r="C4554" t="str">
            <v>כנות - בוטל-תקש.אופטית בין הגנות שדה 9</v>
          </cell>
        </row>
        <row r="4555">
          <cell r="A4555">
            <v>539210</v>
          </cell>
          <cell r="B4555" t="str">
            <v>כנות</v>
          </cell>
          <cell r="C4555" t="str">
            <v>כנות-התקנת מאווררים בארונות פיקוד</v>
          </cell>
          <cell r="D4555">
            <v>40311</v>
          </cell>
        </row>
        <row r="4556">
          <cell r="A4556" t="str">
            <v>WBG-135-008</v>
          </cell>
          <cell r="B4556" t="str">
            <v>כנות</v>
          </cell>
          <cell r="C4556" t="str">
            <v>כנות-החלפת מערכת התראה בטחונית</v>
          </cell>
          <cell r="D4556">
            <v>41820</v>
          </cell>
        </row>
        <row r="4557">
          <cell r="A4557" t="str">
            <v>WBM-01016</v>
          </cell>
          <cell r="B4557" t="str">
            <v>כנות</v>
          </cell>
          <cell r="C4557" t="str">
            <v>כנות-בוטל-תוספת/עדכון של 20 התראות</v>
          </cell>
          <cell r="D4557">
            <v>40714</v>
          </cell>
        </row>
        <row r="4558">
          <cell r="A4558" t="str">
            <v>WBG-135-010</v>
          </cell>
          <cell r="B4558" t="str">
            <v>כנות</v>
          </cell>
          <cell r="C4558" t="str">
            <v>כנות-הקשחות אבטחת מידע במחשב</v>
          </cell>
          <cell r="D4558">
            <v>40605</v>
          </cell>
        </row>
        <row r="4559">
          <cell r="A4559" t="str">
            <v>WBM-00885-066</v>
          </cell>
          <cell r="B4559" t="str">
            <v>כנות</v>
          </cell>
          <cell r="C4559" t="str">
            <v>כנות - התאמה מערכת המים למכ"ר</v>
          </cell>
          <cell r="D4559">
            <v>46568</v>
          </cell>
        </row>
        <row r="4560">
          <cell r="A4560" t="str">
            <v>WBM-10456-007</v>
          </cell>
          <cell r="B4560" t="str">
            <v>כנות</v>
          </cell>
          <cell r="C4560" t="str">
            <v>כנות - הוספת מתמרים ב-3 פ"צ</v>
          </cell>
          <cell r="D4560">
            <v>46418</v>
          </cell>
        </row>
        <row r="4561">
          <cell r="A4561" t="str">
            <v>WBM-60008-062</v>
          </cell>
          <cell r="B4561" t="str">
            <v>כנות</v>
          </cell>
          <cell r="C4561" t="str">
            <v>כנות - מערכת בקרה, טמ"ס וגדר אלקטרונית</v>
          </cell>
          <cell r="D4561">
            <v>46568</v>
          </cell>
        </row>
        <row r="4562">
          <cell r="A4562" t="str">
            <v>WBM-60107-010</v>
          </cell>
          <cell r="B4562" t="str">
            <v>כנות</v>
          </cell>
          <cell r="C4562" t="str">
            <v>כנות - החלפת מנעולים אלק.מגנטיים באלק.מכ</v>
          </cell>
          <cell r="D4562">
            <v>45664</v>
          </cell>
        </row>
        <row r="4563">
          <cell r="A4563" t="str">
            <v>WBM-10661</v>
          </cell>
          <cell r="B4563" t="str">
            <v>כנות</v>
          </cell>
          <cell r="C4563" t="str">
            <v>כנות - משיק לבית"ר 5, הוספת הגנת מעגל דיפרנציאלית ויישום תקשורת אופטית בין הגנות בשדה 9</v>
          </cell>
          <cell r="D4563">
            <v>46356</v>
          </cell>
        </row>
        <row r="4564">
          <cell r="A4564" t="str">
            <v>WBM-10721</v>
          </cell>
          <cell r="B4564" t="str">
            <v>כנות</v>
          </cell>
          <cell r="C4564" t="str">
            <v>כנות – שדרוג SCS וחיבור מסדרי אפס של שנאים 521, 522 ישירות לשנאים.</v>
          </cell>
          <cell r="D4564">
            <v>46418</v>
          </cell>
        </row>
        <row r="4565">
          <cell r="A4565" t="str">
            <v>WBM-60092-050</v>
          </cell>
          <cell r="B4565" t="str">
            <v>כנות</v>
          </cell>
          <cell r="C4565" t="str">
            <v>כנות - בדיקות/טיפול/פינוי מכלי אש בגז</v>
          </cell>
          <cell r="D4565">
            <v>46387</v>
          </cell>
        </row>
        <row r="4566">
          <cell r="A4566" t="str">
            <v>WBM-60116-046</v>
          </cell>
          <cell r="B4566" t="str">
            <v>כנות</v>
          </cell>
          <cell r="C4566" t="str">
            <v>כנות - מערכות גילוי אש להחלפה TYCO</v>
          </cell>
          <cell r="D4566">
            <v>46721</v>
          </cell>
        </row>
        <row r="4567">
          <cell r="A4567" t="str">
            <v>WBM-60088-069</v>
          </cell>
          <cell r="B4567" t="str">
            <v>כנות</v>
          </cell>
          <cell r="C4567" t="str">
            <v>כנות - הקמת מאצרת שמן מרכזית</v>
          </cell>
          <cell r="D4567">
            <v>46477</v>
          </cell>
        </row>
        <row r="4568">
          <cell r="A4568" t="str">
            <v>HIS-099</v>
          </cell>
          <cell r="B4568" t="str">
            <v>כמון</v>
          </cell>
          <cell r="C4568" t="str">
            <v>כמון (כרמיאל מזרח)</v>
          </cell>
          <cell r="D4568">
            <v>40908</v>
          </cell>
        </row>
        <row r="4569">
          <cell r="A4569" t="str">
            <v>WDB-04COM13</v>
          </cell>
          <cell r="B4569" t="str">
            <v>כמון</v>
          </cell>
          <cell r="C4569" t="str">
            <v>כמון-הנחת כבל אופטי  מכיוון כרמיאל לח"פ</v>
          </cell>
          <cell r="D4569">
            <v>41779</v>
          </cell>
        </row>
        <row r="4570">
          <cell r="A4570" t="str">
            <v>WBM-40326</v>
          </cell>
          <cell r="B4570" t="str">
            <v>כמון</v>
          </cell>
          <cell r="C4570" t="str">
            <v>כמון-התאמת שדות 5,9 ליכולת 1440 א'</v>
          </cell>
          <cell r="D4570">
            <v>47118</v>
          </cell>
        </row>
        <row r="4571">
          <cell r="A4571" t="str">
            <v>WBM-00287</v>
          </cell>
          <cell r="B4571" t="str">
            <v>כמון</v>
          </cell>
          <cell r="C4571" t="str">
            <v>כמון-התקנת 2 ס.קבלים 5*2 מגווא"ר כ"א.</v>
          </cell>
          <cell r="D4571">
            <v>46507</v>
          </cell>
        </row>
        <row r="4572">
          <cell r="A4572" t="str">
            <v>WBM-10193</v>
          </cell>
          <cell r="B4572" t="str">
            <v>כמון</v>
          </cell>
          <cell r="C4572" t="str">
            <v>כמון-בוטל - הwמהדקי זרם ותילים בשדות 5,9 wbo086</v>
          </cell>
          <cell r="D4572">
            <v>45292</v>
          </cell>
        </row>
        <row r="4573">
          <cell r="A4573" t="str">
            <v>WBM-01358</v>
          </cell>
          <cell r="B4573" t="str">
            <v>כמון</v>
          </cell>
          <cell r="C4573" t="str">
            <v>כמון- שיפור אוטומטיקת סלילי כיבוי בתחמ"ש</v>
          </cell>
          <cell r="D4573">
            <v>43065</v>
          </cell>
        </row>
        <row r="4574">
          <cell r="A4574" t="str">
            <v>WBG-136-006</v>
          </cell>
          <cell r="B4574" t="str">
            <v>כמון</v>
          </cell>
          <cell r="C4574" t="str">
            <v>כמון-הקמת טבעת om 20  כחלק מרשת מרבבים</v>
          </cell>
          <cell r="D4574">
            <v>41638</v>
          </cell>
        </row>
        <row r="4575">
          <cell r="A4575">
            <v>525608</v>
          </cell>
          <cell r="B4575" t="str">
            <v>כמון</v>
          </cell>
          <cell r="C4575" t="str">
            <v>כמון-התקנת מאווררים בארונות פיקוד והגנה</v>
          </cell>
          <cell r="D4575">
            <v>41304</v>
          </cell>
        </row>
        <row r="4576">
          <cell r="A4576" t="str">
            <v>WBG-136-004</v>
          </cell>
          <cell r="B4576" t="str">
            <v>כמון</v>
          </cell>
          <cell r="C4576" t="str">
            <v>כמון-החלפת רכזת התראה בטחונית</v>
          </cell>
          <cell r="D4576">
            <v>40785</v>
          </cell>
        </row>
        <row r="4577">
          <cell r="A4577" t="str">
            <v>WBM-00359</v>
          </cell>
          <cell r="B4577" t="str">
            <v>כמון</v>
          </cell>
          <cell r="C4577" t="str">
            <v>כמון-בוטל-יישום השלת עומס לפי זרם בשדה 9</v>
          </cell>
          <cell r="D4577">
            <v>44196</v>
          </cell>
        </row>
        <row r="4578">
          <cell r="A4578" t="str">
            <v>WBM-10578</v>
          </cell>
          <cell r="B4578" t="str">
            <v>כמון</v>
          </cell>
          <cell r="C4578" t="str">
            <v>כמון- התקנת הגנה דיפרנצליאלית שדה 9 (משיק לתחמ"ש כרמיאל שדה 5)</v>
          </cell>
          <cell r="D4578">
            <v>47117</v>
          </cell>
        </row>
        <row r="4579">
          <cell r="A4579" t="str">
            <v>WBM-00884-022</v>
          </cell>
          <cell r="B4579" t="str">
            <v>כמון</v>
          </cell>
          <cell r="C4579" t="str">
            <v>כמון - החלפת רכזות וגלאים</v>
          </cell>
          <cell r="D4579">
            <v>46386</v>
          </cell>
        </row>
        <row r="4580">
          <cell r="A4580" t="str">
            <v>WBM-20004-031</v>
          </cell>
          <cell r="B4580" t="str">
            <v>כמון</v>
          </cell>
          <cell r="C4580" t="str">
            <v>כמון - התקנת תאורת חירום מוגנת אש</v>
          </cell>
          <cell r="D4580">
            <v>46721</v>
          </cell>
        </row>
        <row r="4581">
          <cell r="A4581" t="str">
            <v>WBM-60107-036</v>
          </cell>
          <cell r="B4581" t="str">
            <v>כמון</v>
          </cell>
          <cell r="C4581" t="str">
            <v>כמון - החלפת מנעולים אלק.מגנטיים באלק.מכ</v>
          </cell>
          <cell r="D4581">
            <v>45607</v>
          </cell>
        </row>
        <row r="4582">
          <cell r="A4582" t="str">
            <v>WBM-40295-086</v>
          </cell>
          <cell r="B4582" t="str">
            <v>כמון</v>
          </cell>
          <cell r="C4582" t="str">
            <v>כמון -החלפת סוללות מצברים</v>
          </cell>
          <cell r="D4582">
            <v>46203</v>
          </cell>
        </row>
        <row r="4583">
          <cell r="A4583" t="str">
            <v>WBM-40637-027</v>
          </cell>
          <cell r="B4583" t="str">
            <v>כמון</v>
          </cell>
          <cell r="C4583" t="str">
            <v>כמון - החלפת רושמי הפרעות קיימים מדגם IDM-T3 לרושמים חדשים מדגם IDM+</v>
          </cell>
          <cell r="D4583">
            <v>47057</v>
          </cell>
        </row>
        <row r="4584">
          <cell r="A4584" t="str">
            <v>HIS-098</v>
          </cell>
          <cell r="B4584" t="str">
            <v>כינרות</v>
          </cell>
          <cell r="C4584" t="str">
            <v>כינרות</v>
          </cell>
          <cell r="D4584">
            <v>40908</v>
          </cell>
        </row>
        <row r="4585">
          <cell r="A4585" t="str">
            <v>WDB-04COM11</v>
          </cell>
          <cell r="B4585" t="str">
            <v>כינרות</v>
          </cell>
          <cell r="C4585" t="str">
            <v>כינרות-הנחת כבל סיב אופטי OPGW (לגליל)</v>
          </cell>
          <cell r="D4585">
            <v>46537</v>
          </cell>
        </row>
        <row r="4586">
          <cell r="A4586" t="str">
            <v>WBM-40322</v>
          </cell>
          <cell r="B4586" t="str">
            <v>כינרות</v>
          </cell>
          <cell r="C4586" t="str">
            <v>כינרות-התאמה שדות 3,5,9 והתאמה פסי צבירה משיק ל wbo-008</v>
          </cell>
          <cell r="D4586">
            <v>47118</v>
          </cell>
        </row>
        <row r="4587">
          <cell r="A4587" t="str">
            <v>WBM-40319</v>
          </cell>
          <cell r="B4587" t="str">
            <v>כינרות</v>
          </cell>
          <cell r="C4587" t="str">
            <v>כינרות- התאמת שדות 13,15 ליכולת 1600 א'</v>
          </cell>
          <cell r="D4587">
            <v>46934</v>
          </cell>
        </row>
        <row r="4588">
          <cell r="A4588" t="str">
            <v>WBM-10380</v>
          </cell>
          <cell r="B4588" t="str">
            <v>כינרות</v>
          </cell>
          <cell r="C4588" t="str">
            <v>כינורות-הת' תיילים-מהדקים-פורט'wbo-088</v>
          </cell>
          <cell r="D4588">
            <v>47118</v>
          </cell>
        </row>
        <row r="4589">
          <cell r="A4589" t="str">
            <v>WBM-00484</v>
          </cell>
          <cell r="B4589" t="str">
            <v>כינרות</v>
          </cell>
          <cell r="C4589" t="str">
            <v>כינרות-הזנת תאורת חירום ז"י.</v>
          </cell>
          <cell r="D4589">
            <v>46202</v>
          </cell>
        </row>
        <row r="4590">
          <cell r="A4590" t="str">
            <v>WBM-00486</v>
          </cell>
          <cell r="B4590" t="str">
            <v>כינרות</v>
          </cell>
          <cell r="C4590" t="str">
            <v>כינרות-החלפת גדר רשת רגילה בהיקף התחמ"ש.</v>
          </cell>
          <cell r="D4590">
            <v>45908</v>
          </cell>
        </row>
        <row r="4591">
          <cell r="A4591" t="str">
            <v>WBM-60047</v>
          </cell>
          <cell r="B4591" t="str">
            <v>כינרות</v>
          </cell>
          <cell r="C4591" t="str">
            <v>כינרות - עיגון ארונות פיקוד ושנאים</v>
          </cell>
          <cell r="D4591">
            <v>45917</v>
          </cell>
        </row>
        <row r="4592">
          <cell r="A4592" t="str">
            <v>WBM-40312</v>
          </cell>
          <cell r="B4592" t="str">
            <v>כינרות</v>
          </cell>
          <cell r="C4592" t="str">
            <v>כינרות-התאמה שדה 5 ליכולת  1440 א'</v>
          </cell>
          <cell r="D4592">
            <v>46203</v>
          </cell>
        </row>
        <row r="4593">
          <cell r="A4593" t="str">
            <v>WBM-10261</v>
          </cell>
          <cell r="B4593" t="str">
            <v>כינרות</v>
          </cell>
          <cell r="C4593" t="str">
            <v>כינורות-משיק לצחר 3– החלפת הגנה דיפ.ש'11</v>
          </cell>
          <cell r="D4593">
            <v>46356</v>
          </cell>
        </row>
        <row r="4594">
          <cell r="A4594" t="str">
            <v>WBM-00483</v>
          </cell>
          <cell r="B4594" t="str">
            <v>כינרות</v>
          </cell>
          <cell r="C4594" t="str">
            <v>כינרות-החלפת רושם הפרעות 161 ק"ו</v>
          </cell>
          <cell r="D4594">
            <v>46295</v>
          </cell>
        </row>
        <row r="4595">
          <cell r="A4595" t="str">
            <v>WBM-10195</v>
          </cell>
          <cell r="B4595" t="str">
            <v>כינרות</v>
          </cell>
          <cell r="C4595" t="str">
            <v>כינרות-החלפת מהדקי זרם ותילים בשדות 3,5</v>
          </cell>
          <cell r="D4595">
            <v>46326</v>
          </cell>
        </row>
        <row r="4596">
          <cell r="A4596" t="str">
            <v>WBM-10383</v>
          </cell>
          <cell r="B4596" t="str">
            <v>כינרות</v>
          </cell>
          <cell r="C4596" t="str">
            <v>כינורות - יישום תקש.אופטית בין הגנ. ש.22</v>
          </cell>
          <cell r="D4596">
            <v>46326</v>
          </cell>
        </row>
        <row r="4597">
          <cell r="A4597" t="str">
            <v>WBM-10207</v>
          </cell>
          <cell r="B4597" t="str">
            <v>כינרות</v>
          </cell>
          <cell r="C4597" t="str">
            <v>כינרות -משיק ר.בראשית,הח.צ.הצמדה,ש.13</v>
          </cell>
          <cell r="D4597">
            <v>45091</v>
          </cell>
        </row>
        <row r="4598">
          <cell r="A4598" t="str">
            <v>WBM-01426</v>
          </cell>
          <cell r="B4598" t="str">
            <v>כינרות</v>
          </cell>
          <cell r="C4598" t="str">
            <v>כינורות-משיק ליהודיה,הח. הגנות, ש 13,15</v>
          </cell>
          <cell r="D4598">
            <v>45079</v>
          </cell>
        </row>
        <row r="4599">
          <cell r="A4599" t="str">
            <v>WBM-40289</v>
          </cell>
          <cell r="B4599" t="str">
            <v>כינרות</v>
          </cell>
          <cell r="C4599" t="str">
            <v>כינרות - החלפת שרשראות מבודדים</v>
          </cell>
          <cell r="D4599">
            <v>45079</v>
          </cell>
        </row>
        <row r="4600">
          <cell r="A4600" t="str">
            <v>WBM-10409</v>
          </cell>
          <cell r="B4600" t="str">
            <v>כינרות</v>
          </cell>
          <cell r="C4600" t="str">
            <v>כינרות-החלפת לוח חלוקה 220 לתוספת מאמ"ת</v>
          </cell>
          <cell r="D4600">
            <v>45275</v>
          </cell>
        </row>
        <row r="4601">
          <cell r="A4601" t="str">
            <v>WBM-50001</v>
          </cell>
          <cell r="B4601" t="str">
            <v>כינרות</v>
          </cell>
          <cell r="C4601" t="str">
            <v>כינרות-הח' צ' הצמדה ש 3,21,22-משיק</v>
          </cell>
          <cell r="D4601">
            <v>45060</v>
          </cell>
        </row>
        <row r="4602">
          <cell r="A4602" t="str">
            <v>WBM-10227</v>
          </cell>
          <cell r="B4602" t="str">
            <v>כינרות</v>
          </cell>
          <cell r="C4602" t="str">
            <v>כינרות-משיק לאר"ן-החלפת משנק בשדות 11,9</v>
          </cell>
          <cell r="D4602">
            <v>45060</v>
          </cell>
        </row>
        <row r="4603">
          <cell r="A4603" t="str">
            <v>WBM-60038</v>
          </cell>
          <cell r="B4603" t="str">
            <v>כינרות</v>
          </cell>
          <cell r="C4603" t="str">
            <v>כינורות - החלפת מערכות גילוי אש</v>
          </cell>
          <cell r="D4603">
            <v>44521</v>
          </cell>
        </row>
        <row r="4604">
          <cell r="A4604" t="str">
            <v>WBM-10173</v>
          </cell>
          <cell r="B4604" t="str">
            <v>כינרות</v>
          </cell>
          <cell r="C4604" t="str">
            <v>כינרות - משיק לקצרין.הג.דיפ.+תקש'-ש11</v>
          </cell>
          <cell r="D4604">
            <v>44266</v>
          </cell>
        </row>
        <row r="4605">
          <cell r="A4605" t="str">
            <v>WBM-40094</v>
          </cell>
          <cell r="B4605" t="str">
            <v>כינרות</v>
          </cell>
          <cell r="C4605" t="str">
            <v>כינרות- החלפת 4 הגנות מ"ג IAK</v>
          </cell>
          <cell r="D4605">
            <v>43915</v>
          </cell>
        </row>
        <row r="4606">
          <cell r="A4606" t="str">
            <v>WBM-00881</v>
          </cell>
          <cell r="B4606" t="str">
            <v>כינרות</v>
          </cell>
          <cell r="C4606" t="str">
            <v>כינרות- שיקום הקיר תומך</v>
          </cell>
          <cell r="D4606">
            <v>43867</v>
          </cell>
        </row>
        <row r="4607">
          <cell r="A4607" t="str">
            <v>WBM-01185</v>
          </cell>
          <cell r="B4607" t="str">
            <v>כינרות</v>
          </cell>
          <cell r="C4607" t="str">
            <v>כינרות-החלפת הגנות שנאי RQ4A</v>
          </cell>
          <cell r="D4607">
            <v>43241</v>
          </cell>
        </row>
        <row r="4608">
          <cell r="A4608" t="str">
            <v>WBM-40093</v>
          </cell>
          <cell r="B4608" t="str">
            <v>כינרות</v>
          </cell>
          <cell r="C4608" t="str">
            <v>כינרות - החלפת שנאי 521</v>
          </cell>
          <cell r="D4608">
            <v>43241</v>
          </cell>
        </row>
        <row r="4609">
          <cell r="A4609" t="str">
            <v>WBM-00698</v>
          </cell>
          <cell r="B4609" t="str">
            <v>כינרות</v>
          </cell>
          <cell r="C4609" t="str">
            <v>כינרות-התאמת מערכת מים לכיבוי אש למכ"ר.</v>
          </cell>
          <cell r="D4609">
            <v>41981</v>
          </cell>
        </row>
        <row r="4610">
          <cell r="A4610" t="str">
            <v>WBM-00439</v>
          </cell>
          <cell r="B4610" t="str">
            <v>כינרות</v>
          </cell>
          <cell r="C4610" t="str">
            <v>כינרות-הוספת פונקצית COMM.FAIL בשדה 22</v>
          </cell>
          <cell r="D4610">
            <v>41801</v>
          </cell>
        </row>
        <row r="4611">
          <cell r="A4611" t="str">
            <v>WBG-052-020</v>
          </cell>
          <cell r="B4611" t="str">
            <v>כינרות</v>
          </cell>
          <cell r="C4611" t="str">
            <v>כינרות-הקמת טבעת om 20  כחלק מרשת מרבבים</v>
          </cell>
          <cell r="D4611">
            <v>41638</v>
          </cell>
        </row>
        <row r="4612">
          <cell r="A4612" t="str">
            <v>WBG-052-002</v>
          </cell>
          <cell r="B4612" t="str">
            <v>כינרות</v>
          </cell>
          <cell r="C4612" t="str">
            <v>כינרות-התקנת ציוד קשר הג.מרחק בקו לצלמון</v>
          </cell>
          <cell r="D4612">
            <v>41319</v>
          </cell>
        </row>
        <row r="4613">
          <cell r="A4613" t="str">
            <v>WBG-052-021</v>
          </cell>
          <cell r="B4613" t="str">
            <v>כינרות</v>
          </cell>
          <cell r="C4613" t="str">
            <v>כינרות-החלפת מפס"ז מ"ג בשדה מס' 1של ס"ק</v>
          </cell>
          <cell r="D4613">
            <v>41175</v>
          </cell>
        </row>
        <row r="4614">
          <cell r="A4614" t="str">
            <v>WBM-10295</v>
          </cell>
          <cell r="B4614" t="str">
            <v>כינרות</v>
          </cell>
          <cell r="C4614" t="str">
            <v>כינרות-בוטל-התאמת תיליםמהדקים-פורט'WB056</v>
          </cell>
          <cell r="D4614">
            <v>44593</v>
          </cell>
        </row>
        <row r="4615">
          <cell r="A4615" t="str">
            <v>WBM-01434</v>
          </cell>
          <cell r="B4615" t="str">
            <v>כינרות</v>
          </cell>
          <cell r="C4615" t="str">
            <v>כינורות-בוטל - יצירת תקשורת RAD שד' 22 ל</v>
          </cell>
          <cell r="D4615">
            <v>43598</v>
          </cell>
        </row>
        <row r="4616">
          <cell r="A4616" t="str">
            <v>WBM-10189</v>
          </cell>
          <cell r="B4616" t="str">
            <v>כינרות</v>
          </cell>
          <cell r="C4616" t="str">
            <v>כנורות -בוטל- הח משנק בשדה 3 - משיק אר"ן</v>
          </cell>
          <cell r="D4616">
            <v>44196</v>
          </cell>
        </row>
        <row r="4617">
          <cell r="A4617">
            <v>523026</v>
          </cell>
          <cell r="B4617" t="str">
            <v>כינרות</v>
          </cell>
          <cell r="C4617" t="str">
            <v>כינרות-החלפת רכזת התראה בטחונית</v>
          </cell>
          <cell r="D4617">
            <v>39629</v>
          </cell>
        </row>
        <row r="4618">
          <cell r="A4618" t="str">
            <v>WBM-00485</v>
          </cell>
          <cell r="B4618" t="str">
            <v>כינרות</v>
          </cell>
          <cell r="C4618" t="str">
            <v>כינרות-בוטל שיפור מערכת הארקת בתחמ"ש</v>
          </cell>
          <cell r="D4618">
            <v>39798</v>
          </cell>
        </row>
        <row r="4619">
          <cell r="A4619">
            <v>523033</v>
          </cell>
          <cell r="B4619" t="str">
            <v>כינרות</v>
          </cell>
          <cell r="C4619" t="str">
            <v>כינרות-התקנת מאווררים בארונות פיקוד והגנ</v>
          </cell>
          <cell r="D4619">
            <v>40311</v>
          </cell>
        </row>
        <row r="4620">
          <cell r="A4620" t="str">
            <v>WBM-00286</v>
          </cell>
          <cell r="B4620" t="str">
            <v>כינרות</v>
          </cell>
          <cell r="C4620" t="str">
            <v>כינרות-הוקפא-החלפת ציוד הצמדה  בשדה 9</v>
          </cell>
          <cell r="D4620">
            <v>42185</v>
          </cell>
        </row>
        <row r="4621">
          <cell r="A4621" t="str">
            <v>WBM-60088-047</v>
          </cell>
          <cell r="B4621" t="str">
            <v>כינרות</v>
          </cell>
          <cell r="C4621" t="str">
            <v>כינרות - מאצרה ל-2 סלילי כיבוי</v>
          </cell>
          <cell r="D4621">
            <v>46326</v>
          </cell>
        </row>
        <row r="4622">
          <cell r="A4622" t="str">
            <v>WBM-60118-027</v>
          </cell>
          <cell r="B4622" t="str">
            <v>כינרות</v>
          </cell>
          <cell r="C4622" t="str">
            <v>כינרות - שיפור מערכת הארקה</v>
          </cell>
          <cell r="D4622">
            <v>47118</v>
          </cell>
        </row>
        <row r="4623">
          <cell r="A4623" t="str">
            <v>WBM-60130-030</v>
          </cell>
          <cell r="B4623" t="str">
            <v>כינרות</v>
          </cell>
          <cell r="C4623" t="str">
            <v>כינרות - התקנת מפסק פטריה להפסקת מערכת החשמל בחירום</v>
          </cell>
          <cell r="D4623">
            <v>46568</v>
          </cell>
        </row>
        <row r="4624">
          <cell r="A4624" t="str">
            <v>WBM-10656</v>
          </cell>
          <cell r="B4624" t="str">
            <v>כינרות</v>
          </cell>
          <cell r="C4624" t="str">
            <v>כינרות- משיק לגליל (מזרחי) 18, התקנת הגנה דיפרנציאלית ויישום דרך קשר אופטית בשדה 1</v>
          </cell>
          <cell r="D4624">
            <v>46538</v>
          </cell>
        </row>
        <row r="4625">
          <cell r="A4625" t="str">
            <v>WBM-10658</v>
          </cell>
          <cell r="B4625" t="str">
            <v>כינרות</v>
          </cell>
          <cell r="C4625" t="str">
            <v>כינרות - משיק לגליל (מזרחי) 18, התקנת הגנת מרחק ויישום דרך קשר אופטית בשדה 1</v>
          </cell>
          <cell r="D4625">
            <v>46234</v>
          </cell>
        </row>
        <row r="4626">
          <cell r="A4626" t="str">
            <v>WBM-40295-089</v>
          </cell>
          <cell r="B4626" t="str">
            <v>כינרות</v>
          </cell>
          <cell r="C4626" t="str">
            <v>כינרות- החלפת סוללות מצברים</v>
          </cell>
          <cell r="D4626">
            <v>46295</v>
          </cell>
        </row>
        <row r="4627">
          <cell r="A4627" t="str">
            <v>WBM-70053</v>
          </cell>
          <cell r="B4627" t="str">
            <v>כינרות</v>
          </cell>
          <cell r="C4627" t="str">
            <v>כנורות - הת' תיילים-מהדקים-פורט'wbo-357</v>
          </cell>
          <cell r="D4627">
            <v>47848</v>
          </cell>
        </row>
        <row r="4628">
          <cell r="A4628" t="str">
            <v>WBM-70053-ST1</v>
          </cell>
          <cell r="B4628" t="str">
            <v>כינרות</v>
          </cell>
          <cell r="C4628" t="str">
            <v>כנורות - בחינת הפורטל לכוחות החדשים של תיילים בחתך 593*2 הנובעים מפרויקט הולכה WBO-357.</v>
          </cell>
          <cell r="D4628">
            <v>47299</v>
          </cell>
        </row>
        <row r="4629">
          <cell r="A4629" t="str">
            <v>WBM-70053-ST2</v>
          </cell>
          <cell r="B4629" t="str">
            <v>כינרות</v>
          </cell>
          <cell r="C4629" t="str">
            <v>כנורות - התאמת הירידות, התיילים והמהדקים מקו ההולכה לפורטל בשדה 22 לחתך 593*2</v>
          </cell>
          <cell r="D4629">
            <v>47848</v>
          </cell>
        </row>
        <row r="4630">
          <cell r="A4630" t="str">
            <v>WBM-10821</v>
          </cell>
          <cell r="B4630" t="str">
            <v>כינרות</v>
          </cell>
          <cell r="C4630" t="str">
            <v>כנורות ש' 11- משיק לתחמ"ש צחר ש' 3- פרוק הגמה דיפ' ויישום תקשורת אופטית</v>
          </cell>
          <cell r="D4630">
            <v>46356</v>
          </cell>
        </row>
        <row r="4631">
          <cell r="A4631" t="str">
            <v>WBM-10822</v>
          </cell>
          <cell r="B4631" t="str">
            <v>כינרות</v>
          </cell>
          <cell r="C4631" t="str">
            <v>כינרות ש' 11- משיק לתחמ"ש צחר ש' 3- פרוק הגנת מרחק, התקנת הגנת מרחק ויישום תקשורת אופטית</v>
          </cell>
          <cell r="D4631">
            <v>46356</v>
          </cell>
        </row>
        <row r="4632">
          <cell r="A4632" t="str">
            <v>WBM-10825</v>
          </cell>
          <cell r="B4632" t="str">
            <v>כינרות</v>
          </cell>
          <cell r="C4632" t="str">
            <v>כינרות ש' 9- משיק תחמ"ש קצרין ש' 1- פרוק הגנת מרחק, התקנת הגנת מרחק ויישום תקשורת אופטית</v>
          </cell>
          <cell r="D4632">
            <v>46356</v>
          </cell>
        </row>
        <row r="4633">
          <cell r="A4633" t="str">
            <v>WBM-10826</v>
          </cell>
          <cell r="B4633" t="str">
            <v>כינרות</v>
          </cell>
          <cell r="C4633" t="str">
            <v>כינרות ש' 9- משיק לקצרין ש' 1- פרוק הגנת מרחק, התקנת הגנה דיפ' ויישום תקשורת אופטית</v>
          </cell>
          <cell r="D4633">
            <v>46356</v>
          </cell>
        </row>
        <row r="4634">
          <cell r="A4634" t="str">
            <v>WBD-102</v>
          </cell>
          <cell r="B4634" t="str">
            <v>כורסי ניידת</v>
          </cell>
          <cell r="C4634" t="str">
            <v>כורסי ניידת-הצבת תחמ"ש ניידת</v>
          </cell>
          <cell r="D4634">
            <v>45656</v>
          </cell>
        </row>
        <row r="4635">
          <cell r="A4635" t="str">
            <v>HIS-097</v>
          </cell>
          <cell r="B4635" t="str">
            <v>כורסי</v>
          </cell>
          <cell r="C4635" t="str">
            <v>כורסי</v>
          </cell>
          <cell r="D4635">
            <v>40908</v>
          </cell>
        </row>
        <row r="4636">
          <cell r="A4636" t="str">
            <v>WBE-226</v>
          </cell>
          <cell r="B4636" t="str">
            <v>כורסי</v>
          </cell>
          <cell r="C4636" t="str">
            <v>כורסי-רב שלבי-החלפת 2 שנאים 521,522 והתקנת 2 שנאים 523,524</v>
          </cell>
          <cell r="D4636">
            <v>46568</v>
          </cell>
        </row>
        <row r="4637">
          <cell r="A4637" t="str">
            <v>WBE-251</v>
          </cell>
          <cell r="B4637" t="str">
            <v>כורסי</v>
          </cell>
          <cell r="C4637" t="str">
            <v>כורסי - בוטל - החלפת שנאי 521 מ-33 ל-50 מגוו"א</v>
          </cell>
        </row>
        <row r="4638">
          <cell r="A4638" t="str">
            <v>WDA-1-PA17</v>
          </cell>
          <cell r="B4638" t="str">
            <v>כורסי</v>
          </cell>
          <cell r="C4638" t="str">
            <v>כורסי-החלפה של יחידת קצה של פיקוח ארצי</v>
          </cell>
          <cell r="D4638">
            <v>42253</v>
          </cell>
        </row>
        <row r="4639">
          <cell r="A4639" t="str">
            <v>WBM-00480</v>
          </cell>
          <cell r="B4639" t="str">
            <v>כורסי</v>
          </cell>
          <cell r="C4639" t="str">
            <v>כורסי-בוטל - החלפת 3 מגיני ברק 132 ק"ו ישנים.</v>
          </cell>
        </row>
        <row r="4640">
          <cell r="A4640" t="str">
            <v>WBM-40175</v>
          </cell>
          <cell r="B4640" t="str">
            <v>כורסי</v>
          </cell>
          <cell r="C4640" t="str">
            <v>כורסי- בוטל - החלפת 9 מפס"ז מ"ג ו 3 הגנות מ"ג</v>
          </cell>
        </row>
        <row r="4641">
          <cell r="A4641" t="str">
            <v>WBM-00060</v>
          </cell>
          <cell r="B4641" t="str">
            <v>כורסי</v>
          </cell>
          <cell r="C4641" t="str">
            <v>כורסי-בוטל - החלפת משנה מתח מ"ג של פ"צ 1</v>
          </cell>
        </row>
        <row r="4642">
          <cell r="A4642" t="str">
            <v>WBM-10331</v>
          </cell>
          <cell r="B4642" t="str">
            <v>כורסי</v>
          </cell>
          <cell r="C4642" t="str">
            <v>כורסי–משיק wbo-082- החלפת צ.הצמדה 5,9</v>
          </cell>
          <cell r="D4642">
            <v>46356</v>
          </cell>
        </row>
        <row r="4643">
          <cell r="A4643" t="str">
            <v>WBM-00477</v>
          </cell>
          <cell r="B4643" t="str">
            <v>כורסי</v>
          </cell>
          <cell r="C4643" t="str">
            <v>כורסי-החלפת שער כניסה וגדר רשת רגילה בהיקף התחמ"ש</v>
          </cell>
          <cell r="D4643">
            <v>46476</v>
          </cell>
        </row>
        <row r="4644">
          <cell r="A4644" t="str">
            <v>WBM-60058</v>
          </cell>
          <cell r="B4644" t="str">
            <v>כורסי</v>
          </cell>
          <cell r="C4644" t="str">
            <v>כורסי - בוטל - עיגון ארונות פיקוד ושנאים</v>
          </cell>
        </row>
        <row r="4645">
          <cell r="A4645" t="str">
            <v>WBM-01302</v>
          </cell>
          <cell r="B4645" t="str">
            <v>כורסי</v>
          </cell>
          <cell r="C4645" t="str">
            <v>כורסי - בוטל - החלפת הגנת שנאי DT92  בשדה 10</v>
          </cell>
        </row>
        <row r="4646">
          <cell r="A4646" t="str">
            <v>WBM-10010</v>
          </cell>
          <cell r="B4646" t="str">
            <v>כורסי</v>
          </cell>
          <cell r="C4646" t="str">
            <v>כורסי-מבוטל - התקנת רושם הפרעות 161 ק"ו</v>
          </cell>
        </row>
        <row r="4647">
          <cell r="A4647" t="str">
            <v>WBM-40092</v>
          </cell>
          <cell r="B4647" t="str">
            <v>כורסי</v>
          </cell>
          <cell r="C4647" t="str">
            <v>כורסי-החלפת משני מתח בפסי צבירה 1,2</v>
          </cell>
          <cell r="D4647">
            <v>46356</v>
          </cell>
        </row>
        <row r="4648">
          <cell r="A4648" t="str">
            <v>WBM-01425</v>
          </cell>
          <cell r="B4648" t="str">
            <v>כורסי</v>
          </cell>
          <cell r="C4648" t="str">
            <v>כורסי-משיק ליהודיה, הח.הגנות-ש 5,9</v>
          </cell>
          <cell r="D4648">
            <v>45079</v>
          </cell>
        </row>
        <row r="4649">
          <cell r="A4649" t="str">
            <v>WBM-40250</v>
          </cell>
          <cell r="B4649" t="str">
            <v>כורסי</v>
          </cell>
          <cell r="C4649" t="str">
            <v>כורסי - החלפת שרשראות מבודדים</v>
          </cell>
          <cell r="D4649">
            <v>44648</v>
          </cell>
        </row>
        <row r="4650">
          <cell r="A4650" t="str">
            <v>WBM-00062</v>
          </cell>
          <cell r="B4650" t="str">
            <v>כורסי</v>
          </cell>
          <cell r="C4650" t="str">
            <v>כורסי-התאמת מערכת גילוי אש אוטמטית</v>
          </cell>
          <cell r="D4650">
            <v>42562</v>
          </cell>
        </row>
        <row r="4651">
          <cell r="A4651" t="str">
            <v>WBM-00691</v>
          </cell>
          <cell r="B4651" t="str">
            <v>כורסי</v>
          </cell>
          <cell r="C4651" t="str">
            <v>כורסי-הוספת סוללת מצברים 220 וולט.</v>
          </cell>
          <cell r="D4651">
            <v>42472</v>
          </cell>
        </row>
        <row r="4652">
          <cell r="A4652" t="str">
            <v>WBM-00061</v>
          </cell>
          <cell r="B4652" t="str">
            <v>כורסי</v>
          </cell>
          <cell r="C4652" t="str">
            <v>כורסי-החלפה ועיגון לוח חלוקה ז"ח</v>
          </cell>
          <cell r="D4652">
            <v>42471</v>
          </cell>
        </row>
        <row r="4653">
          <cell r="A4653" t="str">
            <v>WBG-051-013</v>
          </cell>
          <cell r="B4653" t="str">
            <v>כורסי</v>
          </cell>
          <cell r="C4653" t="str">
            <v>כורסי-התאמת מערכת מים לכיבוי אש לדר.מכ"ר</v>
          </cell>
          <cell r="D4653">
            <v>41273</v>
          </cell>
        </row>
        <row r="4654">
          <cell r="A4654" t="str">
            <v>WBG-051-002</v>
          </cell>
          <cell r="B4654" t="str">
            <v>כורסי</v>
          </cell>
          <cell r="C4654" t="str">
            <v>כורסי-החלפת מפס"ז מ"ג ב-2 שד' של ס"ק</v>
          </cell>
          <cell r="D4654">
            <v>41268</v>
          </cell>
        </row>
        <row r="4655">
          <cell r="A4655" t="str">
            <v>WBG-051-009</v>
          </cell>
          <cell r="B4655" t="str">
            <v>כורסי</v>
          </cell>
          <cell r="C4655" t="str">
            <v>כורסי-החלפת מגיני ברק מ"ג  של השנאים</v>
          </cell>
          <cell r="D4655">
            <v>41091</v>
          </cell>
        </row>
        <row r="4656">
          <cell r="A4656" t="str">
            <v>WBM-01044</v>
          </cell>
          <cell r="B4656" t="str">
            <v>כורסי</v>
          </cell>
          <cell r="C4656" t="str">
            <v>כורסי-בוטל-החלפת מפסקים מ"ג</v>
          </cell>
          <cell r="D4656">
            <v>42334</v>
          </cell>
        </row>
        <row r="4657">
          <cell r="A4657" t="str">
            <v>WBM-01308</v>
          </cell>
          <cell r="B4657" t="str">
            <v>כורסי</v>
          </cell>
          <cell r="C4657" t="str">
            <v>כורסי - בוטל-החלפת הגנת קווים מ"ע LZ31</v>
          </cell>
          <cell r="D4657">
            <v>42948</v>
          </cell>
        </row>
        <row r="4658">
          <cell r="A4658" t="str">
            <v>WBM-00482</v>
          </cell>
          <cell r="B4658" t="str">
            <v>כורסי</v>
          </cell>
          <cell r="C4658" t="str">
            <v>כורסי-בוטל-החלפת 23 מבדדים קרמיים</v>
          </cell>
          <cell r="D4658">
            <v>41435</v>
          </cell>
        </row>
        <row r="4659">
          <cell r="A4659" t="str">
            <v>WBM-00481</v>
          </cell>
          <cell r="B4659" t="str">
            <v>כורסי</v>
          </cell>
          <cell r="C4659" t="str">
            <v>כורסי-בוטל-החלפת הגנות מרחק בשדות 5 ו-9</v>
          </cell>
          <cell r="D4659">
            <v>41423</v>
          </cell>
        </row>
        <row r="4660">
          <cell r="A4660">
            <v>522815</v>
          </cell>
          <cell r="B4660" t="str">
            <v>כורסי</v>
          </cell>
          <cell r="C4660" t="str">
            <v>כורסי-התקנת מערכת התראה בטחונית</v>
          </cell>
          <cell r="D4660">
            <v>39629</v>
          </cell>
        </row>
        <row r="4661">
          <cell r="A4661" t="str">
            <v>WBM-00478</v>
          </cell>
          <cell r="B4661" t="str">
            <v>כורסי</v>
          </cell>
          <cell r="C4661" t="str">
            <v>כורסי-בוטל שיפור מערכת הארקת בתחמ"ש</v>
          </cell>
        </row>
        <row r="4662">
          <cell r="A4662" t="str">
            <v>WBM-00479</v>
          </cell>
          <cell r="B4662" t="str">
            <v>כורסי</v>
          </cell>
          <cell r="C4662" t="str">
            <v>כורסי-בוטל-בניית 2 מאצרות שמן למסדרי אפס</v>
          </cell>
          <cell r="D4662">
            <v>40728</v>
          </cell>
        </row>
        <row r="4663">
          <cell r="A4663">
            <v>522821</v>
          </cell>
          <cell r="B4663" t="str">
            <v>כורסי</v>
          </cell>
          <cell r="C4663" t="str">
            <v>כורסי-התקנת מאווררים בארונות פיקוד והגנה</v>
          </cell>
          <cell r="D4663">
            <v>40311</v>
          </cell>
        </row>
        <row r="4664">
          <cell r="A4664" t="str">
            <v>WBE-226- ST1</v>
          </cell>
          <cell r="B4664" t="str">
            <v>כורסי</v>
          </cell>
          <cell r="C4664" t="str">
            <v>כורסי-החלפת שנאי 522 והתקנת שנאי 521 חדש 50 מגוו"א וחיבורם למכולה</v>
          </cell>
          <cell r="D4664">
            <v>46538</v>
          </cell>
        </row>
        <row r="4665">
          <cell r="A4665" t="str">
            <v>WBE-226-ST2</v>
          </cell>
          <cell r="B4665" t="str">
            <v>כורסי</v>
          </cell>
          <cell r="C4665" t="str">
            <v>כורסי- התקנת שנאים 523 ו-524, 50 מגוו"א</v>
          </cell>
          <cell r="D4665">
            <v>46568</v>
          </cell>
        </row>
        <row r="4666">
          <cell r="A4666" t="str">
            <v>WBM-70045</v>
          </cell>
          <cell r="B4666" t="str">
            <v>כורסי</v>
          </cell>
          <cell r="C4666" t="str">
            <v>כורסי-התקנת 4 סוללות קבלים מודולאריות 2x5  מגווא''ר כ"א</v>
          </cell>
          <cell r="D4666">
            <v>46568</v>
          </cell>
        </row>
        <row r="4667">
          <cell r="A4667" t="str">
            <v>WBM-10524</v>
          </cell>
          <cell r="B4667" t="str">
            <v>כורסי</v>
          </cell>
          <cell r="C4667" t="str">
            <v>כורסי-התקנת 4 מכולות מ"ג עבור שנאים 521/522/523/524</v>
          </cell>
          <cell r="D4667">
            <v>46568</v>
          </cell>
        </row>
        <row r="4668">
          <cell r="A4668" t="str">
            <v>WBM-10525</v>
          </cell>
          <cell r="B4668" t="str">
            <v>כורסי</v>
          </cell>
          <cell r="C4668" t="str">
            <v>כורסי-הקמת בנין לפקוד ומסדרי מ"ג</v>
          </cell>
          <cell r="D4668">
            <v>47848</v>
          </cell>
        </row>
        <row r="4669">
          <cell r="A4669" t="str">
            <v>WBE-270</v>
          </cell>
          <cell r="B4669" t="str">
            <v>כורסי</v>
          </cell>
          <cell r="C4669" t="str">
            <v>כורסי-בוטל - מתקן אגירת אנרגיה בסוללות</v>
          </cell>
          <cell r="D4669">
            <v>45336</v>
          </cell>
        </row>
        <row r="4670">
          <cell r="A4670" t="str">
            <v>WBD-102-ST1</v>
          </cell>
          <cell r="B4670" t="str">
            <v>כורסי</v>
          </cell>
          <cell r="C4670" t="str">
            <v>כורסי - פירוק תחמ''ש ניידת</v>
          </cell>
          <cell r="D4670">
            <v>46660</v>
          </cell>
        </row>
        <row r="4671">
          <cell r="A4671" t="str">
            <v>WBM-10456-020</v>
          </cell>
          <cell r="B4671" t="str">
            <v>כורסי</v>
          </cell>
          <cell r="C4671" t="str">
            <v>כורסי- הוספת מתמרים ב-2 פ"צ</v>
          </cell>
          <cell r="D4671">
            <v>46752</v>
          </cell>
        </row>
        <row r="4672">
          <cell r="A4672" t="str">
            <v>WBM-20004-024</v>
          </cell>
          <cell r="B4672" t="str">
            <v>כורסי</v>
          </cell>
          <cell r="C4672" t="str">
            <v>כורסי - החלפת מערכת תאורה</v>
          </cell>
          <cell r="D4672">
            <v>45644</v>
          </cell>
        </row>
        <row r="4673">
          <cell r="A4673" t="str">
            <v>WBM-60008-027</v>
          </cell>
          <cell r="B4673" t="str">
            <v>כורסי</v>
          </cell>
          <cell r="C4673" t="str">
            <v>כורסי - התקנת מערכת מיגון בתחמ"ש</v>
          </cell>
          <cell r="D4673">
            <v>47483</v>
          </cell>
        </row>
        <row r="4674">
          <cell r="A4674" t="str">
            <v>WBM-60088-007</v>
          </cell>
          <cell r="B4674" t="str">
            <v>כורסי</v>
          </cell>
          <cell r="C4674" t="str">
            <v>כורסי - מאצרות למסדרי האפס - הפרויקט מבוטל</v>
          </cell>
        </row>
        <row r="4675">
          <cell r="A4675" t="str">
            <v>WBM-60118-011</v>
          </cell>
          <cell r="B4675" t="str">
            <v>כורסי</v>
          </cell>
          <cell r="C4675" t="str">
            <v>כורסי - שיפור מערכת הארקה</v>
          </cell>
          <cell r="D4675">
            <v>46721</v>
          </cell>
        </row>
        <row r="4676">
          <cell r="A4676" t="str">
            <v>WBM-10524-ST1</v>
          </cell>
          <cell r="B4676" t="str">
            <v>כורסי</v>
          </cell>
          <cell r="C4676" t="str">
            <v>כורסי-התקנת 2 מכולות מ"ג עבור שנאים 521 ו-522</v>
          </cell>
          <cell r="D4676">
            <v>46203</v>
          </cell>
        </row>
        <row r="4677">
          <cell r="A4677" t="str">
            <v>WBM-10524-ST2</v>
          </cell>
          <cell r="B4677" t="str">
            <v>כורסי</v>
          </cell>
          <cell r="C4677" t="str">
            <v>כורסי-התקנת 2 מכולות מ"ג עבור שנאים 523 ו-524</v>
          </cell>
          <cell r="D4677">
            <v>46568</v>
          </cell>
        </row>
        <row r="4678">
          <cell r="A4678" t="str">
            <v>WBM-60200</v>
          </cell>
          <cell r="B4678" t="str">
            <v>כורסי</v>
          </cell>
          <cell r="C4678" t="str">
            <v>כורסי - שדרוג מערכת המים לכיבוי אש</v>
          </cell>
          <cell r="D4678">
            <v>46387</v>
          </cell>
        </row>
        <row r="4679">
          <cell r="A4679" t="str">
            <v>HIS-189</v>
          </cell>
          <cell r="B4679" t="str">
            <v>כורנוב 161 ק''ו-פרטית</v>
          </cell>
          <cell r="C4679" t="str">
            <v>כורנוב 161 ק"ו-פרטית</v>
          </cell>
          <cell r="D4679">
            <v>40908</v>
          </cell>
        </row>
        <row r="4680">
          <cell r="A4680" t="str">
            <v>HIS-096</v>
          </cell>
          <cell r="B4680" t="str">
            <v>כורנוב</v>
          </cell>
          <cell r="C4680" t="str">
            <v>כורנוב</v>
          </cell>
          <cell r="D4680">
            <v>40908</v>
          </cell>
        </row>
        <row r="4681">
          <cell r="A4681" t="str">
            <v>WBM-00476</v>
          </cell>
          <cell r="B4681" t="str">
            <v>כורנוב</v>
          </cell>
          <cell r="C4681" t="str">
            <v>כורנוב-פירוק מסדר 115 ק"ו ישן</v>
          </cell>
          <cell r="D4681">
            <v>42735</v>
          </cell>
        </row>
        <row r="4682">
          <cell r="A4682" t="str">
            <v>WBM-40221</v>
          </cell>
          <cell r="B4682" t="str">
            <v>כורנוב</v>
          </cell>
          <cell r="C4682" t="str">
            <v>כורנוב-התאמת שדה 7 לסדום צפון</v>
          </cell>
          <cell r="D4682">
            <v>46203</v>
          </cell>
        </row>
        <row r="4683">
          <cell r="A4683" t="str">
            <v>WBM-00332</v>
          </cell>
          <cell r="B4683" t="str">
            <v>כורנוב</v>
          </cell>
          <cell r="C4683" t="str">
            <v>כורנוב-השלמת רושם הפרעות</v>
          </cell>
          <cell r="D4683">
            <v>46387</v>
          </cell>
        </row>
        <row r="4684">
          <cell r="A4684" t="str">
            <v>WBM-10375</v>
          </cell>
          <cell r="B4684" t="str">
            <v>כורנוב</v>
          </cell>
          <cell r="C4684" t="str">
            <v>כורנוב-התאמת תיילים מהדקים-פורטל WBO-820</v>
          </cell>
          <cell r="D4684">
            <v>46098</v>
          </cell>
        </row>
        <row r="4685">
          <cell r="A4685">
            <v>534715</v>
          </cell>
          <cell r="B4685" t="str">
            <v>כורנוב</v>
          </cell>
          <cell r="C4685" t="str">
            <v>כורנוב-הקמת רשת מחשבים תפעולית</v>
          </cell>
          <cell r="D4685">
            <v>41759</v>
          </cell>
        </row>
        <row r="4686">
          <cell r="A4686" t="str">
            <v>WBG-050-008</v>
          </cell>
          <cell r="B4686" t="str">
            <v>כורנוב</v>
          </cell>
          <cell r="C4686" t="str">
            <v>כורנוב-התקנת תקשורת מנהלתית</v>
          </cell>
          <cell r="D4686">
            <v>39812</v>
          </cell>
        </row>
        <row r="4687">
          <cell r="A4687" t="str">
            <v>WBG-050-006</v>
          </cell>
          <cell r="B4687" t="str">
            <v>כורנוב</v>
          </cell>
          <cell r="C4687" t="str">
            <v>כורנוב-התקנת ארון ז"י 48 וולט כולל חלוקה</v>
          </cell>
          <cell r="D4687">
            <v>40481</v>
          </cell>
        </row>
        <row r="4688">
          <cell r="A4688" t="str">
            <v>WBM-00962</v>
          </cell>
          <cell r="B4688" t="str">
            <v>כורנוב</v>
          </cell>
          <cell r="C4688" t="str">
            <v>כורנוב- החלפת הגנות במעגל לסדום צפון</v>
          </cell>
          <cell r="D4688">
            <v>43047</v>
          </cell>
        </row>
        <row r="4689">
          <cell r="A4689" t="str">
            <v>עע"א בהתהוות 1</v>
          </cell>
          <cell r="B4689" t="str">
            <v>כורנוב</v>
          </cell>
          <cell r="C4689" t="str">
            <v>ביטול מסדר 110 ק"ו, הארכת פ"צ 161 ק"ו והוספת שדה שנאי לקוח</v>
          </cell>
          <cell r="D4689">
            <v>45657</v>
          </cell>
        </row>
        <row r="4690">
          <cell r="A4690" t="str">
            <v>WBM-10493</v>
          </cell>
          <cell r="B4690" t="str">
            <v>כורנוב</v>
          </cell>
          <cell r="C4690" t="str">
            <v>כורנוב - משיק דימונה ש5, התקנת הגנות (דיפ. + מרחק) בשדה 3</v>
          </cell>
          <cell r="D4690">
            <v>46203</v>
          </cell>
        </row>
        <row r="4691">
          <cell r="A4691" t="str">
            <v>WBM-10101-016</v>
          </cell>
          <cell r="B4691" t="str">
            <v>כורנוב</v>
          </cell>
          <cell r="C4691" t="str">
            <v>כורנוב -   ביטול סוללה V60</v>
          </cell>
          <cell r="D4691">
            <v>46721</v>
          </cell>
        </row>
        <row r="4692">
          <cell r="A4692" t="str">
            <v>WBM-60116-041</v>
          </cell>
          <cell r="B4692" t="str">
            <v>כורנוב</v>
          </cell>
          <cell r="C4692" t="str">
            <v>כורנוב - שידרוג גלאים בתחנות משנה</v>
          </cell>
          <cell r="D4692">
            <v>46721</v>
          </cell>
        </row>
        <row r="4693">
          <cell r="A4693">
            <v>9915051</v>
          </cell>
          <cell r="B4693" t="str">
            <v>כוכב הירדן</v>
          </cell>
          <cell r="C4693" t="str">
            <v>כוכב הירדן-קליטת מתקן אג"ש , 340 מגוו"ט</v>
          </cell>
          <cell r="D4693">
            <v>45214</v>
          </cell>
        </row>
        <row r="4694">
          <cell r="A4694" t="str">
            <v>WBD-077-ST2</v>
          </cell>
          <cell r="B4694" t="str">
            <v>כוכב הירדן</v>
          </cell>
          <cell r="C4694" t="str">
            <v>כוכב הירדן ניידת- פירוק התחמ"ש</v>
          </cell>
          <cell r="D4694">
            <v>47572</v>
          </cell>
        </row>
        <row r="4695">
          <cell r="A4695" t="str">
            <v>WBD-077</v>
          </cell>
          <cell r="B4695" t="str">
            <v>כוכב הירדן</v>
          </cell>
          <cell r="C4695" t="str">
            <v>כוכב הירדן-התקנת ניידת 30 MVA-עבור.נ.אור</v>
          </cell>
          <cell r="D4695">
            <v>45398</v>
          </cell>
        </row>
        <row r="4696">
          <cell r="A4696" t="str">
            <v>WBE-224</v>
          </cell>
          <cell r="B4696" t="str">
            <v>כוכב הירדן</v>
          </cell>
          <cell r="C4696" t="str">
            <v>כוכב הירדן-שולב wbc-214-התקנת 2 שנאים 161/24 ק"ו , 75 מגוו"א</v>
          </cell>
        </row>
        <row r="4697">
          <cell r="A4697" t="str">
            <v>WBE-171</v>
          </cell>
          <cell r="B4697" t="str">
            <v>כוכב הירדן</v>
          </cell>
          <cell r="C4697" t="str">
            <v>כוכב הירדן - בוטל- הקמת שדה שנאי מס' 8</v>
          </cell>
        </row>
        <row r="4698">
          <cell r="A4698" t="str">
            <v>WBE-224-ST1</v>
          </cell>
          <cell r="B4698" t="str">
            <v>כוכב הירדן</v>
          </cell>
          <cell r="C4698" t="str">
            <v>כוכב הירדן-בוטל- קידום סטטוטורי</v>
          </cell>
        </row>
        <row r="4699">
          <cell r="A4699" t="str">
            <v>WBD-076</v>
          </cell>
          <cell r="B4699" t="str">
            <v>כוכב הירדן</v>
          </cell>
          <cell r="C4699" t="str">
            <v>תחמ"ש כוכב הירדן-בוטל-התקנת ניידת 30 MVA</v>
          </cell>
          <cell r="D4699">
            <v>36526</v>
          </cell>
        </row>
        <row r="4700">
          <cell r="A4700">
            <v>900025</v>
          </cell>
          <cell r="B4700" t="str">
            <v>כוכב הירדן</v>
          </cell>
          <cell r="C4700" t="str">
            <v>כוכב הירדן-הקמת מתקן אגירה במ"ע SA בהספק 70 מגאווט</v>
          </cell>
          <cell r="D4700">
            <v>46783</v>
          </cell>
        </row>
        <row r="4701">
          <cell r="A4701">
            <v>900042</v>
          </cell>
          <cell r="B4701" t="str">
            <v>כוכב הירדן</v>
          </cell>
          <cell r="C4701" t="str">
            <v>כוכב הירדן-בוטל קליטת מתקן אגירה SA במ"ע בהספק של 70 מגאווט.</v>
          </cell>
        </row>
        <row r="4702">
          <cell r="A4702" t="str">
            <v>WBD-133</v>
          </cell>
          <cell r="B4702" t="str">
            <v>כוכב הירדן</v>
          </cell>
          <cell r="C4702" t="str">
            <v>כוכב הירדן 2- תכנון הצבת תחמ"ש ניידת שניה</v>
          </cell>
          <cell r="D4702">
            <v>46507</v>
          </cell>
        </row>
        <row r="4703">
          <cell r="A4703" t="str">
            <v>HIS-095</v>
          </cell>
          <cell r="B4703" t="str">
            <v>כברי</v>
          </cell>
          <cell r="C4703" t="str">
            <v>כברי</v>
          </cell>
          <cell r="D4703">
            <v>40908</v>
          </cell>
        </row>
        <row r="4704">
          <cell r="A4704" t="str">
            <v>WBE-253</v>
          </cell>
          <cell r="B4704" t="str">
            <v>כברי</v>
          </cell>
          <cell r="C4704" t="str">
            <v>כברי - החלפת שנאי 523  ומסדר מ"ג פ"צ 3</v>
          </cell>
          <cell r="D4704">
            <v>46752</v>
          </cell>
        </row>
        <row r="4705">
          <cell r="A4705" t="str">
            <v>WBM-10248</v>
          </cell>
          <cell r="B4705" t="str">
            <v>כברי</v>
          </cell>
          <cell r="C4705" t="str">
            <v>כברי - משיק להתקנת גליל מערבי, התאמת שדה 11 לזרם 1440 א'</v>
          </cell>
          <cell r="D4705">
            <v>46356</v>
          </cell>
        </row>
        <row r="4706">
          <cell r="A4706" t="str">
            <v>WBM-10210</v>
          </cell>
          <cell r="B4706" t="str">
            <v>כברי</v>
          </cell>
          <cell r="C4706" t="str">
            <v>כברי-משיק לגליל מערבי,הח.משנק בשדה 11</v>
          </cell>
          <cell r="D4706">
            <v>45432</v>
          </cell>
        </row>
        <row r="4707">
          <cell r="A4707" t="str">
            <v>WBM-00515</v>
          </cell>
          <cell r="B4707" t="str">
            <v>כברי</v>
          </cell>
          <cell r="C4707" t="str">
            <v>כברי-חיבור ציוד הצמדה קיים בשדה 3 לנהריה</v>
          </cell>
          <cell r="D4707">
            <v>43677</v>
          </cell>
        </row>
        <row r="4708">
          <cell r="A4708" t="str">
            <v>WBM-00285</v>
          </cell>
          <cell r="B4708" t="str">
            <v>כברי</v>
          </cell>
          <cell r="C4708" t="str">
            <v>כברי - התקנת 4 ס"ק 24 ק"ו 2*5 מגווא"ר</v>
          </cell>
          <cell r="D4708">
            <v>47024</v>
          </cell>
        </row>
        <row r="4709">
          <cell r="A4709" t="str">
            <v>WBM-00059</v>
          </cell>
          <cell r="B4709" t="str">
            <v>כברי</v>
          </cell>
          <cell r="C4709" t="str">
            <v>כברי - התקנת 2 הגנת פ"צ 161 ק"ו</v>
          </cell>
          <cell r="D4709">
            <v>47118</v>
          </cell>
        </row>
        <row r="4710">
          <cell r="A4710" t="str">
            <v>WBM-60050</v>
          </cell>
          <cell r="B4710" t="str">
            <v>כברי</v>
          </cell>
          <cell r="C4710" t="str">
            <v>כברי - עיגון ארונות פיקוד ושנאי הספק</v>
          </cell>
          <cell r="D4710">
            <v>46356</v>
          </cell>
        </row>
        <row r="4711">
          <cell r="A4711" t="str">
            <v>WBM-60009</v>
          </cell>
          <cell r="B4711" t="str">
            <v>כברי</v>
          </cell>
          <cell r="C4711" t="str">
            <v>כברי-הקמת מיכל ומשאבה לכיבוי אש</v>
          </cell>
          <cell r="D4711">
            <v>46386</v>
          </cell>
        </row>
        <row r="4712">
          <cell r="A4712" t="str">
            <v>WBM-01199</v>
          </cell>
          <cell r="B4712" t="str">
            <v>כברי</v>
          </cell>
          <cell r="C4712" t="str">
            <v>כברי - החלפת מסדר מ"ג פ"צ 4, החלפת ציוד בשדה שנאי 524.</v>
          </cell>
          <cell r="D4712">
            <v>46325</v>
          </cell>
        </row>
        <row r="4713">
          <cell r="A4713" t="str">
            <v>WBM-00058</v>
          </cell>
          <cell r="B4713" t="str">
            <v>כברי</v>
          </cell>
          <cell r="C4713" t="str">
            <v>כברי-3 שלבים-התק. גדר, מערכת מים ואזעקה</v>
          </cell>
          <cell r="D4713">
            <v>46079</v>
          </cell>
        </row>
        <row r="4714">
          <cell r="A4714" t="str">
            <v>WBM-00058-ST3</v>
          </cell>
          <cell r="B4714" t="str">
            <v>כברי</v>
          </cell>
          <cell r="C4714" t="str">
            <v>כברי-שיפור מערכת המים</v>
          </cell>
          <cell r="D4714">
            <v>46079</v>
          </cell>
        </row>
        <row r="4715">
          <cell r="A4715" t="str">
            <v>WBM-40170</v>
          </cell>
          <cell r="B4715" t="str">
            <v>כברי</v>
          </cell>
          <cell r="C4715" t="str">
            <v>"כברי - החלפת ציוד בשדות  3,5,7-8,13,14"</v>
          </cell>
          <cell r="D4715">
            <v>47118</v>
          </cell>
        </row>
        <row r="4716">
          <cell r="A4716" t="str">
            <v>WBM-10322</v>
          </cell>
          <cell r="B4716" t="str">
            <v>כברי</v>
          </cell>
          <cell r="C4716" t="str">
            <v>כברי-משיק לנעמן ש9, החלפת הג.מרחק 2, בשדה 11</v>
          </cell>
          <cell r="D4716">
            <v>46356</v>
          </cell>
        </row>
        <row r="4717">
          <cell r="A4717" t="str">
            <v>WBM-10323</v>
          </cell>
          <cell r="B4717" t="str">
            <v>כברי</v>
          </cell>
          <cell r="C4717" t="str">
            <v>כברי-משיק מעלות ש9, התק.הג.דיפ. 2, ש14</v>
          </cell>
          <cell r="D4717">
            <v>45950</v>
          </cell>
        </row>
        <row r="4718">
          <cell r="A4718" t="str">
            <v>WBM-60111</v>
          </cell>
          <cell r="B4718" t="str">
            <v>כברי</v>
          </cell>
          <cell r="C4718" t="str">
            <v>כברי -החלפת צנרת אספקת מים לתחמ"ש+ק.מונה</v>
          </cell>
          <cell r="D4718">
            <v>46356</v>
          </cell>
        </row>
        <row r="4719">
          <cell r="A4719" t="str">
            <v>WBM-10125</v>
          </cell>
          <cell r="B4719" t="str">
            <v>כברי</v>
          </cell>
          <cell r="C4719" t="str">
            <v>כברי - כיוון אנרגיה להשלת עומס בתדר מ"ג</v>
          </cell>
          <cell r="D4719">
            <v>44406</v>
          </cell>
        </row>
        <row r="4720">
          <cell r="A4720" t="str">
            <v>WBM-40483</v>
          </cell>
          <cell r="B4720" t="str">
            <v>כברי</v>
          </cell>
          <cell r="C4720" t="str">
            <v>כברי  - שיפור אוטומטיקת סליל כיבוי</v>
          </cell>
          <cell r="D4720">
            <v>44393</v>
          </cell>
        </row>
        <row r="4721">
          <cell r="A4721" t="str">
            <v>WBM-00932</v>
          </cell>
          <cell r="B4721" t="str">
            <v>כברי</v>
          </cell>
          <cell r="C4721" t="str">
            <v>כברי-הוספת הגנה דיפרנציאלית לנהריה</v>
          </cell>
          <cell r="D4721">
            <v>43830</v>
          </cell>
        </row>
        <row r="4722">
          <cell r="A4722" t="str">
            <v>WBM-00058-ST2</v>
          </cell>
          <cell r="B4722" t="str">
            <v>כברי</v>
          </cell>
          <cell r="C4722" t="str">
            <v>כברי-התקנת מערכת אזעקה ביטחונית</v>
          </cell>
          <cell r="D4722">
            <v>42551</v>
          </cell>
        </row>
        <row r="4723">
          <cell r="A4723" t="str">
            <v>WBM-00058-ST1</v>
          </cell>
          <cell r="B4723" t="str">
            <v>כברי</v>
          </cell>
          <cell r="C4723" t="str">
            <v>כברי-התקנת גדר ומערכת תאורה ביטחונית</v>
          </cell>
          <cell r="D4723">
            <v>42330</v>
          </cell>
        </row>
        <row r="4724">
          <cell r="A4724">
            <v>521030</v>
          </cell>
          <cell r="B4724" t="str">
            <v>כברי</v>
          </cell>
          <cell r="C4724" t="str">
            <v>כברי-התקנת מאווררים בארונות פיקוד והגנה</v>
          </cell>
          <cell r="D4724">
            <v>41364</v>
          </cell>
        </row>
        <row r="4725">
          <cell r="A4725" t="str">
            <v>WBG-048-020</v>
          </cell>
          <cell r="B4725" t="str">
            <v>כברי</v>
          </cell>
          <cell r="C4725" t="str">
            <v>כברי-הקמת טבעת 30N OM</v>
          </cell>
          <cell r="D4725">
            <v>41270</v>
          </cell>
        </row>
        <row r="4726">
          <cell r="A4726" t="str">
            <v>WBM-01033</v>
          </cell>
          <cell r="B4726" t="str">
            <v>כברי</v>
          </cell>
          <cell r="C4726" t="str">
            <v>כברי-בוטל-הגדלת החיבור למקורות</v>
          </cell>
          <cell r="D4726">
            <v>42248</v>
          </cell>
        </row>
        <row r="4727">
          <cell r="A4727" t="str">
            <v>WBM-40169</v>
          </cell>
          <cell r="B4727" t="str">
            <v>כברי</v>
          </cell>
          <cell r="C4727" t="str">
            <v>כברי בוטל-החלפת שנאי 523 ומסדר מ"ג פ"צ 3</v>
          </cell>
          <cell r="D4727">
            <v>43131</v>
          </cell>
        </row>
        <row r="4728">
          <cell r="A4728" t="str">
            <v>WBM-00673</v>
          </cell>
          <cell r="B4728" t="str">
            <v>כברי</v>
          </cell>
          <cell r="C4728" t="str">
            <v>כברי-בוטל-התקנת  ה.מרחק שנייה בשד'</v>
          </cell>
          <cell r="D4728">
            <v>40207</v>
          </cell>
        </row>
        <row r="4729">
          <cell r="A4729" t="str">
            <v>WBG-048-007</v>
          </cell>
          <cell r="B4729" t="str">
            <v>כברי</v>
          </cell>
          <cell r="C4729" t="str">
            <v>כברי-שיפור מערכת וצנרת מים לכיבוי אש</v>
          </cell>
          <cell r="D4729">
            <v>37621</v>
          </cell>
        </row>
        <row r="4730">
          <cell r="A4730">
            <v>521021</v>
          </cell>
          <cell r="B4730" t="str">
            <v>כברי</v>
          </cell>
          <cell r="C4730" t="str">
            <v>כברי-החלפת רכזת התראה בטחונית</v>
          </cell>
          <cell r="D4730">
            <v>38959</v>
          </cell>
        </row>
        <row r="4731">
          <cell r="A4731" t="str">
            <v>WBD-059-ST2</v>
          </cell>
          <cell r="B4731" t="str">
            <v>כברי</v>
          </cell>
          <cell r="C4731" t="str">
            <v>כברי ניידת-פירוק תחמ"ש ניידת</v>
          </cell>
          <cell r="D4731">
            <v>43558</v>
          </cell>
        </row>
        <row r="4732">
          <cell r="A4732" t="str">
            <v>WBD-059</v>
          </cell>
          <cell r="B4732" t="str">
            <v>כברי</v>
          </cell>
          <cell r="C4732" t="str">
            <v>כברי ניידת-הצבת  תחמ"ש ניידת</v>
          </cell>
          <cell r="D4732">
            <v>42519</v>
          </cell>
        </row>
        <row r="4733">
          <cell r="A4733" t="str">
            <v>WBE-001-ST2</v>
          </cell>
          <cell r="B4733" t="str">
            <v>כברי</v>
          </cell>
          <cell r="C4733" t="str">
            <v>כברי-העברת פיקוד והגנות שדות קווים ומקשר</v>
          </cell>
          <cell r="D4733">
            <v>41093</v>
          </cell>
        </row>
        <row r="4734">
          <cell r="A4734" t="str">
            <v>WBE-001</v>
          </cell>
          <cell r="B4734" t="str">
            <v>כברי</v>
          </cell>
          <cell r="C4734" t="str">
            <v>כברי-העברת פיקוד והגנות שדה שנאי 523</v>
          </cell>
          <cell r="D4734">
            <v>41071</v>
          </cell>
        </row>
        <row r="4735">
          <cell r="A4735" t="str">
            <v>WBM-10583</v>
          </cell>
          <cell r="B4735" t="str">
            <v>כברי</v>
          </cell>
          <cell r="C4735" t="str">
            <v>כברי - שדה 11 - התקנת הגנה דיפרנציאלית- משיק לנעמן שדה 9</v>
          </cell>
          <cell r="D4735">
            <v>46295</v>
          </cell>
        </row>
        <row r="4736">
          <cell r="A4736" t="str">
            <v>WBM-10305-001</v>
          </cell>
          <cell r="B4736" t="str">
            <v>כברי</v>
          </cell>
          <cell r="C4736" t="str">
            <v>כברי - פיילוט מערכת דיגאטלית לאספקת בית</v>
          </cell>
          <cell r="D4736">
            <v>45412</v>
          </cell>
        </row>
        <row r="4737">
          <cell r="A4737" t="str">
            <v>WBM-10316-059</v>
          </cell>
          <cell r="B4737" t="str">
            <v>כברי</v>
          </cell>
          <cell r="C4737" t="str">
            <v>כברי צפון התקנת מחשבים נייחים לרושמי</v>
          </cell>
          <cell r="D4737">
            <v>46203</v>
          </cell>
        </row>
        <row r="4738">
          <cell r="A4738" t="str">
            <v>WBM-10456-031</v>
          </cell>
          <cell r="B4738" t="str">
            <v>כברי</v>
          </cell>
          <cell r="C4738" t="str">
            <v>כברי- הוספת מתמרים ב-4 פ"צ</v>
          </cell>
          <cell r="D4738">
            <v>46752</v>
          </cell>
        </row>
        <row r="4739">
          <cell r="A4739" t="str">
            <v>WBM-20004-015</v>
          </cell>
          <cell r="B4739" t="str">
            <v>כברי</v>
          </cell>
          <cell r="C4739" t="str">
            <v>כברי - שיפור מערכת תאורה</v>
          </cell>
          <cell r="D4739">
            <v>45442</v>
          </cell>
        </row>
        <row r="4740">
          <cell r="A4740" t="str">
            <v>WBM-40295-043</v>
          </cell>
          <cell r="B4740" t="str">
            <v>כברי</v>
          </cell>
          <cell r="C4740" t="str">
            <v>כברי החלפת סוללות מצברים</v>
          </cell>
          <cell r="D4740">
            <v>46387</v>
          </cell>
        </row>
        <row r="4741">
          <cell r="A4741" t="str">
            <v>WBM-60107-045</v>
          </cell>
          <cell r="B4741" t="str">
            <v>כברי</v>
          </cell>
          <cell r="C4741" t="str">
            <v>כברי - החלפת מנעולים אלק.מגנטיים באלק.מכ</v>
          </cell>
          <cell r="D4741">
            <v>45607</v>
          </cell>
        </row>
        <row r="4742">
          <cell r="A4742" t="str">
            <v>WBM-10597-002</v>
          </cell>
          <cell r="B4742" t="str">
            <v>כברי</v>
          </cell>
          <cell r="C4742" t="str">
            <v>כברי - בוטל - פיילוט יישום תקשורת הגנות</v>
          </cell>
        </row>
        <row r="4743">
          <cell r="A4743" t="str">
            <v>WBM-00885-138</v>
          </cell>
          <cell r="B4743" t="str">
            <v>כברי</v>
          </cell>
          <cell r="C4743" t="str">
            <v>כברי - בוטל - אפיון מערכת המים</v>
          </cell>
        </row>
        <row r="4744">
          <cell r="A4744" t="str">
            <v>WBM-60116-053</v>
          </cell>
          <cell r="B4744" t="str">
            <v>כברי</v>
          </cell>
          <cell r="C4744" t="str">
            <v>כברי- החלפת מערכת גילוי וכיבוי אש אוטומטית CERBERUS</v>
          </cell>
          <cell r="D4744">
            <v>46387</v>
          </cell>
        </row>
        <row r="4745">
          <cell r="A4745" t="str">
            <v>WBM-10772</v>
          </cell>
          <cell r="B4745" t="str">
            <v>כברי</v>
          </cell>
          <cell r="C4745" t="str">
            <v>כברי- משיק לצור שלום שדה 9, יישום דרך קשר אופטית זמנית בין הגנות בשדה 11</v>
          </cell>
          <cell r="D4745">
            <v>46203</v>
          </cell>
        </row>
        <row r="4746">
          <cell r="A4746" t="str">
            <v>WBM-40637-028</v>
          </cell>
          <cell r="B4746" t="str">
            <v>כברי</v>
          </cell>
          <cell r="C4746" t="str">
            <v>כברי - החלפת רושמי הפרעות קיימים מדגם IDM-T3 לרושמים חדשים מדגם IDM+</v>
          </cell>
          <cell r="D4746">
            <v>46751</v>
          </cell>
        </row>
        <row r="4747">
          <cell r="A4747" t="str">
            <v>WBM-60131-028</v>
          </cell>
          <cell r="B4747" t="str">
            <v>כברי</v>
          </cell>
          <cell r="C4747" t="str">
            <v>כברי – בדיקת אופיין מים</v>
          </cell>
          <cell r="D4747">
            <v>46203</v>
          </cell>
        </row>
        <row r="4748">
          <cell r="A4748" t="str">
            <v>WBO-234</v>
          </cell>
          <cell r="B4748" t="str">
            <v>כבלים ציר הנופש</v>
          </cell>
          <cell r="C4748" t="str">
            <v>כבלים ציר הנופש-עע"א-הוקפא -בדיקת התכנות</v>
          </cell>
          <cell r="D4748">
            <v>43621</v>
          </cell>
        </row>
        <row r="4749">
          <cell r="A4749" t="str">
            <v>WBO-882</v>
          </cell>
          <cell r="B4749" t="str">
            <v>כבלים ציר הנופש</v>
          </cell>
          <cell r="C4749" t="str">
            <v>כבלים ציר הנופש-הנחת כבלים מנהרת ציר הנופש מתחמ"ג דן (מורשה)</v>
          </cell>
          <cell r="D4749">
            <v>48578</v>
          </cell>
        </row>
        <row r="4750">
          <cell r="A4750" t="str">
            <v>WBO-884</v>
          </cell>
          <cell r="B4750" t="str">
            <v>כבלים ציר הנופש</v>
          </cell>
          <cell r="C4750" t="str">
            <v>כבלים ציר הנופש-הנחת כבלים במסעף תת"ק ממנהרת ציר הנופש לעמודים הטרמינלים (באזור עמוד 3135) אל קו עילי לעתידים- משיק 895</v>
          </cell>
          <cell r="D4750">
            <v>48578</v>
          </cell>
        </row>
        <row r="4751">
          <cell r="A4751" t="str">
            <v>WBO-885</v>
          </cell>
          <cell r="B4751" t="str">
            <v>כבלים ציר הנופש</v>
          </cell>
          <cell r="C4751" t="str">
            <v>כבלים ציר הנופש-הנחת כבלים במסעף תת"ק ממנהרת ציר הנופש עד עמודי טרמינלים לקו עילי תחמ"ש הרצליה</v>
          </cell>
          <cell r="D4751">
            <v>48578</v>
          </cell>
        </row>
        <row r="4752">
          <cell r="A4752" t="str">
            <v>WBO-886</v>
          </cell>
          <cell r="B4752" t="str">
            <v>כבלים ציר הנופש</v>
          </cell>
          <cell r="C4752" t="str">
            <v>כבלים ציר הנופש-קו דו-מעגלי תחמ"ג דן (מורשה) – הכפר הירוק שלב ב'</v>
          </cell>
          <cell r="D4752">
            <v>48578</v>
          </cell>
        </row>
        <row r="4753">
          <cell r="A4753" t="str">
            <v>WBO-894</v>
          </cell>
          <cell r="B4753" t="str">
            <v>כבלים ציר הנופש</v>
          </cell>
          <cell r="C4753" t="str">
            <v>כבלים ציר הנופש-הקמת שני עמודי טרמינלים ממנהרת ציר הנופש אל קו עלי לתחמ"ש הרצליה (באזור עמוד 3125)-משיק לפרוייקט wbo-885</v>
          </cell>
          <cell r="D4753">
            <v>48578</v>
          </cell>
        </row>
        <row r="4754">
          <cell r="A4754" t="str">
            <v>WBO-895</v>
          </cell>
          <cell r="B4754" t="str">
            <v>כבלים ציר הנופש</v>
          </cell>
          <cell r="C4754" t="str">
            <v>כבלים ציר הנופש-הקמת שני עמודי טרמינלים ממנהרת ציר הנופש אל קו עלי לתחמ"ש עתידים (באזור עמוד 3135)-משיק ל-wbo-884</v>
          </cell>
          <cell r="D4754">
            <v>48578</v>
          </cell>
        </row>
        <row r="4755">
          <cell r="A4755" t="str">
            <v>WBO-896</v>
          </cell>
          <cell r="B4755" t="str">
            <v>כבלים ציר הנופש</v>
          </cell>
          <cell r="C4755" t="str">
            <v>כבלים ציר הנופש-הקמת שני עמודי טרמינלים עבור כבלים ממנהרת ציר הנופש בסמוך לתחמ"ש הכפר הירוק- משיק ל-wbo-886</v>
          </cell>
          <cell r="D4755">
            <v>48578</v>
          </cell>
        </row>
        <row r="4756">
          <cell r="A4756" t="str">
            <v>WBO-587</v>
          </cell>
          <cell r="B4756" t="str">
            <v>כבלים לח''י בני ברק</v>
          </cell>
          <cell r="C4756" t="str">
            <v>קטעי כבלים לח"י בני ברק- עע"א-6 טרמינלים</v>
          </cell>
          <cell r="D4756">
            <v>45974</v>
          </cell>
        </row>
        <row r="4757">
          <cell r="A4757" t="str">
            <v>WBO-235</v>
          </cell>
          <cell r="B4757" t="str">
            <v>כבלים לח''י בני ברק</v>
          </cell>
          <cell r="C4757" t="str">
            <v>כבל עתידים- רמת גן-קטע עתידים-טרמינל*</v>
          </cell>
          <cell r="D4757">
            <v>45974</v>
          </cell>
        </row>
        <row r="4758">
          <cell r="A4758" t="str">
            <v>WBO-228</v>
          </cell>
          <cell r="B4758" t="str">
            <v>כבלים לח''י בני ברק</v>
          </cell>
          <cell r="C4758" t="str">
            <v>כבלים לח"י בני ברק- עע"א-הנחת קטעי כבלים במסגרת תכנית תת"ל 1045</v>
          </cell>
          <cell r="D4758">
            <v>45854</v>
          </cell>
        </row>
        <row r="4759">
          <cell r="A4759" t="str">
            <v>WBO-228-ST1</v>
          </cell>
          <cell r="B4759" t="str">
            <v>כבלים לח''י בני ברק</v>
          </cell>
          <cell r="C4759" t="str">
            <v>כבלים לח''י בני ברק- עע"א-חשמול מעגל עתידים-ת"א צפון (אדום)</v>
          </cell>
          <cell r="D4759">
            <v>45974</v>
          </cell>
        </row>
        <row r="4760">
          <cell r="A4760" t="str">
            <v>WBO-888</v>
          </cell>
          <cell r="B4760" t="str">
            <v>כבלים ביבנה מזרח</v>
          </cell>
          <cell r="C4760" t="str">
            <v>כבלים ביבנה מזרח-עע"א-הטמנת 2 מעגלי כבלים 161 ק"ו כפולים ביבנה מזרח</v>
          </cell>
          <cell r="D4760">
            <v>46873</v>
          </cell>
        </row>
        <row r="4761">
          <cell r="A4761" t="str">
            <v>WBO-889</v>
          </cell>
          <cell r="B4761" t="str">
            <v>כבלים ביבנה מזרח</v>
          </cell>
          <cell r="C4761" t="str">
            <v>כבלים ביבנה מזרח-עע"א- הקמת 4 טרמינלים חד מעגליים- שני גידים לפאזה</v>
          </cell>
          <cell r="D4761">
            <v>46873</v>
          </cell>
        </row>
        <row r="4762">
          <cell r="A4762" t="str">
            <v>WBO-156</v>
          </cell>
          <cell r="B4762" t="str">
            <v>כבל רמת רחל-ירושלים ג</v>
          </cell>
          <cell r="C4762" t="str">
            <v>כבל רמת רחל-ירושלים ג-הנחת כבלים לניידת</v>
          </cell>
          <cell r="D4762">
            <v>46182</v>
          </cell>
        </row>
        <row r="4763">
          <cell r="A4763" t="str">
            <v>WBO-103</v>
          </cell>
          <cell r="B4763" t="str">
            <v>כבל רמת רחל-ירושלים ג</v>
          </cell>
          <cell r="C4763" t="str">
            <v>כבל רמת רחל-ירושלים ג-הנחת כבלים</v>
          </cell>
          <cell r="D4763">
            <v>43597</v>
          </cell>
        </row>
        <row r="4764">
          <cell r="A4764" t="str">
            <v>WBO-301</v>
          </cell>
          <cell r="B4764" t="str">
            <v>כבל רוממה-ביכורים</v>
          </cell>
          <cell r="C4764" t="str">
            <v>כבל רוממה-ביכורים - הנחת 2 מעגלי כבלים תת-קרקעיים</v>
          </cell>
          <cell r="D4764">
            <v>47118</v>
          </cell>
        </row>
        <row r="4765">
          <cell r="A4765" t="str">
            <v>WBO-301-ST2</v>
          </cell>
          <cell r="B4765" t="str">
            <v>כבל רוממה-ביכורים</v>
          </cell>
          <cell r="C4765" t="str">
            <v>כבל רוממה-ביכורים-קבלת הרשאות</v>
          </cell>
          <cell r="D4765">
            <v>46387</v>
          </cell>
        </row>
        <row r="4766">
          <cell r="A4766" t="str">
            <v>WBA-090</v>
          </cell>
          <cell r="B4766" t="str">
            <v>כבל קריה-(טרמינלים)-איילון</v>
          </cell>
          <cell r="C4766" t="str">
            <v>כבל  קריה-(טרמינלים)-איילון-הנחת כבל</v>
          </cell>
          <cell r="D4766">
            <v>41428</v>
          </cell>
        </row>
        <row r="4767">
          <cell r="A4767" t="str">
            <v>WBA-020-TR1</v>
          </cell>
          <cell r="B4767" t="str">
            <v>כבל קריה-(טרמינלים)-איילון</v>
          </cell>
          <cell r="C4767" t="str">
            <v>כבל  קריה(טרמינלים)-איילון-הקמת טרמינלים</v>
          </cell>
          <cell r="D4767">
            <v>41428</v>
          </cell>
        </row>
        <row r="4768">
          <cell r="A4768" t="str">
            <v>WBO-214</v>
          </cell>
          <cell r="B4768" t="str">
            <v>כבל קריה-(טרמינלים)-איילון</v>
          </cell>
          <cell r="C4768" t="str">
            <v>כבל  קריה-(טרמינלים)-איילון A-שיקום</v>
          </cell>
          <cell r="D4768">
            <v>42490</v>
          </cell>
        </row>
        <row r="4769">
          <cell r="A4769" t="str">
            <v>WBO-348</v>
          </cell>
          <cell r="B4769" t="str">
            <v>כבל צחר-שדה עמיאל</v>
          </cell>
          <cell r="C4769" t="str">
            <v>כבל צחר-שדה עמיאל- הנחת כבל 161 ק"ו תת"ק אורך של כ-300 מטרים.</v>
          </cell>
          <cell r="D4769">
            <v>46783</v>
          </cell>
        </row>
        <row r="4770">
          <cell r="A4770" t="str">
            <v>WBO-350</v>
          </cell>
          <cell r="B4770" t="str">
            <v>כבל צחר-שדה עמיאל</v>
          </cell>
          <cell r="C4770" t="str">
            <v>כבל צחר-שדה עמיאל-בוטל - הקמת טרמינל עבור חיבור לכבל תת"ק 2000 ממ"ר</v>
          </cell>
        </row>
        <row r="4771">
          <cell r="A4771" t="str">
            <v>WBO-907</v>
          </cell>
          <cell r="B4771" t="str">
            <v>כבל נמיר - רב מכר</v>
          </cell>
          <cell r="C4771" t="str">
            <v>כבל נמיר - רב מכר – הכנת תשתיות מתחמ"ש ניר לתחמ"ש חוף התכלת</v>
          </cell>
          <cell r="D4771">
            <v>48578</v>
          </cell>
        </row>
        <row r="4772">
          <cell r="A4772" t="str">
            <v>WBO-908</v>
          </cell>
          <cell r="B4772" t="str">
            <v>כבל נמיר - רב מכר</v>
          </cell>
          <cell r="C4772" t="str">
            <v>כבל נמיר - רב מכר – הכנת תשתיות מתחמ"ש חוף התכלת לתחמ"ש רב מכר</v>
          </cell>
          <cell r="D4772">
            <v>48578</v>
          </cell>
        </row>
        <row r="4773">
          <cell r="A4773" t="str">
            <v>WBO-906</v>
          </cell>
          <cell r="B4773" t="str">
            <v>כבל נמיר - רב מכר</v>
          </cell>
          <cell r="C4773" t="str">
            <v>כבל נמיר-רב מכר -הנחת 2 מעגלי כבלים</v>
          </cell>
          <cell r="D4773">
            <v>48578</v>
          </cell>
        </row>
        <row r="4774">
          <cell r="A4774" t="str">
            <v>WBO-308</v>
          </cell>
          <cell r="B4774" t="str">
            <v>כבל נאות אפק</v>
          </cell>
          <cell r="C4774" t="str">
            <v>כבל נאות אפק-עע"א-הנחת 4 מעגלי כבלים</v>
          </cell>
          <cell r="D4774">
            <v>44227</v>
          </cell>
        </row>
        <row r="4775">
          <cell r="A4775" t="str">
            <v>WBO-209-ST2</v>
          </cell>
          <cell r="B4775" t="str">
            <v>כבל מצפה רמון-פארן</v>
          </cell>
          <cell r="C4775" t="str">
            <v>כבל מצפה רמון-פארן-כבל באזור המכתש,לבן</v>
          </cell>
          <cell r="D4775">
            <v>44609</v>
          </cell>
        </row>
        <row r="4776">
          <cell r="A4776" t="str">
            <v>WBO-209</v>
          </cell>
          <cell r="B4776" t="str">
            <v>כבל מצפה רמון-פארן</v>
          </cell>
          <cell r="C4776" t="str">
            <v>כבל מצפה רמון-פארן-כבל באזור המכתש,8 ק"מ</v>
          </cell>
          <cell r="D4776">
            <v>44609</v>
          </cell>
        </row>
        <row r="4777">
          <cell r="A4777" t="str">
            <v>WBO-209-ST1</v>
          </cell>
          <cell r="B4777" t="str">
            <v>כבל מצפה רמון-פארן</v>
          </cell>
          <cell r="C4777" t="str">
            <v>כבל מצפה רמון-פארן-כבל באזור המכתש,שחור-</v>
          </cell>
          <cell r="D4777">
            <v>44559</v>
          </cell>
        </row>
        <row r="4778">
          <cell r="A4778" t="str">
            <v>WBO-904</v>
          </cell>
          <cell r="B4778" t="str">
            <v>כבל מודיעין-מודיעין SDS</v>
          </cell>
          <cell r="C4778" t="str">
            <v>כבל מודיעין-מודיעין SDS-הנחת 2 מעגלי כבלים  161 ק"ו תת קרקעיים</v>
          </cell>
          <cell r="D4778">
            <v>46843</v>
          </cell>
        </row>
        <row r="4779">
          <cell r="A4779" t="str">
            <v>WBO-230</v>
          </cell>
          <cell r="B4779" t="str">
            <v>כבל לרוקח-ת''א צפון</v>
          </cell>
          <cell r="C4779" t="str">
            <v>כבל רוקח-ת"א צפון-הנחת 2 מעגלי כבלים תת-קרקעיים</v>
          </cell>
          <cell r="D4779">
            <v>46721</v>
          </cell>
        </row>
        <row r="4780">
          <cell r="A4780" t="str">
            <v>WBO-232</v>
          </cell>
          <cell r="B4780" t="str">
            <v>כבל לרוקח-רדינג חדשה</v>
          </cell>
          <cell r="C4780" t="str">
            <v>כבל רוקח-רדינג חדשה, מוקפא - כ-0.75 ק"מ</v>
          </cell>
        </row>
        <row r="4781">
          <cell r="A4781" t="str">
            <v>WBO-231</v>
          </cell>
          <cell r="B4781" t="str">
            <v>כבל לרוקח-חוף התכלת</v>
          </cell>
          <cell r="C4781" t="str">
            <v>כבל רוקח-רב מכר -הנחת 2 מעגלי כבלים</v>
          </cell>
          <cell r="D4781">
            <v>48579</v>
          </cell>
        </row>
        <row r="4782">
          <cell r="A4782" t="str">
            <v>WBO-905</v>
          </cell>
          <cell r="B4782" t="str">
            <v>כבל לרוקח-חוף התכלת</v>
          </cell>
          <cell r="C4782" t="str">
            <v>כבל רוקח-נמיר -הכנת תשתיות</v>
          </cell>
          <cell r="D4782">
            <v>48578</v>
          </cell>
        </row>
        <row r="4783">
          <cell r="A4783" t="str">
            <v>WBO-233</v>
          </cell>
          <cell r="B4783" t="str">
            <v>כבל לרוקח- עתידים</v>
          </cell>
          <cell r="C4783" t="str">
            <v>כבל רוקח-עתידים - הנחת 2 מעגלי כבלים תת-קרקעיים</v>
          </cell>
          <cell r="D4783">
            <v>46721</v>
          </cell>
        </row>
        <row r="4784">
          <cell r="A4784" t="str">
            <v>WBO-644</v>
          </cell>
          <cell r="B4784" t="str">
            <v>כבל לרוקח- עתידים</v>
          </cell>
          <cell r="C4784" t="str">
            <v>כבל רוקח-עתידים/ת"א צפון-הקמת 2 טרמינלים</v>
          </cell>
          <cell r="D4784">
            <v>46721</v>
          </cell>
        </row>
        <row r="4785">
          <cell r="A4785" t="str">
            <v>WBO-114-TR1</v>
          </cell>
          <cell r="B4785" t="str">
            <v>כבל לנחל צופים</v>
          </cell>
          <cell r="C4785" t="str">
            <v>מסעף לנחל צופים-בוטל - הקמת 2 טרמינלים</v>
          </cell>
        </row>
        <row r="4786">
          <cell r="A4786" t="str">
            <v>WBO-114-LN1</v>
          </cell>
          <cell r="B4786" t="str">
            <v>כבל לנחל צופים</v>
          </cell>
          <cell r="C4786" t="str">
            <v>מסעף לנחל צופים-בוטל - הנחת כבל תת-קרקעי</v>
          </cell>
        </row>
        <row r="4787">
          <cell r="A4787" t="str">
            <v>WBO-114</v>
          </cell>
          <cell r="B4787" t="str">
            <v>כבל לנחל צופים</v>
          </cell>
          <cell r="C4787" t="str">
            <v>מסעף לנחל צופים-הטמנת קטע  161 ק"ו</v>
          </cell>
          <cell r="D4787">
            <v>45988</v>
          </cell>
        </row>
        <row r="4788">
          <cell r="A4788" t="str">
            <v>WBO-165</v>
          </cell>
          <cell r="B4788" t="str">
            <v>כבל לנחל צופים</v>
          </cell>
          <cell r="C4788" t="str">
            <v>מסעף לנחל צופים- ההקמת שני עמודי טרמינל למעבר בין קטע עילי לתת"ק</v>
          </cell>
          <cell r="D4788">
            <v>45988</v>
          </cell>
        </row>
        <row r="4789">
          <cell r="A4789" t="str">
            <v>WBO-165-ST2</v>
          </cell>
          <cell r="B4789" t="str">
            <v>כבל לנחל צופים</v>
          </cell>
          <cell r="C4789" t="str">
            <v>מסעף לנחל צופים-פירוק 5 עמודים מתח עליון והתיילים ביניהם</v>
          </cell>
          <cell r="D4789">
            <v>46387</v>
          </cell>
        </row>
        <row r="4790">
          <cell r="A4790" t="str">
            <v>WBO-123</v>
          </cell>
          <cell r="B4790" t="str">
            <v>כבל ירושלים ה'-נחל צופים</v>
          </cell>
          <cell r="C4790" t="str">
            <v>כבל ירושלים ה'-נחל צופים-הנחת כבל תת-קרקעי 161 ק"ו (2 מעגלים)</v>
          </cell>
          <cell r="D4790">
            <v>47118</v>
          </cell>
        </row>
        <row r="4791">
          <cell r="A4791" t="str">
            <v>WBO-133</v>
          </cell>
          <cell r="B4791" t="str">
            <v>כבל ירושלים ה'-ירושלים ג'</v>
          </cell>
          <cell r="C4791" t="str">
            <v>העתקת קטע צומת פת-ארנה-עע"א-כבל 0.5 ק"מ</v>
          </cell>
          <cell r="D4791">
            <v>44111</v>
          </cell>
        </row>
        <row r="4792">
          <cell r="A4792" t="str">
            <v>WBO-807</v>
          </cell>
          <cell r="B4792" t="str">
            <v>כבל יהודיה-מאגרים(יונתן 2)</v>
          </cell>
          <cell r="C4792" t="str">
            <v>כבל יהודיה-מאגרים(יונתן 2)-2-הנחת 2 מעגלי כבלים, אורך כ-19 ק"מ</v>
          </cell>
          <cell r="D4792">
            <v>47847</v>
          </cell>
        </row>
        <row r="4793">
          <cell r="A4793" t="str">
            <v>WBO-807-ST2</v>
          </cell>
          <cell r="B4793" t="str">
            <v>כבל יהודיה-מאגרים(יונתן 2)</v>
          </cell>
          <cell r="C4793" t="str">
            <v>כבל יהודיה-מאגרים (יונתן 2)- שולב ב-WBT-001-הכנת תוכנית מתאר</v>
          </cell>
        </row>
        <row r="4794">
          <cell r="A4794" t="str">
            <v>WBO-315</v>
          </cell>
          <cell r="B4794" t="str">
            <v>כבל יהודיה-יונתן</v>
          </cell>
          <cell r="C4794" t="str">
            <v>כבל יהודיה-יונתן-בדיקה ואישור מפרט הכבל</v>
          </cell>
          <cell r="D4794">
            <v>45107</v>
          </cell>
        </row>
        <row r="4795">
          <cell r="A4795" t="str">
            <v>WBO-227</v>
          </cell>
          <cell r="B4795" t="str">
            <v>כבל הר ציון-תל אביב</v>
          </cell>
          <cell r="C4795" t="str">
            <v>כבל הר ציון-תל אביב-עע"א-</v>
          </cell>
          <cell r="D4795">
            <v>44804</v>
          </cell>
        </row>
        <row r="4796">
          <cell r="A4796" t="str">
            <v>WBO-210</v>
          </cell>
          <cell r="B4796" t="str">
            <v>כבל הוד השרון-שנאי</v>
          </cell>
          <cell r="C4796" t="str">
            <v>כבל הוד השרון-בוטל-שנאי-הנחת כבל  161</v>
          </cell>
          <cell r="D4796">
            <v>41810</v>
          </cell>
        </row>
        <row r="4797">
          <cell r="A4797" t="str">
            <v>WBO-244</v>
          </cell>
          <cell r="B4797" t="str">
            <v>כבל דן–תל גיבורים</v>
          </cell>
          <cell r="C4797" t="str">
            <v>קו דן-בני ברק -הנחת 2 קווים דו-מעגליים ת</v>
          </cell>
          <cell r="D4797">
            <v>50040</v>
          </cell>
        </row>
        <row r="4798">
          <cell r="A4798" t="str">
            <v>WBO-870</v>
          </cell>
          <cell r="B4798" t="str">
            <v>כבל בשור מגן</v>
          </cell>
          <cell r="C4798" t="str">
            <v>כבל בשור-מגן-הנחת כבל 161 ק"ו באורך של כ- 300 מטרים</v>
          </cell>
          <cell r="D4798">
            <v>46783</v>
          </cell>
        </row>
        <row r="4799">
          <cell r="A4799" t="str">
            <v>WBO-871</v>
          </cell>
          <cell r="B4799" t="str">
            <v>כבל בשור מגן</v>
          </cell>
          <cell r="C4799" t="str">
            <v>כבל בשור-מגן-בוטל - הקמת טרמינל עבור חיבור לכבל תת"ק 2000 ממ"ר</v>
          </cell>
        </row>
        <row r="4800">
          <cell r="A4800" t="str">
            <v>WBO-309-ST1</v>
          </cell>
          <cell r="B4800" t="str">
            <v>כבל בנחל הגיבורים</v>
          </cell>
          <cell r="C4800" t="str">
            <v>כבל בנחל גיבורים-תכנון תוואי בנח.גיבורים</v>
          </cell>
          <cell r="D4800">
            <v>43100</v>
          </cell>
        </row>
        <row r="4801">
          <cell r="A4801" t="str">
            <v>WBO-311</v>
          </cell>
          <cell r="B4801" t="str">
            <v>כבל בנחל הגיבורים</v>
          </cell>
          <cell r="C4801" t="str">
            <v>כבל בנחל הגיבורים-שולב-.לקו רוממה-ביכור</v>
          </cell>
          <cell r="D4801">
            <v>42735</v>
          </cell>
        </row>
        <row r="4802">
          <cell r="A4802" t="str">
            <v>WBO-309</v>
          </cell>
          <cell r="B4802" t="str">
            <v>כבל בנחל הגיבורים</v>
          </cell>
          <cell r="C4802" t="str">
            <v>כבל בנחל גיבורים-מסעף.לקו רוממה-ביכורים-הכנת תשתיות</v>
          </cell>
          <cell r="D4802">
            <v>45258</v>
          </cell>
        </row>
        <row r="4803">
          <cell r="A4803" t="str">
            <v>WBO-206</v>
          </cell>
          <cell r="B4803" t="str">
            <v>כבל בית יהושע-שנאי</v>
          </cell>
          <cell r="C4803" t="str">
            <v>כבל בית יהושע-שנאי 3</v>
          </cell>
          <cell r="D4803">
            <v>42916</v>
          </cell>
        </row>
        <row r="4804">
          <cell r="A4804" t="str">
            <v>WBO-300</v>
          </cell>
          <cell r="B4804" t="str">
            <v>כבל ביכורים-שפרינצק</v>
          </cell>
          <cell r="C4804" t="str">
            <v>כבל ביכורים-שפרינצק-הנחת 2 כבלים</v>
          </cell>
          <cell r="D4804">
            <v>47483</v>
          </cell>
        </row>
        <row r="4805">
          <cell r="A4805" t="str">
            <v>WBO-300-ST2</v>
          </cell>
          <cell r="B4805" t="str">
            <v>כבל ביכורים-שפרינצק</v>
          </cell>
          <cell r="C4805" t="str">
            <v>כבל ביכורים-שפרינצק-קבלת הרשאות</v>
          </cell>
          <cell r="D4805">
            <v>46752</v>
          </cell>
        </row>
        <row r="4806">
          <cell r="A4806" t="str">
            <v>WBO-312</v>
          </cell>
          <cell r="B4806" t="str">
            <v>כבל בדרום כפר ביאליק</v>
          </cell>
          <cell r="C4806" t="str">
            <v>כבל בדרום כפר ביאליק-עע"א- הוקפא הנחת 4 מ.כבלים</v>
          </cell>
        </row>
        <row r="4807">
          <cell r="A4807" t="str">
            <v>WBO-248</v>
          </cell>
          <cell r="B4807" t="str">
            <v>כבל באזור אלעד</v>
          </cell>
          <cell r="C4807" t="str">
            <v>כבל באזור אלעד-עע"א-הטמנת קטע קו 161 ק"ו בין עמודים 9212-9214</v>
          </cell>
          <cell r="D4807">
            <v>46752</v>
          </cell>
        </row>
        <row r="4808">
          <cell r="A4808" t="str">
            <v>WBO-632</v>
          </cell>
          <cell r="B4808" t="str">
            <v>כבל באזור אלעד</v>
          </cell>
          <cell r="C4808" t="str">
            <v>כבל באזור אלעד -עע"א- טרמינלים משיק ל wbo-248</v>
          </cell>
          <cell r="D4808">
            <v>46752</v>
          </cell>
        </row>
        <row r="4809">
          <cell r="A4809" t="str">
            <v>WBO-256</v>
          </cell>
          <cell r="B4809" t="str">
            <v>כבל באזור אלעד</v>
          </cell>
          <cell r="C4809" t="str">
            <v>כבל באזור אלעד-תשתית לגיד שני לפאזה בשני המעגלים.</v>
          </cell>
          <cell r="D4809">
            <v>46752</v>
          </cell>
        </row>
        <row r="4810">
          <cell r="A4810" t="str">
            <v>WBO-238</v>
          </cell>
          <cell r="B4810" t="str">
            <v>כבל אונו-גבעתים</v>
          </cell>
          <cell r="C4810" t="str">
            <v>כבלים אלוף שדה-עע"א-הנחת כבלים</v>
          </cell>
          <cell r="D4810">
            <v>44350</v>
          </cell>
        </row>
        <row r="4811">
          <cell r="A4811" t="str">
            <v>WBO-240</v>
          </cell>
          <cell r="B4811" t="str">
            <v>כבל אונו-גבעתים</v>
          </cell>
          <cell r="C4811" t="str">
            <v>כבל אונו-קריה-גבעתיים-עעא-בוטל-העתק קטע</v>
          </cell>
        </row>
        <row r="4812">
          <cell r="A4812" t="str">
            <v>WBO-654</v>
          </cell>
          <cell r="B4812" t="str">
            <v>כבל אגמים ראשון לציון</v>
          </cell>
          <cell r="C4812" t="str">
            <v>כבל אגמים ראשון לציון-עע"א-הנחת 2 מ.כבל</v>
          </cell>
          <cell r="D4812">
            <v>46189</v>
          </cell>
        </row>
        <row r="4813">
          <cell r="A4813" t="str">
            <v>WBO-655</v>
          </cell>
          <cell r="B4813" t="str">
            <v>כבל אגמים ראשון לציון</v>
          </cell>
          <cell r="C4813" t="str">
            <v>כבל אגמים ראשון לציון-עע"א-טרמינלים ופיר</v>
          </cell>
          <cell r="D4813">
            <v>46189</v>
          </cell>
        </row>
        <row r="4814">
          <cell r="A4814" t="str">
            <v>WBN-022</v>
          </cell>
          <cell r="B4814" t="str">
            <v>כביש 652</v>
          </cell>
          <cell r="C4814" t="str">
            <v>כביש 652-עע"א - החלפת שרשראות בעמודי מתח עליון לטובת סלילת כביש 652</v>
          </cell>
          <cell r="D4814">
            <v>46537</v>
          </cell>
        </row>
        <row r="4815">
          <cell r="A4815" t="str">
            <v>WBC-200</v>
          </cell>
          <cell r="B4815" t="str">
            <v>יתיר</v>
          </cell>
          <cell r="C4815" t="str">
            <v>יתיר-מוקפא-הקמת תחנת משנה חיצונית 161/36 ק"ו, 50*2  מגוו"א</v>
          </cell>
          <cell r="D4815">
            <v>49674</v>
          </cell>
        </row>
        <row r="4816">
          <cell r="A4816" t="str">
            <v>HIS-190</v>
          </cell>
          <cell r="B4816" t="str">
            <v>ירקון</v>
          </cell>
          <cell r="C4816" t="str">
            <v>ירקון</v>
          </cell>
          <cell r="D4816">
            <v>42369</v>
          </cell>
        </row>
        <row r="4817">
          <cell r="A4817" t="str">
            <v>HIS-139</v>
          </cell>
          <cell r="B4817" t="str">
            <v>ירקון</v>
          </cell>
          <cell r="C4817" t="str">
            <v>ירקון</v>
          </cell>
          <cell r="D4817">
            <v>41410</v>
          </cell>
        </row>
        <row r="4818">
          <cell r="A4818" t="str">
            <v>HIS-094</v>
          </cell>
          <cell r="B4818" t="str">
            <v>ירקון</v>
          </cell>
          <cell r="C4818" t="str">
            <v>ירקון</v>
          </cell>
          <cell r="D4818">
            <v>40908</v>
          </cell>
        </row>
        <row r="4819">
          <cell r="A4819" t="str">
            <v>WBM-00826</v>
          </cell>
          <cell r="B4819" t="str">
            <v>ירקון</v>
          </cell>
          <cell r="C4819" t="str">
            <v>ירקון - שדה 27 פירוק הגנה הפרשית</v>
          </cell>
          <cell r="D4819">
            <v>41933</v>
          </cell>
        </row>
        <row r="4820">
          <cell r="A4820">
            <v>546046</v>
          </cell>
          <cell r="B4820" t="str">
            <v>ירקון</v>
          </cell>
          <cell r="C4820" t="str">
            <v>ירקון-החלפת גשרי דיודות</v>
          </cell>
          <cell r="D4820">
            <v>42277</v>
          </cell>
        </row>
        <row r="4821">
          <cell r="A4821" t="str">
            <v>WBM-01387</v>
          </cell>
          <cell r="B4821" t="str">
            <v>ירקון</v>
          </cell>
          <cell r="C4821" t="str">
            <v>ירקון - החזרת המכולה למחסן אשדוד</v>
          </cell>
          <cell r="D4821">
            <v>43189</v>
          </cell>
        </row>
        <row r="4822">
          <cell r="A4822" t="str">
            <v>WBE-031-ST3</v>
          </cell>
          <cell r="B4822" t="str">
            <v>ירקון</v>
          </cell>
          <cell r="C4822" t="str">
            <v>ירקון-פירוק שנאים 521, 522,ה. מניצול 525</v>
          </cell>
          <cell r="D4822">
            <v>42946</v>
          </cell>
        </row>
        <row r="4823">
          <cell r="A4823" t="str">
            <v>WBE-031-ST6</v>
          </cell>
          <cell r="B4823" t="str">
            <v>ירקון</v>
          </cell>
          <cell r="C4823" t="str">
            <v>ירקון-הוצאה מניצול של התחנה</v>
          </cell>
          <cell r="D4823">
            <v>42946</v>
          </cell>
        </row>
        <row r="4824">
          <cell r="A4824" t="str">
            <v>WBO-649</v>
          </cell>
          <cell r="B4824" t="str">
            <v>ירושלים רבתי</v>
          </cell>
          <cell r="C4824" t="str">
            <v>העתקה כביש 200-עע"א-נתב"ג-לוד,רשלצ מ-גזר</v>
          </cell>
          <cell r="D4824">
            <v>45650</v>
          </cell>
        </row>
        <row r="4825">
          <cell r="A4825" t="str">
            <v>WBC-096</v>
          </cell>
          <cell r="B4825" t="str">
            <v>ירושלים מרכז</v>
          </cell>
          <cell r="C4825" t="str">
            <v>ירושלים מרכז-הקמת תחמ"ש משולבת 161/13.8</v>
          </cell>
          <cell r="D4825">
            <v>48213</v>
          </cell>
        </row>
        <row r="4826">
          <cell r="A4826" t="str">
            <v>WBC-096-ST2</v>
          </cell>
          <cell r="B4826" t="str">
            <v>ירושלים מרכז</v>
          </cell>
          <cell r="C4826" t="str">
            <v>ירושלים מרכז-אישור תוכנית סטטוטורית</v>
          </cell>
          <cell r="D4826">
            <v>46387</v>
          </cell>
        </row>
        <row r="4827">
          <cell r="A4827" t="str">
            <v>WBT-013</v>
          </cell>
          <cell r="B4827" t="str">
            <v>ירושלים מרכז</v>
          </cell>
          <cell r="C4827" t="str">
            <v>בוטל - גן סאקר (ירושלים מרכז)- קידום תוכנית מתאר לתחמ"ש ולקו</v>
          </cell>
        </row>
        <row r="4828">
          <cell r="A4828" t="str">
            <v>HIS-093</v>
          </cell>
          <cell r="B4828" t="str">
            <v>ירושלים ה</v>
          </cell>
          <cell r="C4828" t="str">
            <v>ירושלים ה</v>
          </cell>
          <cell r="D4828">
            <v>40908</v>
          </cell>
        </row>
        <row r="4829">
          <cell r="A4829" t="str">
            <v>WBE-154</v>
          </cell>
          <cell r="B4829" t="str">
            <v>ירושלים ה</v>
          </cell>
          <cell r="C4829" t="str">
            <v>ירושלים ה -הוספת שנאי 514 , 56 מגוו"א</v>
          </cell>
          <cell r="D4829">
            <v>46173</v>
          </cell>
        </row>
        <row r="4830">
          <cell r="A4830" t="str">
            <v>WBM-01447</v>
          </cell>
          <cell r="B4830" t="str">
            <v>ירושלים ה</v>
          </cell>
          <cell r="C4830" t="str">
            <v>ירושלים ה-פירוק והתקנת סוללות קבלים עבור שנאים 511, 512, 513</v>
          </cell>
          <cell r="D4830">
            <v>46203</v>
          </cell>
        </row>
        <row r="4831">
          <cell r="A4831" t="str">
            <v>WBM-00284</v>
          </cell>
          <cell r="B4831" t="str">
            <v>ירושלים ה</v>
          </cell>
          <cell r="C4831" t="str">
            <v>ירושלים ה-התקנת 6 ס"ק3.6 מגווא"ר כ"א</v>
          </cell>
          <cell r="D4831">
            <v>43640</v>
          </cell>
        </row>
        <row r="4832">
          <cell r="A4832" t="str">
            <v>WBM-60074</v>
          </cell>
          <cell r="B4832" t="str">
            <v>ירושלים ה</v>
          </cell>
          <cell r="C4832" t="str">
            <v>ירושלים ה' - עיגון ארונות פיקוד ושנאים</v>
          </cell>
          <cell r="D4832">
            <v>47057</v>
          </cell>
        </row>
        <row r="4833">
          <cell r="A4833" t="str">
            <v>WBM-00474</v>
          </cell>
          <cell r="B4833" t="str">
            <v>ירושלים ה</v>
          </cell>
          <cell r="C4833" t="str">
            <v>ירושלים ה-הזנת תאורת חירום ז"י</v>
          </cell>
          <cell r="D4833">
            <v>46751</v>
          </cell>
        </row>
        <row r="4834">
          <cell r="A4834" t="str">
            <v>WBM-00475</v>
          </cell>
          <cell r="B4834" t="str">
            <v>ירושלים ה</v>
          </cell>
          <cell r="C4834" t="str">
            <v>ירושלים ה-בוטל-התקנת הגנת BFP ב-6 מסדרי מ"ג</v>
          </cell>
        </row>
        <row r="4835">
          <cell r="A4835" t="str">
            <v>WBM-60110</v>
          </cell>
          <cell r="B4835" t="str">
            <v>ירושלים ה</v>
          </cell>
          <cell r="C4835" t="str">
            <v>ירושלים ה-התקנת משאבות הוצאת מים ומפוחים</v>
          </cell>
          <cell r="D4835">
            <v>45214</v>
          </cell>
        </row>
        <row r="4836">
          <cell r="A4836" t="str">
            <v>WBM-00684</v>
          </cell>
          <cell r="B4836" t="str">
            <v>ירושלים ה</v>
          </cell>
          <cell r="C4836" t="str">
            <v>ירושלים ה-השלמת סידורי בטיחות נגד אש</v>
          </cell>
          <cell r="D4836">
            <v>44213</v>
          </cell>
        </row>
        <row r="4837">
          <cell r="A4837" t="str">
            <v>WBM-01027</v>
          </cell>
          <cell r="B4837" t="str">
            <v>ירושלים ה</v>
          </cell>
          <cell r="C4837" t="str">
            <v>ירושלים ה - התקנת צינור ניקוז מים</v>
          </cell>
          <cell r="D4837">
            <v>43678</v>
          </cell>
        </row>
        <row r="4838">
          <cell r="A4838" t="str">
            <v>WBM-00981</v>
          </cell>
          <cell r="B4838" t="str">
            <v>ירושלים ה</v>
          </cell>
          <cell r="C4838" t="str">
            <v>ירושלים ה-החלפת הגנת מרחק שנייה</v>
          </cell>
          <cell r="D4838">
            <v>43631</v>
          </cell>
        </row>
        <row r="4839">
          <cell r="A4839" t="str">
            <v>WBM-00683</v>
          </cell>
          <cell r="B4839" t="str">
            <v>ירושלים ה</v>
          </cell>
          <cell r="C4839" t="str">
            <v>ירושלים ה-החלפת מע' גילוי וכיבוי אש אוט'</v>
          </cell>
          <cell r="D4839">
            <v>42680</v>
          </cell>
        </row>
        <row r="4840">
          <cell r="A4840" t="str">
            <v>WBM-00869</v>
          </cell>
          <cell r="B4840" t="str">
            <v>ירושלים ה</v>
          </cell>
          <cell r="C4840" t="str">
            <v>ירושלים ה - התקנת ממירים 220/60 וולט</v>
          </cell>
          <cell r="D4840">
            <v>42568</v>
          </cell>
        </row>
        <row r="4841">
          <cell r="A4841" t="str">
            <v>WBM-00685</v>
          </cell>
          <cell r="B4841" t="str">
            <v>ירושלים ה</v>
          </cell>
          <cell r="C4841" t="str">
            <v>ירושלים ה-הסדרת דרך כניסה בטיחותית לתחמש</v>
          </cell>
          <cell r="D4841">
            <v>41798</v>
          </cell>
        </row>
        <row r="4842">
          <cell r="A4842" t="str">
            <v>WBG-046-013</v>
          </cell>
          <cell r="B4842" t="str">
            <v>ירושלים ה</v>
          </cell>
          <cell r="C4842" t="str">
            <v>ירושלים ה-הקמת רשת מחשבים תפעולית</v>
          </cell>
          <cell r="D4842">
            <v>41501</v>
          </cell>
        </row>
        <row r="4843">
          <cell r="A4843" t="str">
            <v>WBG-046-002</v>
          </cell>
          <cell r="B4843" t="str">
            <v>ירושלים ה</v>
          </cell>
          <cell r="C4843" t="str">
            <v>ירושלים ה-התקנת תקשורת מנהלתית</v>
          </cell>
          <cell r="D4843">
            <v>41274</v>
          </cell>
        </row>
        <row r="4844">
          <cell r="A4844" t="str">
            <v>WBG-046-011</v>
          </cell>
          <cell r="B4844" t="str">
            <v>ירושלים ה</v>
          </cell>
          <cell r="C4844" t="str">
            <v>ירושלים ה-התקנת ארון ז"י 48 וולט</v>
          </cell>
          <cell r="D4844">
            <v>41274</v>
          </cell>
        </row>
        <row r="4845">
          <cell r="A4845" t="str">
            <v>WBG-046-005</v>
          </cell>
          <cell r="B4845" t="str">
            <v>ירושלים ה</v>
          </cell>
          <cell r="C4845" t="str">
            <v>ירושלים ה-התקנת רושם הפרעות</v>
          </cell>
          <cell r="D4845">
            <v>41261</v>
          </cell>
        </row>
        <row r="4846">
          <cell r="A4846" t="str">
            <v>WBM-30004</v>
          </cell>
          <cell r="B4846" t="str">
            <v>ירושלים ה</v>
          </cell>
          <cell r="C4846" t="str">
            <v>ירושלים ה' -בוטל-גדר אלקטרונית (ביטחון)</v>
          </cell>
          <cell r="D4846">
            <v>43094</v>
          </cell>
        </row>
        <row r="4847">
          <cell r="A4847">
            <v>548912</v>
          </cell>
          <cell r="B4847" t="str">
            <v>ירושלים ה</v>
          </cell>
          <cell r="C4847" t="str">
            <v>ירושלים ה-החלפת מערכת התראה ביטחונית</v>
          </cell>
          <cell r="D4847">
            <v>40024</v>
          </cell>
        </row>
        <row r="4848">
          <cell r="A4848">
            <v>548924</v>
          </cell>
          <cell r="B4848" t="str">
            <v>ירושלים ה</v>
          </cell>
          <cell r="C4848" t="str">
            <v>ירושלים ה-התקנת מאווררים בארונות פיקוד</v>
          </cell>
          <cell r="D4848">
            <v>40311</v>
          </cell>
        </row>
        <row r="4849">
          <cell r="A4849" t="str">
            <v>WBM-00885-055</v>
          </cell>
          <cell r="B4849" t="str">
            <v>ירושלים ה</v>
          </cell>
          <cell r="C4849" t="str">
            <v>ירושלים ה'- התאמת מע' מים לכיבוי אש</v>
          </cell>
          <cell r="D4849">
            <v>46386</v>
          </cell>
        </row>
        <row r="4850">
          <cell r="A4850" t="str">
            <v>WBM-10315-055</v>
          </cell>
          <cell r="B4850" t="str">
            <v>ירושלים ה</v>
          </cell>
          <cell r="C4850" t="str">
            <v>ירושלים ה'- התקנת מזגנים</v>
          </cell>
          <cell r="D4850">
            <v>46721</v>
          </cell>
        </row>
        <row r="4851">
          <cell r="A4851" t="str">
            <v>WBM-10484-003</v>
          </cell>
          <cell r="B4851" t="str">
            <v>ירושלים ה</v>
          </cell>
          <cell r="C4851" t="str">
            <v>ירושלים ה' -בוטל- שדרוג יכולת קו מ"ג ל 600 א'</v>
          </cell>
          <cell r="D4851">
            <v>45292</v>
          </cell>
        </row>
        <row r="4852">
          <cell r="A4852" t="str">
            <v>WBM-40295-046</v>
          </cell>
          <cell r="B4852" t="str">
            <v>ירושלים ה</v>
          </cell>
          <cell r="C4852" t="str">
            <v>ירושלים ה - החלפת סוללות מצברים</v>
          </cell>
          <cell r="D4852">
            <v>46387</v>
          </cell>
        </row>
        <row r="4853">
          <cell r="A4853" t="str">
            <v>WBM-60092-038</v>
          </cell>
          <cell r="B4853" t="str">
            <v>ירושלים ה</v>
          </cell>
          <cell r="C4853" t="str">
            <v>ירושלים ה-בדיקות/טיפול/פינוי מכלי אש בגז</v>
          </cell>
          <cell r="D4853">
            <v>46264</v>
          </cell>
        </row>
        <row r="4854">
          <cell r="A4854" t="str">
            <v>WBM-80002-032</v>
          </cell>
          <cell r="B4854" t="str">
            <v>ירושלים ה</v>
          </cell>
          <cell r="C4854" t="str">
            <v>ירושלים ה - הסבות</v>
          </cell>
          <cell r="D4854">
            <v>46356</v>
          </cell>
        </row>
        <row r="4855">
          <cell r="A4855" t="str">
            <v>WBO-10685</v>
          </cell>
          <cell r="B4855" t="str">
            <v>ירושלים ה</v>
          </cell>
          <cell r="C4855" t="str">
            <v>ירושלים ה' – בוטל - שדרוג תא במסדר מ"ג ליכולת 600 א'.</v>
          </cell>
        </row>
        <row r="4856">
          <cell r="A4856" t="str">
            <v>WBM-10686</v>
          </cell>
          <cell r="B4856" t="str">
            <v>ירושלים ה</v>
          </cell>
          <cell r="C4856" t="str">
            <v>ירושלים ה' – שדרוג תא במסדר מ"ג ליכולת 600 א'.</v>
          </cell>
          <cell r="D4856">
            <v>46507</v>
          </cell>
        </row>
        <row r="4857">
          <cell r="A4857" t="str">
            <v>WBM-40637-014</v>
          </cell>
          <cell r="B4857" t="str">
            <v>ירושלים ה</v>
          </cell>
          <cell r="C4857" t="str">
            <v>ירושלים ה -  החלפת רושמי הפרעות קיימים מדגם IDM-T3 לרושמים חדשים מדגם IDM+</v>
          </cell>
          <cell r="D4857">
            <v>46660</v>
          </cell>
        </row>
        <row r="4858">
          <cell r="A4858" t="str">
            <v>WBM-00350-069</v>
          </cell>
          <cell r="B4858" t="str">
            <v>ירושלים ה</v>
          </cell>
          <cell r="C4858" t="str">
            <v>ירושלים ה - החלפת שנאי כתוצאה מתקלה</v>
          </cell>
          <cell r="D4858">
            <v>46034</v>
          </cell>
        </row>
        <row r="4859">
          <cell r="A4859" t="str">
            <v>WBM-60010-138</v>
          </cell>
          <cell r="B4859" t="str">
            <v>ירושלים ד' ניידת</v>
          </cell>
          <cell r="C4859" t="str">
            <v>ניידת ירושלים ד- בוטל- החלפת מוני ION למוני SAT</v>
          </cell>
        </row>
        <row r="4860">
          <cell r="A4860" t="str">
            <v>WBM-60116-038</v>
          </cell>
          <cell r="B4860" t="str">
            <v>ירושלים ד' ניידת</v>
          </cell>
          <cell r="C4860" t="str">
            <v>ניידת ירושלים ד - שידרוג גלאים בתחנות מש</v>
          </cell>
          <cell r="D4860">
            <v>46721</v>
          </cell>
        </row>
        <row r="4861">
          <cell r="A4861" t="str">
            <v>WBM-00350-071</v>
          </cell>
          <cell r="B4861" t="str">
            <v>ירושלים ד' ניידת</v>
          </cell>
          <cell r="C4861" t="str">
            <v>ירושלים ד ניידת -  החלפת הניידת בעקבות תקלה</v>
          </cell>
          <cell r="D4861">
            <v>46096</v>
          </cell>
        </row>
        <row r="4862">
          <cell r="A4862" t="str">
            <v>HIS-092</v>
          </cell>
          <cell r="B4862" t="str">
            <v>ירושלים ד</v>
          </cell>
          <cell r="C4862" t="str">
            <v>ירושלים ד</v>
          </cell>
          <cell r="D4862">
            <v>40908</v>
          </cell>
        </row>
        <row r="4863">
          <cell r="A4863" t="str">
            <v>HIS-136</v>
          </cell>
          <cell r="B4863" t="str">
            <v>ירושלים ד</v>
          </cell>
          <cell r="C4863" t="str">
            <v>ירושלים ד  ניידת</v>
          </cell>
          <cell r="D4863">
            <v>40908</v>
          </cell>
        </row>
        <row r="4864">
          <cell r="A4864" t="str">
            <v>WBJ-003-ST3</v>
          </cell>
          <cell r="B4864" t="str">
            <v>ירושלים ד</v>
          </cell>
          <cell r="C4864" t="str">
            <v>ירושלים- הקמת תחמ"ש פנימית</v>
          </cell>
          <cell r="D4864">
            <v>47299</v>
          </cell>
        </row>
        <row r="4865">
          <cell r="A4865" t="str">
            <v>WBJ-003-ST7</v>
          </cell>
          <cell r="B4865" t="str">
            <v>ירושלים ד</v>
          </cell>
          <cell r="C4865" t="str">
            <v>ירושלים ד- הוצאה מניצול של התחמ"ש</v>
          </cell>
          <cell r="D4865">
            <v>47299</v>
          </cell>
        </row>
        <row r="4866">
          <cell r="A4866" t="str">
            <v>WBJ-003-ST8</v>
          </cell>
          <cell r="B4866" t="str">
            <v>ירושלים ד</v>
          </cell>
          <cell r="C4866" t="str">
            <v>ירושלים ד ניידת-הוצאה מניצול של הניידת</v>
          </cell>
          <cell r="D4866">
            <v>48029</v>
          </cell>
        </row>
        <row r="4867">
          <cell r="A4867" t="str">
            <v>WBE-151</v>
          </cell>
          <cell r="B4867" t="str">
            <v>ירושלים ד</v>
          </cell>
          <cell r="C4867" t="str">
            <v>ירושלים ד-החלפת שנאי 33 ב- 50 מגוו"א</v>
          </cell>
          <cell r="D4867">
            <v>45643</v>
          </cell>
        </row>
        <row r="4868">
          <cell r="A4868" t="str">
            <v>WBE-143</v>
          </cell>
          <cell r="B4868" t="str">
            <v>ירושלים ד</v>
          </cell>
          <cell r="C4868" t="str">
            <v>ירושלים ד - החלפת שנאי 514</v>
          </cell>
          <cell r="D4868">
            <v>44537</v>
          </cell>
        </row>
        <row r="4869">
          <cell r="A4869" t="str">
            <v>WBE-093-ST1</v>
          </cell>
          <cell r="B4869" t="str">
            <v>ירושלים ד</v>
          </cell>
          <cell r="C4869" t="str">
            <v>ירושלים ד-בוטל - שלב  - החלפת שנאי 514</v>
          </cell>
          <cell r="D4869">
            <v>36164</v>
          </cell>
        </row>
        <row r="4870">
          <cell r="A4870" t="str">
            <v>WBE-093</v>
          </cell>
          <cell r="B4870" t="str">
            <v>ירושלים ד</v>
          </cell>
          <cell r="C4870" t="str">
            <v>ירושלים ד'- הקמת בנין</v>
          </cell>
          <cell r="D4870">
            <v>46142</v>
          </cell>
        </row>
        <row r="4871">
          <cell r="A4871" t="str">
            <v>WBE-093-ST2</v>
          </cell>
          <cell r="B4871" t="str">
            <v>ירושלים ד</v>
          </cell>
          <cell r="C4871" t="str">
            <v>ירושלים ד'-בוטל-שלב 2 - הקמת בנין 36 ק"ו</v>
          </cell>
          <cell r="D4871">
            <v>36164</v>
          </cell>
        </row>
        <row r="4872">
          <cell r="A4872" t="str">
            <v>WBM-00053</v>
          </cell>
          <cell r="B4872" t="str">
            <v>ירושלים ד</v>
          </cell>
          <cell r="C4872" t="str">
            <v>ירושלים ד-התאמת שדה 161 ק"ו מס'1 לג.שאול</v>
          </cell>
          <cell r="D4872">
            <v>42166</v>
          </cell>
        </row>
        <row r="4873">
          <cell r="A4873" t="str">
            <v>WBM-00862</v>
          </cell>
          <cell r="B4873" t="str">
            <v>ירושלים ד</v>
          </cell>
          <cell r="C4873" t="str">
            <v>ירושלים ד-הוקפא- התקנת 4 סלילי כיבוי 36 ק"ו,250</v>
          </cell>
        </row>
        <row r="4874">
          <cell r="A4874" t="str">
            <v>WBM-00054</v>
          </cell>
          <cell r="B4874" t="str">
            <v>ירושלים ד</v>
          </cell>
          <cell r="C4874" t="str">
            <v>ירושלים ד-שדרוג מסדר מ"ג</v>
          </cell>
          <cell r="D4874">
            <v>44012</v>
          </cell>
        </row>
        <row r="4875">
          <cell r="A4875" t="str">
            <v>WBM-01257</v>
          </cell>
          <cell r="B4875" t="str">
            <v>ירושלים ד</v>
          </cell>
          <cell r="C4875" t="str">
            <v>ירושלים ד-הסבת 2 תאי מ"ג  13.8 ק"ו</v>
          </cell>
          <cell r="D4875">
            <v>43510</v>
          </cell>
        </row>
        <row r="4876">
          <cell r="A4876" t="str">
            <v>WBM-10318</v>
          </cell>
          <cell r="B4876" t="str">
            <v>ירושלים ד</v>
          </cell>
          <cell r="C4876" t="str">
            <v>ירושלים ד-פירוק ציוד הצמדה בשדה 13</v>
          </cell>
          <cell r="D4876">
            <v>46326</v>
          </cell>
        </row>
        <row r="4877">
          <cell r="A4877" t="str">
            <v>WBM-10439</v>
          </cell>
          <cell r="B4877" t="str">
            <v>ירושלים ד</v>
          </cell>
          <cell r="C4877" t="str">
            <v>ירושלים ד-משיק נ.צופים2-יישום דרך קשר אופטית בין הגנות ש13</v>
          </cell>
          <cell r="D4877">
            <v>46007</v>
          </cell>
        </row>
        <row r="4878">
          <cell r="A4878" t="str">
            <v>WBM-00057</v>
          </cell>
          <cell r="B4878" t="str">
            <v>ירושלים ד</v>
          </cell>
          <cell r="C4878" t="str">
            <v>ירושלים ד' - מיגון חדר מצב לשעת חירום</v>
          </cell>
          <cell r="D4878">
            <v>46507</v>
          </cell>
        </row>
        <row r="4879">
          <cell r="A4879" t="str">
            <v>WBM-10287</v>
          </cell>
          <cell r="B4879" t="str">
            <v>ירושלים ד</v>
          </cell>
          <cell r="C4879" t="str">
            <v>ירושלים ד'- התאמת תיילים-מהדקים-פורטל משיק ל WBO-147</v>
          </cell>
          <cell r="D4879">
            <v>46568</v>
          </cell>
        </row>
        <row r="4880">
          <cell r="A4880" t="str">
            <v>WBM-10355</v>
          </cell>
          <cell r="B4880" t="str">
            <v>ירושלים ד</v>
          </cell>
          <cell r="C4880" t="str">
            <v>ירושלים ד בוטל -מwbo-147--הת.שדות 5, 9 ל 1600</v>
          </cell>
        </row>
        <row r="4881">
          <cell r="A4881" t="str">
            <v>WBM-00055</v>
          </cell>
          <cell r="B4881" t="str">
            <v>ירושלים ד</v>
          </cell>
          <cell r="C4881" t="str">
            <v>ירושלים ד-הסדרת דרך גישה לתחמ"ש</v>
          </cell>
          <cell r="D4881">
            <v>46177</v>
          </cell>
        </row>
        <row r="4882">
          <cell r="A4882" t="str">
            <v>WBM-10435</v>
          </cell>
          <cell r="B4882" t="str">
            <v>ירושלים ד</v>
          </cell>
          <cell r="C4882" t="str">
            <v>ירושלים ד' - פרוק ציוד הצמדה משדה 11</v>
          </cell>
          <cell r="D4882">
            <v>46326</v>
          </cell>
        </row>
        <row r="4883">
          <cell r="A4883" t="str">
            <v>WBM-10171</v>
          </cell>
          <cell r="B4883" t="str">
            <v>ירושלים ד</v>
          </cell>
          <cell r="C4883" t="str">
            <v>ירושלים ד-משיק לתעשיה אדומים.הג.+תק.ש13</v>
          </cell>
          <cell r="D4883">
            <v>45199</v>
          </cell>
        </row>
        <row r="4884">
          <cell r="A4884" t="str">
            <v>WBM-10254</v>
          </cell>
          <cell r="B4884" t="str">
            <v>ירושלים ד</v>
          </cell>
          <cell r="C4884" t="str">
            <v>ירושלים ד - פירוק משנה מתח  מניידת</v>
          </cell>
          <cell r="D4884">
            <v>44766</v>
          </cell>
        </row>
        <row r="4885">
          <cell r="A4885" t="str">
            <v>WBM-80001</v>
          </cell>
          <cell r="B4885" t="str">
            <v>ירושלים ד</v>
          </cell>
          <cell r="C4885" t="str">
            <v>ירושלים ד-יצירת תקשורת לפיקוח ארצי B-T-B</v>
          </cell>
          <cell r="D4885">
            <v>44084</v>
          </cell>
        </row>
        <row r="4886">
          <cell r="A4886" t="str">
            <v>WBM-00876</v>
          </cell>
          <cell r="B4886" t="str">
            <v>ירושלים ד</v>
          </cell>
          <cell r="C4886" t="str">
            <v>ירושלים ד'-שדה 11-התקנת הגנת מרחק שניה</v>
          </cell>
          <cell r="D4886">
            <v>44084</v>
          </cell>
        </row>
        <row r="4887">
          <cell r="A4887" t="str">
            <v>WBM-01103</v>
          </cell>
          <cell r="B4887" t="str">
            <v>ירושלים ד</v>
          </cell>
          <cell r="C4887" t="str">
            <v>ירושלים ד ניידת-התקנת מאצרת שמן זמנית</v>
          </cell>
          <cell r="D4887">
            <v>43537</v>
          </cell>
        </row>
        <row r="4888">
          <cell r="A4888" t="str">
            <v>WBM-01135</v>
          </cell>
          <cell r="B4888" t="str">
            <v>ירושלים ד</v>
          </cell>
          <cell r="C4888" t="str">
            <v>ירושלים ד-הוספת 2 ממרים 220/60 וולט</v>
          </cell>
          <cell r="D4888">
            <v>43013</v>
          </cell>
        </row>
        <row r="4889">
          <cell r="A4889" t="str">
            <v>WBM-00682</v>
          </cell>
          <cell r="B4889" t="str">
            <v>ירושלים ד</v>
          </cell>
          <cell r="C4889" t="str">
            <v>ירושלים ד-איטום מעברי כבלים נגד אש</v>
          </cell>
          <cell r="D4889">
            <v>41954</v>
          </cell>
        </row>
        <row r="4890">
          <cell r="A4890" t="str">
            <v>WBG-045-036</v>
          </cell>
          <cell r="B4890" t="str">
            <v>ירושלים ד</v>
          </cell>
          <cell r="C4890" t="str">
            <v>ירושלים ד-העתקת מיקומו של משנה מתח</v>
          </cell>
          <cell r="D4890">
            <v>41593</v>
          </cell>
        </row>
        <row r="4891">
          <cell r="A4891" t="str">
            <v>WBG-045-028</v>
          </cell>
          <cell r="B4891" t="str">
            <v>ירושלים ד</v>
          </cell>
          <cell r="C4891" t="str">
            <v>ירושלים ד-החלפת מבדדים בפ"צ במסדר161 ק"ו</v>
          </cell>
          <cell r="D4891">
            <v>41583</v>
          </cell>
        </row>
        <row r="4892">
          <cell r="A4892" t="str">
            <v>WBG-045-029</v>
          </cell>
          <cell r="B4892" t="str">
            <v>ירושלים ד</v>
          </cell>
          <cell r="C4892" t="str">
            <v>ירושלים ד-החלפת מגיני ברק מ"ג של שנאים</v>
          </cell>
          <cell r="D4892">
            <v>41452</v>
          </cell>
        </row>
        <row r="4893">
          <cell r="A4893" t="str">
            <v>WBM-30008</v>
          </cell>
          <cell r="B4893" t="str">
            <v>ירושלים ד</v>
          </cell>
          <cell r="C4893" t="str">
            <v>ירושלים ד- בוטל-גדר אלקטרונית  (ביטחון)</v>
          </cell>
          <cell r="D4893">
            <v>43094</v>
          </cell>
        </row>
        <row r="4894">
          <cell r="A4894" t="str">
            <v>WBM-40091</v>
          </cell>
          <cell r="B4894" t="str">
            <v>ירושלים ד</v>
          </cell>
          <cell r="C4894" t="str">
            <v>ירושלים ד' - בוטל- החלפת רושם הפרעות</v>
          </cell>
          <cell r="D4894">
            <v>43112</v>
          </cell>
        </row>
        <row r="4895">
          <cell r="A4895" t="str">
            <v>WBM-40204</v>
          </cell>
          <cell r="B4895" t="str">
            <v>ירושלים ד</v>
          </cell>
          <cell r="C4895" t="str">
            <v>ירושלים ד'- בוטל-החל ציוד בשד' 2,3,16</v>
          </cell>
          <cell r="D4895">
            <v>43150</v>
          </cell>
        </row>
        <row r="4896">
          <cell r="A4896" t="str">
            <v>WBM-40205</v>
          </cell>
          <cell r="B4896" t="str">
            <v>ירושלים ד</v>
          </cell>
          <cell r="C4896" t="str">
            <v>ירושלים ד-בוטל-החל.ציוד 1,4,5,6,9,10-13</v>
          </cell>
          <cell r="D4896">
            <v>43150</v>
          </cell>
        </row>
        <row r="4897">
          <cell r="A4897" t="str">
            <v>WBM-40168</v>
          </cell>
          <cell r="B4897" t="str">
            <v>ירושלים ד</v>
          </cell>
          <cell r="C4897" t="str">
            <v>ירושלים ד'- בוטל-החלפת שנאים 511 ו-512</v>
          </cell>
          <cell r="D4897">
            <v>43131</v>
          </cell>
        </row>
        <row r="4898">
          <cell r="A4898" t="str">
            <v>WBM-40203</v>
          </cell>
          <cell r="B4898" t="str">
            <v>ירושלים ד</v>
          </cell>
          <cell r="C4898" t="str">
            <v>ירושלים ד-בוטל-החל' 13 מפסקים מ"ג</v>
          </cell>
          <cell r="D4898">
            <v>43151</v>
          </cell>
        </row>
        <row r="4899">
          <cell r="A4899" t="str">
            <v>WBM-40207</v>
          </cell>
          <cell r="B4899" t="str">
            <v>ירושלים ד</v>
          </cell>
          <cell r="C4899" t="str">
            <v>ירושלים ד'-בוטל- החלפת ציוד בשדה  7</v>
          </cell>
          <cell r="D4899">
            <v>43151</v>
          </cell>
        </row>
        <row r="4900">
          <cell r="A4900" t="str">
            <v>WBM-60028</v>
          </cell>
          <cell r="B4900" t="str">
            <v>ירושלים ד</v>
          </cell>
          <cell r="C4900" t="str">
            <v>ירושלים ד' -בוטל-בנית תשתית לאיסוף שפכים</v>
          </cell>
          <cell r="D4900">
            <v>43789</v>
          </cell>
        </row>
        <row r="4901">
          <cell r="A4901" t="str">
            <v>WBM-00819</v>
          </cell>
          <cell r="B4901" t="str">
            <v>ירושלים ד</v>
          </cell>
          <cell r="C4901" t="str">
            <v>ירושלים ד-בוטל-הקמת גגות וקירות ירוקים</v>
          </cell>
          <cell r="D4901">
            <v>41645</v>
          </cell>
        </row>
        <row r="4902">
          <cell r="A4902">
            <v>543017</v>
          </cell>
          <cell r="B4902" t="str">
            <v>ירושלים ד</v>
          </cell>
          <cell r="C4902" t="str">
            <v>ירושלים ד-הוספת הגנת מרחק שנייה</v>
          </cell>
          <cell r="D4902">
            <v>38717</v>
          </cell>
        </row>
        <row r="4903">
          <cell r="A4903">
            <v>543026</v>
          </cell>
          <cell r="B4903" t="str">
            <v>ירושלים ד</v>
          </cell>
          <cell r="C4903" t="str">
            <v>ירושלים ד-הזנת תאורת חירום ז"י</v>
          </cell>
          <cell r="D4903">
            <v>39171</v>
          </cell>
        </row>
        <row r="4904">
          <cell r="A4904">
            <v>543027</v>
          </cell>
          <cell r="B4904" t="str">
            <v>ירושלים ד</v>
          </cell>
          <cell r="C4904" t="str">
            <v>ירושלים ד-החלפת מערכת התראה ביטחונית</v>
          </cell>
          <cell r="D4904">
            <v>38959</v>
          </cell>
        </row>
        <row r="4905">
          <cell r="A4905">
            <v>543033</v>
          </cell>
          <cell r="B4905" t="str">
            <v>ירושלים ד</v>
          </cell>
          <cell r="C4905" t="str">
            <v>ירושלים ד-התקנת מער' SCS במסדרי מ"ע ומ"ג</v>
          </cell>
          <cell r="D4905">
            <v>39903</v>
          </cell>
        </row>
        <row r="4906">
          <cell r="A4906">
            <v>543043</v>
          </cell>
          <cell r="B4906" t="str">
            <v>ירושלים ד</v>
          </cell>
          <cell r="C4906" t="str">
            <v>ירושלים ד-התקנת מאווררים בארונות פיקוד</v>
          </cell>
          <cell r="D4906">
            <v>40311</v>
          </cell>
        </row>
        <row r="4907">
          <cell r="A4907" t="str">
            <v>WBM-00056</v>
          </cell>
          <cell r="B4907" t="str">
            <v>ירושלים ד</v>
          </cell>
          <cell r="C4907" t="str">
            <v>ירושלים ד-בוטל-החלפת 9 מגיני ברק 132ק"ו</v>
          </cell>
          <cell r="D4907">
            <v>41249</v>
          </cell>
        </row>
        <row r="4908">
          <cell r="A4908" t="str">
            <v>WBM-00052</v>
          </cell>
          <cell r="B4908" t="str">
            <v>ירושלים ד</v>
          </cell>
          <cell r="C4908" t="str">
            <v>ירושלים ד-בוטל-השלמת גדר אטומה</v>
          </cell>
          <cell r="D4908">
            <v>41249</v>
          </cell>
        </row>
        <row r="4909">
          <cell r="A4909" t="str">
            <v>WBG-045-011</v>
          </cell>
          <cell r="B4909" t="str">
            <v>ירושלים ד</v>
          </cell>
          <cell r="C4909" t="str">
            <v>ירושלים ד-החלפת הגנות - 531,532,533,534</v>
          </cell>
          <cell r="D4909">
            <v>38168</v>
          </cell>
        </row>
        <row r="4910">
          <cell r="A4910" t="str">
            <v>WBG-045-011-ST2</v>
          </cell>
          <cell r="B4910" t="str">
            <v>ירושלים ד</v>
          </cell>
          <cell r="C4910" t="str">
            <v>ירושלים ד-התקנת הגנת שנאי T60 ל-511,512</v>
          </cell>
          <cell r="D4910">
            <v>39834</v>
          </cell>
        </row>
        <row r="4911">
          <cell r="A4911" t="str">
            <v>WBG-045-012</v>
          </cell>
          <cell r="B4911" t="str">
            <v>ירושלים ד</v>
          </cell>
          <cell r="C4911" t="str">
            <v>ירושלים ד-שינויים בחיווט רושם הפרעות</v>
          </cell>
          <cell r="D4911">
            <v>38533</v>
          </cell>
        </row>
        <row r="4912">
          <cell r="A4912" t="str">
            <v>WBG-157-001</v>
          </cell>
          <cell r="B4912" t="str">
            <v>ירושלים ד</v>
          </cell>
          <cell r="C4912" t="str">
            <v>ירושלים ד' ניידת-התקנת מערכת מניה</v>
          </cell>
          <cell r="D4912">
            <v>40846</v>
          </cell>
        </row>
        <row r="4913">
          <cell r="A4913" t="str">
            <v>WBG-045-033</v>
          </cell>
          <cell r="B4913" t="str">
            <v>ירושלים ד</v>
          </cell>
          <cell r="C4913" t="str">
            <v>ירושלים ד-התקנת ברזי כיבוי בקוטר "3</v>
          </cell>
          <cell r="D4913">
            <v>39902</v>
          </cell>
        </row>
        <row r="4914">
          <cell r="A4914" t="str">
            <v>WBD-046</v>
          </cell>
          <cell r="B4914" t="str">
            <v>ירושלים ד</v>
          </cell>
          <cell r="C4914" t="str">
            <v>ירושלים ד' 36 ניידת-הצבת תחמ"ש ניידת</v>
          </cell>
          <cell r="D4914">
            <v>41176</v>
          </cell>
        </row>
        <row r="4915">
          <cell r="A4915" t="str">
            <v>WBD-022</v>
          </cell>
          <cell r="B4915" t="str">
            <v>ירושלים ד</v>
          </cell>
          <cell r="C4915" t="str">
            <v>ירושלים ד' ניידת-פירוק תחמ"ש ניידת</v>
          </cell>
          <cell r="D4915">
            <v>41009</v>
          </cell>
        </row>
        <row r="4916">
          <cell r="A4916" t="str">
            <v>WBE-095-ST2</v>
          </cell>
          <cell r="B4916" t="str">
            <v>ירושלים ד</v>
          </cell>
          <cell r="C4916" t="str">
            <v>ירושלים ד'-החלפת שנאי 533</v>
          </cell>
          <cell r="D4916">
            <v>43787</v>
          </cell>
        </row>
        <row r="4917">
          <cell r="A4917" t="str">
            <v>WBE-095</v>
          </cell>
          <cell r="B4917" t="str">
            <v>ירושלים ד</v>
          </cell>
          <cell r="C4917" t="str">
            <v>ירושלים ד'-החלפת שנאים 532 ו-533</v>
          </cell>
          <cell r="D4917">
            <v>43676</v>
          </cell>
        </row>
        <row r="4918">
          <cell r="A4918" t="str">
            <v>WBE-095-ST1</v>
          </cell>
          <cell r="B4918" t="str">
            <v>ירושלים ד</v>
          </cell>
          <cell r="C4918" t="str">
            <v>ירושלים ד'-החלפת שנאי  532</v>
          </cell>
          <cell r="D4918">
            <v>43350</v>
          </cell>
        </row>
        <row r="4919">
          <cell r="A4919" t="str">
            <v>WBE-069</v>
          </cell>
          <cell r="B4919" t="str">
            <v>ירושלים ד</v>
          </cell>
          <cell r="C4919" t="str">
            <v>ירושלים ד- בוטל - החלפת שנאי 531</v>
          </cell>
          <cell r="D4919">
            <v>41193</v>
          </cell>
        </row>
        <row r="4920">
          <cell r="A4920" t="str">
            <v>WBG-045-015</v>
          </cell>
          <cell r="B4920" t="str">
            <v>ירושלים ד</v>
          </cell>
          <cell r="C4920" t="str">
            <v>ירושלים ד-התקנת 4 סוללות קבלים</v>
          </cell>
          <cell r="D4920">
            <v>40975</v>
          </cell>
        </row>
        <row r="4921">
          <cell r="A4921" t="str">
            <v>WBM-00341</v>
          </cell>
          <cell r="B4921" t="str">
            <v>ירושלים ד</v>
          </cell>
          <cell r="C4921" t="str">
            <v>ירושלים ד-התקנת קשר בין הגנות לגבעת שאול</v>
          </cell>
          <cell r="D4921">
            <v>42166</v>
          </cell>
        </row>
        <row r="4922">
          <cell r="A4922" t="str">
            <v>WBM-00884-031</v>
          </cell>
          <cell r="B4922" t="str">
            <v>ירושלים ד</v>
          </cell>
          <cell r="C4922" t="str">
            <v>ירושלים ד'- החלפת מערכות כיבוי בגז NAF-S</v>
          </cell>
          <cell r="D4922">
            <v>45635</v>
          </cell>
        </row>
        <row r="4923">
          <cell r="A4923" t="str">
            <v>WBM-00885-056</v>
          </cell>
          <cell r="B4923" t="str">
            <v>ירושלים ד</v>
          </cell>
          <cell r="C4923" t="str">
            <v>ירושלים ד'-התאמת מע' מים לכיבוי אש</v>
          </cell>
          <cell r="D4923">
            <v>46386</v>
          </cell>
        </row>
        <row r="4924">
          <cell r="A4924" t="str">
            <v>WBM-10315-059</v>
          </cell>
          <cell r="B4924" t="str">
            <v>ירושלים ד</v>
          </cell>
          <cell r="C4924" t="str">
            <v>ירושלים ד'- התקנת מזגנים</v>
          </cell>
          <cell r="D4924">
            <v>46052</v>
          </cell>
        </row>
        <row r="4925">
          <cell r="A4925" t="str">
            <v>WBM-10484-004</v>
          </cell>
          <cell r="B4925" t="str">
            <v>ירושלים ד</v>
          </cell>
          <cell r="C4925" t="str">
            <v>ירושלים ד'- בוטל- שדרוג יכולת קו מ"ג ל 600 א'</v>
          </cell>
          <cell r="D4925">
            <v>45292</v>
          </cell>
        </row>
        <row r="4926">
          <cell r="A4926" t="str">
            <v>WBM-10484-005</v>
          </cell>
          <cell r="B4926" t="str">
            <v>ירושלים ד</v>
          </cell>
          <cell r="C4926" t="str">
            <v>ירושלים ד'- בוטל-שדרוג יכולת קו מ"ג ל 600 א'</v>
          </cell>
          <cell r="D4926">
            <v>45292</v>
          </cell>
        </row>
        <row r="4927">
          <cell r="A4927" t="str">
            <v>WBM-20004-020</v>
          </cell>
          <cell r="B4927" t="str">
            <v>ירושלים ד</v>
          </cell>
          <cell r="C4927" t="str">
            <v>ירושלים ד' - אטום גג ופרוק גג ירוק נוכח</v>
          </cell>
          <cell r="D4927">
            <v>45629</v>
          </cell>
        </row>
        <row r="4928">
          <cell r="A4928" t="str">
            <v>WBM-40479-026</v>
          </cell>
          <cell r="B4928" t="str">
            <v>ירושלים ד</v>
          </cell>
          <cell r="C4928" t="str">
            <v>ירושלים ד'-החלפת בקר טמפ' וגובה שמן בשנא</v>
          </cell>
          <cell r="D4928">
            <v>47207</v>
          </cell>
        </row>
        <row r="4929">
          <cell r="A4929" t="str">
            <v>WBM-60008-088</v>
          </cell>
          <cell r="B4929" t="str">
            <v>ירושלים ד</v>
          </cell>
          <cell r="C4929" t="str">
            <v>ירושלים ד - מערכת טמ"ס וגדר אלקטרונית</v>
          </cell>
          <cell r="D4929">
            <v>47848</v>
          </cell>
        </row>
        <row r="4930">
          <cell r="A4930" t="str">
            <v>WBM-60092-010</v>
          </cell>
          <cell r="B4930" t="str">
            <v>ירושלים ד</v>
          </cell>
          <cell r="C4930" t="str">
            <v>ירושלים ד'- בדיקות/טיפול/פינוי מכלי אש ב</v>
          </cell>
          <cell r="D4930">
            <v>46175</v>
          </cell>
        </row>
        <row r="4931">
          <cell r="A4931" t="str">
            <v>WBM-60116-021</v>
          </cell>
          <cell r="B4931" t="str">
            <v>ירושלים ד</v>
          </cell>
          <cell r="C4931" t="str">
            <v>ירושלים ד - שידרוג גלאים בתחנות משנה ומי</v>
          </cell>
          <cell r="D4931">
            <v>45533</v>
          </cell>
        </row>
        <row r="4932">
          <cell r="A4932" t="str">
            <v>WBM-40620</v>
          </cell>
          <cell r="B4932" t="str">
            <v>ירושלים ד</v>
          </cell>
          <cell r="C4932" t="str">
            <v>ירושלים ד -  כיוונון והחלפת הגנות בשדה מתח עליון ובשדות מתח גבוה.</v>
          </cell>
          <cell r="D4932">
            <v>45643</v>
          </cell>
        </row>
        <row r="4933">
          <cell r="A4933" t="str">
            <v>WBM-10597-012</v>
          </cell>
          <cell r="B4933" t="str">
            <v>ירושלים ד</v>
          </cell>
          <cell r="C4933" t="str">
            <v>ירושלים ד -משיק תעשיה אדומים שדה 3,פיילוט יישום תקשורת הגנות - שדה 13</v>
          </cell>
          <cell r="D4933">
            <v>46181</v>
          </cell>
        </row>
        <row r="4934">
          <cell r="A4934" t="str">
            <v>WBM-10597-011</v>
          </cell>
          <cell r="B4934" t="str">
            <v>ירושלים ד</v>
          </cell>
          <cell r="C4934" t="str">
            <v>ירושלים ד - בוטל</v>
          </cell>
        </row>
        <row r="4935">
          <cell r="A4935" t="str">
            <v>WBM-20004-035</v>
          </cell>
          <cell r="B4935" t="str">
            <v>ירושלים ד</v>
          </cell>
          <cell r="C4935" t="str">
            <v>ירושלים ד - איטום כבלים</v>
          </cell>
          <cell r="D4935">
            <v>46203</v>
          </cell>
        </row>
        <row r="4936">
          <cell r="A4936" t="str">
            <v>WBM-00350-058</v>
          </cell>
          <cell r="B4936" t="str">
            <v>ירושלים ד</v>
          </cell>
          <cell r="C4936" t="str">
            <v>ירושלים ד'- שיפוץ שנאי 531</v>
          </cell>
          <cell r="D4936">
            <v>45686</v>
          </cell>
        </row>
        <row r="4937">
          <cell r="A4937" t="str">
            <v>WBM-10669</v>
          </cell>
          <cell r="B4937" t="str">
            <v>ירושלים ד</v>
          </cell>
          <cell r="C4937" t="str">
            <v>ירושלים ד- משיק לאבן ספיר שדה 20, התקנת הגנה דיפרנציאלית ויישום תקשורת אופטית בין הגנות בשדה 3</v>
          </cell>
          <cell r="D4937">
            <v>46203</v>
          </cell>
        </row>
        <row r="4938">
          <cell r="A4938" t="str">
            <v>WBM-10671</v>
          </cell>
          <cell r="B4938" t="str">
            <v>ירושלים ד</v>
          </cell>
          <cell r="C4938" t="str">
            <v>ירושלים ד- משיק לאבן ספיר שדה 22, התקנת הגנה דיפרנציאלית ויישום תקשורת אופטית בין הגנות בשדה 9</v>
          </cell>
          <cell r="D4938">
            <v>46751</v>
          </cell>
        </row>
        <row r="4939">
          <cell r="A4939" t="str">
            <v>WBM-10672</v>
          </cell>
          <cell r="B4939" t="str">
            <v>ירושלים ד</v>
          </cell>
          <cell r="C4939" t="str">
            <v>ירושלים ד -משיק לאבן ספיר שדה 21, התקנת הגנה דיפרנציאלית ויישום תקשורת אופטית בין הגנות בשדה 5</v>
          </cell>
          <cell r="D4939">
            <v>46751</v>
          </cell>
        </row>
        <row r="4940">
          <cell r="A4940" t="str">
            <v>WBM-10675</v>
          </cell>
          <cell r="B4940" t="str">
            <v>ירושלים ד</v>
          </cell>
          <cell r="C4940" t="str">
            <v>ירושלים ד' – שדרוג תא במסדרי מ"ג ליכולת 600 א'</v>
          </cell>
          <cell r="D4940">
            <v>46197</v>
          </cell>
        </row>
        <row r="4941">
          <cell r="A4941" t="str">
            <v>WBM-60205-021</v>
          </cell>
          <cell r="B4941" t="str">
            <v>ירושלים ד</v>
          </cell>
          <cell r="C4941" t="str">
            <v>ירושלים ד' - ניטור הצפות</v>
          </cell>
          <cell r="D4941">
            <v>46175</v>
          </cell>
        </row>
        <row r="4942">
          <cell r="A4942" t="str">
            <v>WBM-10814</v>
          </cell>
          <cell r="B4942" t="str">
            <v>ירושלים ד</v>
          </cell>
          <cell r="C4942" t="str">
            <v>ירושלים ד-החלפת 2 ממסרי הגנה דיפרנציאלית</v>
          </cell>
          <cell r="D4942">
            <v>46203</v>
          </cell>
        </row>
        <row r="4943">
          <cell r="A4943" t="str">
            <v>WBD-073</v>
          </cell>
          <cell r="B4943" t="str">
            <v>ירושלים ג ניידת</v>
          </cell>
          <cell r="C4943" t="str">
            <v>ירושלים ג' - הצבת תחמ"ש ניידת</v>
          </cell>
          <cell r="D4943">
            <v>44182</v>
          </cell>
        </row>
        <row r="4944">
          <cell r="A4944" t="str">
            <v>HIS-091</v>
          </cell>
          <cell r="B4944" t="str">
            <v>ירושלים ג</v>
          </cell>
          <cell r="C4944" t="str">
            <v>ירושלים ג</v>
          </cell>
          <cell r="D4944">
            <v>40908</v>
          </cell>
        </row>
        <row r="4945">
          <cell r="A4945" t="str">
            <v>0252378</v>
          </cell>
          <cell r="B4945" t="str">
            <v>ירושלים ג</v>
          </cell>
          <cell r="C4945" t="str">
            <v>ירושלים אתר חלופי ל ים-ג  - תכנון בלבד</v>
          </cell>
          <cell r="D4945">
            <v>43920</v>
          </cell>
        </row>
        <row r="4946">
          <cell r="A4946" t="str">
            <v>WBE-258</v>
          </cell>
          <cell r="B4946" t="str">
            <v>ירושלים ג</v>
          </cell>
          <cell r="C4946" t="str">
            <v>ירושלים ג- החלפת שנאי 521 וציוד בשדה 161 ק"ו מס' 2</v>
          </cell>
          <cell r="D4946">
            <v>46234</v>
          </cell>
        </row>
        <row r="4947">
          <cell r="A4947" t="str">
            <v>WBE-062</v>
          </cell>
          <cell r="B4947" t="str">
            <v>ירושלים ג</v>
          </cell>
          <cell r="C4947" t="str">
            <v>ירושלים ג-שדרוג מסדר 161 ק"ו ב- 5 שלבים</v>
          </cell>
          <cell r="D4947">
            <v>45046</v>
          </cell>
        </row>
        <row r="4948">
          <cell r="A4948" t="str">
            <v>WBE-062-ST3</v>
          </cell>
          <cell r="B4948" t="str">
            <v>ירושלים ג</v>
          </cell>
          <cell r="C4948" t="str">
            <v>ירושלים ג-העתקת שנאי  ממנחת</v>
          </cell>
          <cell r="D4948">
            <v>44927</v>
          </cell>
        </row>
        <row r="4949">
          <cell r="A4949" t="str">
            <v>WBE-062-ST2</v>
          </cell>
          <cell r="B4949" t="str">
            <v>ירושלים ג</v>
          </cell>
          <cell r="C4949" t="str">
            <v>ירושלים ג-שדרוג מסדר 161 ק"ו -שלב 2</v>
          </cell>
          <cell r="D4949">
            <v>44251</v>
          </cell>
        </row>
        <row r="4950">
          <cell r="A4950" t="str">
            <v>WBE-062-ST4</v>
          </cell>
          <cell r="B4950" t="str">
            <v>ירושלים ג</v>
          </cell>
          <cell r="C4950" t="str">
            <v>ירושלים ג-פיתוח סופי של האתר</v>
          </cell>
          <cell r="D4950">
            <v>45046</v>
          </cell>
        </row>
        <row r="4951">
          <cell r="A4951" t="str">
            <v>WBM-00283</v>
          </cell>
          <cell r="B4951" t="str">
            <v>ירושלים ג</v>
          </cell>
          <cell r="C4951" t="str">
            <v>ירושלים ג- התקנת 2 ס"ק  5*2 מגווא"ר 36 ק"ו</v>
          </cell>
          <cell r="D4951">
            <v>46326</v>
          </cell>
        </row>
        <row r="4952">
          <cell r="A4952" t="str">
            <v>WBM-00854</v>
          </cell>
          <cell r="B4952" t="str">
            <v>ירושלים ג</v>
          </cell>
          <cell r="C4952" t="str">
            <v>ירושלים ג-הוקפא-החלפת 2 סלילי כיבוי 36 ק"ו לשנאים 531, 532</v>
          </cell>
        </row>
        <row r="4953">
          <cell r="A4953" t="str">
            <v>WBM-60073</v>
          </cell>
          <cell r="B4953" t="str">
            <v>ירושלים ג</v>
          </cell>
          <cell r="C4953" t="str">
            <v>ירושלים ג' - עיגון 6 שנאים ומסדרי אפס</v>
          </cell>
          <cell r="D4953">
            <v>46386</v>
          </cell>
        </row>
        <row r="4954">
          <cell r="A4954" t="str">
            <v>WBM-40088</v>
          </cell>
          <cell r="B4954" t="str">
            <v>ירושלים ג</v>
          </cell>
          <cell r="C4954" t="str">
            <v>ירושלים ג'-החלפת מ"ז, מנתקים, הגנת שנאים</v>
          </cell>
          <cell r="D4954">
            <v>47118</v>
          </cell>
        </row>
        <row r="4955">
          <cell r="A4955" t="str">
            <v>WBM-00472</v>
          </cell>
          <cell r="B4955" t="str">
            <v>ירושלים ג</v>
          </cell>
          <cell r="C4955" t="str">
            <v>ירושלים ג- בוטל- התקנת הגנת BFP  ב-4 מסדרי 13 ק"ו</v>
          </cell>
          <cell r="D4955">
            <v>43861</v>
          </cell>
        </row>
        <row r="4956">
          <cell r="A4956" t="str">
            <v>WBM-40202</v>
          </cell>
          <cell r="B4956" t="str">
            <v>ירושלים ג</v>
          </cell>
          <cell r="C4956" t="str">
            <v>ירושלים ג'- החל' ציוד בשד' 11</v>
          </cell>
          <cell r="D4956">
            <v>46386</v>
          </cell>
        </row>
        <row r="4957">
          <cell r="A4957" t="str">
            <v>WBM-40087</v>
          </cell>
          <cell r="B4957" t="str">
            <v>ירושלים ג</v>
          </cell>
          <cell r="C4957" t="str">
            <v>ירושלים ג'-בוטל- החלפת 48 הגנות מ"ג</v>
          </cell>
          <cell r="D4957">
            <v>43861</v>
          </cell>
        </row>
        <row r="4958">
          <cell r="A4958" t="str">
            <v>WBM-01206</v>
          </cell>
          <cell r="B4958" t="str">
            <v>ירושלים ג</v>
          </cell>
          <cell r="C4958" t="str">
            <v>ירושלים ג- בוטל- שדרוג הגנות מרחק בשדות 7, 3</v>
          </cell>
          <cell r="D4958">
            <v>43861</v>
          </cell>
        </row>
        <row r="4959">
          <cell r="A4959" t="str">
            <v>WBM-40510</v>
          </cell>
          <cell r="B4959" t="str">
            <v>ירושלים ג</v>
          </cell>
          <cell r="C4959" t="str">
            <v>ירושלים ג' - החלפת ציוד בשדות 9,10,12</v>
          </cell>
          <cell r="D4959">
            <v>46751</v>
          </cell>
        </row>
        <row r="4960">
          <cell r="A4960" t="str">
            <v>WBM-10099</v>
          </cell>
          <cell r="B4960" t="str">
            <v>ירושלים ג</v>
          </cell>
          <cell r="C4960" t="str">
            <v>ירושלים ג-השלמת מערכת ה- SCS</v>
          </cell>
          <cell r="D4960">
            <v>46203</v>
          </cell>
        </row>
        <row r="4961">
          <cell r="A4961" t="str">
            <v>WBM-10268</v>
          </cell>
          <cell r="B4961" t="str">
            <v>ירושלים ג</v>
          </cell>
          <cell r="C4961" t="str">
            <v>ירושלים ג'-הת' תיילים-מהדקים-פורט'wbo612</v>
          </cell>
          <cell r="D4961">
            <v>45631</v>
          </cell>
        </row>
        <row r="4962">
          <cell r="A4962" t="str">
            <v>WBM-80021</v>
          </cell>
          <cell r="B4962" t="str">
            <v>ירושלים ג</v>
          </cell>
          <cell r="C4962" t="str">
            <v>ירושלים ג-החלפת מתגי תקשורת של SCS למתגי CISCO</v>
          </cell>
          <cell r="D4962">
            <v>45776</v>
          </cell>
        </row>
        <row r="4963">
          <cell r="A4963" t="str">
            <v>WBM-00223</v>
          </cell>
          <cell r="B4963" t="str">
            <v>ירושלים ג</v>
          </cell>
          <cell r="C4963" t="str">
            <v>ירושלים ג-החלפת מגיני ברק מ"ג של 522,521</v>
          </cell>
          <cell r="D4963">
            <v>44895</v>
          </cell>
        </row>
        <row r="4964">
          <cell r="A4964" t="str">
            <v>WBM-01383</v>
          </cell>
          <cell r="B4964" t="str">
            <v>ירושלים ג</v>
          </cell>
          <cell r="C4964" t="str">
            <v>ירושלים ג'-התקנת הגנה דיפרנציאלית-שד' 11</v>
          </cell>
          <cell r="D4964">
            <v>44706</v>
          </cell>
        </row>
        <row r="4965">
          <cell r="A4965" t="str">
            <v>WBM-01325</v>
          </cell>
          <cell r="B4965" t="str">
            <v>ירושלים ג</v>
          </cell>
          <cell r="C4965" t="str">
            <v>ירושלים ג-החלפת רושם הפרעות INDACTIC</v>
          </cell>
          <cell r="D4965">
            <v>43822</v>
          </cell>
        </row>
        <row r="4966">
          <cell r="A4966" t="str">
            <v>WBM-00051</v>
          </cell>
          <cell r="B4966" t="str">
            <v>ירושלים ג</v>
          </cell>
          <cell r="C4966" t="str">
            <v>ירושלים ג-התקנת ברזי כיבוי בקוטר "3</v>
          </cell>
          <cell r="D4966">
            <v>43676</v>
          </cell>
        </row>
        <row r="4967">
          <cell r="A4967" t="str">
            <v>WBM-01123</v>
          </cell>
          <cell r="B4967" t="str">
            <v>ירושלים ג</v>
          </cell>
          <cell r="C4967" t="str">
            <v>ירושלים ג'-יישום נגד ראשוני במקום ס.כיבו</v>
          </cell>
          <cell r="D4967">
            <v>43114</v>
          </cell>
        </row>
        <row r="4968">
          <cell r="A4968" t="str">
            <v>WBM-00677</v>
          </cell>
          <cell r="B4968" t="str">
            <v>ירושלים ג</v>
          </cell>
          <cell r="C4968" t="str">
            <v>ירושלים ג-איטום מעברי כבלים נגד אש</v>
          </cell>
          <cell r="D4968">
            <v>41953</v>
          </cell>
        </row>
        <row r="4969">
          <cell r="A4969" t="str">
            <v>WBG-044-018</v>
          </cell>
          <cell r="B4969" t="str">
            <v>ירושלים ג</v>
          </cell>
          <cell r="C4969" t="str">
            <v>ירושלים ג-הקמת רשת מחשבים תפעולית</v>
          </cell>
          <cell r="D4969">
            <v>41263</v>
          </cell>
        </row>
        <row r="4970">
          <cell r="A4970" t="str">
            <v>WBG-044-015</v>
          </cell>
          <cell r="B4970" t="str">
            <v>ירושלים ג</v>
          </cell>
          <cell r="C4970" t="str">
            <v>ירושלים ג-התקנת תקשורת מנהלתית</v>
          </cell>
          <cell r="D4970">
            <v>41263</v>
          </cell>
        </row>
        <row r="4971">
          <cell r="A4971" t="str">
            <v>WBG-044-019</v>
          </cell>
          <cell r="B4971" t="str">
            <v>ירושלים ג</v>
          </cell>
          <cell r="C4971" t="str">
            <v>ירושלים ג-החלפת רכזת גילוי וכיבוי אש</v>
          </cell>
          <cell r="D4971">
            <v>40979</v>
          </cell>
        </row>
        <row r="4972">
          <cell r="A4972" t="str">
            <v>WBM-40090</v>
          </cell>
          <cell r="B4972" t="str">
            <v>ירושלים ג</v>
          </cell>
          <cell r="C4972" t="str">
            <v>ירושלים ג'-בוטל-החלפת שנאי וציוד בשדה 2</v>
          </cell>
          <cell r="D4972">
            <v>43112</v>
          </cell>
        </row>
        <row r="4973">
          <cell r="A4973" t="str">
            <v>WBM-40089</v>
          </cell>
          <cell r="B4973" t="str">
            <v>ירושלים ג</v>
          </cell>
          <cell r="C4973" t="str">
            <v>ירושלים ג'-בוטל-החלפת מ"מ פ"צ 161 ק"ו</v>
          </cell>
          <cell r="D4973">
            <v>43112</v>
          </cell>
        </row>
        <row r="4974">
          <cell r="A4974" t="str">
            <v>WBM-00473</v>
          </cell>
          <cell r="B4974" t="str">
            <v>ירושלים ג</v>
          </cell>
          <cell r="C4974" t="str">
            <v>ירושלים ג' - בוטל-מאצרות שמן לשנאים</v>
          </cell>
          <cell r="D4974">
            <v>41402</v>
          </cell>
        </row>
        <row r="4975">
          <cell r="A4975">
            <v>543151</v>
          </cell>
          <cell r="B4975" t="str">
            <v>ירושלים ג</v>
          </cell>
          <cell r="C4975" t="str">
            <v>ירושלים ג-התקנת הגנת מרחק שנייה</v>
          </cell>
          <cell r="D4975">
            <v>41271</v>
          </cell>
        </row>
        <row r="4976">
          <cell r="A4976">
            <v>543136</v>
          </cell>
          <cell r="B4976" t="str">
            <v>ירושלים ג</v>
          </cell>
          <cell r="C4976" t="str">
            <v>ירושלים ג-החלפת מערכת התראה ביטחונית</v>
          </cell>
          <cell r="D4976">
            <v>38959</v>
          </cell>
        </row>
        <row r="4977">
          <cell r="A4977">
            <v>543145</v>
          </cell>
          <cell r="B4977" t="str">
            <v>ירושלים ג</v>
          </cell>
          <cell r="C4977" t="str">
            <v>ירושלים ג-התקנת מאווררים בארונות פיקוד</v>
          </cell>
          <cell r="D4977">
            <v>40311</v>
          </cell>
        </row>
        <row r="4978">
          <cell r="A4978">
            <v>543150</v>
          </cell>
          <cell r="B4978" t="str">
            <v>ירושלים ג</v>
          </cell>
          <cell r="C4978" t="str">
            <v>ירושלים ג-החלפת 3 מגיני ברק 132ק"ו ישנים</v>
          </cell>
          <cell r="D4978">
            <v>41547</v>
          </cell>
        </row>
        <row r="4979">
          <cell r="A4979" t="str">
            <v>WBE-062-ST1</v>
          </cell>
          <cell r="B4979" t="str">
            <v>ירושלים ג</v>
          </cell>
          <cell r="C4979" t="str">
            <v>ירושלים ג-שדרוג מסדר 161 ק"ו -שלב 1</v>
          </cell>
          <cell r="D4979">
            <v>43464</v>
          </cell>
        </row>
        <row r="4980">
          <cell r="A4980" t="str">
            <v>WBE-033</v>
          </cell>
          <cell r="B4980" t="str">
            <v>ירושלים ג</v>
          </cell>
          <cell r="C4980" t="str">
            <v>ירושלים ג-התקנת 3 מסדרי 24ק"ו בבנין החדש</v>
          </cell>
          <cell r="D4980">
            <v>41090</v>
          </cell>
        </row>
        <row r="4981">
          <cell r="A4981" t="str">
            <v>WBM-40531</v>
          </cell>
          <cell r="B4981" t="str">
            <v>ירושלים ג</v>
          </cell>
          <cell r="C4981" t="str">
            <v>ירושלים ג'- התאמת שדה 3 ליכולת 1400 א'</v>
          </cell>
          <cell r="D4981">
            <v>46598</v>
          </cell>
        </row>
        <row r="4982">
          <cell r="A4982" t="str">
            <v>WBM-40532</v>
          </cell>
          <cell r="B4982" t="str">
            <v>ירושלים ג</v>
          </cell>
          <cell r="C4982" t="str">
            <v>ירושלים ג'- התאמת שדה מקשר (5,6) ליכולת 1400 א'</v>
          </cell>
          <cell r="D4982">
            <v>46325</v>
          </cell>
        </row>
        <row r="4983">
          <cell r="A4983" t="str">
            <v>WBM-10574</v>
          </cell>
          <cell r="B4983" t="str">
            <v>ירושלים ג</v>
          </cell>
          <cell r="C4983" t="str">
            <v>ירושלים ג – שדרוג תא במסדר מ"ג ליכולת 600 א'</v>
          </cell>
          <cell r="D4983">
            <v>46079</v>
          </cell>
        </row>
        <row r="4984">
          <cell r="A4984" t="str">
            <v>WBM-10315-066</v>
          </cell>
          <cell r="B4984" t="str">
            <v>ירושלים ג</v>
          </cell>
          <cell r="C4984" t="str">
            <v>ירושלים ג'- התקנת מזגנים</v>
          </cell>
          <cell r="D4984">
            <v>46264</v>
          </cell>
        </row>
        <row r="4985">
          <cell r="A4985" t="str">
            <v>WBM-10316-057</v>
          </cell>
          <cell r="B4985" t="str">
            <v>ירושלים ג</v>
          </cell>
          <cell r="C4985" t="str">
            <v>ירושלים ג  התקנת מחשבים נייחים לרוש</v>
          </cell>
          <cell r="D4985">
            <v>45629</v>
          </cell>
        </row>
        <row r="4986">
          <cell r="A4986" t="str">
            <v>WBM-10484-006</v>
          </cell>
          <cell r="B4986" t="str">
            <v>ירושלים ג</v>
          </cell>
          <cell r="C4986" t="str">
            <v>ירושלים ג'- בוטל-שדרוג יכול קו מ"ג 600 א'</v>
          </cell>
          <cell r="D4986">
            <v>45292</v>
          </cell>
        </row>
        <row r="4987">
          <cell r="A4987" t="str">
            <v>WBM-60088-024</v>
          </cell>
          <cell r="B4987" t="str">
            <v>ירושלים ג</v>
          </cell>
          <cell r="C4987" t="str">
            <v>ירושלים ג' – השלמת מאצרות שמן</v>
          </cell>
          <cell r="D4987">
            <v>46386</v>
          </cell>
        </row>
        <row r="4988">
          <cell r="A4988" t="str">
            <v>WBM-60107-032</v>
          </cell>
          <cell r="B4988" t="str">
            <v>ירושלים ג</v>
          </cell>
          <cell r="C4988" t="str">
            <v>ירושלים ג - החלפת מנעולים אלק.מגנטיים בא</v>
          </cell>
          <cell r="D4988">
            <v>45627</v>
          </cell>
        </row>
        <row r="4989">
          <cell r="A4989" t="str">
            <v>WBM-60116-022</v>
          </cell>
          <cell r="B4989" t="str">
            <v>ירושלים ג</v>
          </cell>
          <cell r="C4989" t="str">
            <v>ירושלים ג - שידרוג גלאים בתחנות משנה ומי</v>
          </cell>
          <cell r="D4989">
            <v>46175</v>
          </cell>
        </row>
        <row r="4990">
          <cell r="A4990" t="str">
            <v>WBM-80002-033</v>
          </cell>
          <cell r="B4990" t="str">
            <v>ירושלים ג</v>
          </cell>
          <cell r="C4990" t="str">
            <v>ירושלים ג - הסבות</v>
          </cell>
          <cell r="D4990">
            <v>46007</v>
          </cell>
        </row>
        <row r="4991">
          <cell r="A4991" t="str">
            <v>WBM-60130-009</v>
          </cell>
          <cell r="B4991" t="str">
            <v>ירושלים ג</v>
          </cell>
          <cell r="C4991" t="str">
            <v>ירושלים ג' - התקנת מפסק פטריה להפסקת מערכת החשמל בחירום</v>
          </cell>
          <cell r="D4991">
            <v>46568</v>
          </cell>
        </row>
        <row r="4992">
          <cell r="A4992" t="str">
            <v>WBM-10631</v>
          </cell>
          <cell r="B4992" t="str">
            <v>ירושלים ג</v>
          </cell>
          <cell r="C4992" t="str">
            <v>ירושלים ג- החלפת הגנות שדה 3 משיק לביתר שדה 11</v>
          </cell>
          <cell r="D4992">
            <v>46203</v>
          </cell>
        </row>
        <row r="4993">
          <cell r="A4993" t="str">
            <v>WBM-10633</v>
          </cell>
          <cell r="B4993" t="str">
            <v>ירושלים ג</v>
          </cell>
          <cell r="C4993" t="str">
            <v>ירושלים ג- משיק הרטוב ש3, יישום דרך קשר אופטית בשדה 7</v>
          </cell>
          <cell r="D4993">
            <v>46203</v>
          </cell>
        </row>
        <row r="4994">
          <cell r="A4994" t="str">
            <v>WBE-258-ST1</v>
          </cell>
          <cell r="B4994" t="str">
            <v>ירושלים ג</v>
          </cell>
          <cell r="C4994" t="str">
            <v>ירושלים ג- בוטל- החלפת שנאי 521 וציוד בשדה 161 ק"ו מס' 2</v>
          </cell>
        </row>
        <row r="4995">
          <cell r="A4995" t="str">
            <v>WBE-258-ST2</v>
          </cell>
          <cell r="B4995" t="str">
            <v>ירושלים ג</v>
          </cell>
          <cell r="C4995" t="str">
            <v>ירושלים ג- בוטל- הוספת תאי מ"ג למסדר של שנאי 521 מפירוקים</v>
          </cell>
        </row>
        <row r="4996">
          <cell r="A4996" t="str">
            <v>WBM-40627</v>
          </cell>
          <cell r="B4996" t="str">
            <v>ירושלים ג</v>
          </cell>
          <cell r="C4996" t="str">
            <v>ירושלים ג- החלפת מגני ברקים ושדרוג גלאים (השלמות)</v>
          </cell>
          <cell r="D4996">
            <v>47118</v>
          </cell>
        </row>
        <row r="4997">
          <cell r="A4997" t="str">
            <v>WBM-10644</v>
          </cell>
          <cell r="B4997" t="str">
            <v>ירושלים ג</v>
          </cell>
          <cell r="C4997" t="str">
            <v>ירושלים ג- הוספת תאי מ"ג למסדר של שנאי 521 מפירוקים</v>
          </cell>
          <cell r="D4997">
            <v>46418</v>
          </cell>
        </row>
        <row r="4998">
          <cell r="A4998" t="str">
            <v>WBM-40631</v>
          </cell>
          <cell r="B4998" t="str">
            <v>ירושלים ג</v>
          </cell>
          <cell r="C4998" t="str">
            <v>ירושלים ג- שדה 2 החלפת מנתק, מפסק ומשנה זרם</v>
          </cell>
          <cell r="D4998">
            <v>46356</v>
          </cell>
        </row>
        <row r="4999">
          <cell r="A4999" t="str">
            <v>WBM-10597-017</v>
          </cell>
          <cell r="B4999" t="str">
            <v>ירושלים ג</v>
          </cell>
          <cell r="C4999" t="str">
            <v>ירושלים ג- פיילוט יישום תקשורת הגנות בשדה 11</v>
          </cell>
          <cell r="D4999">
            <v>46295</v>
          </cell>
        </row>
        <row r="5000">
          <cell r="A5000" t="str">
            <v>WBM-00885-144</v>
          </cell>
          <cell r="B5000" t="str">
            <v>ירושלים ג</v>
          </cell>
          <cell r="C5000" t="str">
            <v>ירושלים ג- בוטל - אפיון מים</v>
          </cell>
        </row>
        <row r="5001">
          <cell r="A5001" t="str">
            <v>WBM-60131-029</v>
          </cell>
          <cell r="B5001" t="str">
            <v>ירושלים ג</v>
          </cell>
          <cell r="C5001" t="str">
            <v>ירושלים ג' – בדיקת אופיין מים</v>
          </cell>
          <cell r="D5001">
            <v>46175</v>
          </cell>
        </row>
        <row r="5002">
          <cell r="A5002" t="str">
            <v>WBE-316</v>
          </cell>
          <cell r="B5002" t="str">
            <v>ירושלים ג</v>
          </cell>
          <cell r="C5002" t="str">
            <v>ירושלים ג-הוספת 2 שדות 161 ק"ו חדשים</v>
          </cell>
          <cell r="D5002">
            <v>47118</v>
          </cell>
        </row>
        <row r="5003">
          <cell r="A5003" t="str">
            <v>HIS-090</v>
          </cell>
          <cell r="B5003" t="str">
            <v>ירושלים ב</v>
          </cell>
          <cell r="C5003" t="str">
            <v>ירושלים ב</v>
          </cell>
          <cell r="D5003">
            <v>40908</v>
          </cell>
        </row>
        <row r="5004">
          <cell r="A5004" t="str">
            <v>WBM-00282</v>
          </cell>
          <cell r="B5004" t="str">
            <v>ירושלים ב</v>
          </cell>
          <cell r="C5004" t="str">
            <v>ירושלים ב-הוצאה מניצול של תחמ"ש 110 ק"ו</v>
          </cell>
          <cell r="D5004">
            <v>42192</v>
          </cell>
        </row>
        <row r="5005">
          <cell r="A5005" t="str">
            <v>WCQ-4-00-01090</v>
          </cell>
          <cell r="B5005" t="str">
            <v>ירושלים 2901</v>
          </cell>
          <cell r="C5005" t="str">
            <v>יציאות מתחמ"ש רמת בית שמש</v>
          </cell>
          <cell r="D5005">
            <v>47118</v>
          </cell>
        </row>
        <row r="5006">
          <cell r="A5006" t="str">
            <v>WCQ-4-00-01149</v>
          </cell>
          <cell r="B5006" t="str">
            <v>ירושלים 2901</v>
          </cell>
          <cell r="C5006" t="str">
            <v>יציאה מתחמ"ש תעשיה אדומים</v>
          </cell>
          <cell r="D5006">
            <v>47848</v>
          </cell>
        </row>
        <row r="5007">
          <cell r="A5007" t="str">
            <v>WCQ-4-00-01155</v>
          </cell>
          <cell r="B5007" t="str">
            <v>ירושלים 2901</v>
          </cell>
          <cell r="C5007" t="str">
            <v>יציאות מתחמ"ש נחל צופים</v>
          </cell>
          <cell r="D5007">
            <v>47118</v>
          </cell>
        </row>
        <row r="5008">
          <cell r="A5008" t="str">
            <v>WCQ-4-00-01157</v>
          </cell>
          <cell r="B5008" t="str">
            <v>ירושלים 2901</v>
          </cell>
          <cell r="C5008" t="str">
            <v>יציאות מתחמ"ש מעלה אפרים לבקעה וצ. תפוח</v>
          </cell>
          <cell r="D5008">
            <v>47483</v>
          </cell>
        </row>
        <row r="5009">
          <cell r="A5009" t="str">
            <v>WCQ-4-00-01170</v>
          </cell>
          <cell r="B5009" t="str">
            <v>ירושלים 2901</v>
          </cell>
          <cell r="C5009" t="str">
            <v>יציאות מתחמ"ש אלפי מנשה</v>
          </cell>
          <cell r="D5009">
            <v>46752</v>
          </cell>
        </row>
        <row r="5010">
          <cell r="A5010" t="str">
            <v>WCS-4-00-01134</v>
          </cell>
          <cell r="B5010" t="str">
            <v>ירושלים 2901</v>
          </cell>
          <cell r="C5010" t="str">
            <v>חידוש אמינות פרויקט; מ"ב ירושלים</v>
          </cell>
          <cell r="D5010">
            <v>50801</v>
          </cell>
        </row>
        <row r="5011">
          <cell r="A5011" t="str">
            <v>WCT-4-00-01024</v>
          </cell>
          <cell r="B5011" t="str">
            <v>ירושלים 2901</v>
          </cell>
          <cell r="C5011" t="str">
            <v>בטיחות - סילוק מפגעים; מ"ב ירושלים</v>
          </cell>
          <cell r="D5011">
            <v>48579</v>
          </cell>
        </row>
        <row r="5012">
          <cell r="A5012" t="str">
            <v>WCU-4-00-01027</v>
          </cell>
          <cell r="B5012" t="str">
            <v>ירושלים 2901</v>
          </cell>
          <cell r="C5012" t="str">
            <v>כביש מס' 16</v>
          </cell>
          <cell r="D5012">
            <v>46419</v>
          </cell>
        </row>
        <row r="5013">
          <cell r="A5013" t="str">
            <v>WCU-4-00-01028</v>
          </cell>
          <cell r="B5013" t="str">
            <v>ירושלים 2901</v>
          </cell>
          <cell r="C5013" t="str">
            <v>העתקת תשתיות עבור הרכבת הקלה</v>
          </cell>
          <cell r="D5013">
            <v>47483</v>
          </cell>
        </row>
        <row r="5014">
          <cell r="A5014" t="str">
            <v>WHP-4-00-01097</v>
          </cell>
          <cell r="B5014" t="str">
            <v>ירושלים 2901</v>
          </cell>
          <cell r="C5014" t="str">
            <v>אספקת חשמל מעלה אפרים</v>
          </cell>
          <cell r="D5014">
            <v>46387</v>
          </cell>
        </row>
        <row r="5015">
          <cell r="A5015" t="str">
            <v>WHP-4-00-01127</v>
          </cell>
          <cell r="B5015" t="str">
            <v>ירושלים 2901</v>
          </cell>
          <cell r="C5015" t="str">
            <v>אספקת חשמל לאריאל דרום מזרח</v>
          </cell>
          <cell r="D5015">
            <v>47118</v>
          </cell>
        </row>
        <row r="5016">
          <cell r="A5016" t="str">
            <v>WHP-4-00-01151</v>
          </cell>
          <cell r="B5016" t="str">
            <v>ירושלים 2901</v>
          </cell>
          <cell r="C5016" t="str">
            <v>יצור מבוזר ירושלים</v>
          </cell>
          <cell r="D5016">
            <v>49310</v>
          </cell>
        </row>
        <row r="5017">
          <cell r="A5017" t="str">
            <v>WCQ-4-00-01018</v>
          </cell>
          <cell r="B5017" t="str">
            <v>ירושלים 2901</v>
          </cell>
          <cell r="C5017" t="str">
            <v>יציאות מתחמ"ש בית"ר</v>
          </cell>
          <cell r="D5017">
            <v>47118</v>
          </cell>
        </row>
        <row r="5018">
          <cell r="A5018" t="str">
            <v>WCQ-4-00-01287</v>
          </cell>
          <cell r="B5018" t="str">
            <v>ירושלים 2901</v>
          </cell>
          <cell r="C5018" t="str">
            <v>יציאות מתחמ"ש קרית הלאום</v>
          </cell>
          <cell r="D5018">
            <v>46387</v>
          </cell>
        </row>
        <row r="5019">
          <cell r="A5019" t="str">
            <v>WCS-4-00-01020</v>
          </cell>
          <cell r="B5019" t="str">
            <v>ירושלים 2901</v>
          </cell>
          <cell r="C5019" t="str">
            <v>הקמת קו אריאל -צומת תפוח- הסתיים</v>
          </cell>
          <cell r="D5019">
            <v>45657</v>
          </cell>
        </row>
        <row r="5020">
          <cell r="A5020" t="str">
            <v>WCS-4-00-01147</v>
          </cell>
          <cell r="B5020" t="str">
            <v>ירושלים 2901</v>
          </cell>
          <cell r="C5020" t="str">
            <v>הקמת קו אלון מורה - איתמר</v>
          </cell>
          <cell r="D5020">
            <v>46752</v>
          </cell>
        </row>
        <row r="5021">
          <cell r="A5021" t="str">
            <v>WHP-4-00-01239</v>
          </cell>
          <cell r="B5021" t="str">
            <v>ירושלים 2901</v>
          </cell>
          <cell r="C5021" t="str">
            <v>אספקה וחיבור חשמל לרכב חשמלי י-ם</v>
          </cell>
          <cell r="D5021">
            <v>49674</v>
          </cell>
        </row>
        <row r="5022">
          <cell r="A5022" t="str">
            <v>WHP-4-00-01014</v>
          </cell>
          <cell r="B5022" t="str">
            <v>ירושלים 2901</v>
          </cell>
          <cell r="C5022" t="str">
            <v>אספקת חשמל לבית שמש</v>
          </cell>
          <cell r="D5022">
            <v>47117</v>
          </cell>
        </row>
        <row r="5023">
          <cell r="A5023" t="str">
            <v>WCQ-4-00-01346</v>
          </cell>
          <cell r="B5023" t="str">
            <v>ירושלים 2901</v>
          </cell>
          <cell r="C5023" t="str">
            <v>יציאות מתחמ"ש גן סאקר</v>
          </cell>
          <cell r="D5023">
            <v>48213</v>
          </cell>
        </row>
        <row r="5024">
          <cell r="A5024" t="str">
            <v>WCS-4-00-01350</v>
          </cell>
          <cell r="B5024" t="str">
            <v>ירושלים 2901</v>
          </cell>
          <cell r="C5024" t="str">
            <v>הקמת קו מכורה - איתמר</v>
          </cell>
          <cell r="D5024">
            <v>46387</v>
          </cell>
        </row>
        <row r="5025">
          <cell r="A5025" t="str">
            <v>WCQ-4-00-01347</v>
          </cell>
          <cell r="B5025" t="str">
            <v>ירושלים 2901</v>
          </cell>
          <cell r="C5025" t="str">
            <v>יציאות מתחמ"ש ירושלים ה'</v>
          </cell>
          <cell r="D5025">
            <v>46752</v>
          </cell>
        </row>
        <row r="5026">
          <cell r="A5026" t="str">
            <v>WCU-4-00-01353</v>
          </cell>
          <cell r="B5026" t="str">
            <v>ירושלים 2901</v>
          </cell>
          <cell r="C5026" t="str">
            <v>הקמת קו  חווארה</v>
          </cell>
          <cell r="D5026">
            <v>46022</v>
          </cell>
        </row>
        <row r="5027">
          <cell r="A5027" t="str">
            <v>WHP-4-00-01379</v>
          </cell>
          <cell r="B5027" t="str">
            <v>ירושלים 2901</v>
          </cell>
          <cell r="C5027" t="str">
            <v>אספקת חשמל לשכונות במעלה אדומים</v>
          </cell>
          <cell r="D5027">
            <v>48944</v>
          </cell>
        </row>
        <row r="5028">
          <cell r="A5028" t="str">
            <v>WCS-4-00-01330</v>
          </cell>
          <cell r="B5028" t="str">
            <v>ירושלים 2901</v>
          </cell>
          <cell r="C5028" t="str">
            <v>מיגון רכיבי רשת להגנה על ציפורים-ירושלים</v>
          </cell>
          <cell r="D5028">
            <v>47848</v>
          </cell>
        </row>
        <row r="5029">
          <cell r="A5029" t="str">
            <v>WHP-4-00-01345</v>
          </cell>
          <cell r="B5029" t="str">
            <v>ירושלים 2901</v>
          </cell>
          <cell r="C5029" t="str">
            <v>PV ליישובי בקעת הירדן</v>
          </cell>
          <cell r="D5029">
            <v>46934</v>
          </cell>
        </row>
        <row r="5030">
          <cell r="A5030" t="str">
            <v>WCQ-4-00-01365</v>
          </cell>
          <cell r="B5030" t="str">
            <v>ירושלים 2901</v>
          </cell>
          <cell r="C5030" t="str">
            <v>יציאות מתחמ"ש בית וגן</v>
          </cell>
          <cell r="D5030">
            <v>46752</v>
          </cell>
        </row>
        <row r="5031">
          <cell r="A5031" t="str">
            <v>WCS-4-00-01403</v>
          </cell>
          <cell r="B5031" t="str">
            <v>ירושלים 2901</v>
          </cell>
          <cell r="C5031" t="str">
            <v>ירושלים - אמינות תוספתי</v>
          </cell>
          <cell r="D5031">
            <v>48579</v>
          </cell>
        </row>
        <row r="5032">
          <cell r="A5032" t="str">
            <v>WCS-4-00-01415</v>
          </cell>
          <cell r="B5032" t="str">
            <v>ירושלים 2901</v>
          </cell>
          <cell r="C5032" t="str">
            <v>ירושלים - אמינות חידוש</v>
          </cell>
          <cell r="D5032">
            <v>48579</v>
          </cell>
        </row>
        <row r="5033">
          <cell r="A5033" t="str">
            <v>WCS-4-00-01416</v>
          </cell>
          <cell r="B5033" t="str">
            <v>ירושלים 2901</v>
          </cell>
          <cell r="C5033" t="str">
            <v>ירושלים - חידוש אמינות תמריצים</v>
          </cell>
          <cell r="D5033">
            <v>49674</v>
          </cell>
        </row>
        <row r="5034">
          <cell r="A5034" t="str">
            <v>WHP-4-00-01286</v>
          </cell>
          <cell r="B5034" t="str">
            <v>ירושלים 2901</v>
          </cell>
          <cell r="C5034" t="str">
            <v>אספקת חשמל לאבו גוש</v>
          </cell>
          <cell r="D5034">
            <v>47118</v>
          </cell>
        </row>
        <row r="5035">
          <cell r="A5035" t="str">
            <v>WHP-4-00-01154</v>
          </cell>
          <cell r="B5035" t="str">
            <v>ירושלים 2901</v>
          </cell>
          <cell r="C5035" t="str">
            <v>אספקת חשמל לשכונת עופרים</v>
          </cell>
          <cell r="D5035">
            <v>47118</v>
          </cell>
        </row>
        <row r="5036">
          <cell r="A5036" t="str">
            <v>WHP-4-00-01012</v>
          </cell>
          <cell r="B5036" t="str">
            <v>ירושלים 2901</v>
          </cell>
          <cell r="C5036" t="str">
            <v>אספקת חשמל לרמת שלמה</v>
          </cell>
          <cell r="D5036">
            <v>45838</v>
          </cell>
        </row>
        <row r="5037">
          <cell r="A5037" t="str">
            <v>WHP-4-00-01101</v>
          </cell>
          <cell r="B5037" t="str">
            <v>ירושלים 2901</v>
          </cell>
          <cell r="C5037" t="str">
            <v>אספקת חשמל מורדות ארנונה</v>
          </cell>
          <cell r="D5037">
            <v>47118</v>
          </cell>
        </row>
        <row r="5038">
          <cell r="A5038" t="str">
            <v>WHP-4-00-01096</v>
          </cell>
          <cell r="B5038" t="str">
            <v>ירושלים 2901</v>
          </cell>
          <cell r="C5038" t="str">
            <v>אספקת חשמל לגבעת המטוס</v>
          </cell>
          <cell r="D5038">
            <v>47848</v>
          </cell>
        </row>
        <row r="5039">
          <cell r="A5039" t="str">
            <v>WHP-4-00-01084</v>
          </cell>
          <cell r="B5039" t="str">
            <v>ירושלים 2901</v>
          </cell>
          <cell r="C5039" t="str">
            <v>אספקת חשמל לשכונת מורדות גילה</v>
          </cell>
          <cell r="D5039">
            <v>46022</v>
          </cell>
        </row>
        <row r="5040">
          <cell r="A5040" t="str">
            <v>WCQ-4-00-01441</v>
          </cell>
          <cell r="B5040" t="str">
            <v>ירושלים 2901</v>
          </cell>
          <cell r="C5040" t="str">
            <v>פרויקט יציאות מתחמ"ש גבעת המטוס</v>
          </cell>
          <cell r="D5040">
            <v>48579</v>
          </cell>
        </row>
        <row r="5041">
          <cell r="A5041" t="str">
            <v>WCQ-4-00-01444</v>
          </cell>
          <cell r="B5041" t="str">
            <v>ירושלים 2901</v>
          </cell>
          <cell r="C5041" t="str">
            <v>יציאות מתחמ"ש גבעת שאול</v>
          </cell>
          <cell r="D5041">
            <v>47483</v>
          </cell>
        </row>
        <row r="5042">
          <cell r="A5042" t="str">
            <v>WCQ-4-00-01469</v>
          </cell>
          <cell r="B5042" t="str">
            <v>ירושלים 2901</v>
          </cell>
          <cell r="C5042" t="str">
            <v>יציאות מתחמ"ש פסגת זאב</v>
          </cell>
          <cell r="D5042">
            <v>47664</v>
          </cell>
        </row>
        <row r="5043">
          <cell r="A5043" t="str">
            <v>WHP-4-00-01473</v>
          </cell>
          <cell r="B5043" t="str">
            <v>ירושלים 2901</v>
          </cell>
          <cell r="C5043" t="str">
            <v>אספקה וחיבור חשמל להתחדשות עירונית בירושלים</v>
          </cell>
          <cell r="D5043">
            <v>47848</v>
          </cell>
        </row>
        <row r="5044">
          <cell r="A5044" t="str">
            <v>WCQ-4-00-01474</v>
          </cell>
          <cell r="B5044" t="str">
            <v>ירושלים 2901</v>
          </cell>
          <cell r="C5044" t="str">
            <v>יציאות מתחמש קרית ארבע</v>
          </cell>
          <cell r="D5044">
            <v>47664</v>
          </cell>
        </row>
        <row r="5045">
          <cell r="A5045" t="str">
            <v>WHP-4-00-01475</v>
          </cell>
          <cell r="B5045" t="str">
            <v>ירושלים 2901</v>
          </cell>
          <cell r="C5045" t="str">
            <v>אספקה וחיבור חשמל לשכונות בבית שמש</v>
          </cell>
          <cell r="D5045">
            <v>48579</v>
          </cell>
        </row>
        <row r="5046">
          <cell r="A5046" t="str">
            <v>WCQ-4-00-01476</v>
          </cell>
          <cell r="B5046" t="str">
            <v>ירושלים 2901</v>
          </cell>
          <cell r="C5046" t="str">
            <v>ניידת א.ת מכבים</v>
          </cell>
          <cell r="D5046">
            <v>47118</v>
          </cell>
        </row>
        <row r="5047">
          <cell r="A5047" t="str">
            <v>WCQ-4-00-01477</v>
          </cell>
          <cell r="B5047" t="str">
            <v>ירושלים 2901</v>
          </cell>
          <cell r="C5047" t="str">
            <v>יציאות מתחמ"ש עטרות</v>
          </cell>
          <cell r="D5047">
            <v>47848</v>
          </cell>
        </row>
        <row r="5048">
          <cell r="A5048" t="str">
            <v>WCQ-4-00-01478</v>
          </cell>
          <cell r="B5048" t="str">
            <v>ירושלים 2901</v>
          </cell>
          <cell r="C5048" t="str">
            <v>יציאות מתחמש מנחת</v>
          </cell>
          <cell r="D5048">
            <v>47118</v>
          </cell>
        </row>
        <row r="5049">
          <cell r="A5049" t="str">
            <v>WCQ-4-00-01495</v>
          </cell>
          <cell r="B5049" t="str">
            <v>ירושלים 2901</v>
          </cell>
          <cell r="C5049" t="str">
            <v>יציאות מתחמ"ש אריאל</v>
          </cell>
          <cell r="D5049">
            <v>47848</v>
          </cell>
        </row>
        <row r="5050">
          <cell r="A5050" t="str">
            <v>WCQ-4-00-01499</v>
          </cell>
          <cell r="B5050" t="str">
            <v>ירושלים 2901</v>
          </cell>
          <cell r="C5050" t="str">
            <v>יציאות מתחמ"ג אבן ספיר</v>
          </cell>
          <cell r="D5050">
            <v>47848</v>
          </cell>
        </row>
        <row r="5051">
          <cell r="A5051" t="str">
            <v>WHP-4-00-01508</v>
          </cell>
          <cell r="B5051" t="str">
            <v>ירושלים 2901</v>
          </cell>
          <cell r="C5051" t="str">
            <v>הגרלה ייצור מבוזר ירושלים</v>
          </cell>
          <cell r="D5051">
            <v>46752</v>
          </cell>
        </row>
        <row r="5052">
          <cell r="A5052" t="str">
            <v>WHP-4-00-01088</v>
          </cell>
          <cell r="B5052" t="str">
            <v>ירושלים 2901</v>
          </cell>
          <cell r="C5052" t="str">
            <v>אספקת חשמל למבשרת ציון</v>
          </cell>
          <cell r="D5052">
            <v>47118</v>
          </cell>
        </row>
        <row r="5053">
          <cell r="A5053" t="str">
            <v>WHP-4-00-01073</v>
          </cell>
          <cell r="B5053" t="str">
            <v>ירושלים 2901</v>
          </cell>
          <cell r="C5053" t="str">
            <v>צור הדסה</v>
          </cell>
          <cell r="D5053">
            <v>47483</v>
          </cell>
        </row>
        <row r="5054">
          <cell r="A5054" t="str">
            <v>WCQ-4-00-01079</v>
          </cell>
          <cell r="B5054" t="str">
            <v>ירושלים 2901</v>
          </cell>
          <cell r="C5054" t="str">
            <v>יציאות מניידת עמנואל 2</v>
          </cell>
          <cell r="D5054">
            <v>46752</v>
          </cell>
        </row>
        <row r="5055">
          <cell r="A5055" t="str">
            <v>WHP-4-00-01537</v>
          </cell>
          <cell r="B5055" t="str">
            <v>ירושלים 2901</v>
          </cell>
          <cell r="C5055" t="str">
            <v>אספקה וחיבור חשמל לשכונות גבעת זאב</v>
          </cell>
          <cell r="D5055">
            <v>47696</v>
          </cell>
        </row>
        <row r="5056">
          <cell r="A5056" t="str">
            <v>WCQ-4-00-01538</v>
          </cell>
          <cell r="B5056" t="str">
            <v>ירושלים 2901</v>
          </cell>
          <cell r="C5056" t="str">
            <v>יציאות מתחמ"ש ירושלים ד'</v>
          </cell>
          <cell r="D5056">
            <v>47848</v>
          </cell>
        </row>
        <row r="5057">
          <cell r="A5057" t="str">
            <v>WCQ-4-00-01541</v>
          </cell>
          <cell r="B5057" t="str">
            <v>ירושלים 2901</v>
          </cell>
          <cell r="C5057" t="str">
            <v>יציאות מניידת עמנואל 2</v>
          </cell>
          <cell r="D5057">
            <v>46387</v>
          </cell>
        </row>
        <row r="5058">
          <cell r="A5058" t="str">
            <v>WCU-4-00-01542</v>
          </cell>
          <cell r="B5058" t="str">
            <v>ירושלים 2901</v>
          </cell>
          <cell r="C5058" t="str">
            <v>כביש 38</v>
          </cell>
          <cell r="D5058">
            <v>47848</v>
          </cell>
        </row>
        <row r="5059">
          <cell r="A5059" t="str">
            <v>WCU-4-00-01026</v>
          </cell>
          <cell r="B5059" t="str">
            <v>ירושלים 2901</v>
          </cell>
          <cell r="C5059" t="str">
            <v>כביש 38</v>
          </cell>
          <cell r="D5059">
            <v>47848</v>
          </cell>
        </row>
        <row r="5060">
          <cell r="A5060" t="str">
            <v>WCQ-4-00-01017</v>
          </cell>
          <cell r="B5060" t="str">
            <v>ירושלים 2901</v>
          </cell>
          <cell r="C5060" t="str">
            <v>יציאות מתחמ"ש הר טוב</v>
          </cell>
          <cell r="D5060">
            <v>47118</v>
          </cell>
        </row>
        <row r="5061">
          <cell r="A5061" t="str">
            <v>WCQ-4-00-01019</v>
          </cell>
          <cell r="B5061" t="str">
            <v>ירושלים 2901</v>
          </cell>
          <cell r="C5061" t="str">
            <v>יציאות מתחמ"ש שער הגיא באיזור מבוא חורון</v>
          </cell>
          <cell r="D5061">
            <v>46752</v>
          </cell>
        </row>
        <row r="5062">
          <cell r="A5062" t="str">
            <v>WCU-4-00-01233</v>
          </cell>
          <cell r="B5062" t="str">
            <v>ירושלים 2901</v>
          </cell>
          <cell r="C5062" t="str">
            <v>עע"א שינויים ברשת תוכנית אב לתלפיות</v>
          </cell>
          <cell r="D5062">
            <v>46387</v>
          </cell>
        </row>
        <row r="5063">
          <cell r="A5063" t="str">
            <v>WCQ-4-00-01083</v>
          </cell>
          <cell r="B5063" t="str">
            <v>ירושלים 2901</v>
          </cell>
          <cell r="C5063" t="str">
            <v>יציאות מתחמ"ש ירושלים ד'</v>
          </cell>
          <cell r="D5063">
            <v>47848</v>
          </cell>
        </row>
        <row r="5064">
          <cell r="A5064" t="str">
            <v>WCS-4-00-01560</v>
          </cell>
          <cell r="B5064" t="str">
            <v>ירושלים 2901</v>
          </cell>
          <cell r="C5064" t="str">
            <v>החלפת מופות מ"ג - מרחב ירושלים</v>
          </cell>
          <cell r="D5064">
            <v>49674</v>
          </cell>
        </row>
        <row r="5065">
          <cell r="A5065" t="str">
            <v>WHP-4-00-01571</v>
          </cell>
          <cell r="B5065" t="str">
            <v>ירושלים 2901</v>
          </cell>
          <cell r="C5065" t="str">
            <v>אספקה וחיבור חשמל לאזור שילה</v>
          </cell>
          <cell r="D5065">
            <v>48579</v>
          </cell>
        </row>
        <row r="5066">
          <cell r="A5066" t="str">
            <v>WHP-4-00-01572</v>
          </cell>
          <cell r="B5066" t="str">
            <v>ירושלים 2901</v>
          </cell>
          <cell r="C5066" t="str">
            <v>אספקה וחיבור חשמל לעמנואל</v>
          </cell>
          <cell r="D5066">
            <v>48579</v>
          </cell>
        </row>
        <row r="5067">
          <cell r="A5067" t="str">
            <v>WCQ-4-00-01575</v>
          </cell>
          <cell r="B5067" t="str">
            <v>ירושלים 2901</v>
          </cell>
          <cell r="C5067" t="str">
            <v>יציאות מתחמש בית שמש שנאי שלישי</v>
          </cell>
          <cell r="D5067">
            <v>46752</v>
          </cell>
        </row>
        <row r="5068">
          <cell r="A5068" t="str">
            <v>WHP-4-00-01582</v>
          </cell>
          <cell r="B5068" t="str">
            <v>ירושלים 2901</v>
          </cell>
          <cell r="C5068" t="str">
            <v>חיבורים בגבול המזרחי; ירושלים</v>
          </cell>
          <cell r="D5068">
            <v>48213</v>
          </cell>
        </row>
        <row r="5069">
          <cell r="A5069" t="str">
            <v>WHP-4-00-01587</v>
          </cell>
          <cell r="B5069" t="str">
            <v>ירושלים 2901</v>
          </cell>
          <cell r="C5069" t="str">
            <v>שיפור שאינו תמריצים; ירושלים</v>
          </cell>
          <cell r="D5069">
            <v>49918</v>
          </cell>
        </row>
        <row r="5070">
          <cell r="A5070" t="str">
            <v>WHP-4-00-01589</v>
          </cell>
          <cell r="B5070" t="str">
            <v>ירושלים 2901</v>
          </cell>
          <cell r="C5070" t="str">
            <v>אספקת חשמל לשכונת הזית באפרת</v>
          </cell>
          <cell r="D5070">
            <v>48213</v>
          </cell>
        </row>
        <row r="5071">
          <cell r="A5071" t="str">
            <v>WHP-4-00-01592</v>
          </cell>
          <cell r="B5071" t="str">
            <v>ירושלים 2901</v>
          </cell>
          <cell r="C5071" t="str">
            <v>אספקה וחיבור חשמל לשכונת גילה (צוף)</v>
          </cell>
          <cell r="D5071">
            <v>47848</v>
          </cell>
        </row>
        <row r="5072">
          <cell r="A5072" t="str">
            <v>WHP-4-00-01595</v>
          </cell>
          <cell r="B5072" t="str">
            <v>ירושלים 2901</v>
          </cell>
          <cell r="C5072" t="str">
            <v>אספקה וחיבור חשמל לדרך חברון</v>
          </cell>
          <cell r="D5072">
            <v>48579</v>
          </cell>
        </row>
        <row r="5073">
          <cell r="A5073" t="str">
            <v>WHP-4-00-01596</v>
          </cell>
          <cell r="B5073" t="str">
            <v>ירושלים 2901</v>
          </cell>
          <cell r="C5073" t="str">
            <v>אספקה וחיבור חשמל למתחם לרנר</v>
          </cell>
          <cell r="D5073">
            <v>48579</v>
          </cell>
        </row>
        <row r="5074">
          <cell r="A5074" t="str">
            <v>WBJ-003</v>
          </cell>
          <cell r="B5074" t="str">
            <v>ירושלים</v>
          </cell>
          <cell r="C5074" t="str">
            <v>ירושלים-הקמת תחמ"ג 400/161, 650*2 מגוו"א</v>
          </cell>
          <cell r="D5074">
            <v>48212</v>
          </cell>
        </row>
        <row r="5075">
          <cell r="A5075" t="str">
            <v>WBJ-003-ST4</v>
          </cell>
          <cell r="B5075" t="str">
            <v>ירושלים</v>
          </cell>
          <cell r="C5075" t="str">
            <v>ירושלים- פירוק תשתיות קיימות</v>
          </cell>
          <cell r="D5075">
            <v>47542</v>
          </cell>
        </row>
        <row r="5076">
          <cell r="A5076" t="str">
            <v>WBJ-003-ST1</v>
          </cell>
          <cell r="B5076" t="str">
            <v>ירושלים</v>
          </cell>
          <cell r="C5076" t="str">
            <v>ירושלים-קידום סטטו. של ת.מיתוג 400/161</v>
          </cell>
          <cell r="D5076">
            <v>45701</v>
          </cell>
        </row>
        <row r="5077">
          <cell r="A5077" t="str">
            <v>WBJ-003-ST5</v>
          </cell>
          <cell r="B5077" t="str">
            <v>ירושלים</v>
          </cell>
          <cell r="C5077" t="str">
            <v>ירושלים-הקמת תחמ"ג 400/161, 650*2 מגוו"א</v>
          </cell>
          <cell r="D5077">
            <v>48212</v>
          </cell>
        </row>
        <row r="5078">
          <cell r="A5078" t="str">
            <v>WBE-310</v>
          </cell>
          <cell r="B5078" t="str">
            <v>יפתח (צוחר) - תחמ"ש</v>
          </cell>
          <cell r="C5078" t="str">
            <v>יפתח-הוספת 2 שנאי חח"י 50 מגו"א</v>
          </cell>
          <cell r="D5078">
            <v>46964</v>
          </cell>
        </row>
        <row r="5079">
          <cell r="A5079">
            <v>900026</v>
          </cell>
          <cell r="B5079" t="str">
            <v>יפתח (צוחר)</v>
          </cell>
          <cell r="C5079" t="str">
            <v>יפתח-הקמת מתקן אגירה "יפתח" במ"ע SA בהספק 150 מגאווט.</v>
          </cell>
          <cell r="D5079">
            <v>46783</v>
          </cell>
        </row>
        <row r="5080">
          <cell r="A5080" t="str">
            <v>WBC-095</v>
          </cell>
          <cell r="B5080" t="str">
            <v>י-ם מערב/רכס לבן</v>
          </cell>
          <cell r="C5080" t="str">
            <v>י-ם מערב/רכס לבן- הקמת תחמ"ש פנימית</v>
          </cell>
          <cell r="D5080">
            <v>49247</v>
          </cell>
        </row>
        <row r="5081">
          <cell r="A5081" t="str">
            <v>WBT-078</v>
          </cell>
          <cell r="B5081" t="str">
            <v>י-ם מערב/רכס לבן</v>
          </cell>
          <cell r="C5081" t="str">
            <v>בוטל - רכס לבן- קידום תוכנית מתאר מקודם ע"י אחרים</v>
          </cell>
        </row>
        <row r="5082">
          <cell r="A5082">
            <v>9985280</v>
          </cell>
          <cell r="B5082" t="str">
            <v>יכיני</v>
          </cell>
          <cell r="C5082" t="str">
            <v>יכיני-קליטת תח"כ בהספק של 48 מגוו"ט</v>
          </cell>
          <cell r="D5082">
            <v>45084</v>
          </cell>
        </row>
        <row r="5083">
          <cell r="A5083" t="str">
            <v>WBD-101</v>
          </cell>
          <cell r="B5083" t="str">
            <v>יזרעאל ניידת</v>
          </cell>
          <cell r="C5083" t="str">
            <v>יזרעאל ניידת- הצבת תחמ"ש ניידת</v>
          </cell>
          <cell r="D5083">
            <v>45656</v>
          </cell>
        </row>
        <row r="5084">
          <cell r="A5084" t="str">
            <v>HIS-089</v>
          </cell>
          <cell r="B5084" t="str">
            <v>יזרעאל</v>
          </cell>
          <cell r="C5084" t="str">
            <v>יזרעאל</v>
          </cell>
          <cell r="D5084">
            <v>40908</v>
          </cell>
        </row>
        <row r="5085">
          <cell r="A5085" t="str">
            <v>WBE-233</v>
          </cell>
          <cell r="B5085" t="str">
            <v>יזרעאל</v>
          </cell>
          <cell r="C5085" t="str">
            <v>יזרעאל- רב שלבי - הח' 2 שנאים 161/24 30 ב-50 מגוו"א כ"א</v>
          </cell>
          <cell r="D5085">
            <v>46356</v>
          </cell>
        </row>
        <row r="5086">
          <cell r="A5086" t="str">
            <v>WBE-135</v>
          </cell>
          <cell r="B5086" t="str">
            <v>יזרעאל</v>
          </cell>
          <cell r="C5086" t="str">
            <v>יזרעאל- החלפת שנאים 522 ו-524 ל-50 מגוו"א.</v>
          </cell>
          <cell r="D5086">
            <v>46568</v>
          </cell>
        </row>
        <row r="5087">
          <cell r="A5087" t="str">
            <v>WBE-256</v>
          </cell>
          <cell r="B5087" t="str">
            <v>יזרעאל</v>
          </cell>
          <cell r="C5087" t="str">
            <v>יזרעאל - בוטל-החלפת שנאי 524 מ-33 ל-50 מגוו"א</v>
          </cell>
        </row>
        <row r="5088">
          <cell r="A5088" t="str">
            <v>WDA-1-PA06</v>
          </cell>
          <cell r="B5088" t="str">
            <v>יזרעאל</v>
          </cell>
          <cell r="C5088" t="str">
            <v>יזרעאל-החלפה של יחידת קצה של הפיקוח</v>
          </cell>
          <cell r="D5088">
            <v>42338</v>
          </cell>
        </row>
        <row r="5089">
          <cell r="A5089" t="str">
            <v>WBM-40313</v>
          </cell>
          <cell r="B5089" t="str">
            <v>יזרעאל</v>
          </cell>
          <cell r="C5089" t="str">
            <v>יזרעאל-התאמה שדה 13 ליכולת  1600 א'</v>
          </cell>
          <cell r="D5089">
            <v>46203</v>
          </cell>
        </row>
        <row r="5090">
          <cell r="A5090" t="str">
            <v>WBM-01077</v>
          </cell>
          <cell r="B5090" t="str">
            <v>יזרעאל</v>
          </cell>
          <cell r="C5090" t="str">
            <v>יזרעאל-משיק-התא.שדה 10 ל- מינ.של 1600א</v>
          </cell>
          <cell r="D5090">
            <v>46752</v>
          </cell>
        </row>
        <row r="5091">
          <cell r="A5091" t="str">
            <v>WBM-00349</v>
          </cell>
          <cell r="B5091" t="str">
            <v>יזרעאל</v>
          </cell>
          <cell r="C5091" t="str">
            <v>יזרעאל-השלמת שדה 161 ק"ו מס' 3</v>
          </cell>
          <cell r="D5091">
            <v>43318</v>
          </cell>
        </row>
        <row r="5092">
          <cell r="A5092" t="str">
            <v>WBM-00281</v>
          </cell>
          <cell r="B5092" t="str">
            <v>יזרעאל</v>
          </cell>
          <cell r="C5092" t="str">
            <v>יזרעאל-בוטל-החלפת 3 סלילי כיבוי ל-150 א'</v>
          </cell>
        </row>
        <row r="5093">
          <cell r="A5093" t="str">
            <v>WBM-00469</v>
          </cell>
          <cell r="B5093" t="str">
            <v>יזרעאל</v>
          </cell>
          <cell r="C5093" t="str">
            <v>יזרעאל-הזנת תאורת חירום ז"י.</v>
          </cell>
          <cell r="D5093">
            <v>46387</v>
          </cell>
        </row>
        <row r="5094">
          <cell r="A5094" t="str">
            <v>WBM-00468</v>
          </cell>
          <cell r="B5094" t="str">
            <v>יזרעאל</v>
          </cell>
          <cell r="C5094" t="str">
            <v>יזרעאל-בוטל-החלפת מגיני ברק מ"ג  של השנאים.</v>
          </cell>
        </row>
        <row r="5095">
          <cell r="A5095" t="str">
            <v>WBM-40084</v>
          </cell>
          <cell r="B5095" t="str">
            <v>יזרעאל</v>
          </cell>
          <cell r="C5095" t="str">
            <v>יזרעאל - החלפת ציוד בשדות 2, 22, 6-5, מ"מ פסי צבירה</v>
          </cell>
          <cell r="D5095">
            <v>47848</v>
          </cell>
        </row>
        <row r="5096">
          <cell r="A5096" t="str">
            <v>WBM-40085</v>
          </cell>
          <cell r="B5096" t="str">
            <v>יזרעאל</v>
          </cell>
          <cell r="C5096" t="str">
            <v>יזרעאל- החלפת מערכת פיקוד scs</v>
          </cell>
          <cell r="D5096">
            <v>47848</v>
          </cell>
        </row>
        <row r="5097">
          <cell r="A5097" t="str">
            <v>WBM-40273</v>
          </cell>
          <cell r="B5097" t="str">
            <v>יזרעאל</v>
          </cell>
          <cell r="C5097" t="str">
            <v>יזרעאל - החלפת ההגנת פ"צ הקיימת</v>
          </cell>
          <cell r="D5097">
            <v>47847</v>
          </cell>
        </row>
        <row r="5098">
          <cell r="A5098" t="str">
            <v>WBM-40167</v>
          </cell>
          <cell r="B5098" t="str">
            <v>יזרעאל</v>
          </cell>
          <cell r="C5098" t="str">
            <v>יזרעאל-משיק ל-WBE-233-שדרוג שדות שנאים מס' 14 ו- 18</v>
          </cell>
          <cell r="D5098">
            <v>46203</v>
          </cell>
        </row>
        <row r="5099">
          <cell r="A5099" t="str">
            <v>WBM-10438</v>
          </cell>
          <cell r="B5099" t="str">
            <v>יזרעאל</v>
          </cell>
          <cell r="C5099" t="str">
            <v>יזרעאל-משיק ה.שאן5-יישום 2 ד.קשר שדה10</v>
          </cell>
          <cell r="D5099">
            <v>46234</v>
          </cell>
        </row>
        <row r="5100">
          <cell r="A5100" t="str">
            <v>WBM-40086</v>
          </cell>
          <cell r="B5100" t="str">
            <v>יזרעאל</v>
          </cell>
          <cell r="C5100" t="str">
            <v>יזרעאל- החלפת ציוד בשדות 1, 3, 7</v>
          </cell>
          <cell r="D5100">
            <v>48578</v>
          </cell>
        </row>
        <row r="5101">
          <cell r="A5101" t="str">
            <v>WBM-40166</v>
          </cell>
          <cell r="B5101" t="str">
            <v>יזרעאל</v>
          </cell>
          <cell r="C5101" t="str">
            <v>יזרעאל- החלפת ציוד בשדות 15, 19</v>
          </cell>
          <cell r="D5101">
            <v>48212</v>
          </cell>
        </row>
        <row r="5102">
          <cell r="A5102" t="str">
            <v>WBM-40029</v>
          </cell>
          <cell r="B5102" t="str">
            <v>יזרעאל</v>
          </cell>
          <cell r="C5102" t="str">
            <v>יזרעאל- החלפת רושם הפרעות</v>
          </cell>
          <cell r="D5102">
            <v>47847</v>
          </cell>
        </row>
        <row r="5103">
          <cell r="A5103" t="str">
            <v>WBM-01184</v>
          </cell>
          <cell r="B5103" t="str">
            <v>יזרעאל</v>
          </cell>
          <cell r="C5103" t="str">
            <v>יזרעאל-בוטל-החלפת הגנות שנאי RQ4A</v>
          </cell>
        </row>
        <row r="5104">
          <cell r="A5104" t="str">
            <v>WBM-10360</v>
          </cell>
          <cell r="B5104" t="str">
            <v>יזרעאל</v>
          </cell>
          <cell r="C5104" t="str">
            <v>יזרעאל-משיק ש.דבורה-התק הג.דיפ.ש13+ד"ק</v>
          </cell>
          <cell r="D5104">
            <v>45517</v>
          </cell>
        </row>
        <row r="5105">
          <cell r="A5105" t="str">
            <v>WBM-60049</v>
          </cell>
          <cell r="B5105" t="str">
            <v>יזרעאל</v>
          </cell>
          <cell r="C5105" t="str">
            <v>יזרעאל - עיגון ארונות פיקוד והגנה</v>
          </cell>
          <cell r="D5105">
            <v>46386</v>
          </cell>
        </row>
        <row r="5106">
          <cell r="A5106" t="str">
            <v>WBM-60115</v>
          </cell>
          <cell r="B5106" t="str">
            <v>יזרעאל</v>
          </cell>
          <cell r="C5106" t="str">
            <v>יזרעאל -הרחבת תשתיות ע"י תעלות חדשות</v>
          </cell>
          <cell r="D5106">
            <v>46387</v>
          </cell>
        </row>
        <row r="5107">
          <cell r="A5107" t="str">
            <v>WBM-10133</v>
          </cell>
          <cell r="B5107" t="str">
            <v>יזרעאל</v>
          </cell>
          <cell r="C5107" t="str">
            <v>יזרעאל - התקנת מתמרים ב-4 פ"צ</v>
          </cell>
          <cell r="D5107">
            <v>46386</v>
          </cell>
        </row>
        <row r="5108">
          <cell r="A5108" t="str">
            <v>WBM-10402</v>
          </cell>
          <cell r="B5108" t="str">
            <v>יזרעאל</v>
          </cell>
          <cell r="C5108" t="str">
            <v>יזרעאל-משיק ל-WBO-314-החלפת הגנות בשדות מ"ע 1 ו- 15</v>
          </cell>
          <cell r="D5108">
            <v>46387</v>
          </cell>
        </row>
        <row r="5109">
          <cell r="A5109" t="str">
            <v>0243133</v>
          </cell>
          <cell r="B5109" t="str">
            <v>יזרעאל</v>
          </cell>
          <cell r="C5109" t="str">
            <v>יזרעאל - החלפת משנה מתח בפ"צ</v>
          </cell>
          <cell r="D5109">
            <v>44407</v>
          </cell>
        </row>
        <row r="5110">
          <cell r="A5110" t="str">
            <v>WBM-10031</v>
          </cell>
          <cell r="B5110" t="str">
            <v>יזרעאל</v>
          </cell>
          <cell r="C5110" t="str">
            <v>יזרעאל - החלפת שרשראות מבודדים</v>
          </cell>
          <cell r="D5110">
            <v>44004</v>
          </cell>
        </row>
        <row r="5111">
          <cell r="A5111" t="str">
            <v>WBM-01040</v>
          </cell>
          <cell r="B5111" t="str">
            <v>יזרעאל</v>
          </cell>
          <cell r="C5111" t="str">
            <v>יזרעאל-קשר בין הגנות בשדה 19 לעירון</v>
          </cell>
          <cell r="D5111">
            <v>43981</v>
          </cell>
        </row>
        <row r="5112">
          <cell r="A5112" t="str">
            <v>WBM-01089</v>
          </cell>
          <cell r="B5112" t="str">
            <v>יזרעאל</v>
          </cell>
          <cell r="C5112" t="str">
            <v>יזרעאל-התקנת 3 מאצרות שמן זמניות</v>
          </cell>
          <cell r="D5112">
            <v>43219</v>
          </cell>
        </row>
        <row r="5113">
          <cell r="A5113" t="str">
            <v>WBM-00651</v>
          </cell>
          <cell r="B5113" t="str">
            <v>יזרעאל</v>
          </cell>
          <cell r="C5113" t="str">
            <v>יזרעאל-התקנת תקשורת הגנות באמצעות om.</v>
          </cell>
          <cell r="D5113">
            <v>42944</v>
          </cell>
        </row>
        <row r="5114">
          <cell r="A5114" t="str">
            <v>WBM-00958</v>
          </cell>
          <cell r="B5114" t="str">
            <v>יזרעאל</v>
          </cell>
          <cell r="C5114" t="str">
            <v>יזרעאל-פרויקט פיילוט מאצרות שמן</v>
          </cell>
          <cell r="D5114">
            <v>42792</v>
          </cell>
        </row>
        <row r="5115">
          <cell r="A5115" t="str">
            <v>WBM-00471</v>
          </cell>
          <cell r="B5115" t="str">
            <v>יזרעאל</v>
          </cell>
          <cell r="C5115" t="str">
            <v>יזרעאל-התקנת הגנה דיפרנציאלית בשדה 7</v>
          </cell>
          <cell r="D5115">
            <v>42635</v>
          </cell>
        </row>
        <row r="5116">
          <cell r="A5116" t="str">
            <v>WBM-00690</v>
          </cell>
          <cell r="B5116" t="str">
            <v>יזרעאל</v>
          </cell>
          <cell r="C5116" t="str">
            <v>יזרעאל-התאמת מערכת מים לכיבוי אש לד.מכ"ר</v>
          </cell>
          <cell r="D5116">
            <v>41982</v>
          </cell>
        </row>
        <row r="5117">
          <cell r="A5117" t="str">
            <v>WBG-042-021</v>
          </cell>
          <cell r="B5117" t="str">
            <v>יזרעאל</v>
          </cell>
          <cell r="C5117" t="str">
            <v>יזרעאל - התקנת מערכת טמ"ס</v>
          </cell>
          <cell r="D5117">
            <v>41633</v>
          </cell>
        </row>
        <row r="5118">
          <cell r="A5118" t="str">
            <v>WBG-042-013</v>
          </cell>
          <cell r="B5118" t="str">
            <v>יזרעאל</v>
          </cell>
          <cell r="C5118" t="str">
            <v>יזרעאל-התקנת 2 ממירים 220/60 וולט</v>
          </cell>
          <cell r="D5118">
            <v>41473</v>
          </cell>
        </row>
        <row r="5119">
          <cell r="A5119" t="str">
            <v>WBM-01234</v>
          </cell>
          <cell r="B5119" t="str">
            <v>יזרעאל</v>
          </cell>
          <cell r="C5119" t="str">
            <v>יזרעאל - בוטל-מאצרות שמן קבועות  ל-3 שנא</v>
          </cell>
          <cell r="D5119">
            <v>42900</v>
          </cell>
        </row>
        <row r="5120">
          <cell r="A5120" t="str">
            <v>WBM-00837</v>
          </cell>
          <cell r="B5120" t="str">
            <v>יזרעאל</v>
          </cell>
          <cell r="C5120" t="str">
            <v>יזרעאל-בוטל-הסדרת צומת כניסה לתחמ"ש</v>
          </cell>
          <cell r="D5120">
            <v>41816</v>
          </cell>
        </row>
        <row r="5121">
          <cell r="A5121" t="str">
            <v>WBM-00877</v>
          </cell>
          <cell r="B5121" t="str">
            <v>יזרעאל</v>
          </cell>
          <cell r="C5121" t="str">
            <v>יזרעאל-בוטל-החלפת מבודדים קרמיים</v>
          </cell>
          <cell r="D5121">
            <v>42521</v>
          </cell>
        </row>
        <row r="5122">
          <cell r="A5122">
            <v>523336</v>
          </cell>
          <cell r="B5122" t="str">
            <v>יזרעאל</v>
          </cell>
          <cell r="C5122" t="str">
            <v>יזרעאל-התאמת מערכת המים גילוי אש לד.מכ"ר</v>
          </cell>
          <cell r="D5122">
            <v>41424</v>
          </cell>
        </row>
        <row r="5123">
          <cell r="A5123" t="str">
            <v>WBM-00467</v>
          </cell>
          <cell r="B5123" t="str">
            <v>יזרעאל</v>
          </cell>
          <cell r="C5123" t="str">
            <v>יזרעאל-בוטל-הרחבת רושם הפרעות 161 ק"ו</v>
          </cell>
          <cell r="D5123">
            <v>41249</v>
          </cell>
        </row>
        <row r="5124">
          <cell r="A5124" t="str">
            <v>WBM-00470</v>
          </cell>
          <cell r="B5124" t="str">
            <v>יזרעאל</v>
          </cell>
          <cell r="C5124" t="str">
            <v>יזרעאל-בוטל שיפור מערכת הארקה בתחמ"ש</v>
          </cell>
          <cell r="D5124">
            <v>39798</v>
          </cell>
        </row>
        <row r="5125">
          <cell r="A5125">
            <v>523334</v>
          </cell>
          <cell r="B5125" t="str">
            <v>יזרעאל</v>
          </cell>
          <cell r="C5125" t="str">
            <v>יזרעאל-התקנת מאווררים בארונות פיקוד והגנ</v>
          </cell>
          <cell r="D5125">
            <v>40311</v>
          </cell>
        </row>
        <row r="5126">
          <cell r="A5126" t="str">
            <v>WBG-042-016</v>
          </cell>
          <cell r="B5126" t="str">
            <v>יזרעאל</v>
          </cell>
          <cell r="C5126" t="str">
            <v>יזרעאל-בוטל-החלפת רכזת התראה בטחונית</v>
          </cell>
          <cell r="D5126">
            <v>39263</v>
          </cell>
        </row>
        <row r="5127">
          <cell r="A5127" t="str">
            <v>WBM-01065</v>
          </cell>
          <cell r="B5127" t="str">
            <v>יזרעאל</v>
          </cell>
          <cell r="C5127" t="str">
            <v>יזרעאל-התאמת הגנות בשדה 10למעלה גלבוע</v>
          </cell>
          <cell r="D5127">
            <v>43188</v>
          </cell>
        </row>
        <row r="5128">
          <cell r="A5128" t="str">
            <v>WBD-101-ST2</v>
          </cell>
          <cell r="B5128" t="str">
            <v>יזרעאל</v>
          </cell>
          <cell r="C5128" t="str">
            <v>יזרעאל ניידת- פירוק תחמ"ש ניידת</v>
          </cell>
          <cell r="D5128">
            <v>46842</v>
          </cell>
        </row>
        <row r="5129">
          <cell r="A5129" t="str">
            <v>WBM-00885-046</v>
          </cell>
          <cell r="B5129" t="str">
            <v>יזרעאל</v>
          </cell>
          <cell r="C5129" t="str">
            <v>יזרעאל - התקנת נגרר קצף לכיבוי אש</v>
          </cell>
          <cell r="D5129">
            <v>46387</v>
          </cell>
        </row>
        <row r="5130">
          <cell r="A5130" t="str">
            <v>WBM-10456-030</v>
          </cell>
          <cell r="B5130" t="str">
            <v>יזרעאל</v>
          </cell>
          <cell r="C5130" t="str">
            <v>יזרעאל- הוספת מתמרים ב-4 פ"צ</v>
          </cell>
          <cell r="D5130">
            <v>46752</v>
          </cell>
        </row>
        <row r="5131">
          <cell r="A5131" t="str">
            <v>WBM-40295-044</v>
          </cell>
          <cell r="B5131" t="str">
            <v>יזרעאל</v>
          </cell>
          <cell r="C5131" t="str">
            <v>יזרעאל - החלפת סוללות מצברים</v>
          </cell>
          <cell r="D5131">
            <v>46387</v>
          </cell>
        </row>
        <row r="5132">
          <cell r="A5132" t="str">
            <v>WBM-60008-042</v>
          </cell>
          <cell r="B5132" t="str">
            <v>יזרעאל</v>
          </cell>
          <cell r="C5132" t="str">
            <v>יזרעאל -  התקנת מערכת מיגון בתחמ"ש</v>
          </cell>
          <cell r="D5132">
            <v>46198</v>
          </cell>
        </row>
        <row r="5133">
          <cell r="A5133" t="str">
            <v>WBM-60088-064</v>
          </cell>
          <cell r="B5133" t="str">
            <v>יזרעאל</v>
          </cell>
          <cell r="C5133" t="str">
            <v>יזרעאל -מאצרת שמן לשנאים 521,523</v>
          </cell>
          <cell r="D5133">
            <v>46172</v>
          </cell>
        </row>
        <row r="5134">
          <cell r="A5134" t="str">
            <v>WBM-60092-023</v>
          </cell>
          <cell r="B5134" t="str">
            <v>יזרעאל</v>
          </cell>
          <cell r="C5134" t="str">
            <v>יזרעאל - בדיקות/טיפול/פינוי מכלי אש בגז</v>
          </cell>
          <cell r="D5134">
            <v>46173</v>
          </cell>
        </row>
        <row r="5135">
          <cell r="A5135" t="str">
            <v>WBM-60118-019</v>
          </cell>
          <cell r="B5135" t="str">
            <v>יזרעאל</v>
          </cell>
          <cell r="C5135" t="str">
            <v>יזרעאל - שיפור מערכת הארקה</v>
          </cell>
          <cell r="D5135">
            <v>46751</v>
          </cell>
        </row>
        <row r="5136">
          <cell r="A5136" t="str">
            <v>WBM-40610</v>
          </cell>
          <cell r="B5136" t="str">
            <v>יזרעאל</v>
          </cell>
          <cell r="C5136" t="str">
            <v>יזרעאל- החלפת מסדרי האפס הקיימים והתאמם לדרישות שנאי 161/24 ק"ו, 50 מגוו"א</v>
          </cell>
          <cell r="D5136">
            <v>46356</v>
          </cell>
        </row>
        <row r="5137">
          <cell r="A5137" t="str">
            <v>WBM-10619</v>
          </cell>
          <cell r="B5137" t="str">
            <v>יזרעאל</v>
          </cell>
          <cell r="C5137" t="str">
            <v>יזרעאל- הקמת מבנה פיקוד חדש</v>
          </cell>
          <cell r="D5137">
            <v>47483</v>
          </cell>
        </row>
        <row r="5138">
          <cell r="A5138" t="str">
            <v>WBM-60130-029</v>
          </cell>
          <cell r="B5138" t="str">
            <v>יזרעאל</v>
          </cell>
          <cell r="C5138" t="str">
            <v>יזרעאל - התקנת מפסק פטריה להפסקת מערכת החשמל בחירום</v>
          </cell>
          <cell r="D5138">
            <v>46568</v>
          </cell>
        </row>
        <row r="5139">
          <cell r="A5139" t="str">
            <v>WBM-10695</v>
          </cell>
          <cell r="B5139" t="str">
            <v>יזרעאל</v>
          </cell>
          <cell r="C5139" t="str">
            <v>יזרעאל-הת' תיילים-מהדקים-פורט'wbo-849</v>
          </cell>
          <cell r="D5139">
            <v>47117</v>
          </cell>
        </row>
        <row r="5140">
          <cell r="A5140" t="str">
            <v>WBM-60205-041</v>
          </cell>
          <cell r="B5140" t="str">
            <v>יזרעאל</v>
          </cell>
          <cell r="C5140" t="str">
            <v>יזרעאל - ניטור הצפות</v>
          </cell>
          <cell r="D5140">
            <v>46175</v>
          </cell>
        </row>
        <row r="5141">
          <cell r="A5141" t="str">
            <v>WBM-40638</v>
          </cell>
          <cell r="B5141" t="str">
            <v>יזרעאל</v>
          </cell>
          <cell r="C5141" t="str">
            <v>יזרעאל- משיק ל WBE-135- שדרוג שדות שנאים מס' 4 ו-8</v>
          </cell>
          <cell r="D5141">
            <v>46568</v>
          </cell>
        </row>
        <row r="5142">
          <cell r="A5142" t="str">
            <v>WBE-233-ST1</v>
          </cell>
          <cell r="B5142" t="str">
            <v>יזרעאל</v>
          </cell>
          <cell r="C5142" t="str">
            <v>יזרעאל - שלב 1 - החלפת שנאי 521  161/24 ק"ו מ- 33 ל- 50 מגוו"א</v>
          </cell>
          <cell r="D5142">
            <v>46183</v>
          </cell>
        </row>
        <row r="5143">
          <cell r="A5143" t="str">
            <v>WBE-233-ST2</v>
          </cell>
          <cell r="B5143" t="str">
            <v>יזרעאל</v>
          </cell>
          <cell r="C5143" t="str">
            <v>יזרעאל - שלב 2 - החלפת שנאי 523  161/24 ק"ו מ- 33 ל- 50 מגוו"א</v>
          </cell>
          <cell r="D5143">
            <v>46356</v>
          </cell>
        </row>
        <row r="5144">
          <cell r="A5144" t="str">
            <v>HIS-088</v>
          </cell>
          <cell r="B5144" t="str">
            <v>יוקנעם</v>
          </cell>
          <cell r="C5144" t="str">
            <v>יוקנעם</v>
          </cell>
          <cell r="D5144">
            <v>40908</v>
          </cell>
        </row>
        <row r="5145">
          <cell r="A5145" t="str">
            <v>WBE-254</v>
          </cell>
          <cell r="B5145" t="str">
            <v>יוקנעם</v>
          </cell>
          <cell r="C5145" t="str">
            <v>יוקנעם - החלפת שנאי 524 מ-33 ל-50 מגוו"א</v>
          </cell>
          <cell r="D5145">
            <v>45449</v>
          </cell>
        </row>
        <row r="5146">
          <cell r="A5146" t="str">
            <v>WBM-00783</v>
          </cell>
          <cell r="B5146" t="str">
            <v>יוקנעם</v>
          </cell>
          <cell r="C5146" t="str">
            <v>יוקנעם-החלפת סוללות קבלים</v>
          </cell>
          <cell r="D5146">
            <v>47603</v>
          </cell>
        </row>
        <row r="5147">
          <cell r="A5147">
            <v>523532</v>
          </cell>
          <cell r="B5147" t="str">
            <v>יוקנעם</v>
          </cell>
          <cell r="C5147" t="str">
            <v>יוקנעם-התקנת מאווררים בארונות פיקוד</v>
          </cell>
          <cell r="D5147">
            <v>40311</v>
          </cell>
        </row>
        <row r="5148">
          <cell r="A5148" t="str">
            <v>WBM-00050</v>
          </cell>
          <cell r="B5148" t="str">
            <v>יוקנעם</v>
          </cell>
          <cell r="C5148" t="str">
            <v>יוקנעם-החלפה ועיגון לוח חלוקה ז"ח 380 ו'</v>
          </cell>
          <cell r="D5148">
            <v>41666</v>
          </cell>
        </row>
        <row r="5149">
          <cell r="A5149" t="str">
            <v>WBM-00760</v>
          </cell>
          <cell r="B5149" t="str">
            <v>יוקנעם</v>
          </cell>
          <cell r="C5149" t="str">
            <v>יוקנעם-התאמת מערכת המים כיבוי אש לד.מכ"ר</v>
          </cell>
          <cell r="D5149">
            <v>41823</v>
          </cell>
        </row>
        <row r="5150">
          <cell r="A5150">
            <v>523538</v>
          </cell>
          <cell r="B5150" t="str">
            <v>יוקנעם</v>
          </cell>
          <cell r="C5150" t="str">
            <v>יוקנעם-החלפת 2 גשרי דיודות</v>
          </cell>
          <cell r="D5150">
            <v>42185</v>
          </cell>
        </row>
        <row r="5151">
          <cell r="A5151" t="str">
            <v>WBM-01354</v>
          </cell>
          <cell r="B5151" t="str">
            <v>יוקנעם</v>
          </cell>
          <cell r="C5151" t="str">
            <v>יוקנעם-בוטל-שיפור אוטומטיקת סלילי כיבוי</v>
          </cell>
          <cell r="D5151">
            <v>43025</v>
          </cell>
        </row>
        <row r="5152">
          <cell r="A5152" t="str">
            <v>WBM-00463</v>
          </cell>
          <cell r="B5152" t="str">
            <v>יוקנעם</v>
          </cell>
          <cell r="C5152" t="str">
            <v>יוקנעם-החלפת מגיני ברק מ"ג  של שנאים</v>
          </cell>
          <cell r="D5152">
            <v>43037</v>
          </cell>
        </row>
        <row r="5153">
          <cell r="A5153" t="str">
            <v>WBM-00689</v>
          </cell>
          <cell r="B5153" t="str">
            <v>יוקנעם</v>
          </cell>
          <cell r="C5153" t="str">
            <v>יוקנעם-התאמת מערכת גילוי אש לד.מכ"ר</v>
          </cell>
          <cell r="D5153">
            <v>41963</v>
          </cell>
        </row>
        <row r="5154">
          <cell r="A5154" t="str">
            <v>WBG-041-023</v>
          </cell>
          <cell r="B5154" t="str">
            <v>יוקנעם</v>
          </cell>
          <cell r="C5154" t="str">
            <v>יוקנעם-החלפת רכזת התראה בטחונית</v>
          </cell>
          <cell r="D5154">
            <v>38959</v>
          </cell>
        </row>
        <row r="5155">
          <cell r="A5155" t="str">
            <v>WBM-00878</v>
          </cell>
          <cell r="B5155" t="str">
            <v>יוקנעם</v>
          </cell>
          <cell r="C5155" t="str">
            <v>יקנעם-בוטל-החלפת מבודדים קרמיים</v>
          </cell>
          <cell r="D5155">
            <v>41862</v>
          </cell>
        </row>
        <row r="5156">
          <cell r="A5156" t="str">
            <v>WBM-00464</v>
          </cell>
          <cell r="B5156" t="str">
            <v>יוקנעם</v>
          </cell>
          <cell r="C5156" t="str">
            <v>יוקנעם-הזנת תאורת חירום ז"י</v>
          </cell>
          <cell r="D5156">
            <v>46752</v>
          </cell>
        </row>
        <row r="5157">
          <cell r="A5157" t="str">
            <v>WBM-40164</v>
          </cell>
          <cell r="B5157" t="str">
            <v>יוקנעם</v>
          </cell>
          <cell r="C5157" t="str">
            <v>יוקנעם- החלפת מפס"ז בשדות 3,4,5,7</v>
          </cell>
          <cell r="D5157">
            <v>46142</v>
          </cell>
        </row>
        <row r="5158">
          <cell r="A5158" t="str">
            <v>WBM-40165</v>
          </cell>
          <cell r="B5158" t="str">
            <v>יוקנעם</v>
          </cell>
          <cell r="C5158" t="str">
            <v>יוקנעם- החלפת מפס"ז  וציוד בשדות 8,10</v>
          </cell>
          <cell r="D5158">
            <v>46418</v>
          </cell>
        </row>
        <row r="5159">
          <cell r="A5159" t="str">
            <v>WBM-00049</v>
          </cell>
          <cell r="B5159" t="str">
            <v>יוקנעם</v>
          </cell>
          <cell r="C5159" t="str">
            <v>יוקנעם-התקנת 2 הגנת פ"צ 161 ק"ו</v>
          </cell>
          <cell r="D5159">
            <v>46203</v>
          </cell>
        </row>
        <row r="5160">
          <cell r="A5160" t="str">
            <v>WBM-00466</v>
          </cell>
          <cell r="B5160" t="str">
            <v>יוקנעם</v>
          </cell>
          <cell r="C5160" t="str">
            <v>יוקנעם-החלפת הגנות LZ31 בשדות 3 ו-7</v>
          </cell>
          <cell r="D5160">
            <v>46172</v>
          </cell>
        </row>
        <row r="5161">
          <cell r="A5161" t="str">
            <v>WBM-10401</v>
          </cell>
          <cell r="B5161" t="str">
            <v>יוקנעם</v>
          </cell>
          <cell r="C5161" t="str">
            <v>יוקנעם –הוס.הגנה דפרנציאלית בש.3,7+תק.OM</v>
          </cell>
          <cell r="D5161">
            <v>46387</v>
          </cell>
        </row>
        <row r="5162">
          <cell r="A5162" t="str">
            <v>WBM-40246</v>
          </cell>
          <cell r="B5162" t="str">
            <v>יוקנעם</v>
          </cell>
          <cell r="C5162" t="str">
            <v>יוקנעם - החלפת שרשראות מבודדים</v>
          </cell>
          <cell r="D5162">
            <v>44206</v>
          </cell>
        </row>
        <row r="5163">
          <cell r="A5163" t="str">
            <v>WBM-01298</v>
          </cell>
          <cell r="B5163" t="str">
            <v>יוקנעם</v>
          </cell>
          <cell r="C5163" t="str">
            <v>יוקנעם-שיפור אוטמטיקת סלילי כיבוי</v>
          </cell>
          <cell r="D5163">
            <v>43034</v>
          </cell>
        </row>
        <row r="5164">
          <cell r="A5164" t="str">
            <v>WBG-041-010</v>
          </cell>
          <cell r="B5164" t="str">
            <v>יוקנעם</v>
          </cell>
          <cell r="C5164" t="str">
            <v>יוקנעם-התקנת רושם הפרעות</v>
          </cell>
          <cell r="D5164">
            <v>41015</v>
          </cell>
        </row>
        <row r="5165">
          <cell r="A5165" t="str">
            <v>WBM-01437</v>
          </cell>
          <cell r="B5165" t="str">
            <v>יוקנעם</v>
          </cell>
          <cell r="C5165" t="str">
            <v>יוקנעם - בוטל-הוספת מזרק לווסת</v>
          </cell>
          <cell r="D5165">
            <v>43693</v>
          </cell>
        </row>
        <row r="5166">
          <cell r="A5166" t="str">
            <v>WBM-10264</v>
          </cell>
          <cell r="B5166" t="str">
            <v>יוקנעם</v>
          </cell>
          <cell r="C5166" t="str">
            <v>יוקנעם-בוטל-החלפת שנאי 521 מ-33 ל-50</v>
          </cell>
          <cell r="D5166">
            <v>44568</v>
          </cell>
        </row>
        <row r="5167">
          <cell r="A5167" t="str">
            <v>WBM-01307</v>
          </cell>
          <cell r="B5167" t="str">
            <v>יוקנעם</v>
          </cell>
          <cell r="C5167" t="str">
            <v>יקנעם-בוטל-החלפת הגנת קווים מ"ע LZ31</v>
          </cell>
          <cell r="D5167">
            <v>42948</v>
          </cell>
        </row>
        <row r="5168">
          <cell r="A5168" t="str">
            <v>WBM-30009</v>
          </cell>
          <cell r="B5168" t="str">
            <v>יוקנעם</v>
          </cell>
          <cell r="C5168" t="str">
            <v>יוקנעם-בוטל-גדר אלקטרונית  (ביטחון)</v>
          </cell>
          <cell r="D5168">
            <v>43096</v>
          </cell>
        </row>
        <row r="5169">
          <cell r="A5169" t="str">
            <v>WBM-10077</v>
          </cell>
          <cell r="B5169" t="str">
            <v>יוקנעם</v>
          </cell>
          <cell r="C5169" t="str">
            <v>יוקנעם-בוטל-החלפת גשרי דיודות</v>
          </cell>
          <cell r="D5169">
            <v>43768</v>
          </cell>
        </row>
        <row r="5170">
          <cell r="A5170" t="str">
            <v>WBM-00465</v>
          </cell>
          <cell r="B5170" t="str">
            <v>יוקנעם</v>
          </cell>
          <cell r="C5170" t="str">
            <v>יוקנעם-בוטל שיפור מערכת הארקה בתחמ"ש</v>
          </cell>
        </row>
        <row r="5171">
          <cell r="A5171" t="str">
            <v>WBE-068-ST3</v>
          </cell>
          <cell r="B5171" t="str">
            <v>יוקנעם</v>
          </cell>
          <cell r="C5171" t="str">
            <v>יוקנעם-שלב ג'- הוספת מיכל אגירה לשמן</v>
          </cell>
          <cell r="D5171">
            <v>43187</v>
          </cell>
        </row>
        <row r="5172">
          <cell r="A5172" t="str">
            <v>WBE-068</v>
          </cell>
          <cell r="B5172" t="str">
            <v>יוקנעם</v>
          </cell>
          <cell r="C5172" t="str">
            <v>יוקנעם-החלפת 2 שנאים ב-3 שלבים.</v>
          </cell>
          <cell r="D5172">
            <v>43187</v>
          </cell>
        </row>
        <row r="5173">
          <cell r="A5173" t="str">
            <v>WBE-068-ST2</v>
          </cell>
          <cell r="B5173" t="str">
            <v>יוקנעם</v>
          </cell>
          <cell r="C5173" t="str">
            <v>יוקנעם-שלב ב החלפת שנאי 522</v>
          </cell>
          <cell r="D5173">
            <v>42831</v>
          </cell>
        </row>
        <row r="5174">
          <cell r="A5174" t="str">
            <v>WBE-068-ST1</v>
          </cell>
          <cell r="B5174" t="str">
            <v>יוקנעם</v>
          </cell>
          <cell r="C5174" t="str">
            <v>יוקנעם-החלפת שנאי  523 161/24 ק"ו</v>
          </cell>
          <cell r="D5174">
            <v>41442</v>
          </cell>
        </row>
        <row r="5175">
          <cell r="A5175" t="str">
            <v>WBM-10537</v>
          </cell>
          <cell r="B5175" t="str">
            <v>יוקנעם</v>
          </cell>
          <cell r="C5175" t="str">
            <v>יוקנעם- שדה 7, פרוק הגנת LZ31. משיק ליזרעאל שדה 1 ולקיסריה שדה 19</v>
          </cell>
          <cell r="D5175">
            <v>46184</v>
          </cell>
        </row>
        <row r="5176">
          <cell r="A5176" t="str">
            <v>WBM-10538</v>
          </cell>
          <cell r="B5176" t="str">
            <v>יוקנעם</v>
          </cell>
          <cell r="C5176" t="str">
            <v>יוקנעם- שדה 3, פרוק הגנת LZ31. משיק ליזרעאל שדה 15</v>
          </cell>
          <cell r="D5176">
            <v>46356</v>
          </cell>
        </row>
        <row r="5177">
          <cell r="A5177" t="str">
            <v>WBM-00236-008</v>
          </cell>
          <cell r="B5177" t="str">
            <v>יוקנעם</v>
          </cell>
          <cell r="C5177" t="str">
            <v>יקנעם - הפרדת התראות מימן</v>
          </cell>
          <cell r="D5177">
            <v>46387</v>
          </cell>
        </row>
        <row r="5178">
          <cell r="A5178" t="str">
            <v>WBM-00884-025</v>
          </cell>
          <cell r="B5178" t="str">
            <v>יוקנעם</v>
          </cell>
          <cell r="C5178" t="str">
            <v>יוקנעם - סידור מערכת מיים</v>
          </cell>
          <cell r="D5178">
            <v>44927</v>
          </cell>
        </row>
        <row r="5179">
          <cell r="A5179" t="str">
            <v>WBM-00885-106</v>
          </cell>
          <cell r="B5179" t="str">
            <v>יוקנעם</v>
          </cell>
          <cell r="C5179" t="str">
            <v>יוקנעם - תיקון מערכת המים</v>
          </cell>
          <cell r="D5179">
            <v>45607</v>
          </cell>
        </row>
        <row r="5180">
          <cell r="A5180" t="str">
            <v>WBM-10456-015</v>
          </cell>
          <cell r="B5180" t="str">
            <v>יוקנעם</v>
          </cell>
          <cell r="C5180" t="str">
            <v>יוקנעם- הוספת מתמרים ב-4 פ"צ</v>
          </cell>
          <cell r="D5180">
            <v>46752</v>
          </cell>
        </row>
        <row r="5181">
          <cell r="A5181" t="str">
            <v>WBM-40295-063</v>
          </cell>
          <cell r="B5181" t="str">
            <v>יוקנעם</v>
          </cell>
          <cell r="C5181" t="str">
            <v>יוקנעם - החלפת סוללות מצברים</v>
          </cell>
          <cell r="D5181">
            <v>46721</v>
          </cell>
        </row>
        <row r="5182">
          <cell r="A5182" t="str">
            <v>WBM-60107-034</v>
          </cell>
          <cell r="B5182" t="str">
            <v>יוקנעם</v>
          </cell>
          <cell r="C5182" t="str">
            <v>יוקנעם - החלפת מנעולים אלק.מגנטיים באלק.</v>
          </cell>
          <cell r="D5182">
            <v>45664</v>
          </cell>
        </row>
        <row r="5183">
          <cell r="A5183" t="str">
            <v>WBM-60118-002</v>
          </cell>
          <cell r="B5183" t="str">
            <v>יוקנעם</v>
          </cell>
          <cell r="C5183" t="str">
            <v>יוקנעם - שיפור מערכת הארקה</v>
          </cell>
          <cell r="D5183">
            <v>46721</v>
          </cell>
        </row>
        <row r="5184">
          <cell r="A5184" t="str">
            <v>WBM-60205-049</v>
          </cell>
          <cell r="B5184" t="str">
            <v>יוקנעם</v>
          </cell>
          <cell r="C5184" t="str">
            <v>יוקנעם - ניטור הצפות</v>
          </cell>
          <cell r="D5184">
            <v>46175</v>
          </cell>
        </row>
        <row r="5185">
          <cell r="A5185" t="str">
            <v>WBM-40637-039</v>
          </cell>
          <cell r="B5185" t="str">
            <v>יוקנעם</v>
          </cell>
          <cell r="C5185" t="str">
            <v>יוקנעם-החלפת רושמי הפרעות קיימים מדגם IDM-T3 לרושמים חדשים מדגם IDM+</v>
          </cell>
          <cell r="D5185">
            <v>46660</v>
          </cell>
        </row>
        <row r="5186">
          <cell r="A5186" t="str">
            <v>WBS-TEMP1</v>
          </cell>
          <cell r="B5186" t="str">
            <v>יונתן- חצר חחי</v>
          </cell>
          <cell r="C5186" t="str">
            <v>יונתן חצר חחי– הפרדת חצרים</v>
          </cell>
          <cell r="D5186">
            <v>45838</v>
          </cell>
        </row>
        <row r="5187">
          <cell r="A5187" t="str">
            <v>HIS-164</v>
          </cell>
          <cell r="B5187" t="str">
            <v>יוטבתה (קצא''א)-פרטית</v>
          </cell>
          <cell r="C5187" t="str">
            <v>יוטבתה (קצא"א)-פרטית</v>
          </cell>
          <cell r="D5187">
            <v>40908</v>
          </cell>
        </row>
        <row r="5188">
          <cell r="A5188" t="str">
            <v>HIS-047</v>
          </cell>
          <cell r="B5188" t="str">
            <v>יוטבתה</v>
          </cell>
          <cell r="C5188" t="str">
            <v>יוטבתה</v>
          </cell>
          <cell r="D5188">
            <v>40908</v>
          </cell>
        </row>
        <row r="5189">
          <cell r="A5189" t="str">
            <v>WBE-118</v>
          </cell>
          <cell r="B5189" t="str">
            <v>יוטבתה</v>
          </cell>
          <cell r="C5189" t="str">
            <v>יוטבתה - החלפת שנאי 531 ועיגון השנאי</v>
          </cell>
          <cell r="D5189">
            <v>46752</v>
          </cell>
        </row>
        <row r="5190">
          <cell r="A5190" t="str">
            <v>WBE-118-ST2</v>
          </cell>
          <cell r="B5190" t="str">
            <v>יוטבתה</v>
          </cell>
          <cell r="C5190" t="str">
            <v>יוטבתה- פירוק תחמ"ש ניידת</v>
          </cell>
          <cell r="D5190">
            <v>46842</v>
          </cell>
        </row>
        <row r="5191">
          <cell r="A5191" t="str">
            <v>WBE-120</v>
          </cell>
          <cell r="B5191" t="str">
            <v>יוטבתה</v>
          </cell>
          <cell r="C5191" t="str">
            <v>יוטבתה-שדרוג התחמ"ש-רב שלבי</v>
          </cell>
          <cell r="D5191">
            <v>46325</v>
          </cell>
        </row>
        <row r="5192">
          <cell r="A5192" t="str">
            <v>WBE-120-ST3</v>
          </cell>
          <cell r="B5192" t="str">
            <v>יוטבתה</v>
          </cell>
          <cell r="C5192" t="str">
            <v>יוטבתה - שלב 3</v>
          </cell>
          <cell r="D5192">
            <v>46325</v>
          </cell>
        </row>
        <row r="5193">
          <cell r="A5193" t="str">
            <v>WBE-202</v>
          </cell>
          <cell r="B5193" t="str">
            <v>יוטבתה</v>
          </cell>
          <cell r="C5193" t="str">
            <v>יוטבתה-הוספת שנאי 532 161/36 ק"ו 50 מגוו"א</v>
          </cell>
          <cell r="D5193">
            <v>46325</v>
          </cell>
        </row>
        <row r="5194">
          <cell r="A5194" t="str">
            <v>WBE-120-ST2</v>
          </cell>
          <cell r="B5194" t="str">
            <v>יוטבתה</v>
          </cell>
          <cell r="C5194" t="str">
            <v>יוטבתה-שלב 2-הקמת 2 שדות 161 ק"ו 4,6 חדשים</v>
          </cell>
          <cell r="D5194">
            <v>46173</v>
          </cell>
        </row>
        <row r="5195">
          <cell r="A5195" t="str">
            <v>WBD-071</v>
          </cell>
          <cell r="B5195" t="str">
            <v>יוטבתה</v>
          </cell>
          <cell r="C5195" t="str">
            <v>יוטבתה ניידת-החלפת ניידת 20 ב-30</v>
          </cell>
          <cell r="D5195">
            <v>45260</v>
          </cell>
        </row>
        <row r="5196">
          <cell r="A5196" t="str">
            <v>WBE-120-ST1</v>
          </cell>
          <cell r="B5196" t="str">
            <v>יוטבתה</v>
          </cell>
          <cell r="C5196" t="str">
            <v>יוטבתה-שלב 1-התאמת האתר לקליטת קו מאילת</v>
          </cell>
          <cell r="D5196">
            <v>44642</v>
          </cell>
        </row>
        <row r="5197">
          <cell r="A5197" t="str">
            <v>WDA-1-02-15-16</v>
          </cell>
          <cell r="B5197" t="str">
            <v>יוטבתה</v>
          </cell>
          <cell r="C5197" t="str">
            <v>יוטבתה-החלפה של יחידת קצה של פיקוח ארצי</v>
          </cell>
          <cell r="D5197">
            <v>43434</v>
          </cell>
        </row>
        <row r="5198">
          <cell r="A5198" t="str">
            <v>WDB-04COM25</v>
          </cell>
          <cell r="B5198" t="str">
            <v>יוטבתה</v>
          </cell>
          <cell r="C5198" t="str">
            <v>יוטבתה-הנחת סיב אופטי OPGW (תמנע, פארן)</v>
          </cell>
          <cell r="D5198">
            <v>43156</v>
          </cell>
        </row>
        <row r="5199">
          <cell r="A5199" t="str">
            <v>WBM-70013</v>
          </cell>
          <cell r="B5199" t="str">
            <v>יוטבתה</v>
          </cell>
          <cell r="C5199" t="str">
            <v>יוטבתה- שדה 4החלפת משנק לכוון באר אורה</v>
          </cell>
          <cell r="D5199">
            <v>43992</v>
          </cell>
        </row>
        <row r="5200">
          <cell r="A5200" t="str">
            <v>WBM-00047</v>
          </cell>
          <cell r="B5200" t="str">
            <v>יוטבתה</v>
          </cell>
          <cell r="C5200" t="str">
            <v>יוטבתה-בוטל-שדרוג התחמ"ש</v>
          </cell>
          <cell r="D5200">
            <v>39812</v>
          </cell>
        </row>
        <row r="5201">
          <cell r="A5201" t="str">
            <v>WBM-10144</v>
          </cell>
          <cell r="B5201" t="str">
            <v>יוטבתה</v>
          </cell>
          <cell r="C5201" t="str">
            <v>יוטבתה - התקנת מתמרים ב-2 פ"צ</v>
          </cell>
          <cell r="D5201">
            <v>46752</v>
          </cell>
        </row>
        <row r="5202">
          <cell r="A5202" t="str">
            <v>WBM-00645</v>
          </cell>
          <cell r="B5202" t="str">
            <v>יוטבתה</v>
          </cell>
          <cell r="C5202" t="str">
            <v>יוטבתה-התקנת תקשורת מנהלתית</v>
          </cell>
          <cell r="D5202">
            <v>46752</v>
          </cell>
        </row>
        <row r="5203">
          <cell r="A5203" t="str">
            <v>0243435</v>
          </cell>
          <cell r="B5203" t="str">
            <v>יוטבתה</v>
          </cell>
          <cell r="C5203" t="str">
            <v>יוטבתה-בוטל - החל' ציוד מ"ג מפ"ז והגנות</v>
          </cell>
        </row>
        <row r="5204">
          <cell r="A5204" t="str">
            <v>WBM-10208</v>
          </cell>
          <cell r="B5204" t="str">
            <v>יוטבתה</v>
          </cell>
          <cell r="C5204" t="str">
            <v>יוטבתה - משיק לקו לאילת ש3- החלפת הגנה4</v>
          </cell>
          <cell r="D5204">
            <v>44642</v>
          </cell>
        </row>
        <row r="5205">
          <cell r="A5205" t="str">
            <v>WBM-50003</v>
          </cell>
          <cell r="B5205" t="str">
            <v>יוטבתה</v>
          </cell>
          <cell r="C5205" t="str">
            <v>יוטבתה-הוס' הגנה הפרשית+ישום 2 ד תק (ש4)</v>
          </cell>
          <cell r="D5205">
            <v>44223</v>
          </cell>
        </row>
        <row r="5206">
          <cell r="A5206" t="str">
            <v>WBM-01021</v>
          </cell>
          <cell r="B5206" t="str">
            <v>יוטבתה</v>
          </cell>
          <cell r="C5206" t="str">
            <v>יוטבתה-התקנת קשר בין הגנ.מרחק לבאר אורה</v>
          </cell>
          <cell r="D5206">
            <v>44216</v>
          </cell>
        </row>
        <row r="5207">
          <cell r="A5207" t="str">
            <v>WBM-00661</v>
          </cell>
          <cell r="B5207" t="str">
            <v>יוטבתה</v>
          </cell>
          <cell r="C5207" t="str">
            <v>יוטבתה-הגנות וצ.הצמדה בשדה 6 לקטורה</v>
          </cell>
          <cell r="D5207">
            <v>44105</v>
          </cell>
        </row>
        <row r="5208">
          <cell r="A5208" t="str">
            <v>WBM-00374</v>
          </cell>
          <cell r="B5208" t="str">
            <v>יוטבתה</v>
          </cell>
          <cell r="C5208" t="str">
            <v>יוטבתה-הסדרת הצומת לתחמ"ש יוטבתה.</v>
          </cell>
          <cell r="D5208">
            <v>43788</v>
          </cell>
        </row>
        <row r="5209">
          <cell r="A5209" t="str">
            <v>WBM-00046</v>
          </cell>
          <cell r="B5209" t="str">
            <v>יוטבתה</v>
          </cell>
          <cell r="C5209" t="str">
            <v>יוטבתה-התקנת עמדת כיבוי אש שנייה.</v>
          </cell>
          <cell r="D5209">
            <v>43551</v>
          </cell>
        </row>
        <row r="5210">
          <cell r="A5210" t="str">
            <v>WBG-040-016</v>
          </cell>
          <cell r="B5210" t="str">
            <v>יוטבתה</v>
          </cell>
          <cell r="C5210" t="str">
            <v>יוטבתה-התקנת ממסר ניעול שני</v>
          </cell>
          <cell r="D5210">
            <v>41320</v>
          </cell>
        </row>
        <row r="5211">
          <cell r="A5211" t="str">
            <v>WBG-040-012</v>
          </cell>
          <cell r="B5211" t="str">
            <v>יוטבתה</v>
          </cell>
          <cell r="C5211" t="str">
            <v>יוטבתה-החלפת מערכת גילוי וכיבוי אש</v>
          </cell>
          <cell r="D5211">
            <v>41274</v>
          </cell>
        </row>
        <row r="5212">
          <cell r="A5212" t="str">
            <v>WBG-040-013</v>
          </cell>
          <cell r="B5212" t="str">
            <v>יוטבתה</v>
          </cell>
          <cell r="C5212" t="str">
            <v>יוטבתה-התקנת מערכת מניה</v>
          </cell>
          <cell r="D5212">
            <v>41049</v>
          </cell>
        </row>
        <row r="5213">
          <cell r="A5213" t="str">
            <v>WBM-01051</v>
          </cell>
          <cell r="B5213" t="str">
            <v>יוטבתה</v>
          </cell>
          <cell r="C5213" t="str">
            <v>יוטבתה-בוטל-החלפת מפסקים מ"ג</v>
          </cell>
          <cell r="D5213">
            <v>42335</v>
          </cell>
        </row>
        <row r="5214">
          <cell r="A5214" t="str">
            <v>WBM-60020</v>
          </cell>
          <cell r="B5214" t="str">
            <v>יוטבתה</v>
          </cell>
          <cell r="C5214" t="str">
            <v>יוטבתה-בוטל-בניית תשתית לאיסוף שפכים</v>
          </cell>
          <cell r="D5214">
            <v>43788</v>
          </cell>
        </row>
        <row r="5215">
          <cell r="A5215" t="str">
            <v>WBM-01109</v>
          </cell>
          <cell r="B5215" t="str">
            <v>יוטבתה</v>
          </cell>
          <cell r="C5215" t="str">
            <v>יוטבתה-בוטל-התקנת מאצרת שמן זמנית</v>
          </cell>
          <cell r="D5215">
            <v>42684</v>
          </cell>
        </row>
        <row r="5216">
          <cell r="A5216" t="str">
            <v>WBM-01248</v>
          </cell>
          <cell r="B5216" t="str">
            <v>יוטבתה</v>
          </cell>
          <cell r="C5216" t="str">
            <v>יוטבתה - בוטל-מאצרת שמן קבועה לשנאי</v>
          </cell>
          <cell r="D5216">
            <v>42902</v>
          </cell>
        </row>
        <row r="5217">
          <cell r="A5217" t="str">
            <v>WBM-10009</v>
          </cell>
          <cell r="B5217" t="str">
            <v>יוטבתה</v>
          </cell>
          <cell r="C5217" t="str">
            <v>יוטבתה -בוטל-החלפת רושם הפרעות 161 ק"ו</v>
          </cell>
          <cell r="D5217">
            <v>43138</v>
          </cell>
        </row>
        <row r="5218">
          <cell r="A5218" t="str">
            <v>0243433</v>
          </cell>
          <cell r="B5218" t="str">
            <v>יוטבתה</v>
          </cell>
          <cell r="C5218" t="str">
            <v>יוטבתה-החל' ציוד בשד' 1,4</v>
          </cell>
          <cell r="D5218">
            <v>36164</v>
          </cell>
        </row>
        <row r="5219">
          <cell r="A5219" t="str">
            <v>WBM-40223</v>
          </cell>
          <cell r="B5219" t="str">
            <v>יוטבתה</v>
          </cell>
          <cell r="C5219" t="str">
            <v>יוטבתה-בוטל-החלפת ציוד בשדות  5,6</v>
          </cell>
          <cell r="D5219">
            <v>43158</v>
          </cell>
        </row>
        <row r="5220">
          <cell r="A5220" t="str">
            <v>WBM-60054</v>
          </cell>
          <cell r="B5220" t="str">
            <v>יוטבתה</v>
          </cell>
          <cell r="C5220" t="str">
            <v>יוטבתה - עיגון שנאי ומסדר אפס</v>
          </cell>
          <cell r="D5220">
            <v>45641</v>
          </cell>
        </row>
        <row r="5221">
          <cell r="A5221" t="str">
            <v>WBM-00331</v>
          </cell>
          <cell r="B5221" t="str">
            <v>יוטבתה</v>
          </cell>
          <cell r="C5221" t="str">
            <v>יוטבתה - בוטל- התקנת מערכת טמ"ס</v>
          </cell>
          <cell r="D5221">
            <v>41850</v>
          </cell>
        </row>
        <row r="5222">
          <cell r="A5222">
            <v>539805</v>
          </cell>
          <cell r="B5222" t="str">
            <v>יוטבתה</v>
          </cell>
          <cell r="C5222" t="str">
            <v>יוטבתה ניידת-התקנת מערכת מניה</v>
          </cell>
          <cell r="D5222">
            <v>36164</v>
          </cell>
        </row>
        <row r="5223">
          <cell r="A5223">
            <v>535212</v>
          </cell>
          <cell r="B5223" t="str">
            <v>יוטבתה</v>
          </cell>
          <cell r="C5223" t="str">
            <v>יוטבתה-בוטל-התקנת מערכת התראה ביטחונית</v>
          </cell>
          <cell r="D5223">
            <v>39843</v>
          </cell>
        </row>
        <row r="5224">
          <cell r="A5224" t="str">
            <v>WBM-00462</v>
          </cell>
          <cell r="B5224" t="str">
            <v>יוטבתה</v>
          </cell>
          <cell r="C5224" t="str">
            <v>יוטבתה-בוטל-התקנת 2 הגנת פ"צ 161 ק"ו.</v>
          </cell>
          <cell r="D5224">
            <v>39646</v>
          </cell>
        </row>
        <row r="5225">
          <cell r="A5225">
            <v>535221</v>
          </cell>
          <cell r="B5225" t="str">
            <v>יוטבתה</v>
          </cell>
          <cell r="C5225" t="str">
            <v>יוטבתה-הקמת רשת מחשבים תפעולית</v>
          </cell>
          <cell r="D5225">
            <v>41274</v>
          </cell>
        </row>
        <row r="5226">
          <cell r="A5226">
            <v>535227</v>
          </cell>
          <cell r="B5226" t="str">
            <v>יוטבתה</v>
          </cell>
          <cell r="C5226" t="str">
            <v>יוטבתה-התקנת מאווררים בארונות פיקוד</v>
          </cell>
          <cell r="D5226">
            <v>41182</v>
          </cell>
        </row>
        <row r="5227">
          <cell r="A5227" t="str">
            <v>WBM-00048</v>
          </cell>
          <cell r="B5227" t="str">
            <v>יוטבתה</v>
          </cell>
          <cell r="C5227" t="str">
            <v>יוטבתה-בוטל-החלפת 3 מ.ברק 132 ק"ו 531</v>
          </cell>
          <cell r="D5227">
            <v>41249</v>
          </cell>
        </row>
        <row r="5228">
          <cell r="A5228">
            <v>104174</v>
          </cell>
          <cell r="B5228" t="str">
            <v>יוטבתה</v>
          </cell>
          <cell r="C5228" t="str">
            <v>יוטבתה-התקנת קשר בין הגנות מרחק לפארן</v>
          </cell>
          <cell r="D5228">
            <v>38352</v>
          </cell>
        </row>
        <row r="5229">
          <cell r="A5229" t="str">
            <v>WBD-047</v>
          </cell>
          <cell r="B5229" t="str">
            <v>יוטבתה</v>
          </cell>
          <cell r="C5229" t="str">
            <v>יוטבתה ניידת-הצבת ניידת 20 מגוו"א.</v>
          </cell>
          <cell r="D5229">
            <v>41254</v>
          </cell>
        </row>
        <row r="5230">
          <cell r="A5230">
            <v>212743</v>
          </cell>
          <cell r="B5230" t="str">
            <v>יוטבתה</v>
          </cell>
          <cell r="C5230" t="str">
            <v>יוטבתה- התקנת ס.כיבוי 36 ק"ו, שנאי 531</v>
          </cell>
          <cell r="D5230">
            <v>41828</v>
          </cell>
        </row>
        <row r="5231">
          <cell r="A5231" t="str">
            <v>WBM-60127</v>
          </cell>
          <cell r="B5231" t="str">
            <v>יוטבתה</v>
          </cell>
          <cell r="C5231" t="str">
            <v>יוטבתה– בחינת זרמי קצר בהתאם להסכם מול קצאא</v>
          </cell>
          <cell r="D5231">
            <v>48944</v>
          </cell>
        </row>
        <row r="5232">
          <cell r="A5232" t="str">
            <v>WBM-60008-018</v>
          </cell>
          <cell r="B5232" t="str">
            <v>יוטבתה</v>
          </cell>
          <cell r="C5232" t="str">
            <v>יוטבתה - התקנת מערכת מיגון בתחמ"ש</v>
          </cell>
          <cell r="D5232">
            <v>46752</v>
          </cell>
        </row>
        <row r="5233">
          <cell r="A5233" t="str">
            <v>WBM-60116-003</v>
          </cell>
          <cell r="B5233" t="str">
            <v>יוטבתה</v>
          </cell>
          <cell r="C5233" t="str">
            <v>ניידת  יוטבתה  -בוטל - שידרוג גלאים בתחנות משנה</v>
          </cell>
          <cell r="D5233">
            <v>40543</v>
          </cell>
        </row>
        <row r="5234">
          <cell r="A5234" t="str">
            <v>WBM-40617</v>
          </cell>
          <cell r="B5234" t="str">
            <v>יוטבתה</v>
          </cell>
          <cell r="C5234" t="str">
            <v>יוטבתה - בוטל - התקנת הגנות והרחבת מערכת ה –  SCS עבור שנאי רביעי 532</v>
          </cell>
        </row>
        <row r="5235">
          <cell r="A5235" t="str">
            <v>WBM-10742</v>
          </cell>
          <cell r="B5235" t="str">
            <v>יוטבתה</v>
          </cell>
          <cell r="C5235" t="str">
            <v>יוטבתה- משיק אילת שדה 3,  יישום דרך קשר אופטית בין הגנות בשדה 3</v>
          </cell>
          <cell r="D5235">
            <v>46295</v>
          </cell>
        </row>
        <row r="5236">
          <cell r="A5236" t="str">
            <v>WBM-10744</v>
          </cell>
          <cell r="B5236" t="str">
            <v>יוטבתה</v>
          </cell>
          <cell r="C5236" t="str">
            <v>יוטבתה- משיק לקטורה שדה 1, יישום 2 דרכי קשר בין הגנות לפחות אחת מהן אופטית בשדה 9</v>
          </cell>
          <cell r="D5236">
            <v>46203</v>
          </cell>
        </row>
        <row r="5237">
          <cell r="A5237" t="str">
            <v>WBC-021</v>
          </cell>
          <cell r="B5237" t="str">
            <v>יהלום</v>
          </cell>
          <cell r="C5237" t="str">
            <v>יהלום - הקמת תחמ"ש חיצונית 161/24 ק"ו</v>
          </cell>
          <cell r="D5237">
            <v>42154</v>
          </cell>
        </row>
        <row r="5238">
          <cell r="A5238" t="str">
            <v>WBE-169</v>
          </cell>
          <cell r="B5238" t="str">
            <v>יהלום</v>
          </cell>
          <cell r="C5238" t="str">
            <v>יהלום-הוספת שנאי 50 MVA רב שלבי</v>
          </cell>
          <cell r="D5238">
            <v>46021</v>
          </cell>
        </row>
        <row r="5239">
          <cell r="A5239" t="str">
            <v>WDB-04COM1</v>
          </cell>
          <cell r="B5239" t="str">
            <v>יהלום</v>
          </cell>
          <cell r="C5239" t="str">
            <v>יהלום- הנחת כבל אופטי מכיוון עמק חפר</v>
          </cell>
          <cell r="D5239">
            <v>41912</v>
          </cell>
        </row>
        <row r="5240">
          <cell r="A5240" t="str">
            <v>WBM-00280</v>
          </cell>
          <cell r="B5240" t="str">
            <v>יהלום</v>
          </cell>
          <cell r="C5240" t="str">
            <v>יהלום- התקנת 2 ס"ק 5*2 מגווא"ר כ"א</v>
          </cell>
          <cell r="D5240">
            <v>47756</v>
          </cell>
        </row>
        <row r="5241">
          <cell r="A5241" t="str">
            <v>WBM-10127</v>
          </cell>
          <cell r="B5241" t="str">
            <v>יהלום</v>
          </cell>
          <cell r="C5241" t="str">
            <v>יהלום הוספת מדידת מתח משולש פתוח במסדרי</v>
          </cell>
          <cell r="D5241">
            <v>44223</v>
          </cell>
        </row>
        <row r="5242">
          <cell r="A5242" t="str">
            <v>WBM-01068</v>
          </cell>
          <cell r="B5242" t="str">
            <v>יהלום</v>
          </cell>
          <cell r="C5242" t="str">
            <v>יהלום-יישום נגד ראשוני בשנאים 521-522</v>
          </cell>
          <cell r="D5242">
            <v>43485</v>
          </cell>
        </row>
        <row r="5243">
          <cell r="A5243" t="str">
            <v>WBM-01124</v>
          </cell>
          <cell r="B5243" t="str">
            <v>יהלום</v>
          </cell>
          <cell r="C5243" t="str">
            <v>יהלום -בוטל- יישום נגד ראשוני</v>
          </cell>
          <cell r="D5243">
            <v>42916</v>
          </cell>
        </row>
        <row r="5244">
          <cell r="A5244" t="str">
            <v>WBM-10553</v>
          </cell>
          <cell r="B5244" t="str">
            <v>יהלום</v>
          </cell>
          <cell r="C5244" t="str">
            <v>יהלום-התקנת הגנת פ"צ שנייה</v>
          </cell>
          <cell r="D5244">
            <v>47118</v>
          </cell>
        </row>
        <row r="5245">
          <cell r="A5245" t="str">
            <v>WBE-169-ST1</v>
          </cell>
          <cell r="B5245" t="str">
            <v>יהלום</v>
          </cell>
          <cell r="C5245" t="str">
            <v>יהלום - הוספת שנאי 50 MVA</v>
          </cell>
          <cell r="D5245">
            <v>46021</v>
          </cell>
        </row>
        <row r="5246">
          <cell r="A5246" t="str">
            <v>WBE-169-ST2</v>
          </cell>
          <cell r="B5246" t="str">
            <v>יהלום</v>
          </cell>
          <cell r="C5246" t="str">
            <v>יהלום - הוספת תא מקשר במסדרי מ"ג</v>
          </cell>
          <cell r="D5246">
            <v>45910</v>
          </cell>
        </row>
        <row r="5247">
          <cell r="A5247" t="str">
            <v>WBM-00236-006</v>
          </cell>
          <cell r="B5247" t="str">
            <v>יהלום</v>
          </cell>
          <cell r="C5247" t="str">
            <v>יהלום - בוטל - הפרדת התראות מימן מהתראות כיבוי</v>
          </cell>
          <cell r="D5247">
            <v>45292</v>
          </cell>
        </row>
        <row r="5248">
          <cell r="A5248" t="str">
            <v>WBM-01190-002</v>
          </cell>
          <cell r="B5248" t="str">
            <v>יהלום</v>
          </cell>
          <cell r="C5248" t="str">
            <v>יהלום - החלפת טבעת 92 ל- RAD</v>
          </cell>
          <cell r="D5248">
            <v>45511</v>
          </cell>
        </row>
        <row r="5249">
          <cell r="A5249" t="str">
            <v>WBM-60008-064</v>
          </cell>
          <cell r="B5249" t="str">
            <v>יהלום</v>
          </cell>
          <cell r="C5249" t="str">
            <v>יהלום - מכרכת טמ"ס וגדר אלקטרונית</v>
          </cell>
          <cell r="D5249">
            <v>46077</v>
          </cell>
        </row>
        <row r="5250">
          <cell r="A5250" t="str">
            <v>WBM-60107-025</v>
          </cell>
          <cell r="B5250" t="str">
            <v>יהלום</v>
          </cell>
          <cell r="C5250" t="str">
            <v>יהלום - החלפת מנעולים אלק.מגנטיים באלק.מ</v>
          </cell>
          <cell r="D5250">
            <v>45657</v>
          </cell>
        </row>
        <row r="5251">
          <cell r="A5251" t="str">
            <v>WBM-10597-008</v>
          </cell>
          <cell r="B5251" t="str">
            <v>יהלום</v>
          </cell>
          <cell r="C5251" t="str">
            <v>יהלום - משיק בית יהושע שדה 9,פיילוט יישום תקשורת הגנות בשדה 7</v>
          </cell>
          <cell r="D5251">
            <v>46181</v>
          </cell>
        </row>
        <row r="5252">
          <cell r="A5252" t="str">
            <v>WBM-40634</v>
          </cell>
          <cell r="B5252" t="str">
            <v>יהלום</v>
          </cell>
          <cell r="C5252" t="str">
            <v>יהלום - שקום מערכת הסקאדה  (SCS)</v>
          </cell>
          <cell r="D5252">
            <v>46356</v>
          </cell>
        </row>
        <row r="5253">
          <cell r="A5253" t="str">
            <v>WBM-40637-033</v>
          </cell>
          <cell r="B5253" t="str">
            <v>יהלום</v>
          </cell>
          <cell r="C5253" t="str">
            <v>יהלום-החלפת רושמי הפרעות קיימים מדגם IDM-T3 לרושמים חדשים מדגם IDM+</v>
          </cell>
          <cell r="D5253">
            <v>47177</v>
          </cell>
        </row>
        <row r="5254">
          <cell r="A5254" t="str">
            <v>WBM-60131-017</v>
          </cell>
          <cell r="B5254" t="str">
            <v>יהלום</v>
          </cell>
          <cell r="C5254" t="str">
            <v>יהלום - טיפול באופיין מים</v>
          </cell>
          <cell r="D5254">
            <v>46180</v>
          </cell>
        </row>
        <row r="5255">
          <cell r="A5255" t="str">
            <v>WBS-TEMP2</v>
          </cell>
          <cell r="B5255" t="str">
            <v>יהודיה- חצר חחי</v>
          </cell>
          <cell r="C5255" t="str">
            <v>יהודיה חצר חחי – העברת אחריות על שטח יזם לחח"י</v>
          </cell>
          <cell r="D5255">
            <v>45838</v>
          </cell>
        </row>
        <row r="5256">
          <cell r="A5256" t="str">
            <v>WBE-243</v>
          </cell>
          <cell r="B5256" t="str">
            <v>יהודיה - פרטית</v>
          </cell>
          <cell r="C5256" t="str">
            <v>יהודיה-התקנת 2 ראקטורים בהספק 25 מגו"אר</v>
          </cell>
          <cell r="D5256">
            <v>47848</v>
          </cell>
        </row>
        <row r="5257">
          <cell r="A5257" t="str">
            <v>WBM-40317</v>
          </cell>
          <cell r="B5257" t="str">
            <v>יהודיה - פרטית</v>
          </cell>
          <cell r="C5257" t="str">
            <v>יהודיה-הקמת 2 שדות מעגלים יכולת 2000 א'.</v>
          </cell>
          <cell r="D5257">
            <v>47848</v>
          </cell>
        </row>
        <row r="5258">
          <cell r="A5258" t="str">
            <v>HIS-163</v>
          </cell>
          <cell r="B5258" t="str">
            <v>יהודה פלדות פרטית</v>
          </cell>
          <cell r="C5258" t="str">
            <v>יהודה פלדות פרטית</v>
          </cell>
          <cell r="D5258">
            <v>40908</v>
          </cell>
        </row>
        <row r="5259">
          <cell r="A5259" t="str">
            <v>WBC-091</v>
          </cell>
          <cell r="B5259" t="str">
            <v>יד בנימין</v>
          </cell>
          <cell r="C5259" t="str">
            <v>יד בנימין-הקמת תחמ"ש חיצונית 161/24 ק"ו</v>
          </cell>
          <cell r="D5259">
            <v>49248</v>
          </cell>
        </row>
        <row r="5260">
          <cell r="A5260" t="str">
            <v>HIS-086</v>
          </cell>
          <cell r="B5260" t="str">
            <v>יבנה/ניר גלים</v>
          </cell>
          <cell r="C5260" t="str">
            <v>יבנה</v>
          </cell>
          <cell r="D5260">
            <v>40908</v>
          </cell>
        </row>
        <row r="5261">
          <cell r="A5261" t="str">
            <v>0212735</v>
          </cell>
          <cell r="B5261" t="str">
            <v>יבנה/ניר גלים</v>
          </cell>
          <cell r="C5261" t="str">
            <v>uoe6a-יבנה עיבוי ושדרוג עמוד השדרה</v>
          </cell>
          <cell r="D5261">
            <v>42369</v>
          </cell>
        </row>
        <row r="5262">
          <cell r="A5262" t="str">
            <v>WBE-025</v>
          </cell>
          <cell r="B5262" t="str">
            <v>יבנה/ניר גלים</v>
          </cell>
          <cell r="C5262" t="str">
            <v>יבנה-הקמת מסדר מיתוג 161 ק"ו-4 שלבים</v>
          </cell>
          <cell r="D5262">
            <v>44350</v>
          </cell>
        </row>
        <row r="5263">
          <cell r="A5263" t="str">
            <v>WBE-137</v>
          </cell>
          <cell r="B5263" t="str">
            <v>יבנה/ניר גלים</v>
          </cell>
          <cell r="C5263" t="str">
            <v>יבנה-השלמת המסדר,התקנת שנאי 523</v>
          </cell>
          <cell r="D5263">
            <v>45334</v>
          </cell>
        </row>
        <row r="5264">
          <cell r="A5264" t="str">
            <v>WBE-025-ST6</v>
          </cell>
          <cell r="B5264" t="str">
            <v>יבנה/ניר גלים</v>
          </cell>
          <cell r="C5264" t="str">
            <v>יבנה-השלמת המסדר,התקנת שנאי 523 - שולב</v>
          </cell>
          <cell r="D5264">
            <v>37315</v>
          </cell>
        </row>
        <row r="5265">
          <cell r="A5265" t="str">
            <v>WBE-025-ST7</v>
          </cell>
          <cell r="B5265" t="str">
            <v>יבנה/ניר גלים</v>
          </cell>
          <cell r="C5265" t="str">
            <v>יבנה-פירוק ציוד ופיתוח סופי של האתר-שולב</v>
          </cell>
          <cell r="D5265">
            <v>37315</v>
          </cell>
        </row>
        <row r="5266">
          <cell r="A5266" t="str">
            <v>WBG-039-042</v>
          </cell>
          <cell r="B5266" t="str">
            <v>יבנה/ניר גלים</v>
          </cell>
          <cell r="C5266" t="str">
            <v>יבנה-שידרוג מערכת גידור אלקטרוני</v>
          </cell>
          <cell r="D5266">
            <v>40750</v>
          </cell>
        </row>
        <row r="5267">
          <cell r="A5267" t="str">
            <v>WBM-00278</v>
          </cell>
          <cell r="B5267" t="str">
            <v>יבנה/ניר גלים</v>
          </cell>
          <cell r="C5267" t="str">
            <v>יבנה-התקנת 4 ס"ק  2*5 מגווא"ר כ"א</v>
          </cell>
          <cell r="D5267">
            <v>47391</v>
          </cell>
        </row>
        <row r="5268">
          <cell r="A5268" t="str">
            <v>WBM-10206</v>
          </cell>
          <cell r="B5268" t="str">
            <v>יבנה/ניר גלים</v>
          </cell>
          <cell r="C5268" t="str">
            <v>ניר גלים-משיק לגן רווה, שדה 34 יישום תקשורת בין הגנות והתאמת רושם הפרעות</v>
          </cell>
          <cell r="D5268">
            <v>46326</v>
          </cell>
        </row>
        <row r="5269">
          <cell r="A5269" t="str">
            <v>WBM-10107</v>
          </cell>
          <cell r="B5269" t="str">
            <v>יבנה/ניר גלים</v>
          </cell>
          <cell r="C5269" t="str">
            <v>ניר גלים - שד'17, 19: הגנות. שדה 24 שינו</v>
          </cell>
          <cell r="D5269">
            <v>45067</v>
          </cell>
        </row>
        <row r="5270">
          <cell r="A5270" t="str">
            <v>WBM-01142</v>
          </cell>
          <cell r="B5270" t="str">
            <v>יבנה/ניר גלים</v>
          </cell>
          <cell r="C5270" t="str">
            <v>יבנה  - החלפת הגנה דיפרנציאלית (שדה 21)</v>
          </cell>
          <cell r="D5270">
            <v>43728</v>
          </cell>
        </row>
        <row r="5271">
          <cell r="A5271" t="str">
            <v>WBM-00782</v>
          </cell>
          <cell r="B5271" t="str">
            <v>יבנה/ניר גלים</v>
          </cell>
          <cell r="C5271" t="str">
            <v>יבנה-התקנת מערכת טמ"ס</v>
          </cell>
          <cell r="D5271">
            <v>43387</v>
          </cell>
        </row>
        <row r="5272">
          <cell r="A5272" t="str">
            <v>WBM-10088</v>
          </cell>
          <cell r="B5272" t="str">
            <v>יבנה/ניר גלים</v>
          </cell>
          <cell r="C5272" t="str">
            <v>יבנה  -החלפת שרשראות מבודדים</v>
          </cell>
          <cell r="D5272">
            <v>43263</v>
          </cell>
        </row>
        <row r="5273">
          <cell r="A5273" t="str">
            <v>WBM-00681</v>
          </cell>
          <cell r="B5273" t="str">
            <v>יבנה/ניר גלים</v>
          </cell>
          <cell r="C5273" t="str">
            <v>יבנה-הוספת הגנות בשדה 3</v>
          </cell>
          <cell r="D5273">
            <v>42265</v>
          </cell>
        </row>
        <row r="5274">
          <cell r="A5274" t="str">
            <v>WBM-00882</v>
          </cell>
          <cell r="B5274" t="str">
            <v>יבנה/ניר גלים</v>
          </cell>
          <cell r="C5274" t="str">
            <v>יבנה - חיבור התחנה לקו מים</v>
          </cell>
          <cell r="D5274">
            <v>42229</v>
          </cell>
        </row>
        <row r="5275">
          <cell r="A5275" t="str">
            <v>WBM-00680</v>
          </cell>
          <cell r="B5275" t="str">
            <v>יבנה/ניר גלים</v>
          </cell>
          <cell r="C5275" t="str">
            <v>יבנה-יצירת 2 דרכי תקשורת בשדה 4</v>
          </cell>
          <cell r="D5275">
            <v>42166</v>
          </cell>
        </row>
        <row r="5276">
          <cell r="A5276" t="str">
            <v>WBG-039-035</v>
          </cell>
          <cell r="B5276" t="str">
            <v>יבנה/ניר גלים</v>
          </cell>
          <cell r="C5276" t="str">
            <v>יבנה-התאמת וחיזוק מבדדים בסקציות3+4  1+2</v>
          </cell>
          <cell r="D5276">
            <v>41394</v>
          </cell>
        </row>
        <row r="5277">
          <cell r="A5277" t="str">
            <v>WBG-039-037</v>
          </cell>
          <cell r="B5277" t="str">
            <v>יבנה/ניר גלים</v>
          </cell>
          <cell r="C5277" t="str">
            <v>יבנה-הפרדת סוללות מצברים 220 וולט</v>
          </cell>
          <cell r="D5277">
            <v>41273</v>
          </cell>
        </row>
        <row r="5278">
          <cell r="A5278" t="str">
            <v>WBG-039-040</v>
          </cell>
          <cell r="B5278" t="str">
            <v>יבנה/ניר גלים</v>
          </cell>
          <cell r="C5278" t="str">
            <v>יבנה-הסבת 3 תאים של מכולות מ"ג</v>
          </cell>
          <cell r="D5278">
            <v>40946</v>
          </cell>
        </row>
        <row r="5279">
          <cell r="A5279" t="str">
            <v>WBM-01204</v>
          </cell>
          <cell r="B5279" t="str">
            <v>יבנה/ניר גלים</v>
          </cell>
          <cell r="C5279" t="str">
            <v>יבנה- בוטל-שדרוג הגנות מרחק בשדה 36</v>
          </cell>
          <cell r="D5279">
            <v>42885</v>
          </cell>
        </row>
        <row r="5280">
          <cell r="A5280" t="str">
            <v>WBM-01245</v>
          </cell>
          <cell r="B5280" t="str">
            <v>יבנה/ניר גלים</v>
          </cell>
          <cell r="C5280" t="str">
            <v>יבנה - בוטל-התקנת מאצרות שמן 'קבועות'</v>
          </cell>
          <cell r="D5280">
            <v>42902</v>
          </cell>
        </row>
        <row r="5281">
          <cell r="A5281" t="str">
            <v>WBM-50005</v>
          </cell>
          <cell r="B5281" t="str">
            <v>יבנה/ניר גלים</v>
          </cell>
          <cell r="C5281" t="str">
            <v>יבנה/ניר גלים-בוטל, ציוד הצ בשדה 19 לאת</v>
          </cell>
          <cell r="D5281">
            <v>43885</v>
          </cell>
        </row>
        <row r="5282">
          <cell r="A5282" t="str">
            <v>WBM-01000</v>
          </cell>
          <cell r="B5282" t="str">
            <v>יבנה/ניר גלים</v>
          </cell>
          <cell r="C5282" t="str">
            <v>יבנה -בוטל-התאמת הגנות המעגלים למ. החדש</v>
          </cell>
          <cell r="D5282">
            <v>42172</v>
          </cell>
        </row>
        <row r="5283">
          <cell r="A5283" t="str">
            <v>WBM-01311</v>
          </cell>
          <cell r="B5283" t="str">
            <v>יבנה/ניר גלים</v>
          </cell>
          <cell r="C5283" t="str">
            <v>יבנה-בוטל-החלפת הגנת קווים מ"ע מסוג LZ31</v>
          </cell>
          <cell r="D5283">
            <v>42948</v>
          </cell>
        </row>
        <row r="5284">
          <cell r="A5284" t="str">
            <v>WBM-00913</v>
          </cell>
          <cell r="B5284" t="str">
            <v>יבנה/ניר גלים</v>
          </cell>
          <cell r="C5284" t="str">
            <v>יבנה-בוטל- הוספת דרך קשר  לאתגל ולפז"א</v>
          </cell>
          <cell r="D5284">
            <v>41292</v>
          </cell>
        </row>
        <row r="5285">
          <cell r="A5285" t="str">
            <v>WBM-00345</v>
          </cell>
          <cell r="B5285" t="str">
            <v>יבנה/ניר גלים</v>
          </cell>
          <cell r="C5285" t="str">
            <v>יבנה-קשר בין הגנות לכיוון מחז"מ אשכול</v>
          </cell>
          <cell r="D5285">
            <v>41367</v>
          </cell>
        </row>
        <row r="5286">
          <cell r="A5286">
            <v>534099</v>
          </cell>
          <cell r="B5286" t="str">
            <v>יבנה/ניר גלים</v>
          </cell>
          <cell r="C5286" t="str">
            <v>יבנה-עיגון שנאי 525</v>
          </cell>
          <cell r="D5286">
            <v>41912</v>
          </cell>
        </row>
        <row r="5287">
          <cell r="A5287" t="str">
            <v>WBM-00044</v>
          </cell>
          <cell r="B5287" t="str">
            <v>יבנה/ניר גלים</v>
          </cell>
          <cell r="C5287" t="str">
            <v>יבנה-בוטל-התקנת עמדת כיבוי אש שנייה</v>
          </cell>
        </row>
        <row r="5288">
          <cell r="A5288">
            <v>534045</v>
          </cell>
          <cell r="B5288" t="str">
            <v>יבנה/ניר גלים</v>
          </cell>
          <cell r="C5288" t="str">
            <v>יבנה-בוטל-התקנת מערכת התראה ביטחונית</v>
          </cell>
          <cell r="D5288">
            <v>39690</v>
          </cell>
        </row>
        <row r="5289">
          <cell r="A5289" t="str">
            <v>WBM-00461</v>
          </cell>
          <cell r="B5289" t="str">
            <v>יבנה/ניר גלים</v>
          </cell>
          <cell r="C5289" t="str">
            <v>יבנה-בוטל-התקנת מצוף התראה למיכל דלק</v>
          </cell>
          <cell r="D5289">
            <v>39646</v>
          </cell>
        </row>
        <row r="5290">
          <cell r="A5290">
            <v>534057</v>
          </cell>
          <cell r="B5290" t="str">
            <v>יבנה/ניר גלים</v>
          </cell>
          <cell r="C5290" t="str">
            <v>יבנה-התקנת מאווררים בארונות פיקוד</v>
          </cell>
          <cell r="D5290">
            <v>41182</v>
          </cell>
        </row>
        <row r="5291">
          <cell r="A5291" t="str">
            <v>WBM-01013</v>
          </cell>
          <cell r="B5291" t="str">
            <v>יבנה/ניר גלים</v>
          </cell>
          <cell r="C5291" t="str">
            <v>יבנה-בוטל-החלפת 3 מגיני ברק מ"ע  (521)</v>
          </cell>
          <cell r="D5291">
            <v>40903</v>
          </cell>
        </row>
        <row r="5292">
          <cell r="A5292" t="str">
            <v>WBG-039-006</v>
          </cell>
          <cell r="B5292" t="str">
            <v>יבנה/ניר גלים</v>
          </cell>
          <cell r="C5292" t="str">
            <v>יבנה-התקנת קשר הגנות מרחק עתידי לה.אשדוד</v>
          </cell>
          <cell r="D5292">
            <v>39983</v>
          </cell>
        </row>
        <row r="5293">
          <cell r="A5293" t="str">
            <v>WBG-039-037-ST2</v>
          </cell>
          <cell r="B5293" t="str">
            <v>יבנה/ניר גלים</v>
          </cell>
          <cell r="C5293" t="str">
            <v>יבנה-שינוי תאורת מסדר 161 ק"ו</v>
          </cell>
          <cell r="D5293">
            <v>40353</v>
          </cell>
        </row>
        <row r="5294">
          <cell r="A5294" t="str">
            <v>WBM-00045</v>
          </cell>
          <cell r="B5294" t="str">
            <v>יבנה/ניר גלים</v>
          </cell>
          <cell r="C5294" t="str">
            <v>יבנה-בוטל-החלפת הגנות LZ31</v>
          </cell>
        </row>
        <row r="5295">
          <cell r="A5295" t="str">
            <v>WBM-01374</v>
          </cell>
          <cell r="B5295" t="str">
            <v>יבנה/ניר גלים</v>
          </cell>
          <cell r="C5295" t="str">
            <v>יבנה-מיגון מתקנים פיזי</v>
          </cell>
          <cell r="D5295">
            <v>45350</v>
          </cell>
        </row>
        <row r="5296">
          <cell r="A5296" t="str">
            <v>WBE-025-ST5</v>
          </cell>
          <cell r="B5296" t="str">
            <v>יבנה/ניר גלים</v>
          </cell>
          <cell r="C5296" t="str">
            <v>יבנה- פירוק שנאים 521,523,524 ביבנה</v>
          </cell>
          <cell r="D5296">
            <v>43132</v>
          </cell>
        </row>
        <row r="5297">
          <cell r="A5297" t="str">
            <v>WBE-025-ST1</v>
          </cell>
          <cell r="B5297" t="str">
            <v>יבנה/ניר גלים</v>
          </cell>
          <cell r="C5297" t="str">
            <v>יבנה-הקמת מסדר מיתוג 161 ק"ו חיצוני</v>
          </cell>
          <cell r="D5297">
            <v>43083</v>
          </cell>
        </row>
        <row r="5298">
          <cell r="A5298" t="str">
            <v>WBM-00357</v>
          </cell>
          <cell r="B5298" t="str">
            <v>יבנה/ניר גלים</v>
          </cell>
          <cell r="C5298" t="str">
            <v>יבנה-פרוק מסדר 110 ק"ו, פרוק התשתיות</v>
          </cell>
          <cell r="D5298">
            <v>41577</v>
          </cell>
        </row>
        <row r="5299">
          <cell r="A5299" t="str">
            <v>WBE-025-ST4</v>
          </cell>
          <cell r="B5299" t="str">
            <v>יבנה/ניר גלים</v>
          </cell>
          <cell r="C5299" t="str">
            <v>יבנה- העברת קווים והשלמת המסדר-2 שדות</v>
          </cell>
          <cell r="D5299">
            <v>43707</v>
          </cell>
        </row>
        <row r="5300">
          <cell r="A5300" t="str">
            <v>WBM-00279</v>
          </cell>
          <cell r="B5300" t="str">
            <v>יבנה/ניר גלים</v>
          </cell>
          <cell r="C5300" t="str">
            <v>יבנה-התאמת שדות 36,34 וקשר בין הגנות</v>
          </cell>
          <cell r="D5300">
            <v>42828</v>
          </cell>
        </row>
        <row r="5301">
          <cell r="A5301" t="str">
            <v>WBE-025-ST3</v>
          </cell>
          <cell r="B5301" t="str">
            <v>יבנה/ניר גלים</v>
          </cell>
          <cell r="C5301" t="str">
            <v>יבנה-התקנת שנאי 526  ופרוק שנאי 522</v>
          </cell>
          <cell r="D5301">
            <v>42265</v>
          </cell>
        </row>
        <row r="5302">
          <cell r="A5302" t="str">
            <v>WBE-025-ST2</v>
          </cell>
          <cell r="B5302" t="str">
            <v>יבנה/ניר גלים</v>
          </cell>
          <cell r="C5302" t="str">
            <v>יבנה-החלפת 3 מפס"ז 161 ק"ו</v>
          </cell>
          <cell r="D5302">
            <v>42078</v>
          </cell>
        </row>
        <row r="5303">
          <cell r="A5303" t="str">
            <v>WBM-00972</v>
          </cell>
          <cell r="B5303" t="str">
            <v>יבנה/ניר גלים</v>
          </cell>
          <cell r="C5303" t="str">
            <v>יבנה-החלפת הגנה LZ31 בהגנה דיפרנציאלית</v>
          </cell>
          <cell r="D5303">
            <v>42775</v>
          </cell>
        </row>
        <row r="5304">
          <cell r="A5304" t="str">
            <v>WBM-10563</v>
          </cell>
          <cell r="B5304" t="str">
            <v>יבנה/ניר גלים</v>
          </cell>
          <cell r="C5304" t="str">
            <v>ניר גלים- החלפת מפסק זרם מ"ע בשדה 36</v>
          </cell>
          <cell r="D5304">
            <v>45509</v>
          </cell>
        </row>
        <row r="5305">
          <cell r="A5305" t="str">
            <v>WBM-00885-107</v>
          </cell>
          <cell r="B5305" t="str">
            <v>יבנה/ניר גלים</v>
          </cell>
          <cell r="C5305" t="str">
            <v>ניר גלים (יבנה) - החלפת ברזי הסנקה</v>
          </cell>
          <cell r="D5305">
            <v>46022</v>
          </cell>
        </row>
        <row r="5306">
          <cell r="A5306" t="str">
            <v>WBM-10456-011</v>
          </cell>
          <cell r="B5306" t="str">
            <v>יבנה/ניר גלים</v>
          </cell>
          <cell r="C5306" t="str">
            <v>ניר גלים - הוספת מתמרים ב-5 פ"צ</v>
          </cell>
          <cell r="D5306">
            <v>46568</v>
          </cell>
        </row>
        <row r="5307">
          <cell r="A5307" t="str">
            <v>WBM-40295-031</v>
          </cell>
          <cell r="B5307" t="str">
            <v>יבנה/ניר גלים</v>
          </cell>
          <cell r="C5307" t="str">
            <v>ניר גלים החלפת 2 סוללות 530AH</v>
          </cell>
          <cell r="D5307">
            <v>46721</v>
          </cell>
        </row>
        <row r="5308">
          <cell r="A5308" t="str">
            <v>WBM-40479-003</v>
          </cell>
          <cell r="B5308" t="str">
            <v>יבנה/ניר גלים</v>
          </cell>
          <cell r="C5308" t="str">
            <v>ניר גלים- החלפת 4 בקרי טמפ' וגובה שמן בש</v>
          </cell>
          <cell r="D5308">
            <v>47664</v>
          </cell>
        </row>
        <row r="5309">
          <cell r="A5309" t="str">
            <v>WBM-60088-015</v>
          </cell>
          <cell r="B5309" t="str">
            <v>יבנה/ניר גלים</v>
          </cell>
          <cell r="C5309" t="str">
            <v>ניר גלים/יבנה - אסדרה סביבתית</v>
          </cell>
          <cell r="D5309">
            <v>46446</v>
          </cell>
        </row>
        <row r="5310">
          <cell r="A5310" t="str">
            <v>WBJ-020</v>
          </cell>
          <cell r="B5310" t="str">
            <v>יבנה/ניר גלים</v>
          </cell>
          <cell r="C5310" t="str">
            <v>ניר גלים-הקמת תחמ"ג 400/161, 650*3 מגוו"א</v>
          </cell>
          <cell r="D5310">
            <v>48944</v>
          </cell>
        </row>
        <row r="5311">
          <cell r="A5311" t="str">
            <v>WBM-10315-081</v>
          </cell>
          <cell r="B5311" t="str">
            <v>יבנה/ניר גלים</v>
          </cell>
          <cell r="C5311" t="str">
            <v>ניר גלים -בוטל- התקנת מזגנים</v>
          </cell>
        </row>
        <row r="5312">
          <cell r="A5312" t="str">
            <v>WBM-60116-045</v>
          </cell>
          <cell r="B5312" t="str">
            <v>יבנה/ניר גלים</v>
          </cell>
          <cell r="C5312" t="str">
            <v>יבנה - מערכות גילוי אש להחלפה CERBERUS</v>
          </cell>
          <cell r="D5312">
            <v>46721</v>
          </cell>
        </row>
        <row r="5313">
          <cell r="A5313" t="str">
            <v>WBJ-009</v>
          </cell>
          <cell r="B5313" t="str">
            <v>יבור</v>
          </cell>
          <cell r="C5313" t="str">
            <v>יבור-הקמת תחמ"ג 400/161 ק"ו,575*2</v>
          </cell>
          <cell r="D5313">
            <v>51439</v>
          </cell>
        </row>
        <row r="5314">
          <cell r="A5314" t="str">
            <v>WBE-249</v>
          </cell>
          <cell r="B5314" t="str">
            <v>יאסיף - תחמ"ש</v>
          </cell>
          <cell r="C5314" t="str">
            <v>יאסיף-התקנת שני שנאים בהספק 50 מגו"א כ"א</v>
          </cell>
          <cell r="D5314">
            <v>46752</v>
          </cell>
        </row>
        <row r="5315">
          <cell r="A5315">
            <v>9915237</v>
          </cell>
          <cell r="B5315" t="str">
            <v>יאסיף</v>
          </cell>
          <cell r="C5315" t="str">
            <v>יאסיף-קליטת תח"כ בהספק של 68.7 מגוו"ט</v>
          </cell>
          <cell r="D5315">
            <v>45757</v>
          </cell>
        </row>
        <row r="5316">
          <cell r="A5316" t="str">
            <v>WBO-898</v>
          </cell>
          <cell r="B5316" t="str">
            <v>טרמינל לאשלים- PLOT A</v>
          </cell>
          <cell r="C5316" t="str">
            <v>טרמינל לאשלים- בוטל- PLOT A-הקמת עמוד טרמינל חדש לתת"ק עבור PLOT</v>
          </cell>
        </row>
        <row r="5317">
          <cell r="A5317" t="str">
            <v>WBC-050</v>
          </cell>
          <cell r="B5317" t="str">
            <v>טרומן</v>
          </cell>
          <cell r="C5317" t="str">
            <v>טרומן - הקמת תחמ"ש פנימית 161/24 ק"ו</v>
          </cell>
          <cell r="D5317">
            <v>46599</v>
          </cell>
        </row>
        <row r="5318">
          <cell r="A5318" t="str">
            <v>WBD-095</v>
          </cell>
          <cell r="B5318" t="str">
            <v>טנא עומרים ניידת</v>
          </cell>
          <cell r="C5318" t="str">
            <v>טנא עומרים ניידת-הוקפא - תכנון הצבת ניידת</v>
          </cell>
        </row>
        <row r="5319">
          <cell r="A5319" t="str">
            <v>WBD-095-ST2</v>
          </cell>
          <cell r="B5319" t="str">
            <v>טנא עומרים ניידת</v>
          </cell>
          <cell r="C5319" t="str">
            <v>טנא עומרים ניידת - הוקפא - פירוק תחמ"ש ניידת</v>
          </cell>
        </row>
        <row r="5320">
          <cell r="A5320" t="str">
            <v>WBC-133</v>
          </cell>
          <cell r="B5320" t="str">
            <v>טנא עומרים</v>
          </cell>
          <cell r="C5320" t="str">
            <v>טנא עומרים - הקמת תחמ"ש חיצונית 161/36 ק"ו</v>
          </cell>
          <cell r="D5320">
            <v>48883</v>
          </cell>
        </row>
        <row r="5321">
          <cell r="A5321" t="str">
            <v>WBD-062-ST2</v>
          </cell>
          <cell r="B5321" t="str">
            <v>טייבה ניידת</v>
          </cell>
          <cell r="C5321" t="str">
            <v>טייבה ניידת-פירוק תחמ"ש ניידת</v>
          </cell>
          <cell r="D5321">
            <v>44899</v>
          </cell>
        </row>
        <row r="5322">
          <cell r="A5322" t="str">
            <v>WBM-01081</v>
          </cell>
          <cell r="B5322" t="str">
            <v>טייבה ניידת</v>
          </cell>
          <cell r="C5322" t="str">
            <v>טיבה ניידת-בוטל-שיפוץ ניידת באתר טייבה</v>
          </cell>
          <cell r="D5322">
            <v>42625</v>
          </cell>
        </row>
        <row r="5323">
          <cell r="A5323" t="str">
            <v>WBD-062</v>
          </cell>
          <cell r="B5323" t="str">
            <v>טייבה ניידת</v>
          </cell>
          <cell r="C5323" t="str">
            <v>טייבה ניידת-הצבת  תחמ"ש ניידת</v>
          </cell>
          <cell r="D5323">
            <v>42590</v>
          </cell>
        </row>
        <row r="5324">
          <cell r="A5324" t="str">
            <v>WBC-114</v>
          </cell>
          <cell r="B5324" t="str">
            <v>טייבה</v>
          </cell>
          <cell r="C5324" t="str">
            <v>טייבה-הקמת תחמ"ש פנימית 161/24 ק"ו</v>
          </cell>
          <cell r="D5324">
            <v>48213</v>
          </cell>
        </row>
        <row r="5325">
          <cell r="A5325">
            <v>744527</v>
          </cell>
          <cell r="B5325" t="str">
            <v>ט''ג תח"כ חיפה</v>
          </cell>
          <cell r="C5325" t="str">
            <v>ט"ג חיפה-החלפת מפסק זרם CB4</v>
          </cell>
          <cell r="D5325">
            <v>41628</v>
          </cell>
        </row>
        <row r="5326">
          <cell r="A5326" t="str">
            <v>WBM-60092-021</v>
          </cell>
          <cell r="B5326" t="str">
            <v>ט''ג תח"כ חיפה</v>
          </cell>
          <cell r="C5326" t="str">
            <v>בימ"ל חיפה-בדיקות/טיפול/פינוי מכלי אש בג</v>
          </cell>
          <cell r="D5326">
            <v>46387</v>
          </cell>
        </row>
        <row r="5327">
          <cell r="A5327" t="str">
            <v>79999-2</v>
          </cell>
          <cell r="B5327" t="str">
            <v>טבע -טק-פרטית</v>
          </cell>
          <cell r="C5327" t="str">
            <v>טבע טק-הקמת תחמ"ש פרטית</v>
          </cell>
          <cell r="D5327">
            <v>41569</v>
          </cell>
        </row>
        <row r="5328">
          <cell r="A5328" t="str">
            <v>WBM-00740</v>
          </cell>
          <cell r="B5328" t="str">
            <v>טבע -טק-פרטית</v>
          </cell>
          <cell r="C5328" t="str">
            <v>טבע טק- התקנת ציוד הצמדה בשדה 1 למכתשים</v>
          </cell>
          <cell r="D5328">
            <v>41973</v>
          </cell>
        </row>
        <row r="5329">
          <cell r="A5329" t="str">
            <v>WBM-00764</v>
          </cell>
          <cell r="B5329" t="str">
            <v>טבע -טק-פרטית</v>
          </cell>
          <cell r="C5329" t="str">
            <v>טבע טק - תקשורת לתחמ"ש</v>
          </cell>
          <cell r="D5329">
            <v>42555</v>
          </cell>
        </row>
        <row r="5330">
          <cell r="A5330" t="str">
            <v>WBM-00739</v>
          </cell>
          <cell r="B5330" t="str">
            <v>טבע -טק-פרטית</v>
          </cell>
          <cell r="C5330" t="str">
            <v>טבע טק-התקנת NBPLC דרך קשר שניה למכתשים</v>
          </cell>
          <cell r="D5330">
            <v>42277</v>
          </cell>
        </row>
        <row r="5331">
          <cell r="A5331" t="str">
            <v>WBM-00741</v>
          </cell>
          <cell r="B5331" t="str">
            <v>טבע -טק-פרטית</v>
          </cell>
          <cell r="C5331" t="str">
            <v>טבע טק- התקנת ציוד OM למכתשים</v>
          </cell>
          <cell r="D5331">
            <v>41728</v>
          </cell>
        </row>
        <row r="5332">
          <cell r="A5332" t="str">
            <v>WBM-10316-010</v>
          </cell>
          <cell r="B5332" t="str">
            <v>טבע -טק-פרטית</v>
          </cell>
          <cell r="C5332" t="str">
            <v>טבע טק- חיבור רושמי הפרעות למתג מנהלת</v>
          </cell>
          <cell r="D5332">
            <v>45607</v>
          </cell>
        </row>
        <row r="5333">
          <cell r="A5333" t="str">
            <v>WBM-40295-069</v>
          </cell>
          <cell r="B5333" t="str">
            <v>טבע -טק-פרטית</v>
          </cell>
          <cell r="C5333" t="str">
            <v>טבע טק - החלפת סוללות מצברים</v>
          </cell>
          <cell r="D5333">
            <v>46721</v>
          </cell>
        </row>
        <row r="5334">
          <cell r="A5334" t="str">
            <v>WBM-80014-010</v>
          </cell>
          <cell r="B5334" t="str">
            <v>טבע -טק-פרטית</v>
          </cell>
          <cell r="C5334" t="str">
            <v>טבע טק - שדרוג SCS</v>
          </cell>
          <cell r="D5334">
            <v>46022</v>
          </cell>
        </row>
        <row r="5335">
          <cell r="A5335" t="str">
            <v>HIS-162</v>
          </cell>
          <cell r="B5335" t="str">
            <v>טאוור-פרטית</v>
          </cell>
          <cell r="C5335" t="str">
            <v>טאוור-פרטית</v>
          </cell>
          <cell r="D5335">
            <v>40908</v>
          </cell>
        </row>
        <row r="5336">
          <cell r="A5336" t="str">
            <v>WBO-500</v>
          </cell>
          <cell r="B5336" t="str">
            <v>חשמול הרכבת לאילת</v>
          </cell>
          <cell r="C5336" t="str">
            <v>חשמול הרכבת לאילת-בוטל-תכנון מסעפים ל-9 תה"ר</v>
          </cell>
        </row>
        <row r="5337">
          <cell r="A5337" t="str">
            <v>WBC-069</v>
          </cell>
          <cell r="B5337" t="str">
            <v>חריש</v>
          </cell>
          <cell r="C5337" t="str">
            <v>חריש- הקמת תחמ"ש פנימית  161/24 ק"ו</v>
          </cell>
          <cell r="D5337">
            <v>44083</v>
          </cell>
        </row>
        <row r="5338">
          <cell r="A5338" t="str">
            <v>WBM-01008</v>
          </cell>
          <cell r="B5338" t="str">
            <v>חריש</v>
          </cell>
          <cell r="C5338" t="str">
            <v>חריש-התקנת 2 ס.קבלים 24 ק"ו,5*2 מגואו"ר</v>
          </cell>
          <cell r="D5338">
            <v>46476</v>
          </cell>
        </row>
        <row r="5339">
          <cell r="A5339" t="str">
            <v>WBM-10199</v>
          </cell>
          <cell r="B5339" t="str">
            <v>חריש</v>
          </cell>
          <cell r="C5339" t="str">
            <v>חריש - מערכת בקרת טמפ' בחדר מצברים</v>
          </cell>
          <cell r="D5339">
            <v>45134</v>
          </cell>
        </row>
        <row r="5340">
          <cell r="A5340" t="str">
            <v>WBM-00885-065</v>
          </cell>
          <cell r="B5340" t="str">
            <v>חריש</v>
          </cell>
          <cell r="C5340" t="str">
            <v>חריש - תיקון מערכת מיים</v>
          </cell>
          <cell r="D5340">
            <v>46092</v>
          </cell>
        </row>
        <row r="5341">
          <cell r="A5341" t="str">
            <v>WBM-40521-004</v>
          </cell>
          <cell r="B5341" t="str">
            <v>חריש</v>
          </cell>
          <cell r="C5341" t="str">
            <v>חריש - החלפת 2 שנאי הארקה</v>
          </cell>
          <cell r="D5341">
            <v>46721</v>
          </cell>
        </row>
        <row r="5342">
          <cell r="A5342" t="str">
            <v>WBM-00236-011</v>
          </cell>
          <cell r="B5342" t="str">
            <v>חריש</v>
          </cell>
          <cell r="C5342" t="str">
            <v>חריש- הפרדת התראות מימן מהתראות כיבוי אש</v>
          </cell>
          <cell r="D5342">
            <v>46387</v>
          </cell>
        </row>
        <row r="5343">
          <cell r="A5343" t="str">
            <v>WBE-315</v>
          </cell>
          <cell r="B5343" t="str">
            <v>חריש</v>
          </cell>
          <cell r="C5343" t="str">
            <v>חריש-התקנת שנאי שלישי 161/24 ק"ו, 50 מגוו"א.</v>
          </cell>
          <cell r="D5343">
            <v>46934</v>
          </cell>
        </row>
        <row r="5344">
          <cell r="A5344" t="str">
            <v>WBK-012</v>
          </cell>
          <cell r="B5344" t="str">
            <v>חרובית</v>
          </cell>
          <cell r="C5344" t="str">
            <v>חרובית-הקמת דיאמטר רביעי  400 ק"ו</v>
          </cell>
          <cell r="D5344">
            <v>45120</v>
          </cell>
        </row>
        <row r="5345">
          <cell r="A5345" t="str">
            <v>WBM-10390</v>
          </cell>
          <cell r="B5345" t="str">
            <v>חרובית</v>
          </cell>
          <cell r="C5345" t="str">
            <v>חרובית 400 - משיק-תקשורת בין הגנות שA1</v>
          </cell>
          <cell r="D5345">
            <v>45371</v>
          </cell>
        </row>
        <row r="5346">
          <cell r="A5346" t="str">
            <v>WBM-10449</v>
          </cell>
          <cell r="B5346" t="str">
            <v>חרובית</v>
          </cell>
          <cell r="C5346" t="str">
            <v>חרובית 400 -משיק-תקשורת בין הגנות שb4</v>
          </cell>
          <cell r="D5346">
            <v>45645</v>
          </cell>
        </row>
        <row r="5347">
          <cell r="A5347" t="str">
            <v>WBM-10455</v>
          </cell>
          <cell r="B5347" t="str">
            <v>חרובית</v>
          </cell>
          <cell r="C5347" t="str">
            <v>חרובית 400 - הוספת ביטול ח"ח מרחוק</v>
          </cell>
          <cell r="D5347">
            <v>45231</v>
          </cell>
        </row>
        <row r="5348">
          <cell r="A5348" t="str">
            <v>WBM-10008</v>
          </cell>
          <cell r="B5348" t="str">
            <v>חרובית</v>
          </cell>
          <cell r="C5348" t="str">
            <v>חרובית-בוטל-התקנת רושם הפרעות 400 ק"ו</v>
          </cell>
          <cell r="D5348">
            <v>43138</v>
          </cell>
        </row>
        <row r="5349">
          <cell r="A5349" t="str">
            <v>WBM-10166</v>
          </cell>
          <cell r="B5349" t="str">
            <v>חרובית</v>
          </cell>
          <cell r="C5349" t="str">
            <v>חרובית - בוטל-העברת ממסר LOR הגנת שנאי</v>
          </cell>
          <cell r="D5349">
            <v>44123</v>
          </cell>
        </row>
        <row r="5350">
          <cell r="A5350" t="str">
            <v>WBJ-011</v>
          </cell>
          <cell r="B5350" t="str">
            <v>חרובית</v>
          </cell>
          <cell r="C5350" t="str">
            <v>חרובית- הקמת דיאמטר שלישי  400 ק"ו</v>
          </cell>
          <cell r="D5350">
            <v>42033</v>
          </cell>
        </row>
        <row r="5351">
          <cell r="A5351" t="str">
            <v>WEC-012</v>
          </cell>
          <cell r="B5351" t="str">
            <v>חרובית</v>
          </cell>
          <cell r="C5351" t="str">
            <v>חרובית -יזמות- הקמת דיאמטר חמישי 400 ק"ו</v>
          </cell>
          <cell r="D5351">
            <v>45687</v>
          </cell>
        </row>
        <row r="5352">
          <cell r="A5352" t="str">
            <v>WBM-10467</v>
          </cell>
          <cell r="B5352" t="str">
            <v>חרובית</v>
          </cell>
          <cell r="C5352" t="str">
            <v>חרובית 400 ק"ו , שדה 2B- משיק לדימונה סולארי 400 ק"ו שדה 9, תקשורת אופטית בין הגנות</v>
          </cell>
          <cell r="D5352">
            <v>45496</v>
          </cell>
        </row>
        <row r="5353">
          <cell r="B5353" t="str">
            <v>חרובית</v>
          </cell>
          <cell r="C5353" t="str">
            <v>חרובית- בוטל - החלפת רושמי הפרעות קיימים מדגם IDM-T3 לרושמים חדשים מדגם IDM+</v>
          </cell>
        </row>
        <row r="5354">
          <cell r="A5354" t="str">
            <v>WBM-40637-008</v>
          </cell>
          <cell r="B5354" t="str">
            <v>חרובית</v>
          </cell>
          <cell r="C5354" t="str">
            <v>חרובית-החלפת רושמי הפרעות קיימים מדגם IDM-T3 לרושמים חדשים מדגם IDM+</v>
          </cell>
          <cell r="D5354">
            <v>46752</v>
          </cell>
        </row>
        <row r="5355">
          <cell r="A5355" t="str">
            <v>WBD-054</v>
          </cell>
          <cell r="B5355" t="str">
            <v>חצבה (ספיר) ניידת</v>
          </cell>
          <cell r="C5355" t="str">
            <v>חצבה (ספיר) ניידת-תחמ"ש ניידת 161/36 ק"ו</v>
          </cell>
          <cell r="D5355">
            <v>46022</v>
          </cell>
        </row>
        <row r="5356">
          <cell r="A5356" t="str">
            <v>WBD-054-ST2</v>
          </cell>
          <cell r="B5356" t="str">
            <v>חצבה (ספיר) ניידת</v>
          </cell>
          <cell r="C5356" t="str">
            <v>חצבה (ספיר) ניידת-פירוק תחמ"ש ניידת 161/36 ק"ו</v>
          </cell>
          <cell r="D5356">
            <v>47938</v>
          </cell>
        </row>
        <row r="5357">
          <cell r="A5357" t="str">
            <v>WBJ-004</v>
          </cell>
          <cell r="B5357" t="str">
            <v>חפר</v>
          </cell>
          <cell r="C5357" t="str">
            <v>חפר-הקמת תחמ"ג 400/161 ק"ו,650*3 מגוו"א- שנאי קישור שלישי 454 יותקן ולא יחושמל-רב שלבי</v>
          </cell>
          <cell r="D5357">
            <v>46873</v>
          </cell>
        </row>
        <row r="5358">
          <cell r="A5358" t="str">
            <v>WBJ-004-ST3</v>
          </cell>
          <cell r="B5358" t="str">
            <v>חפר</v>
          </cell>
          <cell r="C5358" t="str">
            <v>חפר- הקמת מסדר 161 ק"ו</v>
          </cell>
          <cell r="D5358">
            <v>46387</v>
          </cell>
        </row>
        <row r="5359">
          <cell r="A5359" t="str">
            <v>WBJ-004-ST1</v>
          </cell>
          <cell r="B5359" t="str">
            <v>חפר</v>
          </cell>
          <cell r="C5359" t="str">
            <v>עמק חפר-עבודות קדם להקמת מסדר 161 ק"ו</v>
          </cell>
          <cell r="D5359">
            <v>45371</v>
          </cell>
        </row>
        <row r="5360">
          <cell r="A5360" t="str">
            <v>WBJ-004-ST2</v>
          </cell>
          <cell r="B5360" t="str">
            <v>חפר</v>
          </cell>
          <cell r="C5360" t="str">
            <v>חפר-קידום סטטוטורי של ת. מיתוג 400/161</v>
          </cell>
          <cell r="D5360">
            <v>45054</v>
          </cell>
        </row>
        <row r="5361">
          <cell r="A5361" t="str">
            <v>WBJ-004-ST4</v>
          </cell>
          <cell r="B5361" t="str">
            <v>חפר</v>
          </cell>
          <cell r="C5361" t="str">
            <v>חפר-הקמת תחמ"ג 400/161 ק"ו,650*3 מגוו"א- שנאי קישור שלישי 454 יותקן ולא יחושמל</v>
          </cell>
          <cell r="D5361">
            <v>46873</v>
          </cell>
        </row>
        <row r="5362">
          <cell r="A5362" t="str">
            <v>WBK-019</v>
          </cell>
          <cell r="B5362" t="str">
            <v>חפר</v>
          </cell>
          <cell r="C5362" t="str">
            <v>חפר- התקנת שנאי קישור שלישי 400/161 ק"ו ,650 מגוו"א</v>
          </cell>
          <cell r="D5362">
            <v>48579</v>
          </cell>
        </row>
        <row r="5363">
          <cell r="A5363" t="str">
            <v>WBD-124</v>
          </cell>
          <cell r="B5363" t="str">
            <v>חפר</v>
          </cell>
          <cell r="C5363" t="str">
            <v>חפר ארעית- הקמת תחמ"ש ארעית</v>
          </cell>
          <cell r="D5363">
            <v>46234</v>
          </cell>
        </row>
        <row r="5364">
          <cell r="A5364" t="str">
            <v>WBD-124-ST2</v>
          </cell>
          <cell r="B5364" t="str">
            <v>חפר</v>
          </cell>
          <cell r="C5364" t="str">
            <v>חפר ארעית- פירוק תחמ"ש ארעית</v>
          </cell>
          <cell r="D5364">
            <v>46477</v>
          </cell>
        </row>
        <row r="5365">
          <cell r="A5365" t="str">
            <v>WBC-208</v>
          </cell>
          <cell r="B5365" t="str">
            <v>חספין</v>
          </cell>
          <cell r="C5365" t="str">
            <v>חספין-הקמת תחנת משנה חיצונית 161/24 ק"ו, 50*4  מגוו"א</v>
          </cell>
          <cell r="D5365">
            <v>47847</v>
          </cell>
        </row>
        <row r="5366">
          <cell r="A5366" t="str">
            <v>WBC-205</v>
          </cell>
          <cell r="B5366" t="str">
            <v>חמדיה (רמת הצבאים)</v>
          </cell>
          <cell r="C5366" t="str">
            <v>חמדיה (רמת הצבאים)-תחנת משנה חיצונית 161/24</v>
          </cell>
          <cell r="D5366">
            <v>47482</v>
          </cell>
        </row>
        <row r="5367">
          <cell r="A5367" t="str">
            <v>WBC-205-ST2</v>
          </cell>
          <cell r="B5367" t="str">
            <v>חמדיה (רמת הצבאים)</v>
          </cell>
          <cell r="C5367" t="str">
            <v>חמדיה (רמת הצבאים)-שולב- אישור תוכנית מתאר</v>
          </cell>
        </row>
        <row r="5368">
          <cell r="A5368">
            <v>9985281</v>
          </cell>
          <cell r="B5368" t="str">
            <v>חלוציות (מושב אוהד)</v>
          </cell>
          <cell r="C5368" t="str">
            <v>חלוציות-קליטת תח"כ בהספק של 55 מגוו"ט</v>
          </cell>
          <cell r="D5368">
            <v>42184</v>
          </cell>
        </row>
        <row r="5369">
          <cell r="A5369" t="str">
            <v>WBE-117</v>
          </cell>
          <cell r="B5369" t="str">
            <v>חלוציות (מושב אוהד)</v>
          </cell>
          <cell r="C5369" t="str">
            <v>חלוציות-התקנת שנאי 50 מגוו"א ומסדר אפס</v>
          </cell>
          <cell r="D5369">
            <v>45134</v>
          </cell>
        </row>
        <row r="5370">
          <cell r="A5370" t="str">
            <v>WBM-01261</v>
          </cell>
          <cell r="B5370" t="str">
            <v>חלוציות (מושב אוהד)</v>
          </cell>
          <cell r="C5370" t="str">
            <v>חלוציות -התאמת הגנות בשדה 7  ליחפ צאלים</v>
          </cell>
          <cell r="D5370">
            <v>43631</v>
          </cell>
        </row>
        <row r="5371">
          <cell r="A5371" t="str">
            <v>WBM-10196</v>
          </cell>
          <cell r="B5371" t="str">
            <v>חלוציות (מושב אוהד)</v>
          </cell>
          <cell r="C5371" t="str">
            <v>חלוציות-משיק לניר יצחק,החלפת הג. דיפ. ש3</v>
          </cell>
          <cell r="D5371">
            <v>46691</v>
          </cell>
        </row>
        <row r="5372">
          <cell r="A5372" t="str">
            <v>WBM-10468</v>
          </cell>
          <cell r="B5372" t="str">
            <v>חלוציות (מושב אוהד)</v>
          </cell>
          <cell r="C5372" t="str">
            <v>חלוציות- שדה 3, העברת אותות TT בציוד קרייר</v>
          </cell>
          <cell r="D5372">
            <v>46233</v>
          </cell>
        </row>
        <row r="5373">
          <cell r="A5373" t="str">
            <v>WBM-10456-036</v>
          </cell>
          <cell r="B5373" t="str">
            <v>חלוציות (מושב אוהד)</v>
          </cell>
          <cell r="C5373" t="str">
            <v>חלוציות - התקנת מתמרים</v>
          </cell>
          <cell r="D5373">
            <v>46752</v>
          </cell>
        </row>
        <row r="5374">
          <cell r="A5374" t="str">
            <v>WBM-40295-070</v>
          </cell>
          <cell r="B5374" t="str">
            <v>חלוציות (מושב אוהד)</v>
          </cell>
          <cell r="C5374" t="str">
            <v>חלוציות - החלפת סוללות מצברים</v>
          </cell>
          <cell r="D5374">
            <v>46721</v>
          </cell>
        </row>
        <row r="5375">
          <cell r="A5375" t="str">
            <v>WBM-40521-022</v>
          </cell>
          <cell r="B5375" t="str">
            <v>חלוציות (מושב אוהד)</v>
          </cell>
          <cell r="C5375" t="str">
            <v>חלוציות - החלפת שנאי הארקה</v>
          </cell>
          <cell r="D5375">
            <v>46721</v>
          </cell>
        </row>
        <row r="5376">
          <cell r="A5376" t="str">
            <v>WBM-60128-006</v>
          </cell>
          <cell r="B5376" t="str">
            <v>חלוציות (מושב אוהד)</v>
          </cell>
          <cell r="C5376" t="str">
            <v>חלוציות - שדרוג ותוספות מיגון בתחמשים פרטיים</v>
          </cell>
          <cell r="D5376">
            <v>46721</v>
          </cell>
        </row>
        <row r="5377">
          <cell r="A5377" t="str">
            <v>WBM-60116-040</v>
          </cell>
          <cell r="B5377" t="str">
            <v>חלוציות (מושב אוהד)</v>
          </cell>
          <cell r="C5377" t="str">
            <v>חלוציות - שידרוג גלאים בתחנות משנה</v>
          </cell>
          <cell r="D5377">
            <v>46721</v>
          </cell>
        </row>
        <row r="5378">
          <cell r="A5378" t="str">
            <v>WCQ-6-00-01292</v>
          </cell>
          <cell r="B5378" t="str">
            <v>חיפה 2701</v>
          </cell>
          <cell r="C5378" t="str">
            <v>יציאות מתחמ"ש מבוא כרמל</v>
          </cell>
          <cell r="D5378">
            <v>46265</v>
          </cell>
        </row>
        <row r="5379">
          <cell r="A5379" t="str">
            <v>WCQ-6-00-01293</v>
          </cell>
          <cell r="B5379" t="str">
            <v>חיפה 2701</v>
          </cell>
          <cell r="C5379" t="str">
            <v>יציאות מתחמ"ש דלית אל כרמל</v>
          </cell>
          <cell r="D5379">
            <v>45961</v>
          </cell>
        </row>
        <row r="5380">
          <cell r="A5380" t="str">
            <v>WCQ-6-00-01294</v>
          </cell>
          <cell r="B5380" t="str">
            <v>חיפה 2701</v>
          </cell>
          <cell r="C5380" t="str">
            <v>יציאות מתחמ"ש אסיף (ביכורים)</v>
          </cell>
          <cell r="D5380">
            <v>46934</v>
          </cell>
        </row>
        <row r="5381">
          <cell r="A5381" t="str">
            <v>WCT-6-00-01050</v>
          </cell>
          <cell r="B5381" t="str">
            <v>חיפה 2701</v>
          </cell>
          <cell r="C5381" t="str">
            <v>בטיחות - סילוק מפגעים; חיפה</v>
          </cell>
          <cell r="D5381">
            <v>46752</v>
          </cell>
        </row>
        <row r="5382">
          <cell r="A5382" t="str">
            <v>WHP-6-00-01071</v>
          </cell>
          <cell r="B5382" t="str">
            <v>חיפה 2701</v>
          </cell>
          <cell r="C5382" t="str">
            <v>אספקת חשמל לשכונת גבעת אלונים-קריית אתא</v>
          </cell>
          <cell r="D5382">
            <v>46752</v>
          </cell>
        </row>
        <row r="5383">
          <cell r="A5383" t="str">
            <v>WHP-6-00-01143</v>
          </cell>
          <cell r="B5383" t="str">
            <v>חיפה 2701</v>
          </cell>
          <cell r="C5383" t="str">
            <v>יצור מבוזר חיפה</v>
          </cell>
          <cell r="D5383">
            <v>49673</v>
          </cell>
        </row>
        <row r="5384">
          <cell r="A5384" t="str">
            <v>WHP-6-00-01235</v>
          </cell>
          <cell r="B5384" t="str">
            <v>חיפה 2701</v>
          </cell>
          <cell r="C5384" t="str">
            <v>אס.חש. לשכ' דרומית ב' ומורדות לינקולן</v>
          </cell>
          <cell r="D5384">
            <v>47118</v>
          </cell>
        </row>
        <row r="5385">
          <cell r="A5385" t="str">
            <v>WHP-6-00-01237</v>
          </cell>
          <cell r="B5385" t="str">
            <v>חיפה 2701</v>
          </cell>
          <cell r="C5385" t="str">
            <v>אספקה וחיבור חשמל לשכ' גלי ים, קרית ים</v>
          </cell>
          <cell r="D5385">
            <v>45291</v>
          </cell>
        </row>
        <row r="5386">
          <cell r="A5386" t="str">
            <v>WHP-6-00-01245</v>
          </cell>
          <cell r="B5386" t="str">
            <v>חיפה 2701</v>
          </cell>
          <cell r="C5386" t="str">
            <v>אספקה וחיבור חשמל לרכב חשמלי חיפה</v>
          </cell>
          <cell r="D5386">
            <v>49674</v>
          </cell>
        </row>
        <row r="5387">
          <cell r="A5387" t="str">
            <v>WHP-6-00-01316</v>
          </cell>
          <cell r="B5387" t="str">
            <v>חיפה 2701</v>
          </cell>
          <cell r="C5387" t="str">
            <v>רכבת קלה קו חיפה-נוף הגליל (מרחב חיפה)</v>
          </cell>
          <cell r="D5387">
            <v>46752</v>
          </cell>
        </row>
        <row r="5388">
          <cell r="A5388" t="str">
            <v>WCQ-6-00-01172</v>
          </cell>
          <cell r="B5388" t="str">
            <v>חיפה 2701</v>
          </cell>
          <cell r="C5388" t="str">
            <v>יציאות מתחמ"ש עתלית</v>
          </cell>
          <cell r="D5388">
            <v>46295</v>
          </cell>
        </row>
        <row r="5389">
          <cell r="A5389" t="str">
            <v>WCQ-6-00-01176</v>
          </cell>
          <cell r="B5389" t="str">
            <v>חיפה 2701</v>
          </cell>
          <cell r="C5389" t="str">
            <v>יציאות מתחמ"ש אבליים</v>
          </cell>
          <cell r="D5389">
            <v>46265</v>
          </cell>
        </row>
        <row r="5390">
          <cell r="A5390" t="str">
            <v>WCS-6-00-01128</v>
          </cell>
          <cell r="B5390" t="str">
            <v>חיפה 2701</v>
          </cell>
          <cell r="C5390" t="str">
            <v>חידוש אמינות - נפת חיפה</v>
          </cell>
          <cell r="D5390">
            <v>45291</v>
          </cell>
        </row>
        <row r="5391">
          <cell r="A5391" t="str">
            <v>WHP-6-00-01045</v>
          </cell>
          <cell r="B5391" t="str">
            <v>חיפה 2701</v>
          </cell>
          <cell r="C5391" t="str">
            <v>אספקת חשמל לקרית מוצקין- משכנות אומנים</v>
          </cell>
          <cell r="D5391">
            <v>45473</v>
          </cell>
        </row>
        <row r="5392">
          <cell r="A5392" t="str">
            <v>WHP-6-00-01046</v>
          </cell>
          <cell r="B5392" t="str">
            <v>חיפה 2701</v>
          </cell>
          <cell r="C5392" t="str">
            <v>אספקת חשמל לקרית ביאליק- נאות אפק</v>
          </cell>
          <cell r="D5392">
            <v>47118</v>
          </cell>
        </row>
        <row r="5393">
          <cell r="A5393" t="str">
            <v>WHP-6-00-01047</v>
          </cell>
          <cell r="B5393" t="str">
            <v>חיפה 2701</v>
          </cell>
          <cell r="C5393" t="str">
            <v>אספקת חשמל לטירת הכרמל</v>
          </cell>
          <cell r="D5393">
            <v>45657</v>
          </cell>
        </row>
        <row r="5394">
          <cell r="A5394" t="str">
            <v>WHP-6-00-01236</v>
          </cell>
          <cell r="B5394" t="str">
            <v>חיפה 2701</v>
          </cell>
          <cell r="C5394" t="str">
            <v>אספקה וחיבור חשמל לשכ' גבעת זמר</v>
          </cell>
          <cell r="D5394">
            <v>47118</v>
          </cell>
        </row>
        <row r="5395">
          <cell r="A5395" t="str">
            <v>WCQ-6-00-01361</v>
          </cell>
          <cell r="B5395" t="str">
            <v>חיפה 2701</v>
          </cell>
          <cell r="C5395" t="str">
            <v>יציאות מתחמ"ש קישון</v>
          </cell>
          <cell r="D5395">
            <v>46568</v>
          </cell>
        </row>
        <row r="5396">
          <cell r="A5396" t="str">
            <v>WCQ-6-00-01362</v>
          </cell>
          <cell r="B5396" t="str">
            <v>חיפה 2701</v>
          </cell>
          <cell r="C5396" t="str">
            <v>יציאות מתחמ"ש שפרינצק</v>
          </cell>
          <cell r="D5396">
            <v>46783</v>
          </cell>
        </row>
        <row r="5397">
          <cell r="A5397" t="str">
            <v>WCS-6-00-01396</v>
          </cell>
          <cell r="B5397" t="str">
            <v>חיפה 2701</v>
          </cell>
          <cell r="C5397" t="str">
            <v>חיפה- אמינות תוספתי</v>
          </cell>
          <cell r="D5397">
            <v>49674</v>
          </cell>
        </row>
        <row r="5398">
          <cell r="A5398" t="str">
            <v>WCS-6-00-01408</v>
          </cell>
          <cell r="B5398" t="str">
            <v>חיפה 2701</v>
          </cell>
          <cell r="C5398" t="str">
            <v>חיפה - אמינות חידוש</v>
          </cell>
          <cell r="D5398">
            <v>49674</v>
          </cell>
        </row>
        <row r="5399">
          <cell r="A5399" t="str">
            <v>WCS-6-00-01325</v>
          </cell>
          <cell r="B5399" t="str">
            <v>חיפה 2701</v>
          </cell>
          <cell r="C5399" t="str">
            <v>מיגון רכיבי רשת להגנה על ציפורים-חיפה</v>
          </cell>
          <cell r="D5399">
            <v>46203</v>
          </cell>
        </row>
        <row r="5400">
          <cell r="A5400" t="str">
            <v>WHP-6-00-01363</v>
          </cell>
          <cell r="B5400" t="str">
            <v>חיפה 2701</v>
          </cell>
          <cell r="C5400" t="str">
            <v>אספקת חשמל לשכונות ברכסים</v>
          </cell>
          <cell r="D5400">
            <v>46752</v>
          </cell>
        </row>
        <row r="5401">
          <cell r="A5401" t="str">
            <v>WHP-6-00-01364</v>
          </cell>
          <cell r="B5401" t="str">
            <v>חיפה 2701</v>
          </cell>
          <cell r="C5401" t="str">
            <v>אספקת חשמל לשכונת גבעת הכלניות ק.אתא</v>
          </cell>
          <cell r="D5401">
            <v>48213</v>
          </cell>
        </row>
        <row r="5402">
          <cell r="A5402" t="str">
            <v>WHP-6-00-01423</v>
          </cell>
          <cell r="B5402" t="str">
            <v>חיפה 2701</v>
          </cell>
          <cell r="C5402" t="str">
            <v>העתקת תשתיות להכפלת מסילת החוף- חיפה</v>
          </cell>
          <cell r="D5402">
            <v>47848</v>
          </cell>
        </row>
        <row r="5403">
          <cell r="A5403" t="str">
            <v>WHP-6-00-01428</v>
          </cell>
          <cell r="B5403" t="str">
            <v>חיפה 2701</v>
          </cell>
          <cell r="C5403" t="str">
            <v>אספקת חשמל לשכונת אגמי כרמל בנשר</v>
          </cell>
          <cell r="D5403">
            <v>48944</v>
          </cell>
        </row>
        <row r="5404">
          <cell r="A5404" t="str">
            <v>WCQ-6-00-01431</v>
          </cell>
          <cell r="B5404" t="str">
            <v>חיפה 2701</v>
          </cell>
          <cell r="C5404" t="str">
            <v>יציאות מתחמ"ש יאסיף (מקטע מ"ב חיפה)</v>
          </cell>
          <cell r="D5404">
            <v>46387</v>
          </cell>
        </row>
        <row r="5405">
          <cell r="A5405" t="str">
            <v>WHP-6-00-01249</v>
          </cell>
          <cell r="B5405" t="str">
            <v>חיפה 2701</v>
          </cell>
          <cell r="C5405" t="str">
            <v>חיבור מוסדות חינוך לרשת החשמל - חיפה</v>
          </cell>
          <cell r="D5405">
            <v>49674</v>
          </cell>
        </row>
        <row r="5406">
          <cell r="A5406" t="str">
            <v>WCQ-6-00-01438</v>
          </cell>
          <cell r="B5406" t="str">
            <v>חיפה 2701</v>
          </cell>
          <cell r="C5406" t="str">
            <v>יציאות מתחמ"ש זבולון</v>
          </cell>
          <cell r="D5406">
            <v>46752</v>
          </cell>
        </row>
        <row r="5407">
          <cell r="A5407" t="str">
            <v>WCP-6-00-01450</v>
          </cell>
          <cell r="B5407" t="str">
            <v>חיפה 2701</v>
          </cell>
          <cell r="C5407" t="str">
            <v>בוטל</v>
          </cell>
          <cell r="D5407">
            <v>46752</v>
          </cell>
        </row>
        <row r="5408">
          <cell r="A5408" t="str">
            <v>WHP-6-00-01451</v>
          </cell>
          <cell r="B5408" t="str">
            <v>חיפה 2701</v>
          </cell>
          <cell r="C5408" t="str">
            <v>אספקת חשמל לשכונה מזרחית בשפרעם</v>
          </cell>
          <cell r="D5408">
            <v>46752</v>
          </cell>
        </row>
        <row r="5409">
          <cell r="A5409" t="str">
            <v>WHP-6-00-01504</v>
          </cell>
          <cell r="B5409" t="str">
            <v>חיפה 2701</v>
          </cell>
          <cell r="C5409" t="str">
            <v>הגרלה ייצור מבוזר חיפה</v>
          </cell>
          <cell r="D5409">
            <v>46022</v>
          </cell>
        </row>
        <row r="5410">
          <cell r="A5410" t="str">
            <v>WHP-6-00-01520</v>
          </cell>
          <cell r="B5410" t="str">
            <v>חיפה 2701</v>
          </cell>
          <cell r="C5410" t="str">
            <v>אספקת חשמל לשכונת אבוקדו- קרית אתא</v>
          </cell>
          <cell r="D5410">
            <v>47848</v>
          </cell>
        </row>
        <row r="5411">
          <cell r="A5411" t="str">
            <v>WHP-6-00-01521</v>
          </cell>
          <cell r="B5411" t="str">
            <v>חיפה 2701</v>
          </cell>
          <cell r="C5411" t="str">
            <v>אספקת חשמל לשכונת אג"ש קרית ים</v>
          </cell>
          <cell r="D5411">
            <v>47848</v>
          </cell>
        </row>
        <row r="5412">
          <cell r="A5412" t="str">
            <v>WHP-6-00-01534</v>
          </cell>
          <cell r="B5412" t="str">
            <v>חיפה 2701</v>
          </cell>
          <cell r="C5412" t="str">
            <v>אספקת חשמל לשכונת אנשי קבע קרית ים</v>
          </cell>
          <cell r="D5412">
            <v>48760</v>
          </cell>
        </row>
        <row r="5413">
          <cell r="A5413" t="str">
            <v>WHP-6-00-01551</v>
          </cell>
          <cell r="B5413" t="str">
            <v>חיפה 2701</v>
          </cell>
          <cell r="C5413" t="str">
            <v>פרויקט פינוי בינוי יוספטל קרית ים</v>
          </cell>
          <cell r="D5413">
            <v>48579</v>
          </cell>
        </row>
        <row r="5414">
          <cell r="A5414" t="str">
            <v>WCQ-6-00-01552</v>
          </cell>
          <cell r="B5414" t="str">
            <v>חיפה 2701</v>
          </cell>
          <cell r="C5414" t="str">
            <v>יציאות מתחמ"ש אדמירליטי</v>
          </cell>
          <cell r="D5414">
            <v>46752</v>
          </cell>
        </row>
        <row r="5415">
          <cell r="A5415" t="str">
            <v>WCS-6-00-01563</v>
          </cell>
          <cell r="B5415" t="str">
            <v>חיפה 2701</v>
          </cell>
          <cell r="C5415" t="str">
            <v>החלפת מופות מ"ג - מרחב חיפה</v>
          </cell>
          <cell r="D5415">
            <v>49674</v>
          </cell>
        </row>
        <row r="5416">
          <cell r="A5416" t="str">
            <v>WHP-6-00-01584</v>
          </cell>
          <cell r="B5416" t="str">
            <v>חיפה 2701</v>
          </cell>
          <cell r="C5416" t="str">
            <v>אמינות- שיפורים - חיפה</v>
          </cell>
          <cell r="D5416">
            <v>50040</v>
          </cell>
        </row>
        <row r="5417">
          <cell r="A5417" t="str">
            <v>WCQ-6-00-01601</v>
          </cell>
          <cell r="B5417" t="str">
            <v>חיפה 2701</v>
          </cell>
          <cell r="C5417" t="str">
            <v>2 יציאות מתחמ"ש מבוא כרמל לכיוון דלית אל כרמל</v>
          </cell>
          <cell r="D5417">
            <v>46752</v>
          </cell>
        </row>
        <row r="5418">
          <cell r="A5418" t="str">
            <v>WBN-102</v>
          </cell>
          <cell r="B5418" t="str">
            <v>חיבור תעשיה הרטוב</v>
          </cell>
          <cell r="C5418" t="str">
            <v>חיבור תעשיה הרטוב-בוטל-תמ"א 10/ב/11</v>
          </cell>
          <cell r="D5418">
            <v>43059</v>
          </cell>
        </row>
        <row r="5419">
          <cell r="A5419" t="str">
            <v>WBO-126</v>
          </cell>
          <cell r="B5419" t="str">
            <v>חיבור תעשיה אדומים</v>
          </cell>
          <cell r="C5419" t="str">
            <v>חיבור תעשיה אדומים-חיבור מעמ' מ"ע לפורטל</v>
          </cell>
          <cell r="D5419">
            <v>44273</v>
          </cell>
        </row>
        <row r="5420">
          <cell r="A5420" t="str">
            <v>WBO-546</v>
          </cell>
          <cell r="B5420" t="str">
            <v>חיבור תעלת הימים</v>
          </cell>
          <cell r="C5420" t="str">
            <v>חיבור תעלת הימים-הוקפא-תכנון ואיתור תואי</v>
          </cell>
          <cell r="D5420">
            <v>44926</v>
          </cell>
        </row>
        <row r="5421">
          <cell r="A5421" t="str">
            <v>WBA-110-LN2</v>
          </cell>
          <cell r="B5421" t="str">
            <v>חיבור תחמ''ש עתידים (ירקון חדשה</v>
          </cell>
          <cell r="C5421" t="str">
            <v>חיבור תחמ"ש עתידים-העתקת קווים</v>
          </cell>
          <cell r="D5421">
            <v>41912</v>
          </cell>
        </row>
        <row r="5422">
          <cell r="A5422" t="str">
            <v>WBA-110</v>
          </cell>
          <cell r="B5422" t="str">
            <v>חיבור תחמ''ש עתידים (ירקון חדשה</v>
          </cell>
          <cell r="C5422" t="str">
            <v>חיבור תחמ"ש עתידים-העברת מעגלים</v>
          </cell>
          <cell r="D5422">
            <v>41389</v>
          </cell>
        </row>
        <row r="5423">
          <cell r="A5423" t="str">
            <v>WBO-481</v>
          </cell>
          <cell r="B5423" t="str">
            <v>חיבור תחמ''ש עתידים (ירקון חדשה</v>
          </cell>
          <cell r="C5423" t="str">
            <v>חיבור תחמ"ש עתידים-פירוק עמ' 1082-1086</v>
          </cell>
          <cell r="D5423">
            <v>42368</v>
          </cell>
        </row>
        <row r="5424">
          <cell r="A5424" t="str">
            <v>WBO-143</v>
          </cell>
          <cell r="B5424" t="str">
            <v>חיבור תחמ''ג ירושלים ל-161 ק''ו</v>
          </cell>
          <cell r="C5424" t="str">
            <v>חיבור תחמ"ג ירושלים-161-א. ספיר</v>
          </cell>
          <cell r="D5424">
            <v>47299</v>
          </cell>
        </row>
        <row r="5425">
          <cell r="A5425" t="str">
            <v>WBO-162</v>
          </cell>
          <cell r="B5425" t="str">
            <v>חיבור תחמ''ג ירושלים ל-161 ק''ו</v>
          </cell>
          <cell r="C5425" t="str">
            <v>חיבור תחמ"ג ירושלים לטרמינלים הצפוניים</v>
          </cell>
          <cell r="D5425">
            <v>47299</v>
          </cell>
        </row>
        <row r="5426">
          <cell r="A5426" t="str">
            <v>WBO-163</v>
          </cell>
          <cell r="B5426" t="str">
            <v>חיבור תחמ''ג ירושלים ל-161 ק''ו</v>
          </cell>
          <cell r="C5426" t="str">
            <v>חיבור תחמ"ג ירושלים-לאבן ספיר-טרמינלים</v>
          </cell>
          <cell r="D5426">
            <v>47299</v>
          </cell>
        </row>
        <row r="5427">
          <cell r="A5427" t="str">
            <v>WBO-164</v>
          </cell>
          <cell r="B5427" t="str">
            <v>חיבור תחמ''ג ירושלים ל-161 ק''ו</v>
          </cell>
          <cell r="C5427" t="str">
            <v>חיבור תחמ"ג ירושלים-צפונה</v>
          </cell>
          <cell r="D5427">
            <v>47299</v>
          </cell>
        </row>
        <row r="5428">
          <cell r="A5428" t="str">
            <v>WBO-121</v>
          </cell>
          <cell r="B5428" t="str">
            <v>חיבור תחמ''ג ירושלים ל-161 ק''ו</v>
          </cell>
          <cell r="C5428" t="str">
            <v>חיבור תחמ"ג ירושלים-לעטרות-כבל תת-קרקעי</v>
          </cell>
          <cell r="D5428">
            <v>47299</v>
          </cell>
        </row>
        <row r="5429">
          <cell r="A5429" t="str">
            <v>WBO-122</v>
          </cell>
          <cell r="B5429" t="str">
            <v>חיבור תחמ''ג ירושלים ל-161 ק''ו</v>
          </cell>
          <cell r="C5429" t="str">
            <v>חיבור תחמ"ג ירושלים ל-161 ק"ו-לק.הלאום</v>
          </cell>
          <cell r="D5429">
            <v>47299</v>
          </cell>
        </row>
        <row r="5430">
          <cell r="A5430" t="str">
            <v>WBO-107</v>
          </cell>
          <cell r="B5430" t="str">
            <v>חיבור תחמ''ג ירושלים ל-161 ק''ו</v>
          </cell>
          <cell r="C5430" t="str">
            <v>חיבור תחמ"ג ירושלים ל-161 ק"ו-לת.אדומים</v>
          </cell>
          <cell r="D5430">
            <v>47299</v>
          </cell>
        </row>
        <row r="5431">
          <cell r="A5431" t="str">
            <v>9999-LN6</v>
          </cell>
          <cell r="B5431" t="str">
            <v>חיבור תחמ''ג איילון</v>
          </cell>
          <cell r="C5431" t="str">
            <v>חיבור תחמ"ג איילון-הקמת 6 טרמינלים</v>
          </cell>
          <cell r="D5431">
            <v>42368</v>
          </cell>
        </row>
        <row r="5432">
          <cell r="A5432" t="str">
            <v>WBO-203</v>
          </cell>
          <cell r="B5432" t="str">
            <v>חיבור תחמ''ג איילון</v>
          </cell>
          <cell r="C5432" t="str">
            <v>חיבור תחמ"ג איילון-הנחת כבלים תת-קרקעיים</v>
          </cell>
          <cell r="D5432">
            <v>42369</v>
          </cell>
        </row>
        <row r="5433">
          <cell r="A5433">
            <v>9402</v>
          </cell>
          <cell r="B5433" t="str">
            <v>חיבור תח''כ מכתשים</v>
          </cell>
          <cell r="C5433" t="str">
            <v>חיבור תח"כ מכתשים-לקו ירוק ברום -ר.חובב</v>
          </cell>
          <cell r="D5433">
            <v>41879</v>
          </cell>
        </row>
        <row r="5434">
          <cell r="A5434" t="str">
            <v>WBN-605</v>
          </cell>
          <cell r="B5434" t="str">
            <v>חיבור תחה"כ קסם</v>
          </cell>
          <cell r="C5434" t="str">
            <v>חיבור תחה"כ קסם-הקמת 2 מסעפים דו מעגליים מקו 400 ק"ו מעגל  אשכול השרון וגזר-פ"ת</v>
          </cell>
          <cell r="D5434">
            <v>46964</v>
          </cell>
        </row>
        <row r="5435">
          <cell r="A5435" t="str">
            <v>WBD-034-LN1</v>
          </cell>
          <cell r="B5435" t="str">
            <v>חיבור ניידת מעלה אפריים 2</v>
          </cell>
          <cell r="C5435" t="str">
            <v>חיבור ניידת מעלה אפריים 2</v>
          </cell>
          <cell r="D5435">
            <v>41003</v>
          </cell>
        </row>
        <row r="5436">
          <cell r="A5436" t="str">
            <v>WBD-038-LN1</v>
          </cell>
          <cell r="B5436" t="str">
            <v>חיבור נחל צופים ניידת</v>
          </cell>
          <cell r="C5436" t="str">
            <v>חיבור נחל צופים ניידת</v>
          </cell>
          <cell r="D5436">
            <v>41205</v>
          </cell>
        </row>
        <row r="5437">
          <cell r="A5437" t="str">
            <v>WBO-620</v>
          </cell>
          <cell r="B5437" t="str">
            <v>חיבור מתקן התפלה אשדוד</v>
          </cell>
          <cell r="C5437" t="str">
            <v>חיבור מתקן התפלה אשדוד-עבודות תכנון מקדי</v>
          </cell>
          <cell r="D5437">
            <v>45290</v>
          </cell>
        </row>
        <row r="5438">
          <cell r="A5438" t="str">
            <v>WBN-011</v>
          </cell>
          <cell r="B5438" t="str">
            <v>חיבור מתחם תעשיה שגיא 2000</v>
          </cell>
          <cell r="C5438" t="str">
            <v>חבור מ. תעש. שגיא 2000-בוטל-תמ"א 10/ב/11</v>
          </cell>
          <cell r="D5438">
            <v>43059</v>
          </cell>
        </row>
        <row r="5439">
          <cell r="A5439" t="str">
            <v>WBN-012</v>
          </cell>
          <cell r="B5439" t="str">
            <v>חיבור מתחם תעשיה בית שאן צפון</v>
          </cell>
          <cell r="C5439" t="str">
            <v>חבור מ. תעש. בית שאן צפון-בוטל-10/ב/11</v>
          </cell>
          <cell r="D5439">
            <v>43059</v>
          </cell>
        </row>
        <row r="5440">
          <cell r="A5440" t="str">
            <v>WBO-532</v>
          </cell>
          <cell r="B5440" t="str">
            <v>חיבור מתחם בצמוד להתפלה שורק</v>
          </cell>
          <cell r="C5440" t="str">
            <v>חיבור מתחם בצמוד להתפלה שורק-10/ב/11</v>
          </cell>
          <cell r="D5440">
            <v>44196</v>
          </cell>
        </row>
        <row r="5441">
          <cell r="A5441" t="str">
            <v>WBO-129</v>
          </cell>
          <cell r="B5441" t="str">
            <v>חיבור מעלה אפריים</v>
          </cell>
          <cell r="C5441" t="str">
            <v>חיבור מעלה אפריים-הפעלת מעגל שחור לאריאל</v>
          </cell>
          <cell r="D5441">
            <v>45603</v>
          </cell>
        </row>
        <row r="5442">
          <cell r="A5442" t="str">
            <v>WBA-095</v>
          </cell>
          <cell r="B5442" t="str">
            <v>חיבור מחז''מ צפית</v>
          </cell>
          <cell r="C5442" t="str">
            <v>חיבור מחז"מ צפית-חיבור יחידה קיטורית למס</v>
          </cell>
          <cell r="D5442">
            <v>41141</v>
          </cell>
        </row>
        <row r="5443">
          <cell r="A5443" t="str">
            <v>WBN-017</v>
          </cell>
          <cell r="B5443" t="str">
            <v>חיבור מחז"מ אורות פנינה</v>
          </cell>
          <cell r="C5443" t="str">
            <v>חיבור מחז"מ אורות פנינה-בדיקת ישימות ותכנון ראשוני חגית-קיסריה</v>
          </cell>
          <cell r="D5443">
            <v>45412</v>
          </cell>
        </row>
        <row r="5444">
          <cell r="A5444" t="str">
            <v>WBN-018</v>
          </cell>
          <cell r="B5444" t="str">
            <v>חיבור מחז"מ אורות פנינה</v>
          </cell>
          <cell r="C5444" t="str">
            <v>חיבור מחז"מ אורות פנינה-בדיקת ישימות ותכנון ראשוני של תגבור קיסריה-זבולון</v>
          </cell>
          <cell r="D5444">
            <v>45412</v>
          </cell>
        </row>
        <row r="5445">
          <cell r="A5445" t="str">
            <v>WBO-054</v>
          </cell>
          <cell r="B5445" t="str">
            <v>חיבור ט''ר סירין</v>
          </cell>
          <cell r="C5445" t="str">
            <v>חיבור ט"ר סירין-בוטל-השתלבות בת. המתאר</v>
          </cell>
          <cell r="D5445">
            <v>43059</v>
          </cell>
        </row>
        <row r="5446">
          <cell r="A5446" t="str">
            <v>WBH-304</v>
          </cell>
          <cell r="B5446" t="str">
            <v>חיבור ט''ג ברמת חובב -400 ק''ו</v>
          </cell>
          <cell r="C5446" t="str">
            <v>חיבור ט"ג ברמת חובב  -400 ק"ו</v>
          </cell>
          <cell r="D5446">
            <v>41476</v>
          </cell>
        </row>
        <row r="5447">
          <cell r="A5447" t="str">
            <v>WBO-304</v>
          </cell>
          <cell r="B5447" t="str">
            <v>חיבור ט"ג חדשות באלון תבור</v>
          </cell>
          <cell r="C5447" t="str">
            <v>חיבור ט"ג חדשות באלון תבור-2 מעגלי כבלים</v>
          </cell>
          <cell r="D5447">
            <v>45676</v>
          </cell>
        </row>
        <row r="5448">
          <cell r="A5448" t="str">
            <v>WBO-006</v>
          </cell>
          <cell r="B5448" t="str">
            <v>חיבור ט"ג חדשות באלון תבור</v>
          </cell>
          <cell r="C5448" t="str">
            <v>חיבור מחז"מ אלון תבור-בוטל- מGT1 לGT2</v>
          </cell>
        </row>
        <row r="5449">
          <cell r="A5449" t="str">
            <v>WBO-304-TR1</v>
          </cell>
          <cell r="B5449" t="str">
            <v>חיבור ט"ג חדשות באלון תבור</v>
          </cell>
          <cell r="C5449" t="str">
            <v>חיבור מחז"מ אלון תבור-בוטל-הקמת טרמינלים</v>
          </cell>
        </row>
        <row r="5450">
          <cell r="A5450" t="str">
            <v>WBO-006-LN2</v>
          </cell>
          <cell r="B5450" t="str">
            <v>חיבור ט"ג חדשות באלון תבור</v>
          </cell>
          <cell r="C5450" t="str">
            <v>חיבור מחז"מ אלון תבור-מוקפא-החל' תיילים</v>
          </cell>
          <cell r="D5450">
            <v>40574</v>
          </cell>
        </row>
        <row r="5451">
          <cell r="A5451" t="str">
            <v>WBO-006-LN3</v>
          </cell>
          <cell r="B5451" t="str">
            <v>חיבור ט"ג חדשות באלון תבור</v>
          </cell>
          <cell r="C5451" t="str">
            <v>חיבור מחז"מ אלון תבור--מוקפא- חד-מעגלי</v>
          </cell>
          <cell r="D5451">
            <v>40574</v>
          </cell>
        </row>
        <row r="5452">
          <cell r="A5452" t="str">
            <v>WBO-006-LN4</v>
          </cell>
          <cell r="B5452" t="str">
            <v>חיבור ט"ג חדשות באלון תבור</v>
          </cell>
          <cell r="C5452" t="str">
            <v>חיבור מחז"מ אלון תבור-מוקפא- חד-מעגלי</v>
          </cell>
          <cell r="D5452">
            <v>40574</v>
          </cell>
        </row>
        <row r="5453">
          <cell r="A5453" t="str">
            <v>WBO-057</v>
          </cell>
          <cell r="B5453" t="str">
            <v>חיבור התפלה גליל מערבי</v>
          </cell>
          <cell r="C5453" t="str">
            <v>חיבור התפלה גליל מערבי-ממעגל נעמן-נהריה</v>
          </cell>
          <cell r="D5453">
            <v>46418</v>
          </cell>
        </row>
        <row r="5454">
          <cell r="A5454" t="str">
            <v>WBO-318</v>
          </cell>
          <cell r="B5454" t="str">
            <v>חיבור התפלה גליל מערבי</v>
          </cell>
          <cell r="C5454" t="str">
            <v>חיבור התפלה גליל מערבי-עע"א - הנחת כבל</v>
          </cell>
          <cell r="D5454">
            <v>46418</v>
          </cell>
        </row>
        <row r="5455">
          <cell r="A5455" t="str">
            <v>WBH-300</v>
          </cell>
          <cell r="B5455" t="str">
            <v>חיבור דוראד</v>
          </cell>
          <cell r="C5455" t="str">
            <v>חיבור דוראד-חיבור זמני של תח"כ פר.דוראד</v>
          </cell>
          <cell r="D5455">
            <v>41481</v>
          </cell>
        </row>
        <row r="5456">
          <cell r="A5456" t="str">
            <v>WBO-598</v>
          </cell>
          <cell r="B5456" t="str">
            <v>חיבור אינטל 2</v>
          </cell>
          <cell r="C5456" t="str">
            <v>חיבור אינטל 2-חיבור התחמ"ש למערכת</v>
          </cell>
          <cell r="D5456">
            <v>45287</v>
          </cell>
        </row>
        <row r="5457">
          <cell r="A5457" t="str">
            <v>WBO-053</v>
          </cell>
          <cell r="B5457" t="str">
            <v>חיבור אג''ש נשר</v>
          </cell>
          <cell r="C5457" t="str">
            <v>חיבור אג"ש נשר-בוטל-השתלבות בתכנית המתאר</v>
          </cell>
          <cell r="D5457">
            <v>43059</v>
          </cell>
        </row>
        <row r="5458">
          <cell r="A5458" t="str">
            <v>WBC-111</v>
          </cell>
          <cell r="B5458" t="str">
            <v>חוף התכלת</v>
          </cell>
          <cell r="C5458" t="str">
            <v>חוף התכלת-הקמת תחמ"ש פנימית 161/24 ק"ו</v>
          </cell>
          <cell r="D5458">
            <v>51256</v>
          </cell>
        </row>
        <row r="5459">
          <cell r="A5459" t="str">
            <v>WBD-132</v>
          </cell>
          <cell r="B5459" t="str">
            <v>חוסאן ניידת</v>
          </cell>
          <cell r="C5459" t="str">
            <v>חוסאן ניידת- תכנון הצבת ניידת 30 מגוו"א</v>
          </cell>
          <cell r="D5459">
            <v>46507</v>
          </cell>
        </row>
        <row r="5460">
          <cell r="A5460" t="str">
            <v>HIS-085</v>
          </cell>
          <cell r="B5460" t="str">
            <v>חולון</v>
          </cell>
          <cell r="C5460" t="str">
            <v>חולון</v>
          </cell>
          <cell r="D5460">
            <v>40908</v>
          </cell>
        </row>
        <row r="5461">
          <cell r="A5461" t="str">
            <v>WDA-1-02-15-12</v>
          </cell>
          <cell r="B5461" t="str">
            <v>חולון</v>
          </cell>
          <cell r="C5461" t="str">
            <v>חולון-החלפה של יחידת קצה של פיקוח ארצי</v>
          </cell>
          <cell r="D5461">
            <v>43160</v>
          </cell>
        </row>
        <row r="5462">
          <cell r="A5462" t="str">
            <v>WBM-01289</v>
          </cell>
          <cell r="B5462" t="str">
            <v>חולון</v>
          </cell>
          <cell r="C5462" t="str">
            <v>חולון - שיפור לוגיקת סלילי כיבוי</v>
          </cell>
          <cell r="D5462">
            <v>44262</v>
          </cell>
        </row>
        <row r="5463">
          <cell r="A5463">
            <v>546033</v>
          </cell>
          <cell r="B5463" t="str">
            <v>חולון</v>
          </cell>
          <cell r="C5463" t="str">
            <v>חולון-התקנת מאווררים בארונות פיקוד</v>
          </cell>
          <cell r="D5463">
            <v>40311</v>
          </cell>
        </row>
        <row r="5464">
          <cell r="A5464" t="str">
            <v>WBM-00043</v>
          </cell>
          <cell r="B5464" t="str">
            <v>חולון</v>
          </cell>
          <cell r="C5464" t="str">
            <v>חולון-התקנת הגנת מרחק שנייה בשדה 7</v>
          </cell>
          <cell r="D5464">
            <v>43027</v>
          </cell>
        </row>
        <row r="5465">
          <cell r="A5465" t="str">
            <v>WBM-00708</v>
          </cell>
          <cell r="B5465" t="str">
            <v>חולון</v>
          </cell>
          <cell r="C5465" t="str">
            <v>חולון-התקנת הגנה דיפרנציאלית כולל OM</v>
          </cell>
          <cell r="D5465">
            <v>41756</v>
          </cell>
        </row>
        <row r="5466">
          <cell r="A5466" t="str">
            <v>WBG-038-032</v>
          </cell>
          <cell r="B5466" t="str">
            <v>חולון</v>
          </cell>
          <cell r="C5466" t="str">
            <v>חולון-בוטל-שדרוג חדר מצברים עפ"י תקן.</v>
          </cell>
          <cell r="D5466">
            <v>40640</v>
          </cell>
        </row>
        <row r="5467">
          <cell r="A5467" t="str">
            <v>WBG-038-026</v>
          </cell>
          <cell r="B5467" t="str">
            <v>חולון</v>
          </cell>
          <cell r="C5467" t="str">
            <v>חולון-החלפת רכזת התראה בטחונית</v>
          </cell>
          <cell r="D5467">
            <v>39020</v>
          </cell>
        </row>
        <row r="5468">
          <cell r="A5468" t="str">
            <v>WBG-038-024</v>
          </cell>
          <cell r="B5468" t="str">
            <v>חולון</v>
          </cell>
          <cell r="C5468" t="str">
            <v>חולון-עיגון  4  שנאים 45 מגוו"א</v>
          </cell>
          <cell r="D5468">
            <v>40908</v>
          </cell>
        </row>
        <row r="5469">
          <cell r="A5469" t="str">
            <v>WBM-00707</v>
          </cell>
          <cell r="B5469" t="str">
            <v>חולון</v>
          </cell>
          <cell r="C5469" t="str">
            <v>חולון-התקנת רושם הפרעות</v>
          </cell>
          <cell r="D5469">
            <v>42673</v>
          </cell>
        </row>
        <row r="5470">
          <cell r="A5470" t="str">
            <v>WBM-00460</v>
          </cell>
          <cell r="B5470" t="str">
            <v>חולון</v>
          </cell>
          <cell r="C5470" t="str">
            <v>חולון-הזנת תאורת חירום ז"י באמצעות ממיר</v>
          </cell>
          <cell r="D5470">
            <v>46752</v>
          </cell>
        </row>
        <row r="5471">
          <cell r="A5471" t="str">
            <v>WBM-40080</v>
          </cell>
          <cell r="B5471" t="str">
            <v>חולון</v>
          </cell>
          <cell r="C5471" t="str">
            <v>חולון -החלפת הגנות DT92 שנאי 521,522,523</v>
          </cell>
          <cell r="D5471">
            <v>46598</v>
          </cell>
        </row>
        <row r="5472">
          <cell r="A5472" t="str">
            <v>WBM-40083</v>
          </cell>
          <cell r="B5472" t="str">
            <v>חולון</v>
          </cell>
          <cell r="C5472" t="str">
            <v>חולון - -הוספת הגנות פ"צ וכשל המפסק</v>
          </cell>
          <cell r="D5472">
            <v>46507</v>
          </cell>
        </row>
        <row r="5473">
          <cell r="A5473" t="str">
            <v>WBM-01052</v>
          </cell>
          <cell r="B5473" t="str">
            <v>חולון</v>
          </cell>
          <cell r="C5473" t="str">
            <v>חולון-בוטל - הוספת הגנה דיפרנציאלית לכיוון בת ים</v>
          </cell>
        </row>
        <row r="5474">
          <cell r="A5474" t="str">
            <v>WBM-40082</v>
          </cell>
          <cell r="B5474" t="str">
            <v>חולון</v>
          </cell>
          <cell r="C5474" t="str">
            <v>חולון - החל הגנת מרחק LZ31 בשדה  7  ו 2</v>
          </cell>
          <cell r="D5474">
            <v>46190</v>
          </cell>
        </row>
        <row r="5475">
          <cell r="A5475" t="str">
            <v>WBG-038-002</v>
          </cell>
          <cell r="B5475" t="str">
            <v>חולון</v>
          </cell>
          <cell r="C5475" t="str">
            <v>חולון-דרוג מערכת כ.אש באמצעות מתזי מים</v>
          </cell>
          <cell r="D5475">
            <v>41333</v>
          </cell>
        </row>
        <row r="5476">
          <cell r="A5476" t="str">
            <v>WBG-038-033</v>
          </cell>
          <cell r="B5476" t="str">
            <v>חולון</v>
          </cell>
          <cell r="C5476" t="str">
            <v>חולון-יישום שתי דרכי תקשורת באמצעות OM</v>
          </cell>
          <cell r="D5476">
            <v>41274</v>
          </cell>
        </row>
        <row r="5477">
          <cell r="A5477" t="str">
            <v>WBG-038-031</v>
          </cell>
          <cell r="B5477" t="str">
            <v>חולון</v>
          </cell>
          <cell r="C5477" t="str">
            <v>חולון-הקשחות אבטחת מידע במחשב</v>
          </cell>
          <cell r="D5477">
            <v>41182</v>
          </cell>
        </row>
        <row r="5478">
          <cell r="A5478" t="str">
            <v>WBG-038-022</v>
          </cell>
          <cell r="B5478" t="str">
            <v>חולון</v>
          </cell>
          <cell r="C5478" t="str">
            <v>חולון-הקמת רשת מחשבים תפעולית</v>
          </cell>
          <cell r="D5478">
            <v>40979</v>
          </cell>
        </row>
        <row r="5479">
          <cell r="A5479" t="str">
            <v>WBM-60083</v>
          </cell>
          <cell r="B5479" t="str">
            <v>חולון</v>
          </cell>
          <cell r="C5479" t="str">
            <v>חולון - בוטל-הסדרה סביבתית</v>
          </cell>
          <cell r="D5479">
            <v>44165</v>
          </cell>
        </row>
        <row r="5480">
          <cell r="A5480" t="str">
            <v>WBM-40081</v>
          </cell>
          <cell r="B5480" t="str">
            <v>חולון</v>
          </cell>
          <cell r="C5480" t="str">
            <v>חולון -בוטל-החלפת טרפו גרד לשנאי 524</v>
          </cell>
          <cell r="D5480">
            <v>43972</v>
          </cell>
        </row>
        <row r="5481">
          <cell r="A5481" t="str">
            <v>WBM-00002</v>
          </cell>
          <cell r="B5481" t="str">
            <v>חולון</v>
          </cell>
          <cell r="C5481" t="str">
            <v>חולון-בוטל-בעיגון ריצפה צפה,ארונו.פיקוד</v>
          </cell>
          <cell r="D5481">
            <v>40640</v>
          </cell>
        </row>
        <row r="5482">
          <cell r="A5482" t="str">
            <v>WBM-00042</v>
          </cell>
          <cell r="B5482" t="str">
            <v>חולון</v>
          </cell>
          <cell r="C5482" t="str">
            <v>חולון-בוטל-עיגון 4 מסדרי אפס של שנאי</v>
          </cell>
          <cell r="D5482">
            <v>40640</v>
          </cell>
        </row>
        <row r="5483">
          <cell r="A5483" t="str">
            <v>WBM-00983</v>
          </cell>
          <cell r="B5483" t="str">
            <v>חולון</v>
          </cell>
          <cell r="C5483" t="str">
            <v>חולון-יישום דרך קשר שנייה  להתפלה שורק</v>
          </cell>
          <cell r="D5483">
            <v>42766</v>
          </cell>
        </row>
        <row r="5484">
          <cell r="A5484" t="str">
            <v>WBM-00885-092</v>
          </cell>
          <cell r="B5484" t="str">
            <v>חולון</v>
          </cell>
          <cell r="C5484" t="str">
            <v>חולון - בוטל - אפיון מים, דלתות אש ושילוט</v>
          </cell>
        </row>
        <row r="5485">
          <cell r="A5485" t="str">
            <v>WBM-10315-061</v>
          </cell>
          <cell r="B5485" t="str">
            <v>חולון</v>
          </cell>
          <cell r="C5485" t="str">
            <v>חולון- התקנת 15 מזגנים</v>
          </cell>
          <cell r="D5485">
            <v>45711</v>
          </cell>
        </row>
        <row r="5486">
          <cell r="A5486" t="str">
            <v>WBM-40479-056</v>
          </cell>
          <cell r="B5486" t="str">
            <v>חולון</v>
          </cell>
          <cell r="C5486" t="str">
            <v>חולון- החלפת בקר טמפ' וגובה שמן בשנאי</v>
          </cell>
          <cell r="D5486">
            <v>47664</v>
          </cell>
        </row>
        <row r="5487">
          <cell r="A5487" t="str">
            <v>WBM-60008-063</v>
          </cell>
          <cell r="B5487" t="str">
            <v>חולון</v>
          </cell>
          <cell r="C5487" t="str">
            <v>חולון - מערכת בקרה, טמ"ס וגדר אלקטרונית</v>
          </cell>
          <cell r="D5487">
            <v>46660</v>
          </cell>
        </row>
        <row r="5488">
          <cell r="A5488" t="str">
            <v>WBM-60088-022</v>
          </cell>
          <cell r="B5488" t="str">
            <v>חולון</v>
          </cell>
          <cell r="C5488" t="str">
            <v>חולון - סף הגבהה וניקוז במסדרי אפס 521</v>
          </cell>
          <cell r="D5488">
            <v>46326</v>
          </cell>
        </row>
        <row r="5489">
          <cell r="A5489" t="str">
            <v>WBM-60107-015</v>
          </cell>
          <cell r="B5489" t="str">
            <v>חולון</v>
          </cell>
          <cell r="C5489" t="str">
            <v>חולון - החלפת מנעולים אלק.מגנטיים באלק.מ</v>
          </cell>
          <cell r="D5489">
            <v>45627</v>
          </cell>
        </row>
        <row r="5490">
          <cell r="A5490" t="str">
            <v>WBM-60116-006</v>
          </cell>
          <cell r="B5490" t="str">
            <v>חולון</v>
          </cell>
          <cell r="C5490" t="str">
            <v>חולון - שידרוג גלאים בתחנות משנה ומיתוג</v>
          </cell>
          <cell r="D5490">
            <v>46387</v>
          </cell>
        </row>
        <row r="5491">
          <cell r="A5491" t="str">
            <v>WBM-60130-069</v>
          </cell>
          <cell r="B5491" t="str">
            <v>חולון</v>
          </cell>
          <cell r="C5491" t="str">
            <v>חולון - התקנת מפסק פטריה להפסקת מערכת החשמל בחירום</v>
          </cell>
          <cell r="D5491">
            <v>46568</v>
          </cell>
        </row>
        <row r="5492">
          <cell r="A5492" t="str">
            <v>WBM-40629-003</v>
          </cell>
          <cell r="B5492" t="str">
            <v>חולון</v>
          </cell>
          <cell r="C5492" t="str">
            <v>חולון -  החלפת מבדדי 161 ק"ו של שנאי הספק</v>
          </cell>
          <cell r="D5492">
            <v>45728</v>
          </cell>
        </row>
        <row r="5493">
          <cell r="A5493" t="str">
            <v>WBM-10692</v>
          </cell>
          <cell r="B5493" t="str">
            <v>חולון</v>
          </cell>
          <cell r="C5493" t="str">
            <v>חולון – משיק גן שורק שדה 21 , התקנת הגנה דיפרנציאלית P545SCHNEIDER בשדה 7</v>
          </cell>
          <cell r="D5493">
            <v>46326</v>
          </cell>
        </row>
        <row r="5494">
          <cell r="A5494" t="str">
            <v>WBM-60092-048</v>
          </cell>
          <cell r="B5494" t="str">
            <v>חולון</v>
          </cell>
          <cell r="C5494" t="str">
            <v>חולון - בדיקות/טיפול/פינוי מכלי אש בגז</v>
          </cell>
          <cell r="D5494">
            <v>46218</v>
          </cell>
        </row>
        <row r="5495">
          <cell r="A5495" t="str">
            <v>WBM-10755</v>
          </cell>
          <cell r="B5495" t="str">
            <v>חולון</v>
          </cell>
          <cell r="C5495" t="str">
            <v>חולון - משיק לקניונים שדה 5. יישום דרך קשר אופטית בין הגנות חולון בשדה 7</v>
          </cell>
          <cell r="D5495">
            <v>46326</v>
          </cell>
        </row>
        <row r="5496">
          <cell r="A5496" t="str">
            <v>WBM-60131-027</v>
          </cell>
          <cell r="B5496" t="str">
            <v>חולון</v>
          </cell>
          <cell r="C5496" t="str">
            <v>חולון - טיפול באופיין מים</v>
          </cell>
          <cell r="D5496">
            <v>46180</v>
          </cell>
        </row>
        <row r="5497">
          <cell r="A5497" t="str">
            <v>HIS-084</v>
          </cell>
          <cell r="B5497" t="str">
            <v>חולה</v>
          </cell>
          <cell r="C5497" t="str">
            <v>חולה</v>
          </cell>
          <cell r="D5497">
            <v>40908</v>
          </cell>
        </row>
        <row r="5498">
          <cell r="A5498" t="str">
            <v>WBE-230</v>
          </cell>
          <cell r="B5498" t="str">
            <v>חולה</v>
          </cell>
          <cell r="C5498" t="str">
            <v>חולה- החלפת שנאי 33 מגוו"א ב-50 מגוו"א</v>
          </cell>
          <cell r="D5498">
            <v>47482</v>
          </cell>
        </row>
        <row r="5499">
          <cell r="A5499" t="str">
            <v>WBE-252</v>
          </cell>
          <cell r="B5499" t="str">
            <v>חולה</v>
          </cell>
          <cell r="C5499" t="str">
            <v>חולה - החלפת שנאי 522 מ- 33 ל- 50 מגוו"א והחלפת מסדר מ"ג פ"צ 2</v>
          </cell>
          <cell r="D5499">
            <v>46265</v>
          </cell>
        </row>
        <row r="5500">
          <cell r="A5500" t="str">
            <v>WBE-122</v>
          </cell>
          <cell r="B5500" t="str">
            <v>חולה</v>
          </cell>
          <cell r="C5500" t="str">
            <v>חולה-רב שלבי-החלפת 2 שנאים 33 ל-50 מגו"+</v>
          </cell>
          <cell r="D5500">
            <v>45123</v>
          </cell>
        </row>
        <row r="5501">
          <cell r="A5501" t="str">
            <v>WBE-122-ST3</v>
          </cell>
          <cell r="B5501" t="str">
            <v>חולה</v>
          </cell>
          <cell r="C5501" t="str">
            <v>חולה- החלפת שנאי 522 ישן ומאצרת</v>
          </cell>
          <cell r="D5501">
            <v>45123</v>
          </cell>
        </row>
        <row r="5502">
          <cell r="A5502" t="str">
            <v>WBE-122-ST2</v>
          </cell>
          <cell r="B5502" t="str">
            <v>חולה</v>
          </cell>
          <cell r="C5502" t="str">
            <v>חולה- החלפת שנאי 521 33 ל-50 ק"ו מגו"א</v>
          </cell>
          <cell r="D5502">
            <v>44949</v>
          </cell>
        </row>
        <row r="5503">
          <cell r="A5503" t="str">
            <v>WBE-122-ST1</v>
          </cell>
          <cell r="B5503" t="str">
            <v>חולה</v>
          </cell>
          <cell r="C5503" t="str">
            <v>חולה-החלפת שנאי 523 מ 33 ל-50  מגו"א</v>
          </cell>
          <cell r="D5503">
            <v>44864</v>
          </cell>
        </row>
        <row r="5504">
          <cell r="A5504" t="str">
            <v>WDA-1-PA03</v>
          </cell>
          <cell r="B5504" t="str">
            <v>חולה</v>
          </cell>
          <cell r="C5504" t="str">
            <v>חולה-החלפה של יחידת קצה של פיקוח ארצי</v>
          </cell>
          <cell r="D5504">
            <v>41345</v>
          </cell>
        </row>
        <row r="5505">
          <cell r="A5505" t="str">
            <v>WDB-04COM12</v>
          </cell>
          <cell r="B5505" t="str">
            <v>חולה</v>
          </cell>
          <cell r="C5505" t="str">
            <v>חולה-הנחת כבל סיב אופטי UG (גליל)</v>
          </cell>
          <cell r="D5505">
            <v>46537</v>
          </cell>
        </row>
        <row r="5506">
          <cell r="A5506" t="str">
            <v>WBM-40310</v>
          </cell>
          <cell r="B5506" t="str">
            <v>חולה</v>
          </cell>
          <cell r="C5506" t="str">
            <v>חולה-התאמת שדה 2 ל- 1800 א' התאמת שדה מקשר 5-6 ל- 1440 א'</v>
          </cell>
          <cell r="D5506">
            <v>46203</v>
          </cell>
        </row>
        <row r="5507">
          <cell r="A5507" t="str">
            <v>WBM-40333</v>
          </cell>
          <cell r="B5507" t="str">
            <v>חולה</v>
          </cell>
          <cell r="C5507" t="str">
            <v>חולה-התאמת שדות 4, 8 ליכולת מינימלית של 1440א'</v>
          </cell>
          <cell r="D5507">
            <v>46203</v>
          </cell>
        </row>
        <row r="5508">
          <cell r="A5508" t="str">
            <v>WBM-00277</v>
          </cell>
          <cell r="B5508" t="str">
            <v>חולה</v>
          </cell>
          <cell r="C5508" t="str">
            <v>חולה-הקמת שדה  2A והתקנת סוללת קבלים 161 ק"ו</v>
          </cell>
          <cell r="D5508">
            <v>46203</v>
          </cell>
        </row>
        <row r="5509">
          <cell r="A5509" t="str">
            <v>WBM-10334</v>
          </cell>
          <cell r="B5509" t="str">
            <v>חולה</v>
          </cell>
          <cell r="C5509" t="str">
            <v>חולה-בוטל- התאמת שדה 8 ליכולת מינימלית של 1250</v>
          </cell>
        </row>
        <row r="5510">
          <cell r="A5510" t="str">
            <v>WBM-00458</v>
          </cell>
          <cell r="B5510" t="str">
            <v>חולה</v>
          </cell>
          <cell r="C5510" t="str">
            <v>חולה-בוטל-הזנת תאורת חירום ז"י.</v>
          </cell>
        </row>
        <row r="5511">
          <cell r="A5511" t="str">
            <v>WBM-00644</v>
          </cell>
          <cell r="B5511" t="str">
            <v>חולה</v>
          </cell>
          <cell r="C5511" t="str">
            <v>חולה-הוספת ה.מרחק שנייה בשד': 4,8,10</v>
          </cell>
          <cell r="D5511">
            <v>46142</v>
          </cell>
        </row>
        <row r="5512">
          <cell r="A5512" t="str">
            <v>WBM-00041</v>
          </cell>
          <cell r="B5512" t="str">
            <v>חולה</v>
          </cell>
          <cell r="C5512" t="str">
            <v>חולה-הסדרת דרך גישה לתחמ"ש חולה</v>
          </cell>
          <cell r="D5512">
            <v>46177</v>
          </cell>
        </row>
        <row r="5513">
          <cell r="A5513" t="str">
            <v>WBM-40161</v>
          </cell>
          <cell r="B5513" t="str">
            <v>חולה</v>
          </cell>
          <cell r="C5513" t="str">
            <v>חולה -בוטל-החל' ציוד בשדה 9, החל' מ"מ פ"צ 161 ק"ו</v>
          </cell>
        </row>
        <row r="5514">
          <cell r="A5514" t="str">
            <v>WBM-60056</v>
          </cell>
          <cell r="B5514" t="str">
            <v>חולה</v>
          </cell>
          <cell r="C5514" t="str">
            <v>חולה - עיגון ארונות פיקוד ושנאים</v>
          </cell>
          <cell r="D5514">
            <v>46418</v>
          </cell>
        </row>
        <row r="5515">
          <cell r="A5515" t="str">
            <v>WBM-10299</v>
          </cell>
          <cell r="B5515" t="str">
            <v>חולה</v>
          </cell>
          <cell r="C5515" t="str">
            <v>חולה-התאמת תיילים-מהדקים-פורטל'WBO-013</v>
          </cell>
          <cell r="D5515">
            <v>47057</v>
          </cell>
        </row>
        <row r="5516">
          <cell r="A5516" t="str">
            <v>WBM-00040</v>
          </cell>
          <cell r="B5516" t="str">
            <v>חולה</v>
          </cell>
          <cell r="C5516" t="str">
            <v>חולה-בוטל-התקנת רושם הפרעות 161 ק"ו</v>
          </cell>
        </row>
        <row r="5517">
          <cell r="A5517" t="str">
            <v>WBM-10451</v>
          </cell>
          <cell r="B5517" t="str">
            <v>חולה</v>
          </cell>
          <cell r="C5517" t="str">
            <v>חולה- החלפת משנה מתח פ"צ 2 במסדר 161</v>
          </cell>
          <cell r="D5517">
            <v>46324</v>
          </cell>
        </row>
        <row r="5518">
          <cell r="A5518" t="str">
            <v>WBM-10156</v>
          </cell>
          <cell r="B5518" t="str">
            <v>חולה</v>
          </cell>
          <cell r="C5518" t="str">
            <v>חולה- בוטל-התקנת מתמרים ב-4 פ"צ</v>
          </cell>
        </row>
        <row r="5519">
          <cell r="A5519" t="str">
            <v>WBM-01171</v>
          </cell>
          <cell r="B5519" t="str">
            <v>חולה</v>
          </cell>
          <cell r="C5519" t="str">
            <v>חולה-שדרוג מערכות SCS מסוג  UNIX - LON</v>
          </cell>
          <cell r="D5519">
            <v>44699</v>
          </cell>
        </row>
        <row r="5520">
          <cell r="A5520" t="str">
            <v>WBM-60085</v>
          </cell>
          <cell r="B5520" t="str">
            <v>חולה</v>
          </cell>
          <cell r="C5520" t="str">
            <v>חולה - שידרוג שדה 2 161 KV</v>
          </cell>
          <cell r="D5520">
            <v>44378</v>
          </cell>
        </row>
        <row r="5521">
          <cell r="A5521" t="str">
            <v>WBM-10174</v>
          </cell>
          <cell r="B5521" t="str">
            <v>חולה</v>
          </cell>
          <cell r="C5521" t="str">
            <v>חולה -משיק לקצרין.הג.דיפ.+תקש' (שדה 2)</v>
          </cell>
          <cell r="D5521">
            <v>44378</v>
          </cell>
        </row>
        <row r="5522">
          <cell r="A5522" t="str">
            <v>WBM-00688</v>
          </cell>
          <cell r="B5522" t="str">
            <v>חולה</v>
          </cell>
          <cell r="C5522" t="str">
            <v>חולה-הרחבת מערכת גילוי עשן בבנין הפיקוד</v>
          </cell>
          <cell r="D5522">
            <v>43814</v>
          </cell>
        </row>
        <row r="5523">
          <cell r="A5523" t="str">
            <v>WBM-01091</v>
          </cell>
          <cell r="B5523" t="str">
            <v>חולה</v>
          </cell>
          <cell r="C5523" t="str">
            <v>חולה-התקנת מאצרת שמן זמנית לשנאי 524</v>
          </cell>
          <cell r="D5523">
            <v>43770</v>
          </cell>
        </row>
        <row r="5524">
          <cell r="A5524" t="str">
            <v>WBM-00687</v>
          </cell>
          <cell r="B5524" t="str">
            <v>חולה</v>
          </cell>
          <cell r="C5524" t="str">
            <v>חולה-התקנת מגוף ראשי וברז הסנקה.</v>
          </cell>
          <cell r="D5524">
            <v>41982</v>
          </cell>
        </row>
        <row r="5525">
          <cell r="A5525" t="str">
            <v>WBM-01235</v>
          </cell>
          <cell r="B5525" t="str">
            <v>חולה</v>
          </cell>
          <cell r="C5525" t="str">
            <v>חולה - בוטל-מאצרות שמן 'קבועות'לשנאי 524</v>
          </cell>
          <cell r="D5525">
            <v>42900</v>
          </cell>
        </row>
        <row r="5526">
          <cell r="A5526" t="str">
            <v>WBM-30019</v>
          </cell>
          <cell r="B5526" t="str">
            <v>חולה</v>
          </cell>
          <cell r="C5526" t="str">
            <v>חולה-בוטל-גדר אלקטרונית (ביטחון)</v>
          </cell>
          <cell r="D5526">
            <v>43830</v>
          </cell>
        </row>
        <row r="5527">
          <cell r="A5527" t="str">
            <v>WBM-10076</v>
          </cell>
          <cell r="B5527" t="str">
            <v>חולה</v>
          </cell>
          <cell r="C5527" t="str">
            <v>חולה-בוטל-החלפת גשרי דיודות</v>
          </cell>
          <cell r="D5527">
            <v>43768</v>
          </cell>
        </row>
        <row r="5528">
          <cell r="A5528">
            <v>522592</v>
          </cell>
          <cell r="B5528" t="str">
            <v>חולה</v>
          </cell>
          <cell r="C5528" t="str">
            <v>חולה-החלפת 2 גשרי דיודות</v>
          </cell>
          <cell r="D5528">
            <v>42094</v>
          </cell>
        </row>
        <row r="5529">
          <cell r="A5529" t="str">
            <v>WBM-00815</v>
          </cell>
          <cell r="B5529" t="str">
            <v>חולה</v>
          </cell>
          <cell r="C5529" t="str">
            <v>חולה-בוטל-הסדרת מאצרה לשנאי ומסדר אפס</v>
          </cell>
          <cell r="D5529">
            <v>41632</v>
          </cell>
        </row>
        <row r="5530">
          <cell r="A5530">
            <v>522528</v>
          </cell>
          <cell r="B5530" t="str">
            <v>חולה</v>
          </cell>
          <cell r="C5530" t="str">
            <v>חולה-התקנת מאווררים בארונות פיקוד והגנה</v>
          </cell>
          <cell r="D5530">
            <v>40311</v>
          </cell>
        </row>
        <row r="5531">
          <cell r="A5531" t="str">
            <v>WBM-00459</v>
          </cell>
          <cell r="B5531" t="str">
            <v>חולה</v>
          </cell>
          <cell r="C5531" t="str">
            <v>חולה-בוטל שיפור מערכת הארקה בתחמ"ש</v>
          </cell>
          <cell r="D5531">
            <v>39797</v>
          </cell>
        </row>
        <row r="5532">
          <cell r="A5532">
            <v>522517</v>
          </cell>
          <cell r="B5532" t="str">
            <v>חולה</v>
          </cell>
          <cell r="C5532" t="str">
            <v>חולה-החלפת רכזת התראה בטחונית</v>
          </cell>
          <cell r="D5532">
            <v>38928</v>
          </cell>
        </row>
        <row r="5533">
          <cell r="A5533" t="str">
            <v>WBM-00811</v>
          </cell>
          <cell r="B5533" t="str">
            <v>חולה</v>
          </cell>
          <cell r="C5533" t="str">
            <v>חולה- בוטל- הקמת 2 שדות קווים לט"ר</v>
          </cell>
          <cell r="D5533">
            <v>41267</v>
          </cell>
        </row>
        <row r="5534">
          <cell r="A5534" t="str">
            <v>WBG-037-003-ST2</v>
          </cell>
          <cell r="B5534" t="str">
            <v>חולה</v>
          </cell>
          <cell r="C5534" t="str">
            <v>חולה-הוספת 3 יחידות ראקטורים לס.קבלים</v>
          </cell>
          <cell r="D5534">
            <v>42154</v>
          </cell>
        </row>
        <row r="5535">
          <cell r="A5535" t="str">
            <v>WBM-40536</v>
          </cell>
          <cell r="B5535" t="str">
            <v>חולה</v>
          </cell>
          <cell r="C5535" t="str">
            <v>חולה- התאמת שדה מקשר 5-6 ופ"צ  ל-2000 א'</v>
          </cell>
          <cell r="D5535">
            <v>47118</v>
          </cell>
        </row>
        <row r="5536">
          <cell r="A5536" t="str">
            <v>WBM-10543</v>
          </cell>
          <cell r="B5536" t="str">
            <v>חולה</v>
          </cell>
          <cell r="C5536" t="str">
            <v>חולה- יישום החלפת הגנות ותקשורת הגנות, מול תחמש מנרה</v>
          </cell>
          <cell r="D5536">
            <v>46476</v>
          </cell>
        </row>
        <row r="5537">
          <cell r="A5537" t="str">
            <v>WBM-10552</v>
          </cell>
          <cell r="B5537" t="str">
            <v>חולה</v>
          </cell>
          <cell r="C5537" t="str">
            <v>חולה-החלפת מסדרי מ"ג מסוג BEU 3 של שנאי 521  והתקנת מתמירים ביציאות מ"ג לטובת ADMS</v>
          </cell>
          <cell r="D5537">
            <v>46203</v>
          </cell>
        </row>
        <row r="5538">
          <cell r="A5538" t="str">
            <v>WBM-10561</v>
          </cell>
          <cell r="B5538" t="str">
            <v>חולה</v>
          </cell>
          <cell r="C5538" t="str">
            <v>חולה-החלפת מסדר מ"ג מסוג BEU 3 של שנאי 523  והתקנת מתמירים ביציאות מ"ג לטובת ADMS</v>
          </cell>
          <cell r="D5538">
            <v>47483</v>
          </cell>
        </row>
        <row r="5539">
          <cell r="A5539" t="str">
            <v>WBM-00885-063</v>
          </cell>
          <cell r="B5539" t="str">
            <v>חולה</v>
          </cell>
          <cell r="C5539" t="str">
            <v>חולה - התקנת עמדת כיבוי אש כולל ארון גלג</v>
          </cell>
          <cell r="D5539">
            <v>45930</v>
          </cell>
        </row>
        <row r="5540">
          <cell r="A5540" t="str">
            <v>WBM-00885-070</v>
          </cell>
          <cell r="B5540" t="str">
            <v>חולה</v>
          </cell>
          <cell r="C5540" t="str">
            <v>חולה-טיפול בשסתומי הצפה. צביעת כבלים</v>
          </cell>
          <cell r="D5540">
            <v>46387</v>
          </cell>
        </row>
        <row r="5541">
          <cell r="A5541" t="str">
            <v>WBM-10456-027</v>
          </cell>
          <cell r="B5541" t="str">
            <v>חולה</v>
          </cell>
          <cell r="C5541" t="str">
            <v>חולה- הוספת מתמרים ב-4 פ"צ</v>
          </cell>
          <cell r="D5541">
            <v>46752</v>
          </cell>
        </row>
        <row r="5542">
          <cell r="A5542" t="str">
            <v>WBM-60100-018</v>
          </cell>
          <cell r="B5542" t="str">
            <v>חולה</v>
          </cell>
          <cell r="C5542" t="str">
            <v>חולה - בוטל החלפת ברזי זרימה של מערכת כיבוי אש</v>
          </cell>
        </row>
        <row r="5543">
          <cell r="A5543" t="str">
            <v>WBM-60118-018</v>
          </cell>
          <cell r="B5543" t="str">
            <v>חולה</v>
          </cell>
          <cell r="C5543" t="str">
            <v>חולה - שיפור מערכת הארקה</v>
          </cell>
          <cell r="D5543">
            <v>46751</v>
          </cell>
        </row>
        <row r="5544">
          <cell r="A5544" t="str">
            <v>WBM-40614</v>
          </cell>
          <cell r="B5544" t="str">
            <v>חולה</v>
          </cell>
          <cell r="C5544" t="str">
            <v>חולה- התקנה מסדר מ"ג, התאמת הגנות, החלפת ווסת מתח והתקנת מתמרים</v>
          </cell>
          <cell r="D5544">
            <v>46203</v>
          </cell>
        </row>
        <row r="5545">
          <cell r="A5545" t="str">
            <v>WBM-60130-028</v>
          </cell>
          <cell r="B5545" t="str">
            <v>חולה</v>
          </cell>
          <cell r="C5545" t="str">
            <v>חולה - התקנת מפסק פטריה להפסקת מערכת החשמל בחירום</v>
          </cell>
          <cell r="D5545">
            <v>46568</v>
          </cell>
        </row>
        <row r="5546">
          <cell r="A5546" t="str">
            <v>WBM-60205-035</v>
          </cell>
          <cell r="B5546" t="str">
            <v>חולה</v>
          </cell>
          <cell r="C5546" t="str">
            <v>חולה - ניטור הצפות</v>
          </cell>
          <cell r="D5546">
            <v>46175</v>
          </cell>
        </row>
        <row r="5547">
          <cell r="A5547" t="str">
            <v>WBM-40521-027</v>
          </cell>
          <cell r="B5547" t="str">
            <v>חולה</v>
          </cell>
          <cell r="C5547" t="str">
            <v>חולה - החלפת 2 שנאי הארקה</v>
          </cell>
          <cell r="D5547">
            <v>46387</v>
          </cell>
        </row>
        <row r="5548">
          <cell r="A5548">
            <v>900034</v>
          </cell>
          <cell r="B5548" t="str">
            <v>חוות שרתים אור יהודה</v>
          </cell>
          <cell r="C5548" t="str">
            <v>חוות שרתים אור יהודה-הקמת תחמ"ש פרטית סגורה</v>
          </cell>
          <cell r="D5548">
            <v>47483</v>
          </cell>
        </row>
        <row r="5549">
          <cell r="A5549" t="str">
            <v>WBC-100</v>
          </cell>
          <cell r="B5549" t="str">
            <v>חדרה צפון</v>
          </cell>
          <cell r="C5549" t="str">
            <v>חדרה צפון-הקמת תחמ"ש פנימית 161/24 ק"ו</v>
          </cell>
          <cell r="D5549">
            <v>51440</v>
          </cell>
        </row>
        <row r="5550">
          <cell r="A5550" t="str">
            <v>WBM-60108</v>
          </cell>
          <cell r="B5550" t="str">
            <v>חדרה צפון</v>
          </cell>
          <cell r="C5550" t="str">
            <v>מחסן בשטח 6 בתח"כ חדרה-אחסנה יבשה לשנאי</v>
          </cell>
          <cell r="D5550">
            <v>46162</v>
          </cell>
        </row>
        <row r="5551">
          <cell r="A5551">
            <v>900050</v>
          </cell>
          <cell r="B5551" t="str">
            <v>חדרה 2</v>
          </cell>
          <cell r="C5551" t="str">
            <v>חדרה 2- קליטת תח"כ בהספק של 780 מגוו"ט</v>
          </cell>
          <cell r="D5551">
            <v>47452</v>
          </cell>
        </row>
        <row r="5552">
          <cell r="A5552" t="str">
            <v>WBN-615</v>
          </cell>
          <cell r="B5552" t="str">
            <v>חדרה 2</v>
          </cell>
          <cell r="C5552" t="str">
            <v>מסעף לחדרה 2- דו -מעגלי מקו 400 ק"ו מקו קיסריה - פתח תקווה</v>
          </cell>
          <cell r="D5552">
            <v>47452</v>
          </cell>
        </row>
        <row r="5553">
          <cell r="A5553">
            <v>734901</v>
          </cell>
          <cell r="B5553" t="str">
            <v>חגית</v>
          </cell>
          <cell r="C5553" t="str">
            <v>חגית (ניידת)- בוטל-הצבת תחמ"ש ניידת</v>
          </cell>
          <cell r="D5553">
            <v>40277</v>
          </cell>
        </row>
        <row r="5554">
          <cell r="A5554" t="str">
            <v>WDA-1-02-15-25</v>
          </cell>
          <cell r="B5554" t="str">
            <v>חגית</v>
          </cell>
          <cell r="C5554" t="str">
            <v>חגית 161 ק"ו-החלפת יחידת קצה של פיקוח אר</v>
          </cell>
          <cell r="D5554">
            <v>43770</v>
          </cell>
        </row>
        <row r="5555">
          <cell r="A5555" t="str">
            <v>WBM-01007</v>
          </cell>
          <cell r="B5555" t="str">
            <v>חגית</v>
          </cell>
          <cell r="C5555" t="str">
            <v>חגית-החלפת משנקים בשדות 1+9</v>
          </cell>
          <cell r="D5555">
            <v>44349</v>
          </cell>
        </row>
        <row r="5556">
          <cell r="A5556" t="str">
            <v>WBM-00187</v>
          </cell>
          <cell r="B5556" t="str">
            <v>חגית</v>
          </cell>
          <cell r="C5556" t="str">
            <v>חגית-החלפת בקר המפעיל את הזנת אספקת הבית</v>
          </cell>
          <cell r="D5556">
            <v>41970</v>
          </cell>
        </row>
        <row r="5557">
          <cell r="A5557" t="str">
            <v>WBM-00456</v>
          </cell>
          <cell r="B5557" t="str">
            <v>חגית</v>
          </cell>
          <cell r="C5557" t="str">
            <v>חגית-400-בוטל- הפרדת סוללות מצברים.</v>
          </cell>
          <cell r="D5557">
            <v>41249</v>
          </cell>
        </row>
        <row r="5558">
          <cell r="A5558" t="str">
            <v>WBM-00455</v>
          </cell>
          <cell r="B5558" t="str">
            <v>חגית</v>
          </cell>
          <cell r="C5558" t="str">
            <v>חגית-בוטל-התקנת מערכת התראה ביטחונית</v>
          </cell>
          <cell r="D5558">
            <v>38928</v>
          </cell>
        </row>
        <row r="5559">
          <cell r="A5559" t="str">
            <v>WBM-00202</v>
          </cell>
          <cell r="B5559" t="str">
            <v>חגית</v>
          </cell>
          <cell r="C5559" t="str">
            <v>חגית-בוטל-החלפת משני זרם ומשנק בשדות 1,9</v>
          </cell>
          <cell r="D5559">
            <v>41249</v>
          </cell>
        </row>
        <row r="5560">
          <cell r="A5560" t="str">
            <v>WBM-00170</v>
          </cell>
          <cell r="B5560" t="str">
            <v>חגית</v>
          </cell>
          <cell r="C5560" t="str">
            <v>חגית-התקנת תקשורת בין הגנות לזבולון.</v>
          </cell>
          <cell r="D5560">
            <v>42369</v>
          </cell>
        </row>
        <row r="5561">
          <cell r="A5561" t="str">
            <v>WBM-00244</v>
          </cell>
          <cell r="B5561" t="str">
            <v>חגית</v>
          </cell>
          <cell r="C5561" t="str">
            <v>חגית-בוטל-הקמת טבעת 60N OM</v>
          </cell>
          <cell r="D5561">
            <v>41943</v>
          </cell>
        </row>
        <row r="5562">
          <cell r="A5562" t="str">
            <v>WBM-40079</v>
          </cell>
          <cell r="B5562" t="str">
            <v>חגית</v>
          </cell>
          <cell r="C5562" t="str">
            <v>חגית - החלפת רושם הפרעות 400 ק"ו</v>
          </cell>
          <cell r="D5562">
            <v>46477</v>
          </cell>
        </row>
        <row r="5563">
          <cell r="A5563" t="str">
            <v>WBM-40272</v>
          </cell>
          <cell r="B5563" t="str">
            <v>חגית</v>
          </cell>
          <cell r="C5563" t="str">
            <v>חגית 161 ק"ו - הוספת הגנת פ"צ</v>
          </cell>
          <cell r="D5563">
            <v>46721</v>
          </cell>
        </row>
        <row r="5564">
          <cell r="A5564" t="str">
            <v>WBM-40280</v>
          </cell>
          <cell r="B5564" t="str">
            <v>חגית</v>
          </cell>
          <cell r="C5564" t="str">
            <v>חגית -400 ק"ו- שדרוג מערכות בקרה</v>
          </cell>
          <cell r="D5564">
            <v>46568</v>
          </cell>
        </row>
        <row r="5565">
          <cell r="A5565" t="str">
            <v>WBM-01410</v>
          </cell>
          <cell r="B5565" t="str">
            <v>חגית</v>
          </cell>
          <cell r="C5565" t="str">
            <v>חגית 400 ק"ו - עיגון ארונות פיקוד והגנה</v>
          </cell>
          <cell r="D5565">
            <v>46476</v>
          </cell>
        </row>
        <row r="5566">
          <cell r="A5566" t="str">
            <v>WBM-00205</v>
          </cell>
          <cell r="B5566" t="str">
            <v>חגית</v>
          </cell>
          <cell r="C5566" t="str">
            <v>חגית-400-בוטל-הפרדת לוח חלוקה ז"י 220 ו' כפול</v>
          </cell>
        </row>
        <row r="5567">
          <cell r="A5567" t="str">
            <v>WBM-40076</v>
          </cell>
          <cell r="B5567" t="str">
            <v>חגית</v>
          </cell>
          <cell r="C5567" t="str">
            <v>חגית - החלפת מערכת פיקוד - scs</v>
          </cell>
          <cell r="D5567">
            <v>46477</v>
          </cell>
        </row>
        <row r="5568">
          <cell r="A5568" t="str">
            <v>WBM-10007</v>
          </cell>
          <cell r="B5568" t="str">
            <v>חגית</v>
          </cell>
          <cell r="C5568" t="str">
            <v>חגית- התקנת רושם הפרעות 161 ק"ו</v>
          </cell>
          <cell r="D5568">
            <v>46477</v>
          </cell>
        </row>
        <row r="5569">
          <cell r="A5569" t="str">
            <v>WBM-10448</v>
          </cell>
          <cell r="B5569" t="str">
            <v>חגית</v>
          </cell>
          <cell r="C5569" t="str">
            <v>חגית-משיק מבוא כרמל ש1,החלפת הגנה ש9</v>
          </cell>
          <cell r="D5569">
            <v>45929</v>
          </cell>
        </row>
        <row r="5570">
          <cell r="A5570" t="str">
            <v>WBM-01411</v>
          </cell>
          <cell r="B5570" t="str">
            <v>חגית</v>
          </cell>
          <cell r="C5570" t="str">
            <v>חגית 161 ק"ו - עיגון ארונות פיקוד והגנה</v>
          </cell>
          <cell r="D5570">
            <v>44924</v>
          </cell>
        </row>
        <row r="5571">
          <cell r="A5571" t="str">
            <v>WBM-00171</v>
          </cell>
          <cell r="B5571" t="str">
            <v>חגית</v>
          </cell>
          <cell r="C5571" t="str">
            <v>חגית--הוספת פונקצית COMM.FAIL</v>
          </cell>
          <cell r="D5571">
            <v>44762</v>
          </cell>
        </row>
        <row r="5572">
          <cell r="A5572" t="str">
            <v>WBM-00203</v>
          </cell>
          <cell r="B5572" t="str">
            <v>חגית</v>
          </cell>
          <cell r="C5572" t="str">
            <v>חגית-הסדרת מערך השפכים הסניטריים</v>
          </cell>
          <cell r="D5572">
            <v>44140</v>
          </cell>
        </row>
        <row r="5573">
          <cell r="A5573" t="str">
            <v>WBL-005-017</v>
          </cell>
          <cell r="B5573" t="str">
            <v>חגית</v>
          </cell>
          <cell r="C5573" t="str">
            <v>חגית- 400 ק"ו-החלפת דרך קשר שנייה</v>
          </cell>
          <cell r="D5573">
            <v>41091</v>
          </cell>
        </row>
        <row r="5574">
          <cell r="A5574" t="str">
            <v>WBM-00457</v>
          </cell>
          <cell r="B5574" t="str">
            <v>חגית</v>
          </cell>
          <cell r="C5574" t="str">
            <v>חגית- בוטל שיפור מערכת הארקה</v>
          </cell>
          <cell r="D5574">
            <v>39798</v>
          </cell>
        </row>
        <row r="5575">
          <cell r="A5575" t="str">
            <v>WBM-00172</v>
          </cell>
          <cell r="B5575" t="str">
            <v>חגית</v>
          </cell>
          <cell r="C5575" t="str">
            <v>חגית-בוטל-הוספת פונקצית COMM.FAIL</v>
          </cell>
          <cell r="D5575">
            <v>41249</v>
          </cell>
        </row>
        <row r="5576">
          <cell r="A5576" t="str">
            <v>WBM-00204</v>
          </cell>
          <cell r="B5576" t="str">
            <v>חגית</v>
          </cell>
          <cell r="C5576" t="str">
            <v>חגית-161-בוטל-הוספת סוללת מצברים</v>
          </cell>
          <cell r="D5576">
            <v>40116</v>
          </cell>
        </row>
        <row r="5577">
          <cell r="A5577" t="str">
            <v>WBM-01368</v>
          </cell>
          <cell r="B5577" t="str">
            <v>חגית</v>
          </cell>
          <cell r="C5577" t="str">
            <v>חגית-מיגון מתקנים פיזי</v>
          </cell>
          <cell r="D5577">
            <v>44528</v>
          </cell>
        </row>
        <row r="5578">
          <cell r="A5578" t="str">
            <v>WBL-005-015</v>
          </cell>
          <cell r="B5578" t="str">
            <v>חגית</v>
          </cell>
          <cell r="C5578" t="str">
            <v>חגית- פירוק הגנה דיפרנציאלית והעברתה</v>
          </cell>
          <cell r="D5578">
            <v>41212</v>
          </cell>
        </row>
        <row r="5579">
          <cell r="A5579" t="str">
            <v>WBM-00884-023</v>
          </cell>
          <cell r="B5579" t="str">
            <v>חגית</v>
          </cell>
          <cell r="C5579" t="str">
            <v>חגית 400 - החלפת רכזות וגלאים</v>
          </cell>
          <cell r="D5579">
            <v>46386</v>
          </cell>
        </row>
        <row r="5580">
          <cell r="A5580" t="str">
            <v>WBM-01341-040</v>
          </cell>
          <cell r="B5580" t="str">
            <v>חגית</v>
          </cell>
          <cell r="C5580" t="str">
            <v>חגית 400 ק"ו</v>
          </cell>
          <cell r="D5580">
            <v>46721</v>
          </cell>
        </row>
        <row r="5581">
          <cell r="A5581" t="str">
            <v>WBM-20004-029</v>
          </cell>
          <cell r="B5581" t="str">
            <v>חגית</v>
          </cell>
          <cell r="C5581" t="str">
            <v>חגית - שיפור מערכת תאורה</v>
          </cell>
          <cell r="D5581">
            <v>45657</v>
          </cell>
        </row>
        <row r="5582">
          <cell r="A5582" t="str">
            <v>WBM-40295-039</v>
          </cell>
          <cell r="B5582" t="str">
            <v>חגית</v>
          </cell>
          <cell r="C5582" t="str">
            <v>חגית החלפת 2 סוללות מצברים 510AH</v>
          </cell>
          <cell r="D5582">
            <v>46721</v>
          </cell>
        </row>
        <row r="5583">
          <cell r="A5583" t="str">
            <v>WBM-60092-009</v>
          </cell>
          <cell r="B5583" t="str">
            <v>חגית</v>
          </cell>
          <cell r="C5583" t="str">
            <v>חגית 400- בדיקות/טיפול/פינוי מכלי אש בגז</v>
          </cell>
          <cell r="D5583">
            <v>46173</v>
          </cell>
        </row>
        <row r="5584">
          <cell r="A5584" t="str">
            <v>WBM-60092-022</v>
          </cell>
          <cell r="B5584" t="str">
            <v>חגית</v>
          </cell>
          <cell r="C5584" t="str">
            <v>חגית 161 -בדיקות/טיפול/פינוי מכלי אש בגז</v>
          </cell>
          <cell r="D5584">
            <v>46173</v>
          </cell>
        </row>
        <row r="5585">
          <cell r="A5585" t="str">
            <v>WBM-60100-014</v>
          </cell>
          <cell r="B5585" t="str">
            <v>חגית</v>
          </cell>
          <cell r="C5585" t="str">
            <v>חגית- החלפת ברזי זרימה של מע' כיבוי במים</v>
          </cell>
          <cell r="D5585">
            <v>45475</v>
          </cell>
        </row>
        <row r="5586">
          <cell r="A5586" t="str">
            <v>WBM-60116-033</v>
          </cell>
          <cell r="B5586" t="str">
            <v>חגית</v>
          </cell>
          <cell r="C5586" t="str">
            <v>חגית 400- החלפת מערכת גילוי וכיבוי אש כולל רכזת</v>
          </cell>
          <cell r="D5586">
            <v>46173</v>
          </cell>
        </row>
        <row r="5587">
          <cell r="A5587" t="str">
            <v>WBM-60116-034</v>
          </cell>
          <cell r="B5587" t="str">
            <v>חגית</v>
          </cell>
          <cell r="C5587" t="str">
            <v>חגית 161- החלפת מערכת גילוי וכיבוי אש כולל רכזת</v>
          </cell>
          <cell r="D5587">
            <v>46203</v>
          </cell>
        </row>
        <row r="5588">
          <cell r="A5588" t="str">
            <v>WBM-60118-003</v>
          </cell>
          <cell r="B5588" t="str">
            <v>חגית</v>
          </cell>
          <cell r="C5588" t="str">
            <v>חגית - שיפור מערכת הארקה</v>
          </cell>
          <cell r="D5588">
            <v>46721</v>
          </cell>
        </row>
        <row r="5589">
          <cell r="A5589" t="str">
            <v>WBM-60119-003</v>
          </cell>
          <cell r="B5589" t="str">
            <v>חגית</v>
          </cell>
          <cell r="C5589" t="str">
            <v>חגית - בוטל - החלפת גלאי קרן בגלאים מתכווננים</v>
          </cell>
        </row>
        <row r="5590">
          <cell r="A5590" t="str">
            <v>WBM-60130-026</v>
          </cell>
          <cell r="B5590" t="str">
            <v>חגית</v>
          </cell>
          <cell r="C5590" t="str">
            <v>חגית 161 - התקנת מפסק פטריה להפסקת מערכת החשמל בחירום</v>
          </cell>
          <cell r="D5590">
            <v>46568</v>
          </cell>
        </row>
        <row r="5591">
          <cell r="A5591" t="str">
            <v>WBM-60130-027</v>
          </cell>
          <cell r="B5591" t="str">
            <v>חגית</v>
          </cell>
          <cell r="C5591" t="str">
            <v>חגית 400 - התקנת מפסק פטריה להפסקת מערכת החשמל בחירום</v>
          </cell>
          <cell r="D5591">
            <v>46568</v>
          </cell>
        </row>
        <row r="5592">
          <cell r="A5592" t="str">
            <v>WBM-60205-050</v>
          </cell>
          <cell r="B5592" t="str">
            <v>חגית</v>
          </cell>
          <cell r="C5592" t="str">
            <v>חגית 400 - ניטור הצפות</v>
          </cell>
          <cell r="D5592">
            <v>46175</v>
          </cell>
        </row>
        <row r="5593">
          <cell r="A5593" t="str">
            <v>WBM-10778</v>
          </cell>
          <cell r="B5593" t="str">
            <v>חגית</v>
          </cell>
          <cell r="C5593" t="str">
            <v>חגית 161 - החלפת לוחות חלוקה 380 וולט ותכנון מחדש של לוח התראות 220 וולט AC</v>
          </cell>
          <cell r="D5593">
            <v>46387</v>
          </cell>
        </row>
        <row r="5594">
          <cell r="A5594" t="str">
            <v>WBD-072</v>
          </cell>
          <cell r="B5594" t="str">
            <v>חברון ניידת</v>
          </cell>
          <cell r="C5594" t="str">
            <v>חברון- הצבת תחמ"ש ניידת</v>
          </cell>
          <cell r="D5594">
            <v>43832</v>
          </cell>
        </row>
        <row r="5595">
          <cell r="A5595" t="str">
            <v>WBD-072-ST2</v>
          </cell>
          <cell r="B5595" t="str">
            <v>חברון ניידת</v>
          </cell>
          <cell r="C5595" t="str">
            <v>חברון ניידת - פירוק תחמ"ש ניידת</v>
          </cell>
          <cell r="D5595">
            <v>45715</v>
          </cell>
        </row>
        <row r="5596">
          <cell r="A5596" t="str">
            <v>WBM-60010-137</v>
          </cell>
          <cell r="B5596" t="str">
            <v>חברון ניידת</v>
          </cell>
          <cell r="C5596" t="str">
            <v>ניידת חברון - בוטל -החלפת מוני ION למוני SATEC</v>
          </cell>
        </row>
        <row r="5597">
          <cell r="A5597" t="str">
            <v>WBM-60116-037</v>
          </cell>
          <cell r="B5597" t="str">
            <v>חברון ניידת</v>
          </cell>
          <cell r="C5597" t="str">
            <v>ניידת חברון - בוטל - שידרוג גלאים בתחנות משנה</v>
          </cell>
        </row>
        <row r="5598">
          <cell r="A5598" t="str">
            <v>HIS-193</v>
          </cell>
          <cell r="B5598" t="str">
            <v>חברון</v>
          </cell>
          <cell r="C5598" t="str">
            <v>חברון- החלפת שנאי תקול 50 מגוו"א ב-30 מג</v>
          </cell>
          <cell r="D5598">
            <v>43572</v>
          </cell>
        </row>
        <row r="5599">
          <cell r="A5599" t="str">
            <v>HIS-083</v>
          </cell>
          <cell r="B5599" t="str">
            <v>חברון</v>
          </cell>
          <cell r="C5599" t="str">
            <v>חברון</v>
          </cell>
          <cell r="D5599">
            <v>40908</v>
          </cell>
        </row>
        <row r="5600">
          <cell r="A5600" t="str">
            <v>WBE-248</v>
          </cell>
          <cell r="B5600" t="str">
            <v>חברון</v>
          </cell>
          <cell r="C5600" t="str">
            <v>חברון – החלפת שנאי 33.6  בשנאי 50 MVA</v>
          </cell>
          <cell r="D5600">
            <v>45068</v>
          </cell>
        </row>
        <row r="5601">
          <cell r="A5601" t="str">
            <v>WDA-1-02-15-08</v>
          </cell>
          <cell r="B5601" t="str">
            <v>חברון</v>
          </cell>
          <cell r="C5601" t="str">
            <v>חברון-החלפה של יחידת קצה של פיקוח ארצי</v>
          </cell>
          <cell r="D5601">
            <v>43221</v>
          </cell>
        </row>
        <row r="5602">
          <cell r="A5602" t="str">
            <v>WDB-04COM18</v>
          </cell>
          <cell r="B5602" t="str">
            <v>חברון</v>
          </cell>
          <cell r="C5602" t="str">
            <v>חברון-הנחת כבל אופטי בין תיל מכיוון ביתר</v>
          </cell>
          <cell r="D5602">
            <v>41086</v>
          </cell>
        </row>
        <row r="5603">
          <cell r="A5603" t="str">
            <v>WBM-01432</v>
          </cell>
          <cell r="B5603" t="str">
            <v>חברון</v>
          </cell>
          <cell r="C5603" t="str">
            <v>חברון - החלפת משנק ל 1250 אמפר</v>
          </cell>
          <cell r="D5603">
            <v>43640</v>
          </cell>
        </row>
        <row r="5604">
          <cell r="A5604" t="str">
            <v>WBM-00275</v>
          </cell>
          <cell r="B5604" t="str">
            <v>חברון</v>
          </cell>
          <cell r="C5604" t="str">
            <v>חברון-התקנת ס"ק מודולריות 36 ק"ו, 2*5 מג</v>
          </cell>
          <cell r="D5604">
            <v>46537</v>
          </cell>
        </row>
        <row r="5605">
          <cell r="A5605" t="str">
            <v>WBM-00861</v>
          </cell>
          <cell r="B5605" t="str">
            <v>חברון</v>
          </cell>
          <cell r="C5605" t="str">
            <v>חברון-הוקפא-התקנת 4 סלילי כיבוי 36 ק"ו, 250 א'</v>
          </cell>
        </row>
        <row r="5606">
          <cell r="A5606" t="str">
            <v>WBM-00039</v>
          </cell>
          <cell r="B5606" t="str">
            <v>חברון</v>
          </cell>
          <cell r="C5606" t="str">
            <v>חברון-הוקפא - הקמת בנין מסדר 36 ק"ו</v>
          </cell>
        </row>
        <row r="5607">
          <cell r="A5607" t="str">
            <v>WBM-40492</v>
          </cell>
          <cell r="B5607" t="str">
            <v>חברון</v>
          </cell>
          <cell r="C5607" t="str">
            <v>חברון-החלפת 3 מפסקים מ"ג SACE</v>
          </cell>
          <cell r="D5607">
            <v>46751</v>
          </cell>
        </row>
        <row r="5608">
          <cell r="A5608" t="str">
            <v>WBM-40078</v>
          </cell>
          <cell r="B5608" t="str">
            <v>חברון</v>
          </cell>
          <cell r="C5608" t="str">
            <v>חברון- החלפת הגנות שנאי בשדות 6, 10,12</v>
          </cell>
          <cell r="D5608">
            <v>46660</v>
          </cell>
        </row>
        <row r="5609">
          <cell r="A5609" t="str">
            <v>WBM-10163</v>
          </cell>
          <cell r="B5609" t="str">
            <v>חברון</v>
          </cell>
          <cell r="C5609" t="str">
            <v>חברון - שדרוג ארון חלוקה 380 וולט</v>
          </cell>
          <cell r="D5609">
            <v>46203</v>
          </cell>
        </row>
        <row r="5610">
          <cell r="A5610" t="str">
            <v>WBM-00038</v>
          </cell>
          <cell r="B5610" t="str">
            <v>חברון</v>
          </cell>
          <cell r="C5610" t="str">
            <v>חברון-התקנת עמדת כיבוי אש שנייה</v>
          </cell>
          <cell r="D5610">
            <v>46264</v>
          </cell>
        </row>
        <row r="5611">
          <cell r="A5611" t="str">
            <v>WBM-00844</v>
          </cell>
          <cell r="B5611" t="str">
            <v>חברון</v>
          </cell>
          <cell r="C5611" t="str">
            <v>חברון-חיבור  NBPLC עבור מעגל לתרקומיא</v>
          </cell>
          <cell r="D5611">
            <v>46326</v>
          </cell>
        </row>
        <row r="5612">
          <cell r="A5612" t="str">
            <v>WBM-40477</v>
          </cell>
          <cell r="B5612" t="str">
            <v>חברון</v>
          </cell>
          <cell r="C5612" t="str">
            <v>חברון- החלפת שנאי 532 33 מגוא ב- 50 מגוא</v>
          </cell>
          <cell r="D5612">
            <v>44159</v>
          </cell>
        </row>
        <row r="5613">
          <cell r="A5613" t="str">
            <v>WBM-01291</v>
          </cell>
          <cell r="B5613" t="str">
            <v>חברון</v>
          </cell>
          <cell r="C5613" t="str">
            <v>חברון-החלפת מפ"ז מ"ג</v>
          </cell>
          <cell r="D5613">
            <v>43290</v>
          </cell>
        </row>
        <row r="5614">
          <cell r="A5614" t="str">
            <v>WBM-01078</v>
          </cell>
          <cell r="B5614" t="str">
            <v>חברון</v>
          </cell>
          <cell r="C5614" t="str">
            <v>חברון - מיגון התחמ"ש -הקמת קירות מיגון</v>
          </cell>
          <cell r="D5614">
            <v>42794</v>
          </cell>
        </row>
        <row r="5615">
          <cell r="A5615" t="str">
            <v>WBM-00676</v>
          </cell>
          <cell r="B5615" t="str">
            <v>חברון</v>
          </cell>
          <cell r="C5615" t="str">
            <v>חברון-החלפת מע' גילוי וכיבוי אש אוטומטית</v>
          </cell>
          <cell r="D5615">
            <v>41918</v>
          </cell>
        </row>
        <row r="5616">
          <cell r="A5616" t="str">
            <v>WBG-036-013</v>
          </cell>
          <cell r="B5616" t="str">
            <v>חברון</v>
          </cell>
          <cell r="C5616" t="str">
            <v>חברון-התקנת משני מתח חד פאזיים בשד' 3,9</v>
          </cell>
          <cell r="D5616">
            <v>41274</v>
          </cell>
        </row>
        <row r="5617">
          <cell r="A5617" t="str">
            <v>WBG-036-015</v>
          </cell>
          <cell r="B5617" t="str">
            <v>חברון</v>
          </cell>
          <cell r="C5617" t="str">
            <v>חברון-התקנת ארון ז"י 48 וולט</v>
          </cell>
          <cell r="D5617">
            <v>41146</v>
          </cell>
        </row>
        <row r="5618">
          <cell r="A5618" t="str">
            <v>WBG-036-006</v>
          </cell>
          <cell r="B5618" t="str">
            <v>חברון</v>
          </cell>
          <cell r="C5618" t="str">
            <v>חברון-התקנת ה.מרחק וקשר בין הגנות לאיתן</v>
          </cell>
          <cell r="D5618">
            <v>41090</v>
          </cell>
        </row>
        <row r="5619">
          <cell r="A5619" t="str">
            <v>WBG-036-014</v>
          </cell>
          <cell r="B5619" t="str">
            <v>חברון</v>
          </cell>
          <cell r="C5619" t="str">
            <v>חברון-התקנת תקשורת מנהלתית</v>
          </cell>
          <cell r="D5619">
            <v>41090</v>
          </cell>
        </row>
        <row r="5620">
          <cell r="A5620" t="str">
            <v>WBG-036-006-ST2</v>
          </cell>
          <cell r="B5620" t="str">
            <v>חברון</v>
          </cell>
          <cell r="C5620" t="str">
            <v>חברון--התקנת ה.מרחק וקשר בין הגנות לביתר</v>
          </cell>
          <cell r="D5620">
            <v>41088</v>
          </cell>
        </row>
        <row r="5621">
          <cell r="A5621" t="str">
            <v>WBM-40077</v>
          </cell>
          <cell r="B5621" t="str">
            <v>חברון</v>
          </cell>
          <cell r="C5621" t="str">
            <v>חברון-בוטל-החלפת מפס"ז בשדה 1 ו-2 161 ק"</v>
          </cell>
          <cell r="D5621">
            <v>43112</v>
          </cell>
        </row>
        <row r="5622">
          <cell r="A5622" t="str">
            <v>WBM-40148</v>
          </cell>
          <cell r="B5622" t="str">
            <v>חברון</v>
          </cell>
          <cell r="C5622" t="str">
            <v>חברון-בוטל- החלפת 3 מפס"זו 22 הגנות מ"ג</v>
          </cell>
          <cell r="D5622">
            <v>43115</v>
          </cell>
        </row>
        <row r="5623">
          <cell r="A5623">
            <v>548607</v>
          </cell>
          <cell r="B5623" t="str">
            <v>חברון</v>
          </cell>
          <cell r="C5623" t="str">
            <v>חברון-החלפת מגיני ברק מ"ג של השנאים</v>
          </cell>
          <cell r="D5623">
            <v>39324</v>
          </cell>
        </row>
        <row r="5624">
          <cell r="A5624">
            <v>548613</v>
          </cell>
          <cell r="B5624" t="str">
            <v>חברון</v>
          </cell>
          <cell r="C5624" t="str">
            <v>חברון-התקנת מערכת התראה ביטחונית</v>
          </cell>
          <cell r="D5624">
            <v>39994</v>
          </cell>
        </row>
        <row r="5625">
          <cell r="A5625">
            <v>548622</v>
          </cell>
          <cell r="B5625" t="str">
            <v>חברון</v>
          </cell>
          <cell r="C5625" t="str">
            <v>חברון-בוטל-התקנת מאווררים בארונות פיקוד</v>
          </cell>
          <cell r="D5625">
            <v>40311</v>
          </cell>
        </row>
        <row r="5626">
          <cell r="A5626">
            <v>548610</v>
          </cell>
          <cell r="B5626" t="str">
            <v>חברון</v>
          </cell>
          <cell r="C5626" t="str">
            <v>חברון-החלפת מגיני ברק מ"ג של פ"צ 1,2</v>
          </cell>
          <cell r="D5626">
            <v>39385</v>
          </cell>
        </row>
        <row r="5627">
          <cell r="A5627" t="str">
            <v>WBM-00276</v>
          </cell>
          <cell r="B5627" t="str">
            <v>חברון</v>
          </cell>
          <cell r="C5627" t="str">
            <v>חברון-הקמת שדה 161 ק"ו לביתר</v>
          </cell>
          <cell r="D5627">
            <v>42876</v>
          </cell>
        </row>
        <row r="5628">
          <cell r="A5628" t="str">
            <v>WBE-059</v>
          </cell>
          <cell r="B5628" t="str">
            <v>חברון</v>
          </cell>
          <cell r="C5628" t="str">
            <v>חברון-החלפת שנאי  (534)  ל-50 מגוו"א</v>
          </cell>
          <cell r="D5628">
            <v>41742</v>
          </cell>
        </row>
        <row r="5629">
          <cell r="A5629" t="str">
            <v>WBM-60124</v>
          </cell>
          <cell r="B5629" t="str">
            <v>חברון</v>
          </cell>
          <cell r="C5629" t="str">
            <v>חברון- התקנת מיכל מים ומשאבה לכיבוי אש</v>
          </cell>
          <cell r="D5629">
            <v>46629</v>
          </cell>
        </row>
        <row r="5630">
          <cell r="A5630" t="str">
            <v>WBM-00350-041</v>
          </cell>
          <cell r="B5630" t="str">
            <v>חברון</v>
          </cell>
          <cell r="C5630" t="str">
            <v>חברון-שיפוץ שנאי שפורק מתחמ"ש חברון</v>
          </cell>
          <cell r="D5630">
            <v>45291</v>
          </cell>
        </row>
        <row r="5631">
          <cell r="A5631" t="str">
            <v>WBM-10101-010</v>
          </cell>
          <cell r="B5631" t="str">
            <v>חברון</v>
          </cell>
          <cell r="C5631" t="str">
            <v>חברון - שינויים בסוללות מצברים</v>
          </cell>
          <cell r="D5631">
            <v>46721</v>
          </cell>
        </row>
        <row r="5632">
          <cell r="A5632" t="str">
            <v>WBM-40479-025</v>
          </cell>
          <cell r="B5632" t="str">
            <v>חברון</v>
          </cell>
          <cell r="C5632" t="str">
            <v>חברון-החלפת בקר טמפ' וגובה שמן בשנאי</v>
          </cell>
          <cell r="D5632">
            <v>47299</v>
          </cell>
        </row>
        <row r="5633">
          <cell r="A5633" t="str">
            <v>WBM-60010-132</v>
          </cell>
          <cell r="B5633" t="str">
            <v>חברון</v>
          </cell>
          <cell r="C5633" t="str">
            <v>חברון - החלפת מוני ION למוני SATEC</v>
          </cell>
          <cell r="D5633">
            <v>45474</v>
          </cell>
        </row>
        <row r="5634">
          <cell r="A5634" t="str">
            <v>WBM-60130-007</v>
          </cell>
          <cell r="B5634" t="str">
            <v>חברון</v>
          </cell>
          <cell r="C5634" t="str">
            <v>חברון - התקנת מפסק פטריה להפסקת מערכת החשמל בחירום</v>
          </cell>
          <cell r="D5634">
            <v>46568</v>
          </cell>
        </row>
        <row r="5635">
          <cell r="A5635" t="str">
            <v>WBM-10315-079</v>
          </cell>
          <cell r="B5635" t="str">
            <v>חברון</v>
          </cell>
          <cell r="C5635" t="str">
            <v>חברון- התקנת מזגנים</v>
          </cell>
          <cell r="D5635">
            <v>46021</v>
          </cell>
        </row>
        <row r="5636">
          <cell r="A5636" t="str">
            <v>WBE-277</v>
          </cell>
          <cell r="B5636" t="str">
            <v>חברון</v>
          </cell>
          <cell r="C5636" t="str">
            <v>חברון- התקנת שנאי חמישי 161/36 ק"ו במתכונת קיט , 50 מגוו"א</v>
          </cell>
          <cell r="D5636">
            <v>45722</v>
          </cell>
        </row>
        <row r="5637">
          <cell r="A5637" t="str">
            <v>WBM-00350-060</v>
          </cell>
          <cell r="B5637" t="str">
            <v>חברון</v>
          </cell>
          <cell r="C5637" t="str">
            <v>חברון - החלפת שנאי בית תקול</v>
          </cell>
          <cell r="D5637">
            <v>46015</v>
          </cell>
        </row>
        <row r="5638">
          <cell r="A5638" t="str">
            <v>WBM-10681</v>
          </cell>
          <cell r="B5638" t="str">
            <v>חברון</v>
          </cell>
          <cell r="C5638" t="str">
            <v>חברון – החלפת מכולת מ"ג תקולה -  פ"צ 3</v>
          </cell>
          <cell r="D5638">
            <v>46326</v>
          </cell>
        </row>
        <row r="5639">
          <cell r="A5639" t="str">
            <v>WBM-10737</v>
          </cell>
          <cell r="B5639" t="str">
            <v>חברון</v>
          </cell>
          <cell r="C5639" t="str">
            <v>חברון – חיבור מקשר בין פ"צ 3-5 במ"ג</v>
          </cell>
          <cell r="D5639">
            <v>46203</v>
          </cell>
        </row>
        <row r="5640">
          <cell r="A5640" t="str">
            <v>WBC-107</v>
          </cell>
          <cell r="B5640" t="str">
            <v>חבר (עפולה)</v>
          </cell>
          <cell r="C5640" t="str">
            <v>חבר(עפולה)-הקמת תחמ"ש חיצונית</v>
          </cell>
          <cell r="D5640">
            <v>47847</v>
          </cell>
        </row>
        <row r="5641">
          <cell r="A5641" t="str">
            <v>WBD-080-ST1</v>
          </cell>
          <cell r="B5641" t="str">
            <v>חבר (עפולה)</v>
          </cell>
          <cell r="C5641" t="str">
            <v>חבר 1 - מוקפא - פירוק תחמ''ש ניידת</v>
          </cell>
        </row>
        <row r="5642">
          <cell r="A5642" t="str">
            <v>WBD-081</v>
          </cell>
          <cell r="B5642" t="str">
            <v>חבר (עפולה)</v>
          </cell>
          <cell r="C5642" t="str">
            <v>חבר 2 ניידת - הוקפא- התקנת תחמ"ש ניידת</v>
          </cell>
        </row>
        <row r="5643">
          <cell r="A5643" t="str">
            <v>WBD-080</v>
          </cell>
          <cell r="B5643" t="str">
            <v>חבר (עפולה)</v>
          </cell>
          <cell r="C5643" t="str">
            <v>חבר 1 ניידת - הוקפא התקנת תחמ"ש ניידת</v>
          </cell>
        </row>
        <row r="5644">
          <cell r="A5644" t="str">
            <v>WBD-083</v>
          </cell>
          <cell r="B5644" t="str">
            <v>חבצלת ניידת</v>
          </cell>
          <cell r="C5644" t="str">
            <v>חבצלת ניידת – התקנת תחמ"ש ניידת 20 מגו"א</v>
          </cell>
          <cell r="D5644">
            <v>44900</v>
          </cell>
        </row>
        <row r="5645">
          <cell r="A5645" t="str">
            <v>WBD-083-ST2</v>
          </cell>
          <cell r="B5645" t="str">
            <v>חבצלת ניידת</v>
          </cell>
          <cell r="C5645" t="str">
            <v>חבצלת - פירוק תחמ"ש ניידת</v>
          </cell>
          <cell r="D5645">
            <v>45991</v>
          </cell>
        </row>
        <row r="5646">
          <cell r="A5646" t="str">
            <v>HIS-082</v>
          </cell>
          <cell r="B5646" t="str">
            <v>חבצלת</v>
          </cell>
          <cell r="C5646" t="str">
            <v>חבצלת</v>
          </cell>
          <cell r="D5646">
            <v>40908</v>
          </cell>
        </row>
        <row r="5647">
          <cell r="A5647" t="str">
            <v>WBM-00274</v>
          </cell>
          <cell r="B5647" t="str">
            <v>חבצלת</v>
          </cell>
          <cell r="C5647" t="str">
            <v>חבצלת-החלפת סליל כיבוי-שנאי 524</v>
          </cell>
          <cell r="D5647">
            <v>44346</v>
          </cell>
        </row>
        <row r="5648">
          <cell r="A5648" t="str">
            <v>WBM-00454</v>
          </cell>
          <cell r="B5648" t="str">
            <v>חבצלת</v>
          </cell>
          <cell r="C5648" t="str">
            <v>חבצלת-הזנת תאורת חירום ז"י.</v>
          </cell>
          <cell r="D5648">
            <v>46062</v>
          </cell>
        </row>
        <row r="5649">
          <cell r="A5649" t="str">
            <v>WBM-40075</v>
          </cell>
          <cell r="B5649" t="str">
            <v>חבצלת</v>
          </cell>
          <cell r="C5649" t="str">
            <v>חבצלת-החלפת 30 הגנות מ"ג</v>
          </cell>
          <cell r="D5649">
            <v>46751</v>
          </cell>
        </row>
        <row r="5650">
          <cell r="A5650" t="str">
            <v>WBM-10043</v>
          </cell>
          <cell r="B5650" t="str">
            <v>חבצלת</v>
          </cell>
          <cell r="C5650" t="str">
            <v>חבצלת - התקנת רושם הפרעות</v>
          </cell>
          <cell r="D5650">
            <v>46476</v>
          </cell>
        </row>
        <row r="5651">
          <cell r="A5651" t="str">
            <v>WBG-035-005</v>
          </cell>
          <cell r="B5651" t="str">
            <v>חבצלת</v>
          </cell>
          <cell r="C5651" t="str">
            <v>חבצלת-הקמת רשת מחשבים תפעולית</v>
          </cell>
          <cell r="D5651">
            <v>40979</v>
          </cell>
        </row>
        <row r="5652">
          <cell r="A5652" t="str">
            <v>WBG-035-004</v>
          </cell>
          <cell r="B5652" t="str">
            <v>חבצלת</v>
          </cell>
          <cell r="C5652" t="str">
            <v>חבצלת-התקנת מערכת מניה</v>
          </cell>
          <cell r="D5652">
            <v>40928</v>
          </cell>
        </row>
        <row r="5653">
          <cell r="A5653" t="str">
            <v>WBM-40074</v>
          </cell>
          <cell r="B5653" t="str">
            <v>חבצלת</v>
          </cell>
          <cell r="C5653" t="str">
            <v>חבצלת-בוטל-החלפת טרפו גרד ל-3 שנאים</v>
          </cell>
          <cell r="D5653">
            <v>44377</v>
          </cell>
        </row>
        <row r="5654">
          <cell r="A5654">
            <v>530622</v>
          </cell>
          <cell r="B5654" t="str">
            <v>חבצלת</v>
          </cell>
          <cell r="C5654" t="str">
            <v>חבצלת-התקנת מאווררים בארונות פיקוד</v>
          </cell>
          <cell r="D5654">
            <v>40311</v>
          </cell>
        </row>
        <row r="5655">
          <cell r="A5655">
            <v>530611</v>
          </cell>
          <cell r="B5655" t="str">
            <v>חבצלת</v>
          </cell>
          <cell r="C5655" t="str">
            <v>חבצלת-החלפת מערכת התראה בטחונית</v>
          </cell>
          <cell r="D5655">
            <v>38959</v>
          </cell>
        </row>
        <row r="5656">
          <cell r="A5656" t="str">
            <v>WBG-035-007</v>
          </cell>
          <cell r="B5656" t="str">
            <v>חבצלת</v>
          </cell>
          <cell r="C5656" t="str">
            <v>חבצלת-התקנת ס"ק-שנאי 522, 5*2 מגווא"ר</v>
          </cell>
          <cell r="D5656">
            <v>41394</v>
          </cell>
        </row>
        <row r="5657">
          <cell r="A5657" t="str">
            <v>WBM-00885-086</v>
          </cell>
          <cell r="B5657" t="str">
            <v>חבצלת</v>
          </cell>
          <cell r="C5657" t="str">
            <v>חבצלת - בוטל- התכולת תקבע בהתאם לבדיקת מת"י</v>
          </cell>
        </row>
        <row r="5658">
          <cell r="A5658" t="str">
            <v>WBM-01193-005</v>
          </cell>
          <cell r="B5658" t="str">
            <v>חבצלת</v>
          </cell>
          <cell r="C5658" t="str">
            <v>חבצלת - החלפת טבעת 310 ל- RAD</v>
          </cell>
          <cell r="D5658">
            <v>46568</v>
          </cell>
        </row>
        <row r="5659">
          <cell r="A5659" t="str">
            <v>WBM-10456-009</v>
          </cell>
          <cell r="B5659" t="str">
            <v>חבצלת</v>
          </cell>
          <cell r="C5659" t="str">
            <v>חבצלת ניידת - הוספת מתמרים ב-3 פ"צ</v>
          </cell>
          <cell r="D5659">
            <v>46721</v>
          </cell>
        </row>
        <row r="5660">
          <cell r="A5660" t="str">
            <v>WBM-10456-010</v>
          </cell>
          <cell r="B5660" t="str">
            <v>חבצלת</v>
          </cell>
          <cell r="C5660" t="str">
            <v>חבצלת  - הוספת מתמרים ב-3 פ"צ</v>
          </cell>
          <cell r="D5660">
            <v>46568</v>
          </cell>
        </row>
        <row r="5661">
          <cell r="A5661" t="str">
            <v>WBM-40479-013</v>
          </cell>
          <cell r="B5661" t="str">
            <v>חבצלת</v>
          </cell>
          <cell r="C5661" t="str">
            <v>חבצלת-החלפת 3 בקרי טמפ' וגובה שמן בשנאי</v>
          </cell>
          <cell r="D5661">
            <v>47817</v>
          </cell>
        </row>
        <row r="5662">
          <cell r="A5662" t="str">
            <v>WBM-60130-055</v>
          </cell>
          <cell r="B5662" t="str">
            <v>חבצלת</v>
          </cell>
          <cell r="C5662" t="str">
            <v>חבצלת - התקנת מפסק פטריה להפסקת מערכת החשמל בחירום</v>
          </cell>
          <cell r="D5662">
            <v>46568</v>
          </cell>
        </row>
        <row r="5663">
          <cell r="A5663" t="str">
            <v>WBM-10622</v>
          </cell>
          <cell r="B5663" t="str">
            <v>חבצלת</v>
          </cell>
          <cell r="C5663" t="str">
            <v>חבצלת- שדה 9, משיק סתריה שדה 6. התקנת הגנה דיפרנציאלית. יישום דרך קשר אופטית בין הגנות.</v>
          </cell>
          <cell r="D5663">
            <v>46326</v>
          </cell>
        </row>
        <row r="5664">
          <cell r="A5664" t="str">
            <v>WBM-10624</v>
          </cell>
          <cell r="B5664" t="str">
            <v>חבצלת</v>
          </cell>
          <cell r="C5664" t="str">
            <v>חבצלת- שדה 9, משיק סתריה שדה 6. פרוק ממסר והתקנת הגנה מרחק . יישום דרך קשר אופטית בין הגנות</v>
          </cell>
          <cell r="D5664">
            <v>46326</v>
          </cell>
        </row>
        <row r="5665">
          <cell r="A5665" t="str">
            <v>WBM-00350-038</v>
          </cell>
          <cell r="B5665" t="str">
            <v>חבצלת</v>
          </cell>
          <cell r="C5665" t="str">
            <v>חבצלת - תיקון תקלה</v>
          </cell>
          <cell r="D5665">
            <v>46022</v>
          </cell>
        </row>
        <row r="5666">
          <cell r="A5666" t="str">
            <v>WBM-40295-079</v>
          </cell>
          <cell r="B5666" t="str">
            <v>חבצלת</v>
          </cell>
          <cell r="C5666" t="str">
            <v>חבצלת - החלפת מצברים</v>
          </cell>
          <cell r="D5666">
            <v>46387</v>
          </cell>
        </row>
        <row r="5667">
          <cell r="A5667" t="str">
            <v>WBM-00885-148</v>
          </cell>
          <cell r="B5667" t="str">
            <v>חבצלת</v>
          </cell>
          <cell r="C5667" t="str">
            <v>חבצלת- תוספת משאבת הגברת לחץ</v>
          </cell>
          <cell r="D5667">
            <v>46568</v>
          </cell>
        </row>
        <row r="5668">
          <cell r="A5668" t="str">
            <v>WBM-10315-080</v>
          </cell>
          <cell r="B5668" t="str">
            <v>חבצלת</v>
          </cell>
          <cell r="C5668" t="str">
            <v>חבצלת - התקנת מזגנים</v>
          </cell>
          <cell r="D5668">
            <v>45728</v>
          </cell>
        </row>
        <row r="5669">
          <cell r="A5669" t="str">
            <v>WBM-60205-010</v>
          </cell>
          <cell r="B5669" t="str">
            <v>חבצלת</v>
          </cell>
          <cell r="C5669" t="str">
            <v>חבצלת - ניטור הצפות</v>
          </cell>
          <cell r="D5669">
            <v>46175</v>
          </cell>
        </row>
        <row r="5670">
          <cell r="A5670" t="str">
            <v>WBM-60092-047</v>
          </cell>
          <cell r="B5670" t="str">
            <v>חבצלת</v>
          </cell>
          <cell r="C5670" t="str">
            <v>חבצלת - בדיקות/טיפול/פינוי מכלי אש בגז</v>
          </cell>
          <cell r="D5670">
            <v>46387</v>
          </cell>
        </row>
        <row r="5671">
          <cell r="A5671" t="str">
            <v>WBM-60116-044</v>
          </cell>
          <cell r="B5671" t="str">
            <v>חבצלת</v>
          </cell>
          <cell r="C5671" t="str">
            <v>חבצלת - מערכות גילוי אש להחלפה CERBERUS</v>
          </cell>
          <cell r="D5671">
            <v>46752</v>
          </cell>
        </row>
        <row r="5672">
          <cell r="A5672" t="str">
            <v>HIS-081</v>
          </cell>
          <cell r="B5672" t="str">
            <v>זמיר</v>
          </cell>
          <cell r="C5672" t="str">
            <v>זמיר</v>
          </cell>
          <cell r="D5672">
            <v>40908</v>
          </cell>
        </row>
        <row r="5673">
          <cell r="A5673" t="str">
            <v>WBE-149</v>
          </cell>
          <cell r="B5673" t="str">
            <v>זמיר</v>
          </cell>
          <cell r="C5673" t="str">
            <v>זמיר-הוספת שנאי רביעי 50 מגוו"א  וס"ק</v>
          </cell>
          <cell r="D5673">
            <v>46324</v>
          </cell>
        </row>
        <row r="5674">
          <cell r="A5674" t="str">
            <v>WDA-1-PA08</v>
          </cell>
          <cell r="B5674" t="str">
            <v>זמיר</v>
          </cell>
          <cell r="C5674" t="str">
            <v>זמיר-החלפה של יחידת קצה של פיקוח ארצי</v>
          </cell>
          <cell r="D5674">
            <v>42490</v>
          </cell>
        </row>
        <row r="5675">
          <cell r="A5675">
            <v>522232</v>
          </cell>
          <cell r="B5675" t="str">
            <v>זמיר</v>
          </cell>
          <cell r="C5675" t="str">
            <v>זמיר-בוטל-התקנת מאווררים בארונות פיקוד</v>
          </cell>
          <cell r="D5675">
            <v>40311</v>
          </cell>
        </row>
        <row r="5676">
          <cell r="A5676" t="str">
            <v>WBG-034-026</v>
          </cell>
          <cell r="B5676" t="str">
            <v>זמיר</v>
          </cell>
          <cell r="C5676" t="str">
            <v>זמיר-התקנת מערכת טמ"ס</v>
          </cell>
          <cell r="D5676">
            <v>41513</v>
          </cell>
        </row>
        <row r="5677">
          <cell r="A5677" t="str">
            <v>WBG-034-022</v>
          </cell>
          <cell r="B5677" t="str">
            <v>זמיר</v>
          </cell>
          <cell r="C5677" t="str">
            <v>זמיר-בוטל-החלפת רכזת התראה בטחונית</v>
          </cell>
          <cell r="D5677">
            <v>38898</v>
          </cell>
        </row>
        <row r="5678">
          <cell r="A5678" t="str">
            <v>WBG-034-025</v>
          </cell>
          <cell r="B5678" t="str">
            <v>זמיר</v>
          </cell>
          <cell r="C5678" t="str">
            <v>זמיר-עיגון 3 שנאים</v>
          </cell>
          <cell r="D5678">
            <v>41151</v>
          </cell>
        </row>
        <row r="5679">
          <cell r="A5679" t="str">
            <v>WBM-00037</v>
          </cell>
          <cell r="B5679" t="str">
            <v>זמיר</v>
          </cell>
          <cell r="C5679" t="str">
            <v>זמיר-בוטל-הקמת רשת מחשבים תפעולית</v>
          </cell>
          <cell r="D5679">
            <v>39660</v>
          </cell>
        </row>
        <row r="5680">
          <cell r="A5680" t="str">
            <v>WBM-01286</v>
          </cell>
          <cell r="B5680" t="str">
            <v>זמיר</v>
          </cell>
          <cell r="C5680" t="str">
            <v>זמיר - בוטל-החלפת סליל כיבוי בנגד ראשוני</v>
          </cell>
          <cell r="D5680">
            <v>42915</v>
          </cell>
        </row>
        <row r="5681">
          <cell r="A5681" t="str">
            <v>WBM-00875</v>
          </cell>
          <cell r="B5681" t="str">
            <v>זמיר</v>
          </cell>
          <cell r="C5681" t="str">
            <v>זמיר-חדר יישומי מחשב ושרתים</v>
          </cell>
          <cell r="D5681">
            <v>42551</v>
          </cell>
        </row>
        <row r="5682">
          <cell r="A5682" t="str">
            <v>WBM-00452</v>
          </cell>
          <cell r="B5682" t="str">
            <v>זמיר</v>
          </cell>
          <cell r="C5682" t="str">
            <v>זמיר-הזנת תאורת חירום ז"י בא. ממיר DC/AC</v>
          </cell>
          <cell r="D5682">
            <v>46752</v>
          </cell>
        </row>
        <row r="5683">
          <cell r="A5683" t="str">
            <v>WBM-40073</v>
          </cell>
          <cell r="B5683" t="str">
            <v>זמיר</v>
          </cell>
          <cell r="C5683" t="str">
            <v>זמיר - החלפת הגנות שנאי dt92 בשדות 1,3,8</v>
          </cell>
          <cell r="D5683">
            <v>46477</v>
          </cell>
        </row>
        <row r="5684">
          <cell r="A5684" t="str">
            <v>WBM-10341</v>
          </cell>
          <cell r="B5684" t="str">
            <v>זמיר</v>
          </cell>
          <cell r="C5684" t="str">
            <v>זמיר-משיק תה"ר דור+זכרון-תקש.בין הג.9</v>
          </cell>
          <cell r="D5684">
            <v>46477</v>
          </cell>
        </row>
        <row r="5685">
          <cell r="A5685" t="str">
            <v>WBM-60048</v>
          </cell>
          <cell r="B5685" t="str">
            <v>זמיר</v>
          </cell>
          <cell r="C5685" t="str">
            <v>זמיר - עיגון ארונות פיקוד ושנאים</v>
          </cell>
          <cell r="D5685">
            <v>46356</v>
          </cell>
        </row>
        <row r="5686">
          <cell r="A5686" t="str">
            <v>WBM-10225</v>
          </cell>
          <cell r="B5686" t="str">
            <v>זמיר</v>
          </cell>
          <cell r="C5686" t="str">
            <v>זמיר-החלפת הגנה דיפ. שדה 4 + תקשורת</v>
          </cell>
          <cell r="D5686">
            <v>44614</v>
          </cell>
        </row>
        <row r="5687">
          <cell r="A5687" t="str">
            <v>WBM-01444</v>
          </cell>
          <cell r="B5687" t="str">
            <v>זמיר</v>
          </cell>
          <cell r="C5687" t="str">
            <v>זמיר-התקנת אוטומטיקה בסלילי כיבוי</v>
          </cell>
          <cell r="D5687">
            <v>44147</v>
          </cell>
        </row>
        <row r="5688">
          <cell r="A5688" t="str">
            <v>WBM-01214</v>
          </cell>
          <cell r="B5688" t="str">
            <v>זמיר</v>
          </cell>
          <cell r="C5688" t="str">
            <v>זמיר-הוספת הגנות פ"צ וכשל המפסק</v>
          </cell>
          <cell r="D5688">
            <v>44060</v>
          </cell>
        </row>
        <row r="5689">
          <cell r="A5689" t="str">
            <v>WBM-00970</v>
          </cell>
          <cell r="B5689" t="str">
            <v>זמיר</v>
          </cell>
          <cell r="C5689" t="str">
            <v>זמיר - עע"א - החלפת הגנת מרחק</v>
          </cell>
          <cell r="D5689">
            <v>42284</v>
          </cell>
        </row>
        <row r="5690">
          <cell r="A5690" t="str">
            <v>WBM-00743</v>
          </cell>
          <cell r="B5690" t="str">
            <v>זמיר</v>
          </cell>
          <cell r="C5690" t="str">
            <v>זמיר-בוטל-טיפול נגד הצפה בכביש הכניסה</v>
          </cell>
          <cell r="D5690">
            <v>41639</v>
          </cell>
        </row>
        <row r="5691">
          <cell r="A5691" t="str">
            <v>WBM-00453</v>
          </cell>
          <cell r="B5691" t="str">
            <v>זמיר</v>
          </cell>
          <cell r="C5691" t="str">
            <v>זמיר- בוטל שיפור מערכת הארקה בתחמ"ש</v>
          </cell>
          <cell r="D5691">
            <v>39798</v>
          </cell>
        </row>
        <row r="5692">
          <cell r="A5692" t="str">
            <v>WBM-00036</v>
          </cell>
          <cell r="B5692" t="str">
            <v>זמיר</v>
          </cell>
          <cell r="C5692" t="str">
            <v>זמיר-בוטל-איטום בורות ספיגה</v>
          </cell>
          <cell r="D5692">
            <v>39902</v>
          </cell>
        </row>
        <row r="5693">
          <cell r="A5693" t="str">
            <v>WBM-00351</v>
          </cell>
          <cell r="B5693" t="str">
            <v>זמיר</v>
          </cell>
          <cell r="C5693" t="str">
            <v>זמיר-החלפת סליל כיבוי של שנאי 521 ל-300א</v>
          </cell>
          <cell r="D5693">
            <v>41597</v>
          </cell>
        </row>
        <row r="5694">
          <cell r="A5694" t="str">
            <v>WBM-10588</v>
          </cell>
          <cell r="B5694" t="str">
            <v>זמיר</v>
          </cell>
          <cell r="C5694" t="str">
            <v>זמיר - משיק לתה"ר דור שדה 5, יישום תקשורת אופטית בין הגנות בשדה 9</v>
          </cell>
          <cell r="D5694">
            <v>46477</v>
          </cell>
        </row>
        <row r="5695">
          <cell r="A5695" t="str">
            <v>WBM-00884-021</v>
          </cell>
          <cell r="B5695" t="str">
            <v>זמיר</v>
          </cell>
          <cell r="C5695" t="str">
            <v>זמיר- החלפת מערכת גילוי וכיבוי אש כולל רכזת</v>
          </cell>
          <cell r="D5695">
            <v>46386</v>
          </cell>
        </row>
        <row r="5696">
          <cell r="A5696" t="str">
            <v>WBM-00885-040</v>
          </cell>
          <cell r="B5696" t="str">
            <v>זמיר</v>
          </cell>
          <cell r="C5696" t="str">
            <v>זמיר - התקנת מאגר מים עם משאבה לכיבוי אש</v>
          </cell>
          <cell r="D5696">
            <v>46721</v>
          </cell>
        </row>
        <row r="5697">
          <cell r="A5697" t="str">
            <v>WBM-20004-007</v>
          </cell>
          <cell r="B5697" t="str">
            <v>זמיר</v>
          </cell>
          <cell r="C5697" t="str">
            <v>זמיר - שיפור בטיחות בתחנות משנה</v>
          </cell>
          <cell r="D5697">
            <v>45442</v>
          </cell>
        </row>
        <row r="5698">
          <cell r="A5698" t="str">
            <v>WBM-60092-004</v>
          </cell>
          <cell r="B5698" t="str">
            <v>זמיר</v>
          </cell>
          <cell r="C5698" t="str">
            <v>זמיר- בדיקות/טיפול/פינוי מכלי אש בגז</v>
          </cell>
          <cell r="D5698">
            <v>46173</v>
          </cell>
        </row>
        <row r="5699">
          <cell r="A5699" t="str">
            <v>WBM-60100-007</v>
          </cell>
          <cell r="B5699" t="str">
            <v>זמיר</v>
          </cell>
          <cell r="C5699" t="str">
            <v>זמיר-החלפת ברזי זרימה של מע' כבוי במים</v>
          </cell>
          <cell r="D5699">
            <v>45475</v>
          </cell>
        </row>
        <row r="5700">
          <cell r="A5700" t="str">
            <v>WBM-60116-019</v>
          </cell>
          <cell r="B5700" t="str">
            <v>זמיר</v>
          </cell>
          <cell r="C5700" t="str">
            <v>זמיר - שידרוג גלאים בתחנות משנה ומיתוג</v>
          </cell>
        </row>
        <row r="5701">
          <cell r="A5701" t="str">
            <v>WBM-60118-006</v>
          </cell>
          <cell r="B5701" t="str">
            <v>זמיר</v>
          </cell>
          <cell r="C5701" t="str">
            <v>זמיר-שיפור מערכת הארקה</v>
          </cell>
          <cell r="D5701">
            <v>46387</v>
          </cell>
        </row>
        <row r="5702">
          <cell r="A5702" t="str">
            <v>WBM-60130-025</v>
          </cell>
          <cell r="B5702" t="str">
            <v>זמיר</v>
          </cell>
          <cell r="C5702" t="str">
            <v>זמיר - התקנת מפסק פטריה להפסקת מערכת החשמל בחירום</v>
          </cell>
          <cell r="D5702">
            <v>46568</v>
          </cell>
        </row>
        <row r="5703">
          <cell r="A5703" t="str">
            <v>WBM-00236-009</v>
          </cell>
          <cell r="B5703" t="str">
            <v>זמיר</v>
          </cell>
          <cell r="C5703" t="str">
            <v>זמיר -הפרדת התראות מימן מהתראות אש</v>
          </cell>
          <cell r="D5703">
            <v>46387</v>
          </cell>
        </row>
        <row r="5704">
          <cell r="A5704" t="str">
            <v>WBM-60202-002</v>
          </cell>
          <cell r="B5704" t="str">
            <v>זמיר</v>
          </cell>
          <cell r="C5704" t="str">
            <v>זמיר - החלפת לוח פיקוד משאבות ולוח גוקי בתחמשים</v>
          </cell>
          <cell r="D5704">
            <v>46721</v>
          </cell>
        </row>
        <row r="5705">
          <cell r="A5705" t="str">
            <v>WBM-40637-038</v>
          </cell>
          <cell r="B5705" t="str">
            <v>זמיר</v>
          </cell>
          <cell r="C5705" t="str">
            <v>זמיר-החלפת רושמי הפרעות קיימים מדגם IDM-T3 לרושמים חדשים מדגם IDM+</v>
          </cell>
          <cell r="D5705">
            <v>46599</v>
          </cell>
        </row>
        <row r="5706">
          <cell r="A5706" t="str">
            <v>HIS-080</v>
          </cell>
          <cell r="B5706" t="str">
            <v>זמורות</v>
          </cell>
          <cell r="C5706" t="str">
            <v>זמורות</v>
          </cell>
          <cell r="D5706">
            <v>40908</v>
          </cell>
        </row>
        <row r="5707">
          <cell r="A5707" t="str">
            <v>WBJ-016</v>
          </cell>
          <cell r="B5707" t="str">
            <v>זמורות</v>
          </cell>
          <cell r="C5707" t="str">
            <v>זמורות-הכנת סידור כללי ראשוני לקידום ת"מ</v>
          </cell>
          <cell r="D5707">
            <v>45657</v>
          </cell>
        </row>
        <row r="5708">
          <cell r="A5708" t="str">
            <v>WBE-115</v>
          </cell>
          <cell r="B5708" t="str">
            <v>זמורות</v>
          </cell>
          <cell r="C5708" t="str">
            <v>זמורות-הוספת שנאי רביעי 524 50 מגוו"א ומסדר מ"ג (מכולה)</v>
          </cell>
          <cell r="D5708">
            <v>46234</v>
          </cell>
        </row>
        <row r="5709">
          <cell r="A5709" t="str">
            <v>WBM-40070</v>
          </cell>
          <cell r="B5709" t="str">
            <v>זמורות</v>
          </cell>
          <cell r="C5709" t="str">
            <v>זמורות- החלפת מ"ז, הגנת שנאי, ומנתק</v>
          </cell>
          <cell r="D5709">
            <v>47297</v>
          </cell>
        </row>
        <row r="5710">
          <cell r="A5710" t="str">
            <v>WBM-40071</v>
          </cell>
          <cell r="B5710" t="str">
            <v>זמורות</v>
          </cell>
          <cell r="C5710" t="str">
            <v>זמורות-החלפת רושם הפרעות</v>
          </cell>
          <cell r="D5710">
            <v>46751</v>
          </cell>
        </row>
        <row r="5711">
          <cell r="A5711" t="str">
            <v>WBM-00034</v>
          </cell>
          <cell r="B5711" t="str">
            <v>זמורות</v>
          </cell>
          <cell r="C5711" t="str">
            <v>זמורות-הסבת חדר הדחסנים לחדר מצברים</v>
          </cell>
          <cell r="D5711">
            <v>46751</v>
          </cell>
        </row>
        <row r="5712">
          <cell r="A5712" t="str">
            <v>WBM-40072</v>
          </cell>
          <cell r="B5712" t="str">
            <v>זמורות</v>
          </cell>
          <cell r="C5712" t="str">
            <v>זמורות-בוטל - החלפת 6 הגנות מ"ג</v>
          </cell>
          <cell r="D5712">
            <v>43861</v>
          </cell>
        </row>
        <row r="5713">
          <cell r="A5713" t="str">
            <v>WBM-00451</v>
          </cell>
          <cell r="B5713" t="str">
            <v>זמורות</v>
          </cell>
          <cell r="C5713" t="str">
            <v>זמורות-החלפת מגיני ברק מ"ג של שנאים</v>
          </cell>
          <cell r="D5713">
            <v>46477</v>
          </cell>
        </row>
        <row r="5714">
          <cell r="A5714" t="str">
            <v>WBM-10135</v>
          </cell>
          <cell r="B5714" t="str">
            <v>זמורות</v>
          </cell>
          <cell r="C5714" t="str">
            <v>זמורות - בוטל - התקנת מתמרים ב-3 פ"צ</v>
          </cell>
        </row>
        <row r="5715">
          <cell r="A5715" t="str">
            <v>WBM-40248</v>
          </cell>
          <cell r="B5715" t="str">
            <v>זמורות</v>
          </cell>
          <cell r="C5715" t="str">
            <v>זמורות - החלפת שרשראות מבודדים</v>
          </cell>
          <cell r="D5715">
            <v>46568</v>
          </cell>
        </row>
        <row r="5716">
          <cell r="A5716" t="str">
            <v>WBM-01345</v>
          </cell>
          <cell r="B5716" t="str">
            <v>זמורות</v>
          </cell>
          <cell r="C5716" t="str">
            <v>זמורות - החלפת רכזת גילוי וכיבוי אש</v>
          </cell>
          <cell r="D5716">
            <v>43870</v>
          </cell>
        </row>
        <row r="5717">
          <cell r="A5717" t="str">
            <v>WBM-01338</v>
          </cell>
          <cell r="B5717" t="str">
            <v>זמורות</v>
          </cell>
          <cell r="C5717" t="str">
            <v>זמורות - התקנת 3 מאצרות שמן זמניות</v>
          </cell>
          <cell r="D5717">
            <v>43524</v>
          </cell>
        </row>
        <row r="5718">
          <cell r="A5718" t="str">
            <v>WBM-00706</v>
          </cell>
          <cell r="B5718" t="str">
            <v>זמורות</v>
          </cell>
          <cell r="C5718" t="str">
            <v>זמורות-התקנת צנרת היקפית בקוטר "3</v>
          </cell>
          <cell r="D5718">
            <v>42255</v>
          </cell>
        </row>
        <row r="5719">
          <cell r="A5719" t="str">
            <v>WBG-033-018</v>
          </cell>
          <cell r="B5719" t="str">
            <v>זמורות</v>
          </cell>
          <cell r="C5719" t="str">
            <v>זמורות-החלפת מפ"ז מ"ג בשדה ס"ק מס' 301</v>
          </cell>
          <cell r="D5719">
            <v>41600</v>
          </cell>
        </row>
        <row r="5720">
          <cell r="A5720" t="str">
            <v>WBG-033-020</v>
          </cell>
          <cell r="B5720" t="str">
            <v>זמורות</v>
          </cell>
          <cell r="C5720" t="str">
            <v>זמורות-שדרוג מערכת DVR</v>
          </cell>
          <cell r="D5720">
            <v>41577</v>
          </cell>
        </row>
        <row r="5721">
          <cell r="A5721" t="str">
            <v>WBG-033-017</v>
          </cell>
          <cell r="B5721" t="str">
            <v>זמורות</v>
          </cell>
          <cell r="C5721" t="str">
            <v>זמורות-הקמת רשת מחשבים תפעולית</v>
          </cell>
          <cell r="D5721">
            <v>41090</v>
          </cell>
        </row>
        <row r="5722">
          <cell r="A5722" t="str">
            <v>WBM-30018</v>
          </cell>
          <cell r="B5722" t="str">
            <v>זמורות</v>
          </cell>
          <cell r="C5722" t="str">
            <v>זמורות-בוטל-גדר אלקטרונית  (ביטחון)</v>
          </cell>
          <cell r="D5722">
            <v>43467</v>
          </cell>
        </row>
        <row r="5723">
          <cell r="A5723" t="str">
            <v>WBM-00035</v>
          </cell>
          <cell r="B5723" t="str">
            <v>זמורות</v>
          </cell>
          <cell r="C5723" t="str">
            <v>זמורות -בוטל-מאצרות שמן ובור איסוף שפכים</v>
          </cell>
        </row>
        <row r="5724">
          <cell r="A5724">
            <v>533922</v>
          </cell>
          <cell r="B5724" t="str">
            <v>זמורות</v>
          </cell>
          <cell r="C5724" t="str">
            <v>זמורות-החלפת מערכת התראה בטחונית</v>
          </cell>
          <cell r="D5724">
            <v>39812</v>
          </cell>
        </row>
        <row r="5725">
          <cell r="A5725">
            <v>533927</v>
          </cell>
          <cell r="B5725" t="str">
            <v>זמורות</v>
          </cell>
          <cell r="C5725" t="str">
            <v>זמורות-התקנת מאווררים בארונות פיקוד</v>
          </cell>
          <cell r="D5725">
            <v>40311</v>
          </cell>
        </row>
        <row r="5726">
          <cell r="A5726" t="str">
            <v>WBM-00973</v>
          </cell>
          <cell r="B5726" t="str">
            <v>זמורות</v>
          </cell>
          <cell r="C5726" t="str">
            <v>זמורות-החלפת הגנה LZ31 בהגנה דיפרנציאלית</v>
          </cell>
          <cell r="D5726">
            <v>42459</v>
          </cell>
        </row>
        <row r="5727">
          <cell r="A5727" t="str">
            <v>WBM-10483</v>
          </cell>
          <cell r="B5727" t="str">
            <v>זמורות</v>
          </cell>
          <cell r="C5727" t="str">
            <v>זמורות - בוטל ושולב בפרויקט אחר- הקמת בניין פיקוד ו- 4 מסדרי מ''ג</v>
          </cell>
        </row>
        <row r="5728">
          <cell r="A5728" t="str">
            <v>WBM-10544</v>
          </cell>
          <cell r="B5728" t="str">
            <v>זמורות</v>
          </cell>
          <cell r="C5728" t="str">
            <v>זמורות - החלפת ממסר השלת עומס בתדר</v>
          </cell>
          <cell r="D5728">
            <v>45474</v>
          </cell>
        </row>
        <row r="5729">
          <cell r="A5729" t="str">
            <v>WBM-00885-108</v>
          </cell>
          <cell r="B5729" t="str">
            <v>זמורות</v>
          </cell>
          <cell r="C5729" t="str">
            <v>זמורות - בוטל- התכולה תקבע בהתאם לבדיקת מת"י</v>
          </cell>
        </row>
        <row r="5730">
          <cell r="A5730" t="str">
            <v>WBM-10456-003</v>
          </cell>
          <cell r="B5730" t="str">
            <v>זמורות</v>
          </cell>
          <cell r="C5730" t="str">
            <v>זמורות - הוספת מתמרים ב-3 פ"צ</v>
          </cell>
          <cell r="D5730">
            <v>46387</v>
          </cell>
        </row>
        <row r="5731">
          <cell r="A5731" t="str">
            <v>WBM-60008-002</v>
          </cell>
          <cell r="B5731" t="str">
            <v>זמורות</v>
          </cell>
          <cell r="C5731" t="str">
            <v>זמורות - התקנת מערכת מיגון בתחמ"ש</v>
          </cell>
          <cell r="D5731">
            <v>46446</v>
          </cell>
        </row>
        <row r="5732">
          <cell r="A5732" t="str">
            <v>WBM-60088-041</v>
          </cell>
          <cell r="B5732" t="str">
            <v>זמורות</v>
          </cell>
          <cell r="C5732" t="str">
            <v>זמורות - בניית תשתית ביוב</v>
          </cell>
          <cell r="D5732">
            <v>46295</v>
          </cell>
        </row>
        <row r="5733">
          <cell r="A5733" t="str">
            <v>WBM-60130-057</v>
          </cell>
          <cell r="B5733" t="str">
            <v>זמורות</v>
          </cell>
          <cell r="C5733" t="str">
            <v>זמורות - התקנת מפסק פטריה להפסקת מערכת החשמל בחירום</v>
          </cell>
          <cell r="D5733">
            <v>46568</v>
          </cell>
        </row>
        <row r="5734">
          <cell r="A5734" t="str">
            <v>WBM-40629-008</v>
          </cell>
          <cell r="B5734" t="str">
            <v>זמורות</v>
          </cell>
          <cell r="C5734" t="str">
            <v>זמורות-  החלפת מבדדי 161 ק"ו של שנאי הספק</v>
          </cell>
          <cell r="D5734">
            <v>46387</v>
          </cell>
        </row>
        <row r="5735">
          <cell r="A5735" t="str">
            <v>WBM-10677</v>
          </cell>
          <cell r="B5735" t="str">
            <v>זמורות</v>
          </cell>
          <cell r="C5735" t="str">
            <v>זמורות - החלפת ווסתי מתח בשנאים 522 , 523</v>
          </cell>
          <cell r="D5735">
            <v>46326</v>
          </cell>
        </row>
        <row r="5736">
          <cell r="A5736" t="str">
            <v>WBE-306</v>
          </cell>
          <cell r="B5736" t="str">
            <v>זמורות</v>
          </cell>
          <cell r="C5736" t="str">
            <v>זמורות - הקמת בניין פיקוד ו- 4 מסדרי מ''ג וסוללות קבלים</v>
          </cell>
          <cell r="D5736">
            <v>46507</v>
          </cell>
        </row>
        <row r="5737">
          <cell r="A5737" t="str">
            <v>WBD-050-ST2</v>
          </cell>
          <cell r="B5737" t="str">
            <v>זכרון יעקב ניידת</v>
          </cell>
          <cell r="C5737" t="str">
            <v>זכרון יעקב ניידת-פרוק תחמ"ש ניידת</v>
          </cell>
          <cell r="D5737">
            <v>45343</v>
          </cell>
        </row>
        <row r="5738">
          <cell r="A5738" t="str">
            <v>WBD-050</v>
          </cell>
          <cell r="B5738" t="str">
            <v>זכרון יעקב ניידת</v>
          </cell>
          <cell r="C5738" t="str">
            <v>זכרון יעקב ניידת-הצבת תחמ"ש ניידת</v>
          </cell>
          <cell r="D5738">
            <v>43815</v>
          </cell>
        </row>
        <row r="5739">
          <cell r="A5739" t="str">
            <v>WBM-40521-009</v>
          </cell>
          <cell r="B5739" t="str">
            <v>זכרון יעקב ניידת</v>
          </cell>
          <cell r="C5739" t="str">
            <v>זיכרון יעקב - החלפת 2 שנאי הארקה</v>
          </cell>
          <cell r="D5739">
            <v>46022</v>
          </cell>
        </row>
        <row r="5740">
          <cell r="A5740" t="str">
            <v>WBC-040</v>
          </cell>
          <cell r="B5740" t="str">
            <v>זכרון יעקב</v>
          </cell>
          <cell r="C5740" t="str">
            <v>זכרון יעקב- הקמת תחמ"ש פנימית 161/24 ק"ו</v>
          </cell>
          <cell r="D5740">
            <v>45309</v>
          </cell>
        </row>
        <row r="5741">
          <cell r="A5741" t="str">
            <v>WBE-218</v>
          </cell>
          <cell r="B5741" t="str">
            <v>זכרון יעקב</v>
          </cell>
          <cell r="C5741" t="str">
            <v>זכרון יעקב-התקנת שנאי רביעי161/24 50מו"א</v>
          </cell>
          <cell r="D5741">
            <v>49125</v>
          </cell>
        </row>
        <row r="5742">
          <cell r="A5742" t="str">
            <v>WBE-217</v>
          </cell>
          <cell r="B5742" t="str">
            <v>זכרון יעקב</v>
          </cell>
          <cell r="C5742" t="str">
            <v>זכרון יעקב-הת' שנאי שלישי161/24ק"ו 50 מו"א</v>
          </cell>
          <cell r="D5742">
            <v>47299</v>
          </cell>
        </row>
        <row r="5743">
          <cell r="A5743" t="str">
            <v>WBM-01401</v>
          </cell>
          <cell r="B5743" t="str">
            <v>זכרון יעקב</v>
          </cell>
          <cell r="C5743" t="str">
            <v>זכרון יעקב-בוטל-התקנת 2 סוללות קבלים</v>
          </cell>
        </row>
        <row r="5744">
          <cell r="A5744" t="str">
            <v>WBM-70042</v>
          </cell>
          <cell r="B5744" t="str">
            <v>זכרון יעקב</v>
          </cell>
          <cell r="C5744" t="str">
            <v>זכרון יעקב-התקנת 2 סוללות קבלים 2*5 מגווא"ר</v>
          </cell>
          <cell r="D5744">
            <v>46477</v>
          </cell>
        </row>
        <row r="5745">
          <cell r="A5745" t="str">
            <v>WBM-10580</v>
          </cell>
          <cell r="B5745" t="str">
            <v>זכרון יעקב</v>
          </cell>
          <cell r="C5745" t="str">
            <v>זיכרון יעקב - משיק לתה"ר דור שדה 1, יישום תקשורת אופטית בין הגנות בשדה  1</v>
          </cell>
          <cell r="D5745">
            <v>46477</v>
          </cell>
        </row>
        <row r="5746">
          <cell r="A5746" t="str">
            <v>WBM-00885-152</v>
          </cell>
          <cell r="B5746" t="str">
            <v>זכרון יעקב</v>
          </cell>
          <cell r="C5746" t="str">
            <v>זכרון יעקב- התקנת מפחית לחץ ופורקי לחץ מערכת כיבוי אש היקפית</v>
          </cell>
          <cell r="D5746">
            <v>46387</v>
          </cell>
        </row>
        <row r="5747">
          <cell r="A5747" t="str">
            <v>WBM-00236-012</v>
          </cell>
          <cell r="B5747" t="str">
            <v>זכרון יעקב</v>
          </cell>
          <cell r="C5747" t="str">
            <v>זכרון יעקוב - הפרדת לוח חלוקה</v>
          </cell>
          <cell r="D5747">
            <v>46387</v>
          </cell>
        </row>
        <row r="5748">
          <cell r="A5748" t="str">
            <v>HIS-161</v>
          </cell>
          <cell r="B5748" t="str">
            <v>זיקים (קצא''א)-פרטית</v>
          </cell>
          <cell r="C5748" t="str">
            <v>זיקים (קצא"א)-פרטית</v>
          </cell>
          <cell r="D5748">
            <v>40908</v>
          </cell>
        </row>
        <row r="5749">
          <cell r="A5749" t="str">
            <v>WBM-80025</v>
          </cell>
          <cell r="B5749" t="str">
            <v>זיקים (קצא''א)-פרטית</v>
          </cell>
          <cell r="C5749" t="str">
            <v>זיקים - פיצול CPU</v>
          </cell>
          <cell r="D5749">
            <v>46162</v>
          </cell>
        </row>
        <row r="5750">
          <cell r="A5750" t="str">
            <v>WBD-082</v>
          </cell>
          <cell r="B5750" t="str">
            <v>זבולון ניידת</v>
          </cell>
          <cell r="C5750" t="str">
            <v>זבולון ניידת - התקנת תחמ"ש ניידת 20 מו"א</v>
          </cell>
          <cell r="D5750">
            <v>45168</v>
          </cell>
        </row>
        <row r="5751">
          <cell r="A5751" t="str">
            <v>WBD-082-ST2</v>
          </cell>
          <cell r="B5751" t="str">
            <v>זבולון ניידת</v>
          </cell>
          <cell r="C5751" t="str">
            <v>זבולון - פירוק תחמ"ש ניידת</v>
          </cell>
          <cell r="D5751">
            <v>47026</v>
          </cell>
        </row>
        <row r="5752">
          <cell r="A5752" t="str">
            <v>WBK-007-ST2</v>
          </cell>
          <cell r="B5752" t="str">
            <v>זבולון</v>
          </cell>
          <cell r="C5752" t="str">
            <v>זבולון-החלפת מערכת ויסות המתח</v>
          </cell>
          <cell r="D5752">
            <v>46568</v>
          </cell>
        </row>
        <row r="5753">
          <cell r="A5753" t="str">
            <v>WBK-013</v>
          </cell>
          <cell r="B5753" t="str">
            <v>זבולון</v>
          </cell>
          <cell r="C5753" t="str">
            <v>זבולון-"הרחבת תחמ""ג והתקנת אוטושנאי  רביעי 454"</v>
          </cell>
          <cell r="D5753">
            <v>47026</v>
          </cell>
        </row>
        <row r="5754">
          <cell r="A5754" t="str">
            <v>WBK-007</v>
          </cell>
          <cell r="B5754" t="str">
            <v>זבולון</v>
          </cell>
          <cell r="C5754" t="str">
            <v>זבולון-התקנת ש"ק ווסתים</v>
          </cell>
          <cell r="D5754">
            <v>46568</v>
          </cell>
        </row>
        <row r="5755">
          <cell r="A5755" t="str">
            <v>HIS-079</v>
          </cell>
          <cell r="B5755" t="str">
            <v>זבולון</v>
          </cell>
          <cell r="C5755" t="str">
            <v>זבולון</v>
          </cell>
          <cell r="D5755">
            <v>40908</v>
          </cell>
        </row>
        <row r="5756">
          <cell r="A5756" t="str">
            <v>WBL-004-033</v>
          </cell>
          <cell r="B5756" t="str">
            <v>זבולון</v>
          </cell>
          <cell r="C5756" t="str">
            <v>זבולון-שידרוג מערכת גידור אלקטרוני</v>
          </cell>
          <cell r="D5756">
            <v>40750</v>
          </cell>
        </row>
        <row r="5757">
          <cell r="A5757" t="str">
            <v>WBM-40329</v>
          </cell>
          <cell r="B5757" t="str">
            <v>זבולון</v>
          </cell>
          <cell r="C5757" t="str">
            <v>זבולון-התאמת שדות 1,2 ליכולת 2500 א'</v>
          </cell>
          <cell r="D5757">
            <v>47118</v>
          </cell>
        </row>
        <row r="5758">
          <cell r="A5758" t="str">
            <v>WBM-10353</v>
          </cell>
          <cell r="B5758" t="str">
            <v>זבולון</v>
          </cell>
          <cell r="C5758" t="str">
            <v>זבולון - פירוק משנק בשדה 22</v>
          </cell>
          <cell r="D5758">
            <v>46047</v>
          </cell>
        </row>
        <row r="5759">
          <cell r="A5759" t="str">
            <v>WBM-00449</v>
          </cell>
          <cell r="B5759" t="str">
            <v>זבולון</v>
          </cell>
          <cell r="C5759" t="str">
            <v>זבולון-בוטל-התקנת מאווררים בארונות פיקוד</v>
          </cell>
          <cell r="D5759">
            <v>41059</v>
          </cell>
        </row>
        <row r="5760">
          <cell r="A5760" t="str">
            <v>WBM-00201</v>
          </cell>
          <cell r="B5760" t="str">
            <v>זבולון</v>
          </cell>
          <cell r="C5760" t="str">
            <v>זבולון-הסדרת דרך גישה  לתחמ"ג</v>
          </cell>
          <cell r="D5760">
            <v>42722</v>
          </cell>
        </row>
        <row r="5761">
          <cell r="A5761" t="str">
            <v>WBM-00897</v>
          </cell>
          <cell r="B5761" t="str">
            <v>זבולון</v>
          </cell>
          <cell r="C5761" t="str">
            <v>זבולון-בוטל-הקמת ביתן שומר קבועה</v>
          </cell>
          <cell r="D5761">
            <v>40928</v>
          </cell>
        </row>
        <row r="5762">
          <cell r="A5762" t="str">
            <v>WBM-10082</v>
          </cell>
          <cell r="B5762" t="str">
            <v>זבולון</v>
          </cell>
          <cell r="C5762" t="str">
            <v>זבולון-בוטל-החלפת גשרי דיודות</v>
          </cell>
          <cell r="D5762">
            <v>43768</v>
          </cell>
        </row>
        <row r="5763">
          <cell r="A5763" t="str">
            <v>WBM-00450</v>
          </cell>
          <cell r="B5763" t="str">
            <v>זבולון</v>
          </cell>
          <cell r="C5763" t="str">
            <v>זבולון-בוטל-החלפת גשר דיודות</v>
          </cell>
          <cell r="D5763">
            <v>42094</v>
          </cell>
        </row>
        <row r="5764">
          <cell r="A5764" t="str">
            <v>WBM-00376</v>
          </cell>
          <cell r="B5764" t="str">
            <v>זבולון</v>
          </cell>
          <cell r="C5764" t="str">
            <v>זבולון-פירוק ממסר בשדה 5</v>
          </cell>
          <cell r="D5764">
            <v>41627</v>
          </cell>
        </row>
        <row r="5765">
          <cell r="A5765" t="str">
            <v>WBM-00182</v>
          </cell>
          <cell r="B5765" t="str">
            <v>זבולון</v>
          </cell>
          <cell r="C5765" t="str">
            <v>זבולון-התקנת 4 ממירים</v>
          </cell>
          <cell r="D5765">
            <v>41994</v>
          </cell>
        </row>
        <row r="5766">
          <cell r="A5766" t="str">
            <v>WBM-00871</v>
          </cell>
          <cell r="B5766" t="str">
            <v>זבולון</v>
          </cell>
          <cell r="C5766" t="str">
            <v>זבולון-החלפת מערכת גילוי וכיבוי אש</v>
          </cell>
          <cell r="D5766">
            <v>41639</v>
          </cell>
        </row>
        <row r="5767">
          <cell r="A5767" t="str">
            <v>WBM-00751</v>
          </cell>
          <cell r="B5767" t="str">
            <v>זבולון</v>
          </cell>
          <cell r="C5767" t="str">
            <v>זבולון-התקנת מערכת טמ"ס.</v>
          </cell>
          <cell r="D5767">
            <v>41816</v>
          </cell>
        </row>
        <row r="5768">
          <cell r="A5768" t="str">
            <v>WBM-00178</v>
          </cell>
          <cell r="B5768" t="str">
            <v>זבולון</v>
          </cell>
          <cell r="C5768" t="str">
            <v>זבולון-בוטל-התקנת מערכת התראה ביטחונית</v>
          </cell>
          <cell r="D5768">
            <v>38898</v>
          </cell>
        </row>
        <row r="5769">
          <cell r="A5769" t="str">
            <v>WBL-004-002</v>
          </cell>
          <cell r="B5769" t="str">
            <v>זבולון</v>
          </cell>
          <cell r="C5769" t="str">
            <v>זבולון-עיגון 6 אוטושנאים חד-פאזיים</v>
          </cell>
          <cell r="D5769">
            <v>41508</v>
          </cell>
        </row>
        <row r="5770">
          <cell r="A5770" t="str">
            <v>WBM-00765</v>
          </cell>
          <cell r="B5770" t="str">
            <v>זבולון</v>
          </cell>
          <cell r="C5770" t="str">
            <v>זבולון-התקנת תקשורת בין הגנות לקיסריה.</v>
          </cell>
          <cell r="D5770">
            <v>42471</v>
          </cell>
        </row>
        <row r="5771">
          <cell r="A5771" t="str">
            <v>WBL-004-028</v>
          </cell>
          <cell r="B5771" t="str">
            <v>זבולון</v>
          </cell>
          <cell r="C5771" t="str">
            <v>זבולון-הקמת טבעת om 20</v>
          </cell>
          <cell r="D5771">
            <v>41638</v>
          </cell>
        </row>
        <row r="5772">
          <cell r="A5772" t="str">
            <v>WBL-004-029</v>
          </cell>
          <cell r="B5772" t="str">
            <v>זבולון</v>
          </cell>
          <cell r="C5772" t="str">
            <v>זבולון-הקמת טבעת om 40</v>
          </cell>
          <cell r="D5772">
            <v>41633</v>
          </cell>
        </row>
        <row r="5773">
          <cell r="A5773" t="str">
            <v>WBM-00184</v>
          </cell>
          <cell r="B5773" t="str">
            <v>זבולון</v>
          </cell>
          <cell r="C5773" t="str">
            <v>זבולון-בוטל-הקמת טבעת 40N OM</v>
          </cell>
          <cell r="D5773">
            <v>41820</v>
          </cell>
        </row>
        <row r="5774">
          <cell r="A5774" t="str">
            <v>WBM-00183</v>
          </cell>
          <cell r="B5774" t="str">
            <v>זבולון</v>
          </cell>
          <cell r="C5774" t="str">
            <v>זבולון-בוטל-הקמת טבעת 60N OM</v>
          </cell>
          <cell r="D5774">
            <v>41943</v>
          </cell>
        </row>
        <row r="5775">
          <cell r="A5775">
            <v>524644</v>
          </cell>
          <cell r="B5775" t="str">
            <v>זבולון</v>
          </cell>
          <cell r="C5775" t="str">
            <v>זבולון-הקמת טבעת 40N OM להעברת תקשורת</v>
          </cell>
          <cell r="D5775">
            <v>41397</v>
          </cell>
        </row>
        <row r="5776">
          <cell r="A5776">
            <v>524845</v>
          </cell>
          <cell r="B5776" t="str">
            <v>זבולון</v>
          </cell>
          <cell r="C5776" t="str">
            <v>זבולון-הקמת טבעת 60N OM להעברת תקשורת</v>
          </cell>
          <cell r="D5776">
            <v>41943</v>
          </cell>
        </row>
        <row r="5777">
          <cell r="A5777" t="str">
            <v>WBM-01264</v>
          </cell>
          <cell r="B5777" t="str">
            <v>זבולון</v>
          </cell>
          <cell r="C5777" t="str">
            <v>זבולון-יישום אוטומטיקת סלילי כיבוי</v>
          </cell>
          <cell r="D5777">
            <v>43629</v>
          </cell>
        </row>
        <row r="5778">
          <cell r="A5778" t="str">
            <v>WBM-10370</v>
          </cell>
          <cell r="B5778" t="str">
            <v>זבולון</v>
          </cell>
          <cell r="C5778" t="str">
            <v>זבולון-שדות 1 ו-2  הת' תיילים-מהדקים-פורטל משיק ל wbo-087</v>
          </cell>
          <cell r="D5778">
            <v>47483</v>
          </cell>
        </row>
        <row r="5779">
          <cell r="A5779" t="str">
            <v>WBM-00165</v>
          </cell>
          <cell r="B5779" t="str">
            <v>זבולון</v>
          </cell>
          <cell r="C5779" t="str">
            <v>זבולון-התקנת מערכת רה-סינכרון</v>
          </cell>
          <cell r="D5779">
            <v>46477</v>
          </cell>
        </row>
        <row r="5780">
          <cell r="A5780" t="str">
            <v>WBM-00446</v>
          </cell>
          <cell r="B5780" t="str">
            <v>זבולון</v>
          </cell>
          <cell r="C5780" t="str">
            <v>זבולון-החלפת בקר המפעיל את הזנת אס.הבית</v>
          </cell>
          <cell r="D5780">
            <v>46721</v>
          </cell>
        </row>
        <row r="5781">
          <cell r="A5781" t="str">
            <v>WBM-40255</v>
          </cell>
          <cell r="B5781" t="str">
            <v>זבולון</v>
          </cell>
          <cell r="C5781" t="str">
            <v>זבולון- החלפת רושם הפרעות ב 400 ק"ו</v>
          </cell>
          <cell r="D5781">
            <v>46691</v>
          </cell>
        </row>
        <row r="5782">
          <cell r="A5782" t="str">
            <v>WBM-00200</v>
          </cell>
          <cell r="B5782" t="str">
            <v>זבולון</v>
          </cell>
          <cell r="C5782" t="str">
            <v>זבולון-בוטל -הפרדת לוח חלוקה ז"י</v>
          </cell>
        </row>
        <row r="5783">
          <cell r="A5783" t="str">
            <v>WBM-40026</v>
          </cell>
          <cell r="B5783" t="str">
            <v>זבולון</v>
          </cell>
          <cell r="C5783" t="str">
            <v>זבולון- הוספת הגנות פ"צ וכשל המפסק</v>
          </cell>
          <cell r="D5783">
            <v>46477</v>
          </cell>
        </row>
        <row r="5784">
          <cell r="A5784" t="str">
            <v>WBM-60123</v>
          </cell>
          <cell r="B5784" t="str">
            <v>זבולון</v>
          </cell>
          <cell r="C5784" t="str">
            <v>זבולון - התקנת מערכות ניטור גז לאוטושנאיי</v>
          </cell>
          <cell r="D5784">
            <v>46295</v>
          </cell>
        </row>
        <row r="5785">
          <cell r="A5785" t="str">
            <v>WBM-10441</v>
          </cell>
          <cell r="B5785" t="str">
            <v>זבולון</v>
          </cell>
          <cell r="C5785" t="str">
            <v>זבולון-משיק לאבליים ש3, החלפת הגנות ש4</v>
          </cell>
          <cell r="D5785">
            <v>45991</v>
          </cell>
        </row>
        <row r="5786">
          <cell r="A5786" t="str">
            <v>WBM-10358</v>
          </cell>
          <cell r="B5786" t="str">
            <v>זבולון</v>
          </cell>
          <cell r="C5786" t="str">
            <v>זבולון-משיק יאסיף3-התקנת הג.דיפ.ש3+ד"ק</v>
          </cell>
          <cell r="D5786">
            <v>45757</v>
          </cell>
        </row>
        <row r="5787">
          <cell r="A5787" t="str">
            <v>WBM-40497</v>
          </cell>
          <cell r="B5787" t="str">
            <v>זבולון</v>
          </cell>
          <cell r="C5787" t="str">
            <v>זבולון-החלפת מבדדי  400 ו-161 ק"ו בשנאים</v>
          </cell>
          <cell r="D5787">
            <v>46295</v>
          </cell>
        </row>
        <row r="5788">
          <cell r="A5788" t="str">
            <v>WBM-10185</v>
          </cell>
          <cell r="B5788" t="str">
            <v>זבולון</v>
          </cell>
          <cell r="C5788" t="str">
            <v>זבולון -משיק לגבעת אלה.הג. לדיפ.+תק (ש2)</v>
          </cell>
          <cell r="D5788">
            <v>45275</v>
          </cell>
        </row>
        <row r="5789">
          <cell r="A5789" t="str">
            <v>WBM-10411</v>
          </cell>
          <cell r="B5789" t="str">
            <v>זבולון</v>
          </cell>
          <cell r="C5789" t="str">
            <v>זבולון - -החלפת הג.דיפ. של שנאי קישור</v>
          </cell>
          <cell r="D5789">
            <v>46295</v>
          </cell>
        </row>
        <row r="5790">
          <cell r="A5790" t="str">
            <v>WBM-01160</v>
          </cell>
          <cell r="B5790" t="str">
            <v>זבולון</v>
          </cell>
          <cell r="C5790" t="str">
            <v>זבולון -יישום דרך קשר שנייה בשדה 5</v>
          </cell>
          <cell r="D5790">
            <v>43709</v>
          </cell>
        </row>
        <row r="5791">
          <cell r="A5791" t="str">
            <v>WBM-00909</v>
          </cell>
          <cell r="B5791" t="str">
            <v>זבולון</v>
          </cell>
          <cell r="C5791" t="str">
            <v>זבולון-החלפת משאבות טבולות</v>
          </cell>
          <cell r="D5791">
            <v>42828</v>
          </cell>
        </row>
        <row r="5792">
          <cell r="A5792" t="str">
            <v>WBM-00169</v>
          </cell>
          <cell r="B5792" t="str">
            <v>זבולון</v>
          </cell>
          <cell r="C5792" t="str">
            <v>זבולון-התקנת תקשורת בין הגנות 400 לחגית.</v>
          </cell>
          <cell r="D5792">
            <v>42369</v>
          </cell>
        </row>
        <row r="5793">
          <cell r="A5793" t="str">
            <v>WBL-004-001-ST2</v>
          </cell>
          <cell r="B5793" t="str">
            <v>זבולון</v>
          </cell>
          <cell r="C5793" t="str">
            <v>זבולון-התקנת ציוד קשר בין ה.מרחק לצלמון</v>
          </cell>
          <cell r="D5793">
            <v>41319</v>
          </cell>
        </row>
        <row r="5794">
          <cell r="A5794" t="str">
            <v>WBL-004-001</v>
          </cell>
          <cell r="B5794" t="str">
            <v>זבולון</v>
          </cell>
          <cell r="C5794" t="str">
            <v>זבולון-התקנת ציוד קשר ה.מרחק לברלב</v>
          </cell>
          <cell r="D5794">
            <v>41059</v>
          </cell>
        </row>
        <row r="5795">
          <cell r="A5795" t="str">
            <v>WBL-004-032</v>
          </cell>
          <cell r="B5795" t="str">
            <v>זבולון</v>
          </cell>
          <cell r="C5795" t="str">
            <v>זבולון-איטום מעברי כבלים נגד אש</v>
          </cell>
          <cell r="D5795">
            <v>41000</v>
          </cell>
        </row>
        <row r="5796">
          <cell r="A5796" t="str">
            <v>WBM-00978</v>
          </cell>
          <cell r="B5796" t="str">
            <v>זבולון</v>
          </cell>
          <cell r="C5796" t="str">
            <v>זבולון-עע"א-בוטל-שדה 8 החלפת ה. דיפר'</v>
          </cell>
          <cell r="D5796">
            <v>43100</v>
          </cell>
        </row>
        <row r="5797">
          <cell r="A5797" t="str">
            <v>WBM-10104</v>
          </cell>
          <cell r="B5797" t="str">
            <v>זבולון</v>
          </cell>
          <cell r="C5797" t="str">
            <v>זבולון -בוטל -החלפת שנאי הארקה 300 א-</v>
          </cell>
          <cell r="D5797">
            <v>43642</v>
          </cell>
        </row>
        <row r="5798">
          <cell r="A5798" t="str">
            <v>WBM-40027</v>
          </cell>
          <cell r="B5798" t="str">
            <v>זבולון</v>
          </cell>
          <cell r="C5798" t="str">
            <v>זבולון- בוטל-החלפת טרפוגארד</v>
          </cell>
          <cell r="D5798">
            <v>44073</v>
          </cell>
        </row>
        <row r="5799">
          <cell r="A5799">
            <v>524830</v>
          </cell>
          <cell r="B5799" t="str">
            <v>זבולון</v>
          </cell>
          <cell r="C5799" t="str">
            <v>זבולון-הוספת מהדקים לפיזור חום על תיילים</v>
          </cell>
          <cell r="D5799">
            <v>39262</v>
          </cell>
        </row>
        <row r="5800">
          <cell r="A5800" t="str">
            <v>WBM-00946</v>
          </cell>
          <cell r="B5800" t="str">
            <v>זבולון</v>
          </cell>
          <cell r="C5800" t="str">
            <v>זבולון-בוטל-התקנת ממסר ליתרת זרם</v>
          </cell>
          <cell r="D5800">
            <v>39647</v>
          </cell>
        </row>
        <row r="5801">
          <cell r="A5801" t="str">
            <v>WBM-00448</v>
          </cell>
          <cell r="B5801" t="str">
            <v>זבולון</v>
          </cell>
          <cell r="C5801" t="str">
            <v>זבולון- בוטל שיפור מערכת הארקה בתחמ"ג</v>
          </cell>
          <cell r="D5801">
            <v>39797</v>
          </cell>
        </row>
        <row r="5802">
          <cell r="A5802" t="str">
            <v>WBM-00199</v>
          </cell>
          <cell r="B5802" t="str">
            <v>זבולון</v>
          </cell>
          <cell r="C5802" t="str">
            <v>זבולון-בוטל-עיגון דיזל גנרטור</v>
          </cell>
          <cell r="D5802">
            <v>41249</v>
          </cell>
        </row>
        <row r="5803">
          <cell r="A5803" t="str">
            <v>WBL-004-008</v>
          </cell>
          <cell r="B5803" t="str">
            <v>זבולון</v>
          </cell>
          <cell r="C5803" t="str">
            <v>זבולון-הוספת כרטיס I/O</v>
          </cell>
          <cell r="D5803">
            <v>36891</v>
          </cell>
        </row>
        <row r="5804">
          <cell r="A5804" t="str">
            <v>WBM-00447</v>
          </cell>
          <cell r="B5804" t="str">
            <v>זבולון</v>
          </cell>
          <cell r="C5804" t="str">
            <v>זבולון-בוטל-התקנת מצוף התראה למיכל דלק</v>
          </cell>
          <cell r="D5804">
            <v>39660</v>
          </cell>
        </row>
        <row r="5805">
          <cell r="A5805" t="str">
            <v>WBM-01370</v>
          </cell>
          <cell r="B5805" t="str">
            <v>זבולון</v>
          </cell>
          <cell r="C5805" t="str">
            <v>זבולון-מיגון מתקנים פיזי</v>
          </cell>
          <cell r="D5805">
            <v>45432</v>
          </cell>
        </row>
        <row r="5806">
          <cell r="A5806" t="str">
            <v>WBL-004-030</v>
          </cell>
          <cell r="B5806" t="str">
            <v>זבולון</v>
          </cell>
          <cell r="C5806" t="str">
            <v>זבולון-החלפת ציוד הצמדה בש.22 לקישון</v>
          </cell>
          <cell r="D5806">
            <v>41197</v>
          </cell>
        </row>
        <row r="5807">
          <cell r="A5807">
            <v>304885</v>
          </cell>
          <cell r="B5807" t="str">
            <v>זבולון</v>
          </cell>
          <cell r="C5807" t="str">
            <v>זבולון-השלמת שדה 161 ק"ו מס' 5</v>
          </cell>
          <cell r="D5807">
            <v>41095</v>
          </cell>
        </row>
        <row r="5808">
          <cell r="A5808" t="str">
            <v>WBL-004-021</v>
          </cell>
          <cell r="B5808" t="str">
            <v>זבולון</v>
          </cell>
          <cell r="C5808" t="str">
            <v>זבולון-העתקת קווים לקליטת קו זבולון-ברלב</v>
          </cell>
          <cell r="D5808">
            <v>41059</v>
          </cell>
        </row>
        <row r="5809">
          <cell r="A5809" t="str">
            <v>WBL-004-027</v>
          </cell>
          <cell r="B5809" t="str">
            <v>זבולון</v>
          </cell>
          <cell r="C5809" t="str">
            <v>זבולון-החלפת סליל כיבוי של שנאי 521</v>
          </cell>
          <cell r="D5809">
            <v>41256</v>
          </cell>
        </row>
        <row r="5810">
          <cell r="A5810" t="str">
            <v>WBM-00982</v>
          </cell>
          <cell r="B5810" t="str">
            <v>זבולון</v>
          </cell>
          <cell r="C5810" t="str">
            <v>זבולון--בוטל-התקנת 2 סלילי כיבוי , 500 א</v>
          </cell>
          <cell r="D5810">
            <v>42165</v>
          </cell>
        </row>
        <row r="5811">
          <cell r="A5811" t="str">
            <v>WBK-007-ST1</v>
          </cell>
          <cell r="B5811" t="str">
            <v>זבולון</v>
          </cell>
          <cell r="C5811" t="str">
            <v>זבולון-התקנת שנאי קישור 400/161 ק"ו שליש</v>
          </cell>
          <cell r="D5811">
            <v>42155</v>
          </cell>
        </row>
        <row r="5812">
          <cell r="A5812" t="str">
            <v>WBM-10549</v>
          </cell>
          <cell r="B5812" t="str">
            <v>זבולון</v>
          </cell>
          <cell r="C5812" t="str">
            <v>זבולון 400 - פרוק הגנת פס צבירה REB500  והתקנת הגנת פ"צ וכשל מפסק (BFP)</v>
          </cell>
          <cell r="D5812">
            <v>46568</v>
          </cell>
        </row>
        <row r="5813">
          <cell r="A5813" t="str">
            <v>WBM-10587</v>
          </cell>
          <cell r="B5813" t="str">
            <v>זבולון</v>
          </cell>
          <cell r="C5813" t="str">
            <v>בוטל-זבולון-שדה 4- התקנת הגנת מרחק ודיפרנציאלית- משיק לנעמן שדה 4</v>
          </cell>
          <cell r="D5813">
            <v>45504</v>
          </cell>
        </row>
        <row r="5814">
          <cell r="A5814" t="str">
            <v>WBM-20010</v>
          </cell>
          <cell r="B5814" t="str">
            <v>זבולון</v>
          </cell>
          <cell r="C5814" t="str">
            <v>זבולון – התקנה מכשיר ניטור מימן  לאוטו שנאי חד פאזי</v>
          </cell>
          <cell r="D5814">
            <v>46295</v>
          </cell>
        </row>
        <row r="5815">
          <cell r="A5815" t="str">
            <v>WBM-40606</v>
          </cell>
          <cell r="B5815" t="str">
            <v>זבולון</v>
          </cell>
          <cell r="C5815" t="str">
            <v>זבולון- החלפת מסדרי מ"ג מסוג BEU3</v>
          </cell>
          <cell r="D5815">
            <v>46812</v>
          </cell>
        </row>
        <row r="5816">
          <cell r="A5816" t="str">
            <v>WBM-00350-050</v>
          </cell>
          <cell r="B5816" t="str">
            <v>זבולון</v>
          </cell>
          <cell r="C5816" t="str">
            <v>זבולון - תקלה במערכת ניטור גזים שמותקן ע</v>
          </cell>
          <cell r="D5816">
            <v>46721</v>
          </cell>
        </row>
        <row r="5817">
          <cell r="A5817" t="str">
            <v>WBM-00884-027</v>
          </cell>
          <cell r="B5817" t="str">
            <v>זבולון</v>
          </cell>
          <cell r="C5817" t="str">
            <v>זבולון- החלפת מערכות כיבוי בגז NAF-S3</v>
          </cell>
          <cell r="D5817">
            <v>46387</v>
          </cell>
        </row>
        <row r="5818">
          <cell r="A5818" t="str">
            <v>WBM-01191-005</v>
          </cell>
          <cell r="B5818" t="str">
            <v>זבולון</v>
          </cell>
          <cell r="C5818" t="str">
            <v>זבולון - החלפת טבעת 40 ל- RAD</v>
          </cell>
          <cell r="D5818">
            <v>46568</v>
          </cell>
        </row>
        <row r="5819">
          <cell r="A5819" t="str">
            <v>WBM-01341-004</v>
          </cell>
          <cell r="B5819" t="str">
            <v>זבולון</v>
          </cell>
          <cell r="C5819" t="str">
            <v>זבולון - שיפוץ מסדרי GIS</v>
          </cell>
          <cell r="D5819">
            <v>47664</v>
          </cell>
        </row>
        <row r="5820">
          <cell r="A5820" t="str">
            <v>WBM-10456-018</v>
          </cell>
          <cell r="B5820" t="str">
            <v>זבולון</v>
          </cell>
          <cell r="C5820" t="str">
            <v>זבולון- הוספת מתמרים ב-2 פ"צ</v>
          </cell>
          <cell r="D5820">
            <v>46934</v>
          </cell>
        </row>
        <row r="5821">
          <cell r="A5821" t="str">
            <v>WBM-20004-025</v>
          </cell>
          <cell r="B5821" t="str">
            <v>זבולון</v>
          </cell>
          <cell r="C5821" t="str">
            <v>זבולון שיפור מערכת תאורה</v>
          </cell>
          <cell r="D5821">
            <v>46721</v>
          </cell>
        </row>
        <row r="5822">
          <cell r="A5822" t="str">
            <v>WBM-40295-038</v>
          </cell>
          <cell r="B5822" t="str">
            <v>זבולון</v>
          </cell>
          <cell r="C5822" t="str">
            <v>זבולון- החלפת סוללות 500AH</v>
          </cell>
          <cell r="D5822">
            <v>46721</v>
          </cell>
        </row>
        <row r="5823">
          <cell r="A5823" t="str">
            <v>WBM-40479-010</v>
          </cell>
          <cell r="B5823" t="str">
            <v>זבולון</v>
          </cell>
          <cell r="C5823" t="str">
            <v>זבולון- החלפת 8 בקרי טמפ' וגובה שמן בשנא</v>
          </cell>
          <cell r="D5823">
            <v>46754</v>
          </cell>
        </row>
        <row r="5824">
          <cell r="A5824" t="str">
            <v>WBM-60092-002</v>
          </cell>
          <cell r="B5824" t="str">
            <v>זבולון</v>
          </cell>
          <cell r="C5824" t="str">
            <v>זבולון- בדיקות/טיפול/פינוי מכלי אש בגז</v>
          </cell>
          <cell r="D5824">
            <v>46387</v>
          </cell>
        </row>
        <row r="5825">
          <cell r="A5825" t="str">
            <v>WBM-60118-020</v>
          </cell>
          <cell r="B5825" t="str">
            <v>זבולון</v>
          </cell>
          <cell r="C5825" t="str">
            <v>זבולון - שיפור מערכת הארקה</v>
          </cell>
          <cell r="D5825">
            <v>46751</v>
          </cell>
        </row>
        <row r="5826">
          <cell r="A5826" t="str">
            <v>WBM-60119-001</v>
          </cell>
          <cell r="B5826" t="str">
            <v>זבולון</v>
          </cell>
          <cell r="C5826" t="str">
            <v>זבולון - החלפת גלאי קרן בגלאים מתכווננים</v>
          </cell>
          <cell r="D5826">
            <v>45777</v>
          </cell>
        </row>
        <row r="5827">
          <cell r="A5827" t="str">
            <v>WBM-80002-035</v>
          </cell>
          <cell r="B5827" t="str">
            <v>זבולון</v>
          </cell>
          <cell r="C5827" t="str">
            <v>זבולון - הסבות</v>
          </cell>
          <cell r="D5827">
            <v>46387</v>
          </cell>
        </row>
        <row r="5828">
          <cell r="A5828" t="str">
            <v>WBM-60130-024</v>
          </cell>
          <cell r="B5828" t="str">
            <v>זבולון</v>
          </cell>
          <cell r="C5828" t="str">
            <v>זבולון - התקנת מפסק פטריה להפסקת מערכת החשמל בחירום</v>
          </cell>
          <cell r="D5828">
            <v>46568</v>
          </cell>
        </row>
        <row r="5829">
          <cell r="A5829" t="str">
            <v>WBM-10604-003</v>
          </cell>
          <cell r="B5829" t="str">
            <v>זבולון</v>
          </cell>
          <cell r="C5829" t="str">
            <v>זבולון - מוכנות וכשירות דיזל גנרטורים</v>
          </cell>
          <cell r="D5829">
            <v>45644</v>
          </cell>
        </row>
        <row r="5830">
          <cell r="A5830" t="str">
            <v>WBM-10646</v>
          </cell>
          <cell r="B5830" t="str">
            <v>זבולון</v>
          </cell>
          <cell r="C5830" t="str">
            <v>זבולון - החלפת בקר בחלוקה ראשית 380 ו' ז"ח</v>
          </cell>
          <cell r="D5830">
            <v>46326</v>
          </cell>
        </row>
        <row r="5831">
          <cell r="A5831" t="str">
            <v>WBE-199</v>
          </cell>
          <cell r="B5831" t="str">
            <v>זבולון</v>
          </cell>
          <cell r="C5831" t="str">
            <v>זבולון-התקנת שנאי שלישי 161/24 ק"ו 50 מגוו"א</v>
          </cell>
          <cell r="D5831">
            <v>46934</v>
          </cell>
        </row>
        <row r="5832">
          <cell r="A5832" t="str">
            <v>WBM-60131-004</v>
          </cell>
          <cell r="B5832" t="str">
            <v>זבולון</v>
          </cell>
          <cell r="C5832" t="str">
            <v>זבולון- טיפול באופיין  מים</v>
          </cell>
          <cell r="D5832">
            <v>46752</v>
          </cell>
        </row>
        <row r="5833">
          <cell r="A5833" t="str">
            <v>WBM-10738</v>
          </cell>
          <cell r="B5833" t="str">
            <v>זבולון</v>
          </cell>
          <cell r="C5833" t="str">
            <v>זבולון -161 ק''ו, שדה 4: משיק לתחמ"ש אבליים שדה 3</v>
          </cell>
          <cell r="D5833">
            <v>46203</v>
          </cell>
        </row>
        <row r="5834">
          <cell r="A5834" t="str">
            <v>WBM-10739</v>
          </cell>
          <cell r="B5834" t="str">
            <v>זבולון</v>
          </cell>
          <cell r="C5834" t="str">
            <v>זבולון -בוטל - 161 ק''ו, שדה 4: משיק לתחמ"ש אבליים שדה 3</v>
          </cell>
        </row>
        <row r="5835">
          <cell r="A5835" t="str">
            <v>WBM-40637-042</v>
          </cell>
          <cell r="B5835" t="str">
            <v>זבולון</v>
          </cell>
          <cell r="C5835" t="str">
            <v>זבולון-החלפת רושמי הפרעות קיימים מדגם IDM-T3 לרושמים חדשים מדגם IDM+</v>
          </cell>
          <cell r="D5835">
            <v>46537</v>
          </cell>
        </row>
        <row r="5836">
          <cell r="A5836" t="str">
            <v>WBM-10809</v>
          </cell>
          <cell r="B5836" t="str">
            <v>זבולון</v>
          </cell>
          <cell r="C5836" t="str">
            <v>זבולון שדה 16 – התקנת הג.מר.שנ. ודיפ. – משיק לקריות שדה 9.</v>
          </cell>
          <cell r="D5836">
            <v>46568</v>
          </cell>
        </row>
        <row r="5837">
          <cell r="A5837" t="str">
            <v>WBD-131</v>
          </cell>
          <cell r="B5837" t="str">
            <v>זבולון</v>
          </cell>
          <cell r="C5837" t="str">
            <v>זבולון- תכנון הצבת ניידת שנייה או החלפת ניידת 20 ב-30 מגוו"א</v>
          </cell>
          <cell r="D5837">
            <v>46477</v>
          </cell>
        </row>
        <row r="5838">
          <cell r="A5838" t="str">
            <v>HIS-160</v>
          </cell>
          <cell r="B5838" t="str">
            <v>וישי-פרטית</v>
          </cell>
          <cell r="C5838" t="str">
            <v>וישי-פרטית</v>
          </cell>
          <cell r="D5838">
            <v>40908</v>
          </cell>
        </row>
        <row r="5839">
          <cell r="A5839" t="str">
            <v>HIS-006</v>
          </cell>
          <cell r="B5839" t="str">
            <v>ויקטוריה ארעית</v>
          </cell>
          <cell r="C5839" t="str">
            <v>ויקטוריה ארעית</v>
          </cell>
          <cell r="D5839">
            <v>40908</v>
          </cell>
        </row>
        <row r="5840">
          <cell r="A5840" t="str">
            <v>WDA-1-02-15-18</v>
          </cell>
          <cell r="B5840" t="str">
            <v>ויקטוריה ארעית</v>
          </cell>
          <cell r="C5840" t="str">
            <v>ויקטוריה-החלפת יחידת קצה של פיקוח ארצי</v>
          </cell>
          <cell r="D5840">
            <v>43160</v>
          </cell>
        </row>
        <row r="5841">
          <cell r="A5841" t="str">
            <v>WBG-130-003</v>
          </cell>
          <cell r="B5841" t="str">
            <v>ויקטוריה ארעית</v>
          </cell>
          <cell r="C5841" t="str">
            <v>ויקטוריה ארעית-שדרוג הגנת מרחק  לגן שורק</v>
          </cell>
          <cell r="D5841">
            <v>41820</v>
          </cell>
        </row>
        <row r="5842">
          <cell r="A5842" t="str">
            <v>WBG-130-006</v>
          </cell>
          <cell r="B5842" t="str">
            <v>ויקטוריה ארעית</v>
          </cell>
          <cell r="C5842" t="str">
            <v>ויקטוריה ארעית-התקנת מערכת מניה</v>
          </cell>
          <cell r="D5842">
            <v>41243</v>
          </cell>
        </row>
        <row r="5843">
          <cell r="A5843" t="str">
            <v>WBG-130-003-ST2</v>
          </cell>
          <cell r="B5843" t="str">
            <v>ויקטוריה ארעית</v>
          </cell>
          <cell r="C5843" t="str">
            <v>ויקטוריה ארעית-החלפת הממסר להשלת עומס</v>
          </cell>
          <cell r="D5843">
            <v>41101</v>
          </cell>
        </row>
        <row r="5844">
          <cell r="A5844" t="str">
            <v>0243173</v>
          </cell>
          <cell r="B5844" t="str">
            <v>ויקטוריה ארעית</v>
          </cell>
          <cell r="C5844" t="str">
            <v>ויקטוריה- החלפת 16 הגנות מ"ג</v>
          </cell>
          <cell r="D5844">
            <v>36164</v>
          </cell>
        </row>
        <row r="5845">
          <cell r="A5845" t="str">
            <v>0243174</v>
          </cell>
          <cell r="B5845" t="str">
            <v>ויקטוריה ארעית</v>
          </cell>
          <cell r="C5845" t="str">
            <v>ויקטוריה- החלפת טרפו גרד  ל-2 שנאים</v>
          </cell>
          <cell r="D5845">
            <v>36164</v>
          </cell>
        </row>
        <row r="5846">
          <cell r="A5846" t="str">
            <v>0243376</v>
          </cell>
          <cell r="B5846" t="str">
            <v>ויקטוריה ארעית</v>
          </cell>
          <cell r="C5846" t="str">
            <v>ויקטוריה - התקנת רושם הפרעות</v>
          </cell>
          <cell r="D5846">
            <v>36164</v>
          </cell>
        </row>
        <row r="5847">
          <cell r="A5847">
            <v>537607</v>
          </cell>
          <cell r="B5847" t="str">
            <v>ויקטוריה ארעית</v>
          </cell>
          <cell r="C5847" t="str">
            <v>ויקטוריה ארעית-התקנת מע' התראה ביטחונית</v>
          </cell>
          <cell r="D5847">
            <v>40086</v>
          </cell>
        </row>
        <row r="5848">
          <cell r="A5848" t="str">
            <v>WBG-031-003</v>
          </cell>
          <cell r="B5848" t="str">
            <v>ויקטוריה ארעית</v>
          </cell>
          <cell r="C5848" t="str">
            <v>ויקטוריה ארעית-התקנת שעון נוכחות</v>
          </cell>
          <cell r="D5848">
            <v>39933</v>
          </cell>
        </row>
        <row r="5849">
          <cell r="A5849" t="str">
            <v>WBG-130-007</v>
          </cell>
          <cell r="B5849" t="str">
            <v>ויקטוריה ארעית</v>
          </cell>
          <cell r="C5849" t="str">
            <v>ויקטוריה ארעית-התקנת תקשורת מנהלתית</v>
          </cell>
          <cell r="D5849">
            <v>40877</v>
          </cell>
        </row>
        <row r="5850">
          <cell r="A5850" t="str">
            <v>WBM-00033</v>
          </cell>
          <cell r="B5850" t="str">
            <v>ויקטוריה ארעית</v>
          </cell>
          <cell r="C5850" t="str">
            <v>ויקטוריה ארעית-התקנת ארון ז"י 48 וולט</v>
          </cell>
          <cell r="D5850">
            <v>40332</v>
          </cell>
        </row>
        <row r="5851">
          <cell r="A5851" t="str">
            <v>WBC-072-ST2</v>
          </cell>
          <cell r="B5851" t="str">
            <v>ויקטוריה ארעית</v>
          </cell>
          <cell r="C5851" t="str">
            <v>ויקטוריה ארעית-פירוק תחמ"ש ארעית</v>
          </cell>
          <cell r="D5851">
            <v>43637</v>
          </cell>
        </row>
        <row r="5852">
          <cell r="A5852" t="str">
            <v>WBM-00348</v>
          </cell>
          <cell r="B5852" t="str">
            <v>ויקטוריה ארעית</v>
          </cell>
          <cell r="C5852" t="str">
            <v>ויקטוריה ארעית-בוטל-החלפת 2 סלי.כיבוי</v>
          </cell>
          <cell r="D5852">
            <v>39546</v>
          </cell>
        </row>
        <row r="5853">
          <cell r="A5853" t="str">
            <v>WBG-130-009</v>
          </cell>
          <cell r="B5853" t="str">
            <v>ויקטוריה ארעית</v>
          </cell>
          <cell r="C5853" t="str">
            <v>ויקטוריה ארעית-שדרוג הגנת מרחק  לגן שורק</v>
          </cell>
          <cell r="D5853">
            <v>41234</v>
          </cell>
        </row>
        <row r="5854">
          <cell r="A5854" t="str">
            <v>HIS-135</v>
          </cell>
          <cell r="B5854" t="str">
            <v>וייצמן ניידת</v>
          </cell>
          <cell r="C5854" t="str">
            <v>ויצמן  ניידת</v>
          </cell>
          <cell r="D5854">
            <v>40908</v>
          </cell>
        </row>
        <row r="5855">
          <cell r="A5855" t="str">
            <v>WBG-122-011</v>
          </cell>
          <cell r="B5855" t="str">
            <v>וייצמן ניידת</v>
          </cell>
          <cell r="C5855" t="str">
            <v>וייצמן ניידת-פירוק תחמ"ש ניידת</v>
          </cell>
          <cell r="D5855">
            <v>40993</v>
          </cell>
        </row>
        <row r="5856">
          <cell r="A5856" t="str">
            <v>79999-8</v>
          </cell>
          <cell r="B5856" t="str">
            <v>התפלה שורק-פרטית</v>
          </cell>
          <cell r="C5856" t="str">
            <v>התפלה שורק-הקמת תחמ"ש פרטית</v>
          </cell>
          <cell r="D5856">
            <v>41252</v>
          </cell>
        </row>
        <row r="5857">
          <cell r="A5857" t="str">
            <v>WBM-10304</v>
          </cell>
          <cell r="B5857" t="str">
            <v>התפלה שורק-פרטית</v>
          </cell>
          <cell r="C5857" t="str">
            <v>התפלה שורק- משיק להתפלה שורק 2, הח. הגנה</v>
          </cell>
          <cell r="D5857">
            <v>44976</v>
          </cell>
        </row>
        <row r="5858">
          <cell r="A5858">
            <v>900011</v>
          </cell>
          <cell r="B5858" t="str">
            <v>התפלה שורק 2 -תחנת כוח</v>
          </cell>
          <cell r="C5858" t="str">
            <v>התפלה שורק 2 - קליטת מתקן ייצור בטכנולוגיית מחז"מ קוגנרציה ,86 מגוו"ט</v>
          </cell>
          <cell r="D5858">
            <v>45715</v>
          </cell>
        </row>
        <row r="5859">
          <cell r="A5859" t="str">
            <v>0260768</v>
          </cell>
          <cell r="B5859" t="str">
            <v>התפלה שורק 2</v>
          </cell>
          <cell r="C5859" t="str">
            <v>התפלה שורק 2-הקמת תחמ"ש פרטית</v>
          </cell>
          <cell r="D5859">
            <v>44977</v>
          </cell>
        </row>
        <row r="5860">
          <cell r="A5860" t="str">
            <v>WBM-40295-067</v>
          </cell>
          <cell r="B5860" t="str">
            <v>התפלה שורק 2</v>
          </cell>
          <cell r="C5860" t="str">
            <v>התפלה שורק - החלפת סוללות מצברים</v>
          </cell>
          <cell r="D5860">
            <v>46721</v>
          </cell>
        </row>
        <row r="5861">
          <cell r="A5861" t="str">
            <v>HIS-157</v>
          </cell>
          <cell r="B5861" t="str">
            <v>התפלה מ''ד</v>
          </cell>
          <cell r="C5861" t="str">
            <v>התפלה מ"ד</v>
          </cell>
          <cell r="D5861">
            <v>40908</v>
          </cell>
        </row>
        <row r="5862">
          <cell r="A5862">
            <v>300749167</v>
          </cell>
          <cell r="B5862" t="str">
            <v>התפלה גליל מערבי</v>
          </cell>
          <cell r="C5862" t="str">
            <v>התפלה גליל מערבי- הקמת תחמ"ש פרטית</v>
          </cell>
          <cell r="D5862">
            <v>46418</v>
          </cell>
        </row>
        <row r="5863">
          <cell r="A5863" t="str">
            <v>HIS-156</v>
          </cell>
          <cell r="B5863" t="str">
            <v>התפלה אשקלון</v>
          </cell>
          <cell r="C5863" t="str">
            <v>התפלה אשקלון-פרטית</v>
          </cell>
          <cell r="D5863">
            <v>40908</v>
          </cell>
        </row>
        <row r="5864">
          <cell r="A5864" t="str">
            <v>WBM-10006</v>
          </cell>
          <cell r="B5864" t="str">
            <v>התפלה אשקלון</v>
          </cell>
          <cell r="C5864" t="str">
            <v>התפלה אשקלון -התקנת רושם הפרעות</v>
          </cell>
          <cell r="D5864">
            <v>46996</v>
          </cell>
        </row>
        <row r="5865">
          <cell r="A5865" t="str">
            <v>WBG-147-002</v>
          </cell>
          <cell r="B5865" t="str">
            <v>התפלה אשקלון</v>
          </cell>
          <cell r="C5865" t="str">
            <v>התפלה אשקלון-התקנת תקשורת מנהלתית</v>
          </cell>
          <cell r="D5865">
            <v>41424</v>
          </cell>
        </row>
        <row r="5866">
          <cell r="A5866" t="str">
            <v>WBG-147-003</v>
          </cell>
          <cell r="B5866" t="str">
            <v>התפלה אשקלון</v>
          </cell>
          <cell r="C5866" t="str">
            <v>התפלה אשקלון-התקנת ארון ז"י 48 וולט</v>
          </cell>
          <cell r="D5866">
            <v>41424</v>
          </cell>
        </row>
        <row r="5867">
          <cell r="A5867">
            <v>900010</v>
          </cell>
          <cell r="B5867" t="str">
            <v>התפלה אשדוד פרטית-תחנת כח</v>
          </cell>
          <cell r="C5867" t="str">
            <v>התפלה אשדוד –קליטת מתקן ייצור בטכנולגיית מחז"מ קוגנרציה , 100 מגוו"ט</v>
          </cell>
          <cell r="D5867">
            <v>46112</v>
          </cell>
        </row>
        <row r="5868">
          <cell r="A5868" t="str">
            <v>79999-1</v>
          </cell>
          <cell r="B5868" t="str">
            <v>התפלה אשדוד- פרטית</v>
          </cell>
          <cell r="C5868" t="str">
            <v>התפלה אשדוד-הקמת תחמ"ש פרטית</v>
          </cell>
          <cell r="D5868">
            <v>41709</v>
          </cell>
        </row>
        <row r="5869">
          <cell r="A5869" t="str">
            <v>WBM-10427</v>
          </cell>
          <cell r="B5869" t="str">
            <v>התפלה אשדוד- פרטית</v>
          </cell>
          <cell r="C5869" t="str">
            <v>התפלה אשדוד-משיק אשכול3-ש5, קשר בין הגנ.</v>
          </cell>
          <cell r="D5869">
            <v>45578</v>
          </cell>
        </row>
        <row r="5870">
          <cell r="A5870" t="str">
            <v>WBM-10429</v>
          </cell>
          <cell r="B5870" t="str">
            <v>התפלה אשדוד- פרטית</v>
          </cell>
          <cell r="C5870" t="str">
            <v>התפלה אשדוד-משיק פלמחים-ש1, קשר בין הגנ.</v>
          </cell>
          <cell r="D5870">
            <v>45578</v>
          </cell>
        </row>
        <row r="5871">
          <cell r="A5871" t="str">
            <v>WBM-10326</v>
          </cell>
          <cell r="B5871" t="str">
            <v>התפלה אשדוד- פרטית</v>
          </cell>
          <cell r="C5871" t="str">
            <v>התפלה אשדוד-משיק הת.שורק 2-תקש.בין הגנות</v>
          </cell>
          <cell r="D5871">
            <v>44976</v>
          </cell>
        </row>
        <row r="5872">
          <cell r="A5872" t="str">
            <v>HIS-078</v>
          </cell>
          <cell r="B5872" t="str">
            <v>הרצליה</v>
          </cell>
          <cell r="C5872" t="str">
            <v>הרצליה</v>
          </cell>
          <cell r="D5872">
            <v>40908</v>
          </cell>
        </row>
        <row r="5873">
          <cell r="A5873" t="str">
            <v>WBM-00271</v>
          </cell>
          <cell r="B5873" t="str">
            <v>הרצליה</v>
          </cell>
          <cell r="C5873" t="str">
            <v>הרצליה-החלפת מנתקים ומשנק בשדה 9 לנתניה</v>
          </cell>
          <cell r="D5873">
            <v>44347</v>
          </cell>
        </row>
        <row r="5874">
          <cell r="A5874" t="str">
            <v>WBM-01152</v>
          </cell>
          <cell r="B5874" t="str">
            <v>הרצליה</v>
          </cell>
          <cell r="C5874" t="str">
            <v>הרצליה - הוספת פיקוד מרחוק לשנאי הארקה</v>
          </cell>
          <cell r="D5874">
            <v>46752</v>
          </cell>
        </row>
        <row r="5875">
          <cell r="A5875" t="str">
            <v>WBM-00269</v>
          </cell>
          <cell r="B5875" t="str">
            <v>הרצליה</v>
          </cell>
          <cell r="C5875" t="str">
            <v>הרצליה-בוטל-התקנת ס"ק 5*3 והחלפת 4 ס"ק 5*3כ"א</v>
          </cell>
          <cell r="D5875">
            <v>43861</v>
          </cell>
        </row>
        <row r="5876">
          <cell r="A5876" t="str">
            <v>WBM-00032</v>
          </cell>
          <cell r="B5876" t="str">
            <v>הרצליה</v>
          </cell>
          <cell r="C5876" t="str">
            <v>הרצליה-מבוטל -החלפת משנה מתח של פ"צ 1,2,3</v>
          </cell>
          <cell r="D5876">
            <v>43831</v>
          </cell>
        </row>
        <row r="5877">
          <cell r="A5877" t="str">
            <v>WBM-60012</v>
          </cell>
          <cell r="B5877" t="str">
            <v>הרצליה</v>
          </cell>
          <cell r="C5877" t="str">
            <v>הרצליה -הסדרת דרך גישה לתחמ"ש</v>
          </cell>
          <cell r="D5877">
            <v>46177</v>
          </cell>
        </row>
        <row r="5878">
          <cell r="A5878" t="str">
            <v>WBM-40068</v>
          </cell>
          <cell r="B5878" t="str">
            <v>הרצליה</v>
          </cell>
          <cell r="C5878" t="str">
            <v>הרצליה-החלפת רושם הפרעות</v>
          </cell>
          <cell r="D5878">
            <v>46537</v>
          </cell>
        </row>
        <row r="5879">
          <cell r="A5879" t="str">
            <v>WBM-40155</v>
          </cell>
          <cell r="B5879" t="str">
            <v>הרצליה</v>
          </cell>
          <cell r="C5879" t="str">
            <v>הרצליה- החלפת מפסק זרם בשדה 6</v>
          </cell>
          <cell r="D5879">
            <v>46751</v>
          </cell>
        </row>
        <row r="5880">
          <cell r="A5880" t="str">
            <v>WBM-40069</v>
          </cell>
          <cell r="B5880" t="str">
            <v>הרצליה</v>
          </cell>
          <cell r="C5880" t="str">
            <v>הרצליה- החלפת הגנת שנאי</v>
          </cell>
          <cell r="D5880">
            <v>47118</v>
          </cell>
        </row>
        <row r="5881">
          <cell r="A5881" t="str">
            <v>WBM-40156</v>
          </cell>
          <cell r="B5881" t="str">
            <v>הרצליה</v>
          </cell>
          <cell r="C5881" t="str">
            <v>הרצליה-החלפת 28 מ"ז מ"ג ו-40 הגנות מ"ג</v>
          </cell>
          <cell r="D5881">
            <v>46721</v>
          </cell>
        </row>
        <row r="5882">
          <cell r="A5882" t="str">
            <v>WBM-10276</v>
          </cell>
          <cell r="B5882" t="str">
            <v>הרצליה</v>
          </cell>
          <cell r="C5882" t="str">
            <v>הרצליה-התא' תיילים-מהדקים-פורטים WBO-553</v>
          </cell>
          <cell r="D5882">
            <v>46387</v>
          </cell>
        </row>
        <row r="5883">
          <cell r="A5883" t="str">
            <v>WBM-40247</v>
          </cell>
          <cell r="B5883" t="str">
            <v>הרצליה</v>
          </cell>
          <cell r="C5883" t="str">
            <v>הרצליה - החלפת שרשראות מבודדים</v>
          </cell>
          <cell r="D5883">
            <v>45929</v>
          </cell>
        </row>
        <row r="5884">
          <cell r="A5884" t="str">
            <v>WBM-40287</v>
          </cell>
          <cell r="B5884" t="str">
            <v>הרצליה</v>
          </cell>
          <cell r="C5884" t="str">
            <v>הרצליה -החלפת מ"ז,מנתק, משנק ב: 5,11,7-8</v>
          </cell>
          <cell r="D5884">
            <v>46568</v>
          </cell>
        </row>
        <row r="5885">
          <cell r="A5885" t="str">
            <v>WBM-00754</v>
          </cell>
          <cell r="B5885" t="str">
            <v>הרצליה</v>
          </cell>
          <cell r="C5885" t="str">
            <v>הרצליה-פרוק ציוד הצמדה בשדה 5</v>
          </cell>
          <cell r="D5885">
            <v>45116</v>
          </cell>
        </row>
        <row r="5886">
          <cell r="A5886" t="str">
            <v>WBM-10176</v>
          </cell>
          <cell r="B5886" t="str">
            <v>הרצליה</v>
          </cell>
          <cell r="C5886" t="str">
            <v>הרצליה -משיק לשפיים.להגנ.מרחק+דיפ+תק' ש9</v>
          </cell>
          <cell r="D5886">
            <v>44658</v>
          </cell>
        </row>
        <row r="5887">
          <cell r="A5887" t="str">
            <v>WBM-10241</v>
          </cell>
          <cell r="B5887" t="str">
            <v>הרצליה</v>
          </cell>
          <cell r="C5887" t="str">
            <v>הרצליה - משיק לעתידים, החלפת הג.דיפ.ש5</v>
          </cell>
          <cell r="D5887">
            <v>44565</v>
          </cell>
        </row>
        <row r="5888">
          <cell r="A5888" t="str">
            <v>WBM-01054</v>
          </cell>
          <cell r="B5888" t="str">
            <v>הרצליה</v>
          </cell>
          <cell r="C5888" t="str">
            <v>הרצליה-החלפת הגנה לדיפרנציאלית, שדה 3</v>
          </cell>
          <cell r="D5888">
            <v>44378</v>
          </cell>
        </row>
        <row r="5889">
          <cell r="A5889" t="str">
            <v>WBM-01389</v>
          </cell>
          <cell r="B5889" t="str">
            <v>הרצליה</v>
          </cell>
          <cell r="C5889" t="str">
            <v>הרצליה - החלפת ה.הפרשית ותקשורת בשדה 5</v>
          </cell>
          <cell r="D5889">
            <v>43912</v>
          </cell>
        </row>
        <row r="5890">
          <cell r="A5890" t="str">
            <v>WBM-00787</v>
          </cell>
          <cell r="B5890" t="str">
            <v>הרצליה</v>
          </cell>
          <cell r="C5890" t="str">
            <v>הרצליה-התקנת גדר חכמה.</v>
          </cell>
          <cell r="D5890">
            <v>41866</v>
          </cell>
        </row>
        <row r="5891">
          <cell r="A5891" t="str">
            <v>WBG-030-016</v>
          </cell>
          <cell r="B5891" t="str">
            <v>הרצליה</v>
          </cell>
          <cell r="C5891" t="str">
            <v>הרצליה-החלפת מגיני ברק מ"ג של שנאים</v>
          </cell>
          <cell r="D5891">
            <v>41638</v>
          </cell>
        </row>
        <row r="5892">
          <cell r="A5892" t="str">
            <v>WBG-030-023</v>
          </cell>
          <cell r="B5892" t="str">
            <v>הרצליה</v>
          </cell>
          <cell r="C5892" t="str">
            <v>הרצליה-החלפת מפ"ז מ"ג ב-3 שדות ס"ק</v>
          </cell>
          <cell r="D5892">
            <v>41424</v>
          </cell>
        </row>
        <row r="5893">
          <cell r="A5893" t="str">
            <v>WBG-030-020</v>
          </cell>
          <cell r="B5893" t="str">
            <v>הרצליה</v>
          </cell>
          <cell r="C5893" t="str">
            <v>הרצליה-הוספת הגנת מרחק שנייהבשדות:3,5,9</v>
          </cell>
          <cell r="D5893">
            <v>41212</v>
          </cell>
        </row>
        <row r="5894">
          <cell r="A5894" t="str">
            <v>WBG-030-027</v>
          </cell>
          <cell r="B5894" t="str">
            <v>הרצליה</v>
          </cell>
          <cell r="C5894" t="str">
            <v>הרצליה-התקנת תקשורת מנהלתית</v>
          </cell>
          <cell r="D5894">
            <v>41182</v>
          </cell>
        </row>
        <row r="5895">
          <cell r="A5895" t="str">
            <v>WBG-030-026</v>
          </cell>
          <cell r="B5895" t="str">
            <v>הרצליה</v>
          </cell>
          <cell r="C5895" t="str">
            <v>הרצליה-הקמת רשת מחשבים תפעולית</v>
          </cell>
          <cell r="D5895">
            <v>41120</v>
          </cell>
        </row>
        <row r="5896">
          <cell r="A5896" t="str">
            <v>WBG-030-024</v>
          </cell>
          <cell r="B5896" t="str">
            <v>הרצליה</v>
          </cell>
          <cell r="C5896" t="str">
            <v>הרצליה-החלפת הממסר להשלת עומס לפי תדר</v>
          </cell>
          <cell r="D5896">
            <v>41090</v>
          </cell>
        </row>
        <row r="5897">
          <cell r="A5897" t="str">
            <v>WBG-030-005</v>
          </cell>
          <cell r="B5897" t="str">
            <v>הרצליה</v>
          </cell>
          <cell r="C5897" t="str">
            <v>הרצליה-השלמת רושם הפרעות</v>
          </cell>
          <cell r="D5897">
            <v>40996</v>
          </cell>
        </row>
        <row r="5898">
          <cell r="A5898" t="str">
            <v>WBG-030-007</v>
          </cell>
          <cell r="B5898" t="str">
            <v>הרצליה</v>
          </cell>
          <cell r="C5898" t="str">
            <v>הרצליה-התקנת ארון ז"י 48 וולט כולל חלוקה</v>
          </cell>
          <cell r="D5898">
            <v>40773</v>
          </cell>
        </row>
        <row r="5899">
          <cell r="A5899" t="str">
            <v>WBM-01244</v>
          </cell>
          <cell r="B5899" t="str">
            <v>הרצליה</v>
          </cell>
          <cell r="C5899" t="str">
            <v>הרצליה - בוטל-מאצרות שמן קבועות לשנאים</v>
          </cell>
          <cell r="D5899">
            <v>42902</v>
          </cell>
        </row>
        <row r="5900">
          <cell r="A5900" t="str">
            <v>WBM-01427</v>
          </cell>
          <cell r="B5900" t="str">
            <v>הרצליה</v>
          </cell>
          <cell r="C5900" t="str">
            <v>הרצליה - בוטל- התקנת מערכת טמ"ס</v>
          </cell>
          <cell r="D5900">
            <v>43409</v>
          </cell>
        </row>
        <row r="5901">
          <cell r="A5901" t="str">
            <v>WBM-00823</v>
          </cell>
          <cell r="B5901" t="str">
            <v>הרצליה</v>
          </cell>
          <cell r="C5901" t="str">
            <v>הרצליה --בוטל- התאמת מערכת המים לכיבוי</v>
          </cell>
          <cell r="D5901">
            <v>42307</v>
          </cell>
        </row>
        <row r="5902">
          <cell r="A5902">
            <v>531223</v>
          </cell>
          <cell r="B5902" t="str">
            <v>הרצליה</v>
          </cell>
          <cell r="C5902" t="str">
            <v>הרצליה-התקנת מערכת התראה ביטחונית</v>
          </cell>
          <cell r="D5902">
            <v>38928</v>
          </cell>
        </row>
        <row r="5903">
          <cell r="A5903">
            <v>531239</v>
          </cell>
          <cell r="B5903" t="str">
            <v>הרצליה</v>
          </cell>
          <cell r="C5903" t="str">
            <v>הרצליה-התקנת מאווררים בארונות פיקוד</v>
          </cell>
          <cell r="D5903">
            <v>40311</v>
          </cell>
        </row>
        <row r="5904">
          <cell r="A5904" t="str">
            <v>WBM-00444</v>
          </cell>
          <cell r="B5904" t="str">
            <v>הרצליה</v>
          </cell>
          <cell r="C5904" t="str">
            <v>הרצליה-בוטל-שיוך עלויות-קשר בין הגנות</v>
          </cell>
          <cell r="D5904">
            <v>41249</v>
          </cell>
        </row>
        <row r="5905">
          <cell r="A5905" t="str">
            <v>WBM-00445</v>
          </cell>
          <cell r="B5905" t="str">
            <v>הרצליה</v>
          </cell>
          <cell r="C5905" t="str">
            <v>הרצליה-בוטל-הוספת ווסתים לסליל כיבוי</v>
          </cell>
          <cell r="D5905">
            <v>41249</v>
          </cell>
        </row>
        <row r="5906">
          <cell r="A5906" t="str">
            <v>WBM-00270</v>
          </cell>
          <cell r="B5906" t="str">
            <v>הרצליה</v>
          </cell>
          <cell r="C5906" t="str">
            <v>הרצליה-בוטל-הוספת 3 יחידות ראקטורים</v>
          </cell>
          <cell r="D5906">
            <v>41249</v>
          </cell>
        </row>
        <row r="5907">
          <cell r="A5907" t="str">
            <v>WBM-00667</v>
          </cell>
          <cell r="B5907" t="str">
            <v>הרצליה</v>
          </cell>
          <cell r="C5907" t="str">
            <v>הרצליה-הוספת הגנת מרחק שנייה בשדות:3,9</v>
          </cell>
          <cell r="D5907">
            <v>41934</v>
          </cell>
        </row>
        <row r="5908">
          <cell r="A5908" t="str">
            <v>WBG-030-011</v>
          </cell>
          <cell r="B5908" t="str">
            <v>הרצליה</v>
          </cell>
          <cell r="C5908" t="str">
            <v>הרצליה-הוספת הגנה דיפרנציאלית לעתידים</v>
          </cell>
          <cell r="D5908">
            <v>41606</v>
          </cell>
        </row>
        <row r="5909">
          <cell r="A5909" t="str">
            <v>WBM-00885-003</v>
          </cell>
          <cell r="B5909" t="str">
            <v>הרצליה</v>
          </cell>
          <cell r="C5909" t="str">
            <v>הרצליה - מאגר מים ומשאבה</v>
          </cell>
          <cell r="D5909">
            <v>46196</v>
          </cell>
        </row>
        <row r="5910">
          <cell r="A5910" t="str">
            <v>WBM-01190-005</v>
          </cell>
          <cell r="B5910" t="str">
            <v>הרצליה</v>
          </cell>
          <cell r="C5910" t="str">
            <v>הרצליה - החלפת טבעת 92 ל- RAD</v>
          </cell>
          <cell r="D5910">
            <v>45482</v>
          </cell>
        </row>
        <row r="5911">
          <cell r="A5911" t="str">
            <v>WBM-10315-068</v>
          </cell>
          <cell r="B5911" t="str">
            <v>הרצליה</v>
          </cell>
          <cell r="C5911" t="str">
            <v>הרצליה - התקנת מזגנים</v>
          </cell>
          <cell r="D5911">
            <v>46387</v>
          </cell>
        </row>
        <row r="5912">
          <cell r="A5912" t="str">
            <v>WBM-40479-055</v>
          </cell>
          <cell r="B5912" t="str">
            <v>הרצליה</v>
          </cell>
          <cell r="C5912" t="str">
            <v>הרצליה- החלפת בקר טמפ' וגובה שמן בשנא</v>
          </cell>
          <cell r="D5912">
            <v>47299</v>
          </cell>
        </row>
        <row r="5913">
          <cell r="A5913" t="str">
            <v>WBM-60088-012</v>
          </cell>
          <cell r="B5913" t="str">
            <v>הרצליה</v>
          </cell>
          <cell r="C5913" t="str">
            <v>הרצליה - מאצרות ל-4 מסדרי אפס</v>
          </cell>
          <cell r="D5913">
            <v>46477</v>
          </cell>
        </row>
        <row r="5914">
          <cell r="A5914" t="str">
            <v>WBM-60088-063</v>
          </cell>
          <cell r="B5914" t="str">
            <v>הרצליה</v>
          </cell>
          <cell r="C5914" t="str">
            <v>הרצליה - הסדרת תשתית שפכים במקום בור</v>
          </cell>
          <cell r="D5914">
            <v>46173</v>
          </cell>
        </row>
        <row r="5915">
          <cell r="A5915" t="str">
            <v>WBM-60130-061</v>
          </cell>
          <cell r="B5915" t="str">
            <v>הרצליה</v>
          </cell>
          <cell r="C5915" t="str">
            <v>הרצליה - התקנת מפסק פטריה להפסקת מערכת החשמל בחירום</v>
          </cell>
          <cell r="D5915">
            <v>46568</v>
          </cell>
        </row>
        <row r="5916">
          <cell r="A5916" t="str">
            <v>WBM-40629-004</v>
          </cell>
          <cell r="B5916" t="str">
            <v>הרצליה</v>
          </cell>
          <cell r="C5916" t="str">
            <v>הרצליה- החלפת מבדדי 161 ק"ו של שנאי הספק</v>
          </cell>
          <cell r="D5916">
            <v>46387</v>
          </cell>
        </row>
        <row r="5917">
          <cell r="A5917" t="str">
            <v>WBM-10663-005</v>
          </cell>
          <cell r="B5917" t="str">
            <v>הרצליה</v>
          </cell>
          <cell r="C5917" t="str">
            <v>הרצליה- החלפת מטענים</v>
          </cell>
          <cell r="D5917">
            <v>45728</v>
          </cell>
        </row>
        <row r="5918">
          <cell r="A5918" t="str">
            <v>WBM-60116-052</v>
          </cell>
          <cell r="B5918" t="str">
            <v>הרצליה</v>
          </cell>
          <cell r="C5918" t="str">
            <v>הרצליה- מערכת גילוי וכיבוי אש אוטומטית CERBERUS</v>
          </cell>
          <cell r="D5918">
            <v>46752</v>
          </cell>
        </row>
        <row r="5919">
          <cell r="A5919" t="str">
            <v>WBM-40636</v>
          </cell>
          <cell r="B5919" t="str">
            <v>הרצליה</v>
          </cell>
          <cell r="C5919" t="str">
            <v>הרצליה – הוספת 10 שדות מ"ג בעלי יציאות תת קרקעיות בכבלים</v>
          </cell>
          <cell r="D5919">
            <v>46568</v>
          </cell>
        </row>
        <row r="5920">
          <cell r="A5920" t="str">
            <v>WBM-10774</v>
          </cell>
          <cell r="B5920" t="str">
            <v>הרצליה</v>
          </cell>
          <cell r="C5920" t="str">
            <v>הרצליה –בוטל -  והוספת 10 שדות מ"ג</v>
          </cell>
        </row>
        <row r="5921">
          <cell r="A5921">
            <v>900045</v>
          </cell>
          <cell r="B5921" t="str">
            <v>הרטוב-MGDC</v>
          </cell>
          <cell r="C5921" t="str">
            <v>הרטוב-MGDC-חוות שרתים-הקמת תחמ"ש פרטית</v>
          </cell>
          <cell r="D5921">
            <v>47483</v>
          </cell>
        </row>
        <row r="5922">
          <cell r="A5922" t="str">
            <v>HIS-077</v>
          </cell>
          <cell r="B5922" t="str">
            <v>הרטוב</v>
          </cell>
          <cell r="C5922" t="str">
            <v>הרטוב</v>
          </cell>
          <cell r="D5922">
            <v>40908</v>
          </cell>
        </row>
        <row r="5923">
          <cell r="A5923" t="str">
            <v>WBE-257</v>
          </cell>
          <cell r="B5923" t="str">
            <v>הרטוב</v>
          </cell>
          <cell r="C5923" t="str">
            <v>הרטוב- החלפת שנאי 523 וציוד בשדה 4</v>
          </cell>
          <cell r="D5923">
            <v>45320</v>
          </cell>
        </row>
        <row r="5924">
          <cell r="A5924" t="str">
            <v>WBE-032-ST3</v>
          </cell>
          <cell r="B5924" t="str">
            <v>הרטוב</v>
          </cell>
          <cell r="C5924" t="str">
            <v>הרטוב-שלב ג'-החלפת השנאים ל-50 מגוו"א</v>
          </cell>
          <cell r="D5924">
            <v>43963</v>
          </cell>
        </row>
        <row r="5925">
          <cell r="A5925" t="str">
            <v>WBE-032</v>
          </cell>
          <cell r="B5925" t="str">
            <v>הרטוב</v>
          </cell>
          <cell r="C5925" t="str">
            <v>הרטוב-הקמת בניין מסדר פנימי-4 שלבים</v>
          </cell>
          <cell r="D5925">
            <v>43963</v>
          </cell>
        </row>
        <row r="5926">
          <cell r="A5926" t="str">
            <v>WEB-04-ST2</v>
          </cell>
          <cell r="B5926" t="str">
            <v>הרטוב</v>
          </cell>
          <cell r="C5926" t="str">
            <v>הרטוב-התקנת הגנה דיפר' במעגל לירושלים ג'</v>
          </cell>
          <cell r="D5926">
            <v>38260</v>
          </cell>
        </row>
        <row r="5927">
          <cell r="A5927" t="str">
            <v>WBM-40520</v>
          </cell>
          <cell r="B5927" t="str">
            <v>הרטוב</v>
          </cell>
          <cell r="C5927" t="str">
            <v>הרטוב - שדה 4 - החלפת מנתק פ"צ</v>
          </cell>
          <cell r="D5927">
            <v>46295</v>
          </cell>
        </row>
        <row r="5928">
          <cell r="A5928" t="str">
            <v>WBM-00777</v>
          </cell>
          <cell r="B5928" t="str">
            <v>הרטוב</v>
          </cell>
          <cell r="C5928" t="str">
            <v>הרטוב-החלפת סוללות קבלים</v>
          </cell>
          <cell r="D5928">
            <v>46326</v>
          </cell>
        </row>
        <row r="5929">
          <cell r="A5929" t="str">
            <v>WBM-00267</v>
          </cell>
          <cell r="B5929" t="str">
            <v>הרטוב</v>
          </cell>
          <cell r="C5929" t="str">
            <v>הרטוב-בוטל-החלפת סליל כיבוי של שנאי 521</v>
          </cell>
          <cell r="D5929">
            <v>40501</v>
          </cell>
        </row>
        <row r="5930">
          <cell r="A5930" t="str">
            <v>WBM-40065</v>
          </cell>
          <cell r="B5930" t="str">
            <v>הרטוב</v>
          </cell>
          <cell r="C5930" t="str">
            <v>הרטוב- החלפת 21 הגנות מ"ג</v>
          </cell>
          <cell r="D5930">
            <v>46568</v>
          </cell>
        </row>
        <row r="5931">
          <cell r="A5931" t="str">
            <v>WBM-40067</v>
          </cell>
          <cell r="B5931" t="str">
            <v>הרטוב</v>
          </cell>
          <cell r="C5931" t="str">
            <v>הרטוב -החלפת ציוד בשדות 6,10</v>
          </cell>
          <cell r="D5931">
            <v>46142</v>
          </cell>
        </row>
        <row r="5932">
          <cell r="A5932" t="str">
            <v>WBM-40504</v>
          </cell>
          <cell r="B5932" t="str">
            <v>הרטוב</v>
          </cell>
          <cell r="C5932" t="str">
            <v>הרטוב - החלפת ציוד בשדות 3,  9, 14</v>
          </cell>
          <cell r="D5932">
            <v>46476</v>
          </cell>
        </row>
        <row r="5933">
          <cell r="A5933" t="str">
            <v>WBM-40066</v>
          </cell>
          <cell r="B5933" t="str">
            <v>הרטוב</v>
          </cell>
          <cell r="C5933" t="str">
            <v>הרטוב - החלפת ציוד בשדה 8</v>
          </cell>
          <cell r="D5933">
            <v>46568</v>
          </cell>
        </row>
        <row r="5934">
          <cell r="A5934" t="str">
            <v>WBM-70002</v>
          </cell>
          <cell r="B5934" t="str">
            <v>הרטוב</v>
          </cell>
          <cell r="C5934" t="str">
            <v>הרטוב - החלפת מ"ז, מנתק ומשנק בשדה 5</v>
          </cell>
          <cell r="D5934">
            <v>46142</v>
          </cell>
        </row>
        <row r="5935">
          <cell r="A5935" t="str">
            <v>WBM-01004</v>
          </cell>
          <cell r="B5935" t="str">
            <v>הרטוב</v>
          </cell>
          <cell r="C5935" t="str">
            <v>הרטוב - החלפת הגנות בשדה מס' 5 ליבנה</v>
          </cell>
          <cell r="D5935">
            <v>45270</v>
          </cell>
        </row>
        <row r="5936">
          <cell r="A5936" t="str">
            <v>WBM-70025</v>
          </cell>
          <cell r="B5936" t="str">
            <v>הרטוב</v>
          </cell>
          <cell r="C5936" t="str">
            <v>הרטוב - החלפת משנה זרם בשדה 9 משיק wbo-614</v>
          </cell>
          <cell r="D5936">
            <v>46203</v>
          </cell>
        </row>
        <row r="5937">
          <cell r="A5937" t="str">
            <v>WBM-00849</v>
          </cell>
          <cell r="B5937" t="str">
            <v>הרטוב</v>
          </cell>
          <cell r="C5937" t="str">
            <v>הרטוב-משיק, החל.הגנות בשדה 3 והוס.הג.מרח</v>
          </cell>
          <cell r="D5937">
            <v>45655</v>
          </cell>
        </row>
        <row r="5938">
          <cell r="A5938" t="str">
            <v>WBM-00031</v>
          </cell>
          <cell r="B5938" t="str">
            <v>הרטוב</v>
          </cell>
          <cell r="C5938" t="str">
            <v>הרטוב-בוטל החלפת 6 מגיני ברק מ"ע ב-521 ו- 523</v>
          </cell>
        </row>
        <row r="5939">
          <cell r="A5939" t="str">
            <v>WBM-00030</v>
          </cell>
          <cell r="B5939" t="str">
            <v>הרטוב</v>
          </cell>
          <cell r="C5939" t="str">
            <v>הרטוב-שיפור חדר סוללות מצברים בהתאם לתקן</v>
          </cell>
          <cell r="D5939">
            <v>44542</v>
          </cell>
        </row>
        <row r="5940">
          <cell r="A5940" t="str">
            <v>WBM-20003</v>
          </cell>
          <cell r="B5940" t="str">
            <v>הרטוב</v>
          </cell>
          <cell r="C5940" t="str">
            <v>הרטוב-החלפת שער כניסה מסוג כנפיים לחשמלי</v>
          </cell>
          <cell r="D5940">
            <v>44209</v>
          </cell>
        </row>
        <row r="5941">
          <cell r="A5941" t="str">
            <v>WBM-00850</v>
          </cell>
          <cell r="B5941" t="str">
            <v>הרטוב</v>
          </cell>
          <cell r="C5941" t="str">
            <v>הרטוב-התאמת מערכת המים לכיבוי אש</v>
          </cell>
          <cell r="D5941">
            <v>43585</v>
          </cell>
        </row>
        <row r="5942">
          <cell r="A5942" t="str">
            <v>WBM-01212</v>
          </cell>
          <cell r="B5942" t="str">
            <v>הרטוב</v>
          </cell>
          <cell r="C5942" t="str">
            <v>הרטוב-החלפת רושמי הפרעות INDACTIC</v>
          </cell>
          <cell r="D5942">
            <v>43558</v>
          </cell>
        </row>
        <row r="5943">
          <cell r="A5943" t="str">
            <v>WBG-029-012</v>
          </cell>
          <cell r="B5943" t="str">
            <v>הרטוב</v>
          </cell>
          <cell r="C5943" t="str">
            <v>הרטוב-הקמת רשת מחשבים תפעולית</v>
          </cell>
          <cell r="D5943">
            <v>41198</v>
          </cell>
        </row>
        <row r="5944">
          <cell r="A5944" t="str">
            <v>WBM-40206</v>
          </cell>
          <cell r="B5944" t="str">
            <v>הרטוב</v>
          </cell>
          <cell r="C5944" t="str">
            <v>הרטוב-בוטל- החלפת שנאי 523 וציוד בשדה 4</v>
          </cell>
          <cell r="D5944">
            <v>43151</v>
          </cell>
        </row>
        <row r="5945">
          <cell r="A5945">
            <v>542924</v>
          </cell>
          <cell r="B5945" t="str">
            <v>הרטוב</v>
          </cell>
          <cell r="C5945" t="str">
            <v>הרטוב-התקנת מערכת התראה ביטחונית</v>
          </cell>
          <cell r="D5945">
            <v>38898</v>
          </cell>
        </row>
        <row r="5946">
          <cell r="A5946" t="str">
            <v>WBG-029-017</v>
          </cell>
          <cell r="B5946" t="str">
            <v>הרטוב</v>
          </cell>
          <cell r="C5946" t="str">
            <v>הרטוב-גידור שביל גישה לאתר דלק של ג.ט</v>
          </cell>
          <cell r="D5946">
            <v>40268</v>
          </cell>
        </row>
        <row r="5947">
          <cell r="A5947">
            <v>542936</v>
          </cell>
          <cell r="B5947" t="str">
            <v>הרטוב</v>
          </cell>
          <cell r="C5947" t="str">
            <v>הרטוב-התקנת מאווררים בארונות פיקוד</v>
          </cell>
          <cell r="D5947">
            <v>41029</v>
          </cell>
        </row>
        <row r="5948">
          <cell r="A5948" t="str">
            <v>WBM-00443</v>
          </cell>
          <cell r="B5948" t="str">
            <v>הרטוב</v>
          </cell>
          <cell r="C5948" t="str">
            <v>הרטוב-בוטל-הזנת תאורת חירום ז"י</v>
          </cell>
          <cell r="D5948">
            <v>41249</v>
          </cell>
        </row>
        <row r="5949">
          <cell r="A5949" t="str">
            <v>WBG-029-013</v>
          </cell>
          <cell r="B5949" t="str">
            <v>הרטוב</v>
          </cell>
          <cell r="C5949" t="str">
            <v>הרטוב-החלפת מפסק זרם מ"ג</v>
          </cell>
          <cell r="D5949">
            <v>39446</v>
          </cell>
        </row>
        <row r="5950">
          <cell r="A5950" t="str">
            <v>WBE-032-ST4</v>
          </cell>
          <cell r="B5950" t="str">
            <v>הרטוב</v>
          </cell>
          <cell r="C5950" t="str">
            <v>הרטוב-שלב ד'-החלפת שנאי 522 ל-50 מגוו"א</v>
          </cell>
          <cell r="D5950">
            <v>42734</v>
          </cell>
        </row>
        <row r="5951">
          <cell r="A5951" t="str">
            <v>WBM-00268</v>
          </cell>
          <cell r="B5951" t="str">
            <v>הרטוב</v>
          </cell>
          <cell r="C5951" t="str">
            <v>הרטוב-בוטל-הוספת 3יח' ראקטורים  לס"ק</v>
          </cell>
          <cell r="D5951">
            <v>41249</v>
          </cell>
        </row>
        <row r="5952">
          <cell r="A5952" t="str">
            <v>WBE-032-ST2</v>
          </cell>
          <cell r="B5952" t="str">
            <v>הרטוב</v>
          </cell>
          <cell r="C5952" t="str">
            <v>הרטוב-שלב ב'- הקמת בניין מסדר פנימי</v>
          </cell>
          <cell r="D5952">
            <v>43631</v>
          </cell>
        </row>
        <row r="5953">
          <cell r="A5953" t="str">
            <v>WBE-032-ST1</v>
          </cell>
          <cell r="B5953" t="str">
            <v>הרטוב</v>
          </cell>
          <cell r="C5953" t="str">
            <v>הרטוב-שלב א-התקנת מכולה מ"ג והע. יציאות</v>
          </cell>
          <cell r="D5953">
            <v>42096</v>
          </cell>
        </row>
        <row r="5954">
          <cell r="A5954" t="str">
            <v>WBM-40521-023</v>
          </cell>
          <cell r="B5954" t="str">
            <v>הרטוב</v>
          </cell>
          <cell r="C5954" t="str">
            <v>הרטוב - החלפת 2 שנאי הארקה</v>
          </cell>
          <cell r="D5954">
            <v>46721</v>
          </cell>
        </row>
        <row r="5955">
          <cell r="A5955" t="str">
            <v>WBM-60130-008</v>
          </cell>
          <cell r="B5955" t="str">
            <v>הרטוב</v>
          </cell>
          <cell r="C5955" t="str">
            <v>הרטוב - התקנת מפסק פטריה להפסקת מערכת החשמל בחירום</v>
          </cell>
          <cell r="D5955">
            <v>46568</v>
          </cell>
        </row>
        <row r="5956">
          <cell r="A5956" t="str">
            <v>WBM-10735</v>
          </cell>
          <cell r="B5956" t="str">
            <v>הרטוב</v>
          </cell>
          <cell r="C5956" t="str">
            <v>הר טוב - משיק לסתריה שדה 5, יישום דרך קשר אופטית בין הגנות בשדה 9</v>
          </cell>
          <cell r="D5956">
            <v>46021</v>
          </cell>
        </row>
        <row r="5957">
          <cell r="A5957" t="str">
            <v>WBE-308</v>
          </cell>
          <cell r="B5957" t="str">
            <v>הרטוב</v>
          </cell>
          <cell r="C5957" t="str">
            <v>הרטוב-החלפת שנאי 524 (שדה 14) מ-33 מגוו"א ל-50 מגוו"א</v>
          </cell>
          <cell r="D5957">
            <v>46934</v>
          </cell>
        </row>
        <row r="5958">
          <cell r="A5958" t="str">
            <v>WBN-452-ST2</v>
          </cell>
          <cell r="B5958" t="str">
            <v>העתקת קו בבני דרור/פרוטאה 400</v>
          </cell>
          <cell r="C5958" t="str">
            <v>העתקת קווים בבני דרור/פרוטאה-מקטע 3-פירו</v>
          </cell>
          <cell r="D5958">
            <v>47056</v>
          </cell>
        </row>
        <row r="5959">
          <cell r="A5959" t="str">
            <v>WBN-452</v>
          </cell>
          <cell r="B5959" t="str">
            <v>העתקת קו בבני דרור/פרוטאה 400</v>
          </cell>
          <cell r="C5959" t="str">
            <v>העתקת קווים בבני דרור/פרוטאה-מקטע 3</v>
          </cell>
          <cell r="D5959">
            <v>46873</v>
          </cell>
        </row>
        <row r="5960">
          <cell r="A5960" t="str">
            <v>WBO-910</v>
          </cell>
          <cell r="B5960" t="str">
            <v>העתקה בשכונה אתרוג בית דגן</v>
          </cell>
          <cell r="C5960" t="str">
            <v>העתקה בשכונת אתרוג בית דגן-העתקה קו מ"ע נתב"ג-ראשון לציון מזרח בין עמודים 1611-1617</v>
          </cell>
          <cell r="D5960">
            <v>47483</v>
          </cell>
        </row>
        <row r="5961">
          <cell r="A5961" t="str">
            <v>WBO-845</v>
          </cell>
          <cell r="B5961" t="str">
            <v>העתקה בנתיבים המהירים כביש 5</v>
          </cell>
          <cell r="C5961" t="str">
            <v>העתקה בנתיבים המהירים כביש 5-עע"א-בוטל-העתקת קטע קו בין עמודים 3155-3152</v>
          </cell>
        </row>
        <row r="5962">
          <cell r="A5962" t="str">
            <v>WBO-506</v>
          </cell>
          <cell r="B5962" t="str">
            <v>העתקה במחלף ניר גלים</v>
          </cell>
          <cell r="C5962" t="str">
            <v>העתקה במחלף ניר גלים-עע"א-העתקת קטע עילי</v>
          </cell>
          <cell r="D5962">
            <v>43947</v>
          </cell>
        </row>
        <row r="5963">
          <cell r="A5963" t="str">
            <v>WBO-225</v>
          </cell>
          <cell r="B5963" t="str">
            <v>העתקה במחלף ניר גלים</v>
          </cell>
          <cell r="C5963" t="str">
            <v>העתקה במחלף ניר גלים-עע"א-כבל 0.55 ק"מ</v>
          </cell>
          <cell r="D5963">
            <v>43947</v>
          </cell>
        </row>
        <row r="5964">
          <cell r="A5964" t="str">
            <v>WBO-337</v>
          </cell>
          <cell r="B5964" t="str">
            <v>העתקה בכביש 6</v>
          </cell>
          <cell r="C5964" t="str">
            <v>העתקה בכביש 6- עע"א - העתקת עמודי מתח עליון 5311, 4122 לטובת סלילת כביש 6 החדש (צפון)</v>
          </cell>
          <cell r="D5964">
            <v>47087</v>
          </cell>
        </row>
        <row r="5965">
          <cell r="A5965" t="str">
            <v>WBN-442</v>
          </cell>
          <cell r="B5965" t="str">
            <v>העתקה בכביש 35</v>
          </cell>
          <cell r="C5965" t="str">
            <v>העתקה בכביש 35-עע"א- עמודי 161</v>
          </cell>
          <cell r="D5965">
            <v>45046</v>
          </cell>
        </row>
        <row r="5966">
          <cell r="A5966" t="str">
            <v>WBO-161</v>
          </cell>
          <cell r="B5966" t="str">
            <v>העתקה באיזור שועפט</v>
          </cell>
          <cell r="C5966" t="str">
            <v>העתקה באיזור שועפט-עע"א-קידום סטטוטורי בלבד של הסטת קו ממחנה פליטים שואעפט</v>
          </cell>
          <cell r="D5966">
            <v>46477</v>
          </cell>
        </row>
        <row r="5967">
          <cell r="A5967" t="str">
            <v>WBO-161-ST2</v>
          </cell>
          <cell r="B5967" t="str">
            <v>העתקה באיזור שועפט</v>
          </cell>
          <cell r="C5967" t="str">
            <v>העתקה באיזור שועפט-עע"א- שולב-קידום סטטוטורי של הסטת הקו</v>
          </cell>
        </row>
        <row r="5968">
          <cell r="A5968" t="str">
            <v>WBO-914</v>
          </cell>
          <cell r="B5968" t="str">
            <v>העתקה באיזור שועפט</v>
          </cell>
          <cell r="C5968" t="str">
            <v>העתקה באיזור שועפט-תכנון מפורט של הקו</v>
          </cell>
          <cell r="D5968">
            <v>46599</v>
          </cell>
        </row>
        <row r="5969">
          <cell r="A5969" t="str">
            <v>WBO-689</v>
          </cell>
          <cell r="B5969" t="str">
            <v>העתקה באזור רעננה ממרכז</v>
          </cell>
          <cell r="C5969" t="str">
            <v>העתקה באזור רעננה מרכז-עע"א- בין העמודים 6250-6258</v>
          </cell>
          <cell r="D5969">
            <v>47118</v>
          </cell>
        </row>
        <row r="5970">
          <cell r="A5970" t="str">
            <v>WBO-145</v>
          </cell>
          <cell r="B5970" t="str">
            <v>העתקה באזור רמות</v>
          </cell>
          <cell r="C5970" t="str">
            <v>העתקה באזור רמות-עע"א</v>
          </cell>
          <cell r="D5970">
            <v>44727</v>
          </cell>
        </row>
        <row r="5971">
          <cell r="A5971" t="str">
            <v>WBO-144</v>
          </cell>
          <cell r="B5971" t="str">
            <v>העתקה באזור רמות</v>
          </cell>
          <cell r="C5971" t="str">
            <v>העתקה באזור רמות-עע"א-בוטל</v>
          </cell>
          <cell r="D5971">
            <v>44742</v>
          </cell>
        </row>
        <row r="5972">
          <cell r="A5972" t="str">
            <v>WBO-155</v>
          </cell>
          <cell r="B5972" t="str">
            <v>העתקה באזור צור הנדסה</v>
          </cell>
          <cell r="C5972" t="str">
            <v>העתקה באזור צור הדסה-עע"א-בין עמודים 9166-9170</v>
          </cell>
          <cell r="D5972">
            <v>46387</v>
          </cell>
        </row>
        <row r="5973">
          <cell r="A5973" t="str">
            <v>WBO-638</v>
          </cell>
          <cell r="B5973" t="str">
            <v>העתקה באזור מחלף אלכסנדר</v>
          </cell>
          <cell r="C5973" t="str">
            <v>העתקה באזור מחלף אלכסנדר-עע"א-הוקפא</v>
          </cell>
        </row>
        <row r="5974">
          <cell r="A5974" t="str">
            <v>WBO-913</v>
          </cell>
          <cell r="B5974" t="str">
            <v>העתקה באזור מזכרת בתיה מזרח</v>
          </cell>
          <cell r="C5974" t="str">
            <v>העתקה באזור מזכרת בתיה מזרח-עע"א - שכונת אתרוג בית דגן , העתקת קו מתח עליון</v>
          </cell>
          <cell r="D5974">
            <v>47391</v>
          </cell>
        </row>
        <row r="5975">
          <cell r="A5975" t="str">
            <v>WBO-335</v>
          </cell>
          <cell r="B5975" t="str">
            <v>העתקה באזור ג'דידה-מכר</v>
          </cell>
          <cell r="C5975" t="str">
            <v>העתקה באזור ג'דידה-מכר-מקטע מערבי-עע"א- העתקת קו 161 ק"ו--גבעת טנטור</v>
          </cell>
          <cell r="D5975">
            <v>46782</v>
          </cell>
        </row>
        <row r="5976">
          <cell r="A5976" t="str">
            <v>WBO-336</v>
          </cell>
          <cell r="B5976" t="str">
            <v>העתקה באזור ג'דידה-מכר</v>
          </cell>
          <cell r="C5976" t="str">
            <v>העתקה באזור ג'דידה-מכר-מקטע מזרחי-עע"א- העתקת קו 161 ק"ו--גבעת טנטור</v>
          </cell>
          <cell r="D5976">
            <v>46782</v>
          </cell>
        </row>
        <row r="5977">
          <cell r="A5977" t="str">
            <v>WBO-153</v>
          </cell>
          <cell r="B5977" t="str">
            <v>העתקה באזור בני עייש</v>
          </cell>
          <cell r="C5977" t="str">
            <v>העתקה באזור בני עייש-עע"א-עמודים 9040/2</v>
          </cell>
          <cell r="D5977">
            <v>46568</v>
          </cell>
        </row>
        <row r="5978">
          <cell r="A5978" t="str">
            <v>WBO-650</v>
          </cell>
          <cell r="B5978" t="str">
            <v>העתקה באזור בני עייש</v>
          </cell>
          <cell r="C5978" t="str">
            <v>העתקה באזור בני עייש-עע"א-בקו צפית-גאליה</v>
          </cell>
          <cell r="D5978">
            <v>46568</v>
          </cell>
        </row>
        <row r="5979">
          <cell r="A5979" t="str">
            <v>WBO-324</v>
          </cell>
          <cell r="B5979" t="str">
            <v>העתקה באזור בית יהושע</v>
          </cell>
          <cell r="C5979" t="str">
            <v>העתקה באיזור בית יהושע-עע"א- קידום סטטוטורי</v>
          </cell>
          <cell r="D5979">
            <v>47118</v>
          </cell>
        </row>
        <row r="5980">
          <cell r="A5980" t="str">
            <v>HIS-076</v>
          </cell>
          <cell r="B5980" t="str">
            <v>הכפר הירוק</v>
          </cell>
          <cell r="C5980" t="str">
            <v>הכפר הירוק</v>
          </cell>
          <cell r="D5980">
            <v>40908</v>
          </cell>
        </row>
        <row r="5981">
          <cell r="A5981" t="str">
            <v>0212726</v>
          </cell>
          <cell r="B5981" t="str">
            <v>הכפר הירוק</v>
          </cell>
          <cell r="C5981" t="str">
            <v>uoe6a-הכפר הירוק-עיבוי ושדרוג עמוד שדרה</v>
          </cell>
          <cell r="D5981">
            <v>42308</v>
          </cell>
        </row>
        <row r="5982">
          <cell r="A5982" t="str">
            <v>WBE-092</v>
          </cell>
          <cell r="B5982" t="str">
            <v>הכפר הירוק</v>
          </cell>
          <cell r="C5982" t="str">
            <v>הכפר הירוק-התקנת שנאי רביעי  50 מגוו"א</v>
          </cell>
          <cell r="D5982">
            <v>44325</v>
          </cell>
        </row>
        <row r="5983">
          <cell r="A5983" t="str">
            <v>WDB-04COM44</v>
          </cell>
          <cell r="B5983" t="str">
            <v>הכפר הירוק</v>
          </cell>
          <cell r="C5983" t="str">
            <v>הכפר הירוק-הנחת כבל סיב אופטי UG מירקון</v>
          </cell>
          <cell r="D5983">
            <v>41638</v>
          </cell>
        </row>
        <row r="5984">
          <cell r="A5984" t="str">
            <v>WDA-1-02-15-20</v>
          </cell>
          <cell r="B5984" t="str">
            <v>הכפר הירוק</v>
          </cell>
          <cell r="C5984" t="str">
            <v>הכפר הירוק-החלפת יחידת קצה של פיקוח ארצי</v>
          </cell>
          <cell r="D5984">
            <v>42566</v>
          </cell>
        </row>
        <row r="5985">
          <cell r="A5985" t="str">
            <v>WBM-01274</v>
          </cell>
          <cell r="B5985" t="str">
            <v>הכפר הירוק</v>
          </cell>
          <cell r="C5985" t="str">
            <v>הכפר הירוק -שיפור לוגיקת סליל כיבוי ב-3</v>
          </cell>
          <cell r="D5985">
            <v>44123</v>
          </cell>
        </row>
        <row r="5986">
          <cell r="A5986">
            <v>546120</v>
          </cell>
          <cell r="B5986" t="str">
            <v>הכפר הירוק</v>
          </cell>
          <cell r="C5986" t="str">
            <v>הכפר הירוק-התקנת מאווררים בארונות פיקוד</v>
          </cell>
          <cell r="D5986">
            <v>40311</v>
          </cell>
        </row>
        <row r="5987">
          <cell r="A5987" t="str">
            <v>WBM-10063</v>
          </cell>
          <cell r="B5987" t="str">
            <v>הכפר הירוק</v>
          </cell>
          <cell r="C5987" t="str">
            <v>הכפר הירוק - בוטל-החלפת גשרי דיודות</v>
          </cell>
          <cell r="D5987">
            <v>43769</v>
          </cell>
        </row>
        <row r="5988">
          <cell r="A5988">
            <v>546123</v>
          </cell>
          <cell r="B5988" t="str">
            <v>הכפר הירוק</v>
          </cell>
          <cell r="C5988" t="str">
            <v>הכפר הירוק- החלפת גשרי דיודות</v>
          </cell>
          <cell r="D5988">
            <v>42277</v>
          </cell>
        </row>
        <row r="5989">
          <cell r="A5989" t="str">
            <v>WBM-00705</v>
          </cell>
          <cell r="B5989" t="str">
            <v>הכפר הירוק</v>
          </cell>
          <cell r="C5989" t="str">
            <v>הכפר הירוק-החלפת מערכת גילוי וכיבוי אש.</v>
          </cell>
          <cell r="D5989">
            <v>42369</v>
          </cell>
        </row>
        <row r="5990">
          <cell r="A5990">
            <v>546121</v>
          </cell>
          <cell r="B5990" t="str">
            <v>הכפר הירוק</v>
          </cell>
          <cell r="C5990" t="str">
            <v>הכפר הירוק-מיגון חל"כ והתאמת חדר מצב</v>
          </cell>
          <cell r="D5990">
            <v>41229</v>
          </cell>
        </row>
        <row r="5991">
          <cell r="A5991">
            <v>546109</v>
          </cell>
          <cell r="B5991" t="str">
            <v>הכפר הירוק</v>
          </cell>
          <cell r="C5991" t="str">
            <v>הכפר הירוק-התקנת רכזת התראה בטחונית</v>
          </cell>
          <cell r="D5991">
            <v>39051</v>
          </cell>
        </row>
        <row r="5992">
          <cell r="A5992">
            <v>546122</v>
          </cell>
          <cell r="B5992" t="str">
            <v>הכפר הירוק</v>
          </cell>
          <cell r="C5992" t="str">
            <v>הכפר הירוק-הקמת טבעת 110N OM להע.תקשורת</v>
          </cell>
          <cell r="D5992">
            <v>41820</v>
          </cell>
        </row>
        <row r="5993">
          <cell r="A5993" t="str">
            <v>WBM-40151</v>
          </cell>
          <cell r="B5993" t="str">
            <v>הכפר הירוק</v>
          </cell>
          <cell r="C5993" t="str">
            <v>הכפר הירוק -החלפת וה.הגנות פ"צ וכשל מפסק</v>
          </cell>
          <cell r="D5993">
            <v>46568</v>
          </cell>
        </row>
        <row r="5994">
          <cell r="A5994" t="str">
            <v>WBM-10011</v>
          </cell>
          <cell r="B5994" t="str">
            <v>הכפר הירוק</v>
          </cell>
          <cell r="C5994" t="str">
            <v>הכפר הירוק -התקנת רושם הפרעות 161 ק"ו</v>
          </cell>
          <cell r="D5994">
            <v>46477</v>
          </cell>
        </row>
        <row r="5995">
          <cell r="A5995" t="str">
            <v>WBM-10274</v>
          </cell>
          <cell r="B5995" t="str">
            <v>הכפר הירוק</v>
          </cell>
          <cell r="C5995" t="str">
            <v>הכפר הירוק-התא' תייל'-מהדק'-קיר המבנה WBO-553</v>
          </cell>
          <cell r="D5995">
            <v>46387</v>
          </cell>
        </row>
        <row r="5996">
          <cell r="A5996" t="str">
            <v>WBM-40475</v>
          </cell>
          <cell r="B5996" t="str">
            <v>הכפר הירוק</v>
          </cell>
          <cell r="C5996" t="str">
            <v>הכפר הירוק-הח' 2 מ"ז ,2 בושינג(7,9) מהדק</v>
          </cell>
          <cell r="D5996">
            <v>46326</v>
          </cell>
        </row>
        <row r="5997">
          <cell r="A5997" t="str">
            <v>WBM-10242</v>
          </cell>
          <cell r="B5997" t="str">
            <v>הכפר הירוק</v>
          </cell>
          <cell r="C5997" t="str">
            <v>הכפר הירוק-משיק לעתידים, החלפת הג.דיפ.ש9</v>
          </cell>
          <cell r="D5997">
            <v>44565</v>
          </cell>
        </row>
        <row r="5998">
          <cell r="A5998" t="str">
            <v>WBM-01172</v>
          </cell>
          <cell r="B5998" t="str">
            <v>הכפר הירוק</v>
          </cell>
          <cell r="C5998" t="str">
            <v>הכפר הירוק-שדרוג מערכות SCS סוגUNIX-LON</v>
          </cell>
          <cell r="D5998">
            <v>44400</v>
          </cell>
        </row>
        <row r="5999">
          <cell r="A5999" t="str">
            <v>WBM-40152</v>
          </cell>
          <cell r="B5999" t="str">
            <v>הכפר הירוק</v>
          </cell>
          <cell r="C5999" t="str">
            <v>הכפר הירוק-בוטל- החלפת טרפו גרד</v>
          </cell>
        </row>
        <row r="6000">
          <cell r="A6000" t="str">
            <v>WBM-00790</v>
          </cell>
          <cell r="B6000" t="str">
            <v>הכפר הירוק</v>
          </cell>
          <cell r="C6000" t="str">
            <v>הכפר הירוק-הוספת הגנת דיפרנ. בקו לעתידים</v>
          </cell>
          <cell r="D6000">
            <v>41876</v>
          </cell>
        </row>
        <row r="6001">
          <cell r="A6001" t="str">
            <v>WBM-00360</v>
          </cell>
          <cell r="B6001" t="str">
            <v>הכפר הירוק</v>
          </cell>
          <cell r="C6001" t="str">
            <v>הכפר הירוק-בוטל-החלפת ה.מרחק עם הש. עומס</v>
          </cell>
          <cell r="D6001">
            <v>41467</v>
          </cell>
        </row>
        <row r="6002">
          <cell r="A6002" t="str">
            <v>WBM-60126</v>
          </cell>
          <cell r="B6002" t="str">
            <v>הכפר הירוק</v>
          </cell>
          <cell r="C6002" t="str">
            <v>הכפר הירוק- הקמת משטח אחסון פסולת חומ"ס</v>
          </cell>
          <cell r="D6002">
            <v>46568</v>
          </cell>
        </row>
        <row r="6003">
          <cell r="A6003" t="str">
            <v>WBM-40479-014</v>
          </cell>
          <cell r="B6003" t="str">
            <v>הכפר הירוק</v>
          </cell>
          <cell r="C6003" t="str">
            <v>הכפר הירוק-  החלפת 3 בקרי טמפ' וגובה שמן</v>
          </cell>
          <cell r="D6003">
            <v>48182</v>
          </cell>
        </row>
        <row r="6004">
          <cell r="A6004" t="str">
            <v>WBM-40521-011</v>
          </cell>
          <cell r="B6004" t="str">
            <v>הכפר הירוק</v>
          </cell>
          <cell r="C6004" t="str">
            <v>הכפר הירוק - החלפת שנאי הארקה</v>
          </cell>
          <cell r="D6004">
            <v>46721</v>
          </cell>
        </row>
        <row r="6005">
          <cell r="A6005" t="str">
            <v>WBM-60119-005</v>
          </cell>
          <cell r="B6005" t="str">
            <v>הכפר הירוק</v>
          </cell>
          <cell r="C6005" t="str">
            <v>הכפר הירוק - בוטל - החלפת גלאי קרן בגלאים</v>
          </cell>
          <cell r="D6005">
            <v>46196</v>
          </cell>
        </row>
        <row r="6006">
          <cell r="A6006" t="str">
            <v>WBM-80002-011</v>
          </cell>
          <cell r="B6006" t="str">
            <v>הכפר הירוק</v>
          </cell>
          <cell r="C6006" t="str">
            <v>הכפר הירוק-הסבות</v>
          </cell>
          <cell r="D6006">
            <v>45565</v>
          </cell>
        </row>
        <row r="6007">
          <cell r="A6007" t="str">
            <v>WBM-60130-060</v>
          </cell>
          <cell r="B6007" t="str">
            <v>הכפר הירוק</v>
          </cell>
          <cell r="C6007" t="str">
            <v>הכפר הירוק - התקנת מפסק פטריה להפסקת מערכת החשמל בחירום</v>
          </cell>
          <cell r="D6007">
            <v>46568</v>
          </cell>
        </row>
        <row r="6008">
          <cell r="A6008" t="str">
            <v>WBM-00885-132</v>
          </cell>
          <cell r="B6008" t="str">
            <v>הכפר הירוק</v>
          </cell>
          <cell r="C6008" t="str">
            <v>הכפר הירוק- אפיון מים</v>
          </cell>
          <cell r="D6008">
            <v>45621</v>
          </cell>
        </row>
        <row r="6009">
          <cell r="A6009" t="str">
            <v>WBM-20004-032</v>
          </cell>
          <cell r="B6009" t="str">
            <v>הכפר הירוק</v>
          </cell>
          <cell r="C6009" t="str">
            <v>הכפר הירוק - תיקון מערכת תאורה</v>
          </cell>
          <cell r="D6009">
            <v>45621</v>
          </cell>
        </row>
        <row r="6010">
          <cell r="A6010" t="str">
            <v>WBM-40295-077</v>
          </cell>
          <cell r="B6010" t="str">
            <v>הכפר הירוק</v>
          </cell>
          <cell r="C6010" t="str">
            <v>הכפר הירוק - החלפת מצברים</v>
          </cell>
          <cell r="D6010">
            <v>46022</v>
          </cell>
        </row>
        <row r="6011">
          <cell r="A6011" t="str">
            <v>WBM-60205-004</v>
          </cell>
          <cell r="B6011" t="str">
            <v>הכפר הירוק</v>
          </cell>
          <cell r="C6011" t="str">
            <v>הכפר הירוק - ניטור הצפות</v>
          </cell>
          <cell r="D6011">
            <v>46175</v>
          </cell>
        </row>
        <row r="6012">
          <cell r="A6012" t="str">
            <v>0212728</v>
          </cell>
          <cell r="B6012" t="str">
            <v>החשמל 16</v>
          </cell>
          <cell r="C6012" t="str">
            <v>uoe6a-החשמל 16-עיבוי ושדרוג עמוד השדרה</v>
          </cell>
          <cell r="D6012">
            <v>42308</v>
          </cell>
        </row>
        <row r="6013">
          <cell r="A6013" t="str">
            <v>WBM-00346</v>
          </cell>
          <cell r="B6013" t="str">
            <v>החשמל 16</v>
          </cell>
          <cell r="C6013" t="str">
            <v>החשמל 16-בוטל-הקמת רשת מחשבים תפעולית</v>
          </cell>
          <cell r="D6013">
            <v>40512</v>
          </cell>
        </row>
        <row r="6014">
          <cell r="A6014">
            <v>2183</v>
          </cell>
          <cell r="B6014" t="str">
            <v>הוצאת אנרגיה מתחה''כ חיפה, מעקפ</v>
          </cell>
          <cell r="C6014" t="str">
            <v>מעקפים לת"כ חיפה-בוטלבזבולון,קישון-מחז"מ</v>
          </cell>
          <cell r="D6014">
            <v>40310</v>
          </cell>
        </row>
        <row r="6015">
          <cell r="A6015" t="str">
            <v>MAK-1-1</v>
          </cell>
          <cell r="B6015" t="str">
            <v>הוצאת אנרגיה מתחה''כ חיפה, מעקפ</v>
          </cell>
          <cell r="C6015" t="str">
            <v>מעקפים לת"כ חיפה -בוטל-,קישון-ג.מ.אדמיר</v>
          </cell>
          <cell r="D6015">
            <v>40180</v>
          </cell>
        </row>
        <row r="6016">
          <cell r="A6016" t="str">
            <v>MAK-1-2</v>
          </cell>
          <cell r="B6016" t="str">
            <v>הוצאת אנרגיה מתחה''כ חיפה, מעקפ</v>
          </cell>
          <cell r="C6016" t="str">
            <v>מעקפים לת"כ חיפה -בוטל-קישון-גי.מ.נעמן</v>
          </cell>
          <cell r="D6016">
            <v>40180</v>
          </cell>
        </row>
        <row r="6017">
          <cell r="A6017" t="str">
            <v>MAK-1-3</v>
          </cell>
          <cell r="B6017" t="str">
            <v>הוצאת אנרגיה מתחה''כ חיפה, מעקפ</v>
          </cell>
          <cell r="C6017" t="str">
            <v>מעקפים לת"כ חיפה בוטל-2 מע'קישון-זבו-קיס</v>
          </cell>
          <cell r="D6017">
            <v>40180</v>
          </cell>
        </row>
        <row r="6018">
          <cell r="A6018" t="str">
            <v>MAK-2-1</v>
          </cell>
          <cell r="B6018" t="str">
            <v>הוצאת אנרגיה מתחה''כ חיפה, מעקפ</v>
          </cell>
          <cell r="C6018" t="str">
            <v>מעקפים לת"כ חיפהבוטל-בזבולון,קישון-צ.שלו</v>
          </cell>
          <cell r="D6018">
            <v>40180</v>
          </cell>
        </row>
        <row r="6019">
          <cell r="A6019" t="str">
            <v>MAK-2-2</v>
          </cell>
          <cell r="B6019" t="str">
            <v>הוצאת אנרגיה מתחה''כ חיפה, מעקפ</v>
          </cell>
          <cell r="C6019" t="str">
            <v>מעקפים לת"כ חיפה-בוטלבזבולון,קישון-מחז"מ</v>
          </cell>
          <cell r="D6019">
            <v>40311</v>
          </cell>
        </row>
        <row r="6020">
          <cell r="A6020" t="str">
            <v>3539-ST3</v>
          </cell>
          <cell r="B6020" t="str">
            <v>הוצאת אנרגיה מרדינג ומ.לעתידים</v>
          </cell>
          <cell r="C6020" t="str">
            <v>מעקפים לעתידים-גישור מרמת אביב למכבית</v>
          </cell>
          <cell r="D6020">
            <v>41640</v>
          </cell>
        </row>
        <row r="6021">
          <cell r="A6021" t="str">
            <v>3539-ST1</v>
          </cell>
          <cell r="B6021" t="str">
            <v>הוצאת אנרגיה מרדינג ומ.לעתידים</v>
          </cell>
          <cell r="C6021" t="str">
            <v>מעקפים לרדינג בעתידי-ג.מעגלים ריד-עתידים</v>
          </cell>
          <cell r="D6021">
            <v>41640</v>
          </cell>
        </row>
        <row r="6022">
          <cell r="A6022" t="str">
            <v>3539-ST2</v>
          </cell>
          <cell r="B6022" t="str">
            <v>הוצאת אנרגיה מרדינג ומ.לעתידים</v>
          </cell>
          <cell r="C6022" t="str">
            <v>מעקפים לעתידים-גישור פ"ת  עם הכפר הירוק</v>
          </cell>
          <cell r="D6022">
            <v>41640</v>
          </cell>
        </row>
        <row r="6023">
          <cell r="A6023" t="str">
            <v>3539-ST4</v>
          </cell>
          <cell r="B6023" t="str">
            <v>הוצאת אנרגיה מרדינג ומ.לעתידים</v>
          </cell>
          <cell r="C6023" t="str">
            <v>מעקפים לעתידים-גישור  גן שורק  עם אבנת</v>
          </cell>
          <cell r="D6023">
            <v>42370</v>
          </cell>
        </row>
        <row r="6024">
          <cell r="A6024" t="str">
            <v>HIS-075</v>
          </cell>
          <cell r="B6024" t="str">
            <v>הוד השרון</v>
          </cell>
          <cell r="C6024" t="str">
            <v>הוד השרון</v>
          </cell>
          <cell r="D6024">
            <v>40908</v>
          </cell>
        </row>
        <row r="6025">
          <cell r="A6025" t="str">
            <v>WBE-017</v>
          </cell>
          <cell r="B6025" t="str">
            <v>הוד השרון</v>
          </cell>
          <cell r="C6025" t="str">
            <v>הוד השרון-התקנת שנאי שלישי 50 מגוו"א.</v>
          </cell>
          <cell r="D6025">
            <v>45172</v>
          </cell>
        </row>
        <row r="6026">
          <cell r="A6026" t="str">
            <v>WEB-05-PR03</v>
          </cell>
          <cell r="B6026" t="str">
            <v>הוד השרון</v>
          </cell>
          <cell r="C6026" t="str">
            <v>הוד השרון-התקנת הגנה הפרשית לרעננה</v>
          </cell>
          <cell r="D6026">
            <v>40934</v>
          </cell>
        </row>
        <row r="6027">
          <cell r="A6027" t="str">
            <v>WBM-01284</v>
          </cell>
          <cell r="B6027" t="str">
            <v>הוד השרון</v>
          </cell>
          <cell r="C6027" t="str">
            <v>הוד השרון -בוטל- החלפת ס"ק  בנגד ראשוני</v>
          </cell>
          <cell r="D6027">
            <v>42914</v>
          </cell>
        </row>
        <row r="6028">
          <cell r="A6028" t="str">
            <v>WBM-40064</v>
          </cell>
          <cell r="B6028" t="str">
            <v>הוד השרון</v>
          </cell>
          <cell r="C6028" t="str">
            <v>הוד השרון - החלפת הגנות מ"ג</v>
          </cell>
          <cell r="D6028">
            <v>46751</v>
          </cell>
        </row>
        <row r="6029">
          <cell r="A6029" t="str">
            <v>WBG-027-008</v>
          </cell>
          <cell r="B6029" t="str">
            <v>הוד השרון</v>
          </cell>
          <cell r="C6029" t="str">
            <v>הוד השרון-הוספת 2 ממרים 220/60 וולט</v>
          </cell>
          <cell r="D6029">
            <v>41182</v>
          </cell>
        </row>
        <row r="6030">
          <cell r="A6030" t="str">
            <v>WBG-027-007</v>
          </cell>
          <cell r="B6030" t="str">
            <v>הוד השרון</v>
          </cell>
          <cell r="C6030" t="str">
            <v>הוד השרון-הפרדת אתראת פליטת מימן</v>
          </cell>
          <cell r="D6030">
            <v>40998</v>
          </cell>
        </row>
        <row r="6031">
          <cell r="A6031" t="str">
            <v>WBG-027-009</v>
          </cell>
          <cell r="B6031" t="str">
            <v>הוד השרון</v>
          </cell>
          <cell r="C6031" t="str">
            <v>הוד השרון-הקמת רשת מחשבים תפעולית</v>
          </cell>
          <cell r="D6031">
            <v>40979</v>
          </cell>
        </row>
        <row r="6032">
          <cell r="A6032">
            <v>537908</v>
          </cell>
          <cell r="B6032" t="str">
            <v>הוד השרון</v>
          </cell>
          <cell r="C6032" t="str">
            <v>הוד השרון-החלפת מערכת התראה בטחונית</v>
          </cell>
          <cell r="D6032">
            <v>39020</v>
          </cell>
        </row>
        <row r="6033">
          <cell r="A6033">
            <v>537918</v>
          </cell>
          <cell r="B6033" t="str">
            <v>הוד השרון</v>
          </cell>
          <cell r="C6033" t="str">
            <v>הוד השרון-התקנת מאווררים בארונות פיקוד</v>
          </cell>
          <cell r="D6033">
            <v>40311</v>
          </cell>
        </row>
        <row r="6034">
          <cell r="A6034" t="str">
            <v>WBG-027-012</v>
          </cell>
          <cell r="B6034" t="str">
            <v>הוד השרון</v>
          </cell>
          <cell r="C6034" t="str">
            <v>הוד השרון-פתרון בעית חיבור לא מבוקר-ממסר</v>
          </cell>
          <cell r="D6034">
            <v>40714</v>
          </cell>
        </row>
        <row r="6035">
          <cell r="A6035" t="str">
            <v>WBM-00442</v>
          </cell>
          <cell r="B6035" t="str">
            <v>הוד השרון</v>
          </cell>
          <cell r="C6035" t="str">
            <v>הוד השרון-הזנת תאורת חירום ז"י</v>
          </cell>
          <cell r="D6035">
            <v>46079</v>
          </cell>
        </row>
        <row r="6036">
          <cell r="A6036" t="str">
            <v>WBM-10030</v>
          </cell>
          <cell r="B6036" t="str">
            <v>הוד השרון</v>
          </cell>
          <cell r="C6036" t="str">
            <v>הוד השרון-התקנת רושם הפרעות 161 ק"ו</v>
          </cell>
          <cell r="D6036">
            <v>46783</v>
          </cell>
        </row>
        <row r="6037">
          <cell r="A6037" t="str">
            <v>WBM-70036</v>
          </cell>
          <cell r="B6037" t="str">
            <v>הוד השרון</v>
          </cell>
          <cell r="C6037" t="str">
            <v>הוד השרון-התקנת סוללת קבלים מ"ג לשנאי</v>
          </cell>
          <cell r="D6037">
            <v>46356</v>
          </cell>
        </row>
        <row r="6038">
          <cell r="A6038" t="str">
            <v>WBM-10255</v>
          </cell>
          <cell r="B6038" t="str">
            <v>הוד השרון</v>
          </cell>
          <cell r="C6038" t="str">
            <v>הוד השרון - הוספת ביטול ח"ח מרחוק</v>
          </cell>
          <cell r="D6038">
            <v>44995</v>
          </cell>
        </row>
        <row r="6039">
          <cell r="A6039" t="str">
            <v>WBE-017-ST1</v>
          </cell>
          <cell r="B6039" t="str">
            <v>הוד השרון</v>
          </cell>
          <cell r="C6039" t="str">
            <v>הוד השרון-התקנת ס"ק-שנאי 522, 5*2מגווא"ר</v>
          </cell>
          <cell r="D6039">
            <v>36164</v>
          </cell>
        </row>
        <row r="6040">
          <cell r="A6040" t="str">
            <v>WBM-00885-091</v>
          </cell>
          <cell r="B6040" t="str">
            <v>הוד השרון</v>
          </cell>
          <cell r="C6040" t="str">
            <v>הוד השרון-בוטל- התכולה תקבע בהתאם לבדיקת מת"י</v>
          </cell>
        </row>
        <row r="6041">
          <cell r="A6041" t="str">
            <v>WBM-10315-038</v>
          </cell>
          <cell r="B6041" t="str">
            <v>הוד השרון</v>
          </cell>
          <cell r="C6041" t="str">
            <v>הוד השרון - החלפת מזגנים</v>
          </cell>
          <cell r="D6041">
            <v>45579</v>
          </cell>
        </row>
        <row r="6042">
          <cell r="A6042" t="str">
            <v>WBM-10356-004</v>
          </cell>
          <cell r="B6042" t="str">
            <v>הוד השרון</v>
          </cell>
          <cell r="C6042" t="str">
            <v>הוד השרון - החלפת ראש כבל בשנאי 522</v>
          </cell>
          <cell r="D6042">
            <v>45564</v>
          </cell>
        </row>
        <row r="6043">
          <cell r="A6043" t="str">
            <v>WBM-40479-054</v>
          </cell>
          <cell r="B6043" t="str">
            <v>הוד השרון</v>
          </cell>
          <cell r="C6043" t="str">
            <v>הוד השרון- החלפת 2 בקרי טמפ' וגובה שמן ב</v>
          </cell>
          <cell r="D6043">
            <v>47299</v>
          </cell>
        </row>
        <row r="6044">
          <cell r="A6044" t="str">
            <v>WBM-40521-015</v>
          </cell>
          <cell r="B6044" t="str">
            <v>הוד השרון</v>
          </cell>
          <cell r="C6044" t="str">
            <v>הוד השרון - החלפת שנאי הארקה</v>
          </cell>
          <cell r="D6044">
            <v>46721</v>
          </cell>
        </row>
        <row r="6045">
          <cell r="A6045" t="str">
            <v>WBM-10617</v>
          </cell>
          <cell r="B6045" t="str">
            <v>הוד השרון</v>
          </cell>
          <cell r="C6045" t="str">
            <v>הוד השרון- החלפת בקר פונקציות מיוחדות מסוג S7</v>
          </cell>
          <cell r="D6045">
            <v>46326</v>
          </cell>
        </row>
        <row r="6046">
          <cell r="A6046" t="str">
            <v>WBM-60130-068</v>
          </cell>
          <cell r="B6046" t="str">
            <v>הוד השרון</v>
          </cell>
          <cell r="C6046" t="str">
            <v>הוד השרון - התקנת מפסק פטריה להפסקת מערכת החשמל בחירום</v>
          </cell>
          <cell r="D6046">
            <v>46568</v>
          </cell>
        </row>
        <row r="6047">
          <cell r="A6047" t="str">
            <v>WBM-60092-046</v>
          </cell>
          <cell r="B6047" t="str">
            <v>הוד השרון</v>
          </cell>
          <cell r="C6047" t="str">
            <v>הוד השרון - בדיקות/טיפול/פינוי מכלי אש בגז</v>
          </cell>
          <cell r="D6047">
            <v>46176</v>
          </cell>
        </row>
        <row r="6048">
          <cell r="A6048">
            <v>900006</v>
          </cell>
          <cell r="B6048" t="str">
            <v>הדרי שאן(טירת צבי)</v>
          </cell>
          <cell r="C6048" t="str">
            <v>הדרי שאן(טירת צבי)-יצרן-קליטת תח"כ פרטית, 80 מגוו"ט</v>
          </cell>
          <cell r="D6048">
            <v>46234</v>
          </cell>
        </row>
        <row r="6049">
          <cell r="A6049" t="str">
            <v>WBE-250</v>
          </cell>
          <cell r="B6049" t="str">
            <v>הדרי שאן(טירת צבי)</v>
          </cell>
          <cell r="C6049" t="str">
            <v>הדרי שאן (טירת צבי)-חח"י-שולב ב-WBC-206-הוספת  2 שנאים 50 מגוו"א</v>
          </cell>
        </row>
        <row r="6050">
          <cell r="A6050">
            <v>900016</v>
          </cell>
          <cell r="B6050" t="str">
            <v>הדרי שאן(טירת צבי)</v>
          </cell>
          <cell r="C6050" t="str">
            <v>הדרי שאן-יחידות  1-4 - קליטת מתקני ייצור PV + מתקני אגירה BESS בהספק כולל 47.6 MW</v>
          </cell>
          <cell r="D6050">
            <v>46234</v>
          </cell>
        </row>
        <row r="6051">
          <cell r="A6051" t="str">
            <v>WBD-129</v>
          </cell>
          <cell r="B6051" t="str">
            <v>הדרי שאן ניידת</v>
          </cell>
          <cell r="C6051" t="str">
            <v>הדרי שאן-הצבת תחמ"ש ניידת, 30 מגוו"א</v>
          </cell>
          <cell r="D6051">
            <v>46085</v>
          </cell>
        </row>
        <row r="6052">
          <cell r="A6052" t="str">
            <v>WBD-129-ST1</v>
          </cell>
          <cell r="B6052" t="str">
            <v>הדרי שאן ניידת</v>
          </cell>
          <cell r="C6052" t="str">
            <v>הדרי שאן-הוצאה מניצול של תחמ"ש ניידת</v>
          </cell>
          <cell r="D6052">
            <v>46325</v>
          </cell>
        </row>
        <row r="6053">
          <cell r="A6053" t="str">
            <v>WBC-206</v>
          </cell>
          <cell r="B6053" t="str">
            <v>הדרי שאן (טירת צבי) תחמש</v>
          </cell>
          <cell r="C6053" t="str">
            <v>הדרי שאן(טירת צבי)-חח"י-התקנת 4 שנאים 50 מגוו"א</v>
          </cell>
          <cell r="D6053">
            <v>46233</v>
          </cell>
        </row>
        <row r="6054">
          <cell r="A6054" t="str">
            <v>HIS-155-ST1</v>
          </cell>
          <cell r="B6054" t="str">
            <v>דשנים-פרטית</v>
          </cell>
          <cell r="C6054" t="str">
            <v>דשנים-פרטית פירוק</v>
          </cell>
          <cell r="D6054">
            <v>42794</v>
          </cell>
        </row>
        <row r="6055">
          <cell r="A6055" t="str">
            <v>HIS-155</v>
          </cell>
          <cell r="B6055" t="str">
            <v>דשנים-פרטית</v>
          </cell>
          <cell r="C6055" t="str">
            <v>דשנים-פרטית</v>
          </cell>
          <cell r="D6055">
            <v>40908</v>
          </cell>
        </row>
        <row r="6056">
          <cell r="A6056" t="str">
            <v>WBE-307</v>
          </cell>
          <cell r="B6056" t="str">
            <v>דרור בהט - תחמ"ש</v>
          </cell>
          <cell r="C6056" t="str">
            <v>דרור בהט- התקנת 4 שנאים 50 מגוו"א כ"א, וסוללות קבלים</v>
          </cell>
          <cell r="D6056">
            <v>47299</v>
          </cell>
        </row>
        <row r="6057">
          <cell r="A6057">
            <v>900030</v>
          </cell>
          <cell r="B6057" t="str">
            <v>דרור בהט</v>
          </cell>
          <cell r="C6057" t="str">
            <v>דרור בהט-קליטת מתקן אגירה SA במ"ע בהספק של 150 מגאווט</v>
          </cell>
          <cell r="D6057">
            <v>46783</v>
          </cell>
        </row>
        <row r="6058">
          <cell r="A6058" t="str">
            <v>WBC-077</v>
          </cell>
          <cell r="B6058" t="str">
            <v>דרום ת"א 13 (תחנה מרכזית)</v>
          </cell>
          <cell r="C6058" t="str">
            <v>דרום ת"א 13-הקמת תחמ"ש פנימית 161/13.8</v>
          </cell>
          <cell r="D6058">
            <v>51439</v>
          </cell>
        </row>
        <row r="6059">
          <cell r="A6059" t="str">
            <v>WBM-40637-035</v>
          </cell>
          <cell r="B6059" t="str">
            <v>דרום ת"א 13 (תחנה מרכזית)</v>
          </cell>
          <cell r="C6059" t="str">
            <v>ת"א דרום-החלפת רושמי הפרעות קיימים מדגם IDM-T3 לרושמים חדשים מדגם IDM+</v>
          </cell>
          <cell r="D6059">
            <v>47299</v>
          </cell>
        </row>
        <row r="6060">
          <cell r="A6060" t="str">
            <v>WBM-00884-040</v>
          </cell>
          <cell r="B6060" t="str">
            <v>דרום ת"א 13 (תחנה מרכזית)</v>
          </cell>
          <cell r="C6060" t="str">
            <v>ת"א דרום - אישור מהנדס אינטגרציה למערכות פינוי עשן, אוורור ומיזוג</v>
          </cell>
          <cell r="D6060">
            <v>46477</v>
          </cell>
        </row>
        <row r="6061">
          <cell r="A6061" t="str">
            <v>WCQ-3-00-01077</v>
          </cell>
          <cell r="B6061" t="str">
            <v>דן 2801</v>
          </cell>
          <cell r="C6061" t="str">
            <v>יציאות מתחמ"ש ר"ג</v>
          </cell>
          <cell r="D6061">
            <v>44203</v>
          </cell>
        </row>
        <row r="6062">
          <cell r="A6062" t="str">
            <v>WCQ-3-00-01102</v>
          </cell>
          <cell r="B6062" t="str">
            <v>דן 2801</v>
          </cell>
          <cell r="C6062" t="str">
            <v>תחמ"ש אוניברסיטה</v>
          </cell>
          <cell r="D6062">
            <v>46387</v>
          </cell>
        </row>
        <row r="6063">
          <cell r="A6063" t="str">
            <v>WCQ-3-00-01171</v>
          </cell>
          <cell r="B6063" t="str">
            <v>דן 2801</v>
          </cell>
          <cell r="C6063" t="str">
            <v>תחמ"ש גבעתיים</v>
          </cell>
          <cell r="D6063">
            <v>46387</v>
          </cell>
        </row>
        <row r="6064">
          <cell r="A6064" t="str">
            <v>WCT-3-00-01064</v>
          </cell>
          <cell r="B6064" t="str">
            <v>דן 2801</v>
          </cell>
          <cell r="C6064" t="str">
            <v>בטיחות - סילוק מפגעים; מחוז דן</v>
          </cell>
          <cell r="D6064">
            <v>48579</v>
          </cell>
        </row>
        <row r="6065">
          <cell r="A6065" t="str">
            <v>WHP-3-00-01055</v>
          </cell>
          <cell r="B6065" t="str">
            <v>דן 2801</v>
          </cell>
          <cell r="C6065" t="str">
            <v>אספקת חשמל מתחם יצחק שדה + עע"א</v>
          </cell>
          <cell r="D6065">
            <v>45473</v>
          </cell>
        </row>
        <row r="6066">
          <cell r="A6066" t="str">
            <v>WHP-3-00-01056</v>
          </cell>
          <cell r="B6066" t="str">
            <v>דן 2801</v>
          </cell>
          <cell r="C6066" t="str">
            <v>אספקת חשמל לשוק הסיטונאי</v>
          </cell>
          <cell r="D6066">
            <v>45291</v>
          </cell>
        </row>
        <row r="6067">
          <cell r="A6067" t="str">
            <v>WHP-3-00-01057</v>
          </cell>
          <cell r="B6067" t="str">
            <v>דן 2801</v>
          </cell>
          <cell r="C6067" t="str">
            <v>אספקת חשמל הקמת רכבת קלה ע"י נת"ע + עע"א</v>
          </cell>
          <cell r="D6067">
            <v>44924</v>
          </cell>
        </row>
        <row r="6068">
          <cell r="A6068" t="str">
            <v>WHP-3-00-01062</v>
          </cell>
          <cell r="B6068" t="str">
            <v>דן 2801</v>
          </cell>
          <cell r="C6068" t="str">
            <v>אספקת חשמל פארק על הים - בת ים</v>
          </cell>
          <cell r="D6068">
            <v>46965</v>
          </cell>
        </row>
        <row r="6069">
          <cell r="A6069" t="str">
            <v>WHP-3-00-01103</v>
          </cell>
          <cell r="B6069" t="str">
            <v>דן 2801</v>
          </cell>
          <cell r="C6069" t="str">
            <v>מתחם סומייל</v>
          </cell>
          <cell r="D6069">
            <v>45777</v>
          </cell>
        </row>
        <row r="6070">
          <cell r="A6070" t="str">
            <v>WHP-3-00-01104</v>
          </cell>
          <cell r="B6070" t="str">
            <v>דן 2801</v>
          </cell>
          <cell r="C6070" t="str">
            <v>דרום הקריה</v>
          </cell>
          <cell r="D6070">
            <v>44560</v>
          </cell>
        </row>
        <row r="6071">
          <cell r="A6071" t="str">
            <v>WHP-3-00-01115</v>
          </cell>
          <cell r="B6071" t="str">
            <v>דן 2801</v>
          </cell>
          <cell r="C6071" t="str">
            <v>לולאת וולובלסקי</v>
          </cell>
          <cell r="D6071">
            <v>46022</v>
          </cell>
        </row>
        <row r="6072">
          <cell r="A6072" t="str">
            <v>WHP-3-00-01142</v>
          </cell>
          <cell r="B6072" t="str">
            <v>דן 2801</v>
          </cell>
          <cell r="C6072" t="str">
            <v>אסדרת PV - דן</v>
          </cell>
          <cell r="D6072">
            <v>49674</v>
          </cell>
        </row>
        <row r="6073">
          <cell r="A6073" t="str">
            <v>WHP-3-00-01165</v>
          </cell>
          <cell r="B6073" t="str">
            <v>דן 2801</v>
          </cell>
          <cell r="C6073" t="str">
            <v>מסילה רביעית ופ. אריאל שרון</v>
          </cell>
          <cell r="D6073">
            <v>46022</v>
          </cell>
        </row>
        <row r="6074">
          <cell r="A6074" t="str">
            <v>WHP-3-00-01248</v>
          </cell>
          <cell r="B6074" t="str">
            <v>דן 2801</v>
          </cell>
          <cell r="C6074" t="str">
            <v>אספקה וחיבור חשמל לרכב חשמלי דן</v>
          </cell>
          <cell r="D6074">
            <v>49673</v>
          </cell>
        </row>
        <row r="6075">
          <cell r="A6075" t="str">
            <v>WHP-3-00-01264</v>
          </cell>
          <cell r="B6075" t="str">
            <v>דן 2801</v>
          </cell>
          <cell r="C6075" t="str">
            <v>פארק איילון אור יהודה</v>
          </cell>
          <cell r="D6075">
            <v>46965</v>
          </cell>
        </row>
        <row r="6076">
          <cell r="A6076" t="str">
            <v>WCQ-3-00-01063</v>
          </cell>
          <cell r="B6076" t="str">
            <v>דן 2801</v>
          </cell>
          <cell r="C6076" t="str">
            <v>יציאות מתחמ"ש ת"א צפון</v>
          </cell>
          <cell r="D6076">
            <v>44542</v>
          </cell>
        </row>
        <row r="6077">
          <cell r="A6077" t="str">
            <v>WCQ-3-00-01126</v>
          </cell>
          <cell r="B6077" t="str">
            <v>דן 2801</v>
          </cell>
          <cell r="C6077" t="str">
            <v>עינבלים</v>
          </cell>
          <cell r="D6077">
            <v>44346</v>
          </cell>
        </row>
        <row r="6078">
          <cell r="A6078" t="str">
            <v>WCS-3-00-01135</v>
          </cell>
          <cell r="B6078" t="str">
            <v>דן 2801</v>
          </cell>
          <cell r="C6078" t="str">
            <v>חידוש אמינות מחוז דן</v>
          </cell>
          <cell r="D6078">
            <v>45291</v>
          </cell>
        </row>
        <row r="6079">
          <cell r="A6079" t="str">
            <v>WHP-3-00-01130</v>
          </cell>
          <cell r="B6079" t="str">
            <v>דן 2801</v>
          </cell>
          <cell r="C6079" t="str">
            <v>רכבת קלה - קו ירוק</v>
          </cell>
          <cell r="D6079">
            <v>46387</v>
          </cell>
        </row>
        <row r="6080">
          <cell r="A6080" t="str">
            <v>WHP-3-00-01136</v>
          </cell>
          <cell r="B6080" t="str">
            <v>דן 2801</v>
          </cell>
          <cell r="C6080" t="str">
            <v>אספקת חשמל לשכונת בית בפארק אור יהודה</v>
          </cell>
          <cell r="D6080">
            <v>45960</v>
          </cell>
        </row>
        <row r="6081">
          <cell r="A6081" t="str">
            <v>WHP-3-00-01138</v>
          </cell>
          <cell r="B6081" t="str">
            <v>דן 2801</v>
          </cell>
          <cell r="C6081" t="str">
            <v>רכבת קלה - קו סגול</v>
          </cell>
          <cell r="D6081">
            <v>46295</v>
          </cell>
        </row>
        <row r="6082">
          <cell r="A6082" t="str">
            <v>WHP-3-00-01262</v>
          </cell>
          <cell r="B6082" t="str">
            <v>דן 2801</v>
          </cell>
          <cell r="C6082" t="str">
            <v>מהיר לעיר- אור יהודה</v>
          </cell>
          <cell r="D6082">
            <v>46387</v>
          </cell>
        </row>
        <row r="6083">
          <cell r="A6083" t="str">
            <v>WHP-3-00-01263</v>
          </cell>
          <cell r="B6083" t="str">
            <v>דן 2801</v>
          </cell>
          <cell r="C6083" t="str">
            <v>מטרו מטרופולין תל אביב</v>
          </cell>
          <cell r="D6083">
            <v>45657</v>
          </cell>
        </row>
        <row r="6084">
          <cell r="A6084" t="str">
            <v>WCQ-3-00-01305</v>
          </cell>
          <cell r="B6084" t="str">
            <v>דן 2801</v>
          </cell>
          <cell r="C6084" t="str">
            <v>יציאות מתחמ"ש רוקח ת"א</v>
          </cell>
          <cell r="D6084">
            <v>47479</v>
          </cell>
        </row>
        <row r="6085">
          <cell r="A6085" t="str">
            <v>WHP-3-00-01357</v>
          </cell>
          <cell r="B6085" t="str">
            <v>דן 2801</v>
          </cell>
          <cell r="C6085" t="str">
            <v>שכונת צומת סביון</v>
          </cell>
          <cell r="D6085">
            <v>47117</v>
          </cell>
        </row>
        <row r="6086">
          <cell r="A6086" t="str">
            <v>WHP-3-00-01358</v>
          </cell>
          <cell r="B6086" t="str">
            <v>דן 2801</v>
          </cell>
          <cell r="C6086" t="str">
            <v>שערי גודש-נפת דן</v>
          </cell>
          <cell r="D6086">
            <v>47484</v>
          </cell>
        </row>
        <row r="6087">
          <cell r="A6087" t="str">
            <v>WCQ-3-00-01382</v>
          </cell>
          <cell r="B6087" t="str">
            <v>דן 2801</v>
          </cell>
          <cell r="C6087" t="str">
            <v>יציאות מתחמ"ש תל השומר</v>
          </cell>
          <cell r="D6087">
            <v>46751</v>
          </cell>
        </row>
        <row r="6088">
          <cell r="A6088" t="str">
            <v>WCQ-3-00-01383</v>
          </cell>
          <cell r="B6088" t="str">
            <v>דן 2801</v>
          </cell>
          <cell r="C6088" t="str">
            <v>יציאות מתחמ"ש גנים (כביש 471)</v>
          </cell>
          <cell r="D6088">
            <v>46752</v>
          </cell>
        </row>
        <row r="6089">
          <cell r="A6089" t="str">
            <v>WHP-3-00-01392</v>
          </cell>
          <cell r="B6089" t="str">
            <v>דן 2801</v>
          </cell>
          <cell r="C6089" t="str">
            <v>מטרו M1 - מרכז ביצוע דן</v>
          </cell>
          <cell r="D6089">
            <v>49309</v>
          </cell>
        </row>
        <row r="6090">
          <cell r="A6090" t="str">
            <v>WCS-3-00-01326</v>
          </cell>
          <cell r="B6090" t="str">
            <v>דן 2801</v>
          </cell>
          <cell r="C6090" t="str">
            <v>מיגון רכיבי רשת להגנה על הציפורים - דן</v>
          </cell>
          <cell r="D6090">
            <v>46387</v>
          </cell>
        </row>
        <row r="6091">
          <cell r="A6091" t="str">
            <v>WCQ-3-00-01349</v>
          </cell>
          <cell r="B6091" t="str">
            <v>דן 2801</v>
          </cell>
          <cell r="C6091" t="str">
            <v>יציאות מתחמ"ש בת-ים</v>
          </cell>
          <cell r="D6091">
            <v>46568</v>
          </cell>
        </row>
        <row r="6092">
          <cell r="A6092" t="str">
            <v>WHP-3-00-01356</v>
          </cell>
          <cell r="B6092" t="str">
            <v>דן 2801</v>
          </cell>
          <cell r="C6092" t="str">
            <v>שכונת בני ברק צפון</v>
          </cell>
          <cell r="D6092">
            <v>47115</v>
          </cell>
        </row>
        <row r="6093">
          <cell r="A6093" t="str">
            <v>WHP-3-00-01388</v>
          </cell>
          <cell r="B6093" t="str">
            <v>דן 2801</v>
          </cell>
          <cell r="C6093" t="str">
            <v>שכונת תל השומר</v>
          </cell>
          <cell r="D6093">
            <v>46783</v>
          </cell>
        </row>
        <row r="6094">
          <cell r="A6094" t="str">
            <v>WCS-3-00-01399</v>
          </cell>
          <cell r="B6094" t="str">
            <v>דן 2801</v>
          </cell>
          <cell r="C6094" t="str">
            <v>אמינות תוספתי - דן</v>
          </cell>
          <cell r="D6094">
            <v>48579</v>
          </cell>
        </row>
        <row r="6095">
          <cell r="A6095" t="str">
            <v>WCS-3-00-01404</v>
          </cell>
          <cell r="B6095" t="str">
            <v>דן 2801</v>
          </cell>
          <cell r="C6095" t="str">
            <v>אמינות חידוש - דן</v>
          </cell>
          <cell r="D6095">
            <v>48579</v>
          </cell>
        </row>
        <row r="6096">
          <cell r="A6096" t="str">
            <v>WCQ-3-00-01458</v>
          </cell>
          <cell r="B6096" t="str">
            <v>דן 2801</v>
          </cell>
          <cell r="C6096" t="str">
            <v>יציאות מתחמ"ש אור יהודה</v>
          </cell>
          <cell r="D6096">
            <v>46691</v>
          </cell>
        </row>
        <row r="6097">
          <cell r="A6097" t="str">
            <v>WHP-3-00-01487</v>
          </cell>
          <cell r="B6097" t="str">
            <v>דן 2801</v>
          </cell>
          <cell r="C6097" t="str">
            <v>מטרו M3 - מרכז ביצוע דן</v>
          </cell>
          <cell r="D6097">
            <v>47118</v>
          </cell>
        </row>
        <row r="6098">
          <cell r="B6098" t="str">
            <v>דן 2801</v>
          </cell>
          <cell r="C6098" t="str">
            <v>מטרו M2 - מרכז ביצוע דן</v>
          </cell>
          <cell r="D6098">
            <v>47118</v>
          </cell>
        </row>
        <row r="6099">
          <cell r="A6099" t="str">
            <v>WHP-3-00-01486</v>
          </cell>
          <cell r="B6099" t="str">
            <v>דן 2801</v>
          </cell>
          <cell r="C6099" t="str">
            <v>מטרו M2 - מרכז ביצוע דן</v>
          </cell>
          <cell r="D6099">
            <v>47118</v>
          </cell>
        </row>
        <row r="6100">
          <cell r="A6100" t="str">
            <v>WHP-3-00-01496</v>
          </cell>
          <cell r="B6100" t="str">
            <v>דן 2801</v>
          </cell>
          <cell r="C6100" t="str">
            <v>מטרו M1 - מרחב דן</v>
          </cell>
          <cell r="D6100">
            <v>47118</v>
          </cell>
        </row>
        <row r="6101">
          <cell r="A6101" t="str">
            <v>WHP-3-00-99000</v>
          </cell>
          <cell r="B6101" t="str">
            <v>דן 2801</v>
          </cell>
          <cell r="C6101" t="str">
            <v>מטרו M1 - מרחב דן</v>
          </cell>
          <cell r="D6101">
            <v>47118</v>
          </cell>
        </row>
        <row r="6102">
          <cell r="A6102" t="str">
            <v>WHP-3-00-99001</v>
          </cell>
          <cell r="B6102" t="str">
            <v>דן 2801</v>
          </cell>
          <cell r="C6102" t="str">
            <v>מטרו M2 - מרחב דן</v>
          </cell>
          <cell r="D6102">
            <v>47118</v>
          </cell>
        </row>
        <row r="6103">
          <cell r="A6103" t="str">
            <v>WHP-3-00-99002</v>
          </cell>
          <cell r="B6103" t="str">
            <v>דן 2801</v>
          </cell>
          <cell r="C6103" t="str">
            <v>מטרו M3 - מרחב דן</v>
          </cell>
          <cell r="D6103">
            <v>47118</v>
          </cell>
        </row>
        <row r="6104">
          <cell r="A6104" t="str">
            <v>WHP-3-00-01502</v>
          </cell>
          <cell r="B6104" t="str">
            <v>דן 2801</v>
          </cell>
          <cell r="C6104" t="str">
            <v>הגרלה ייצור מבוזר דן</v>
          </cell>
          <cell r="D6104">
            <v>46752</v>
          </cell>
        </row>
        <row r="6105">
          <cell r="A6105" t="str">
            <v>WHP-3-00-01509</v>
          </cell>
          <cell r="B6105" t="str">
            <v>דן 2801</v>
          </cell>
          <cell r="C6105" t="str">
            <v>שכונת נווה - גן רמת השרון</v>
          </cell>
          <cell r="D6105">
            <v>46597</v>
          </cell>
        </row>
        <row r="6106">
          <cell r="A6106" t="str">
            <v>WHP-3-00-01548</v>
          </cell>
          <cell r="B6106" t="str">
            <v>דן 2801</v>
          </cell>
          <cell r="C6106" t="str">
            <v>שכונת גני אז"ר, רמת-גן</v>
          </cell>
          <cell r="D6106">
            <v>47756</v>
          </cell>
        </row>
        <row r="6107">
          <cell r="A6107" t="str">
            <v>WHP-3-00-01554</v>
          </cell>
          <cell r="B6107" t="str">
            <v>דן 2801</v>
          </cell>
          <cell r="C6107" t="str">
            <v>הארכת הקו האדום-בת ים - רשלצ</v>
          </cell>
          <cell r="D6107">
            <v>46783</v>
          </cell>
        </row>
        <row r="6108">
          <cell r="A6108" t="str">
            <v>WCS-3-00-01556</v>
          </cell>
          <cell r="B6108" t="str">
            <v>דן 2801</v>
          </cell>
          <cell r="C6108" t="str">
            <v>החלפת מופות מ"ג - מרחב דן</v>
          </cell>
          <cell r="D6108">
            <v>49674</v>
          </cell>
        </row>
        <row r="6109">
          <cell r="A6109" t="str">
            <v>WHP-3-00-01576</v>
          </cell>
          <cell r="B6109" t="str">
            <v>דן 2801</v>
          </cell>
          <cell r="C6109" t="str">
            <v>שיפור שאינו תמריצים- דן</v>
          </cell>
          <cell r="D6109">
            <v>49915</v>
          </cell>
        </row>
        <row r="6110">
          <cell r="A6110" t="str">
            <v>WHP-3-00-01593</v>
          </cell>
          <cell r="B6110" t="str">
            <v>דן 2801</v>
          </cell>
          <cell r="C6110" t="str">
            <v>מתחם דליה בת - ים</v>
          </cell>
          <cell r="D6110">
            <v>47848</v>
          </cell>
        </row>
        <row r="6111">
          <cell r="A6111" t="str">
            <v>WHP-3-00-01594</v>
          </cell>
          <cell r="B6111" t="str">
            <v>דן 2801</v>
          </cell>
          <cell r="C6111" t="str">
            <v>שכונת רמת אפעל דרום</v>
          </cell>
          <cell r="D6111">
            <v>47664</v>
          </cell>
        </row>
        <row r="6112">
          <cell r="B6112" t="str">
            <v>דן 2801</v>
          </cell>
          <cell r="C6112" t="str">
            <v>שכונת שדה דב ת"א-יפו</v>
          </cell>
          <cell r="D6112">
            <v>47297</v>
          </cell>
        </row>
        <row r="6113">
          <cell r="B6113" t="str">
            <v>דן 2801</v>
          </cell>
          <cell r="C6113" t="str">
            <v>שכונת שדה דב ת"א יפו</v>
          </cell>
          <cell r="D6113">
            <v>47234</v>
          </cell>
        </row>
        <row r="6114">
          <cell r="B6114" t="str">
            <v>דן 2801</v>
          </cell>
          <cell r="C6114" t="str">
            <v>שכונת שדה דב</v>
          </cell>
          <cell r="D6114">
            <v>47483</v>
          </cell>
        </row>
        <row r="6115">
          <cell r="B6115" t="str">
            <v>דן 2801</v>
          </cell>
          <cell r="C6115" t="str">
            <v>שכונת שדה דב ת"א-יפו</v>
          </cell>
          <cell r="D6115">
            <v>47483</v>
          </cell>
        </row>
        <row r="6116">
          <cell r="B6116" t="str">
            <v>דן 2801</v>
          </cell>
          <cell r="C6116" t="str">
            <v>שכונת מכבי יפו</v>
          </cell>
          <cell r="D6116">
            <v>47514</v>
          </cell>
        </row>
        <row r="6117">
          <cell r="A6117" t="str">
            <v>WHP-3-00-01602</v>
          </cell>
          <cell r="B6117" t="str">
            <v>דן 2801</v>
          </cell>
          <cell r="C6117" t="str">
            <v>שכונת שדה דב , ת"א יפו</v>
          </cell>
          <cell r="D6117">
            <v>47479</v>
          </cell>
        </row>
        <row r="6118">
          <cell r="B6118" t="str">
            <v>דן 2801</v>
          </cell>
          <cell r="C6118" t="str">
            <v>שכונת מכבי יפו</v>
          </cell>
          <cell r="D6118">
            <v>47484</v>
          </cell>
        </row>
        <row r="6119">
          <cell r="A6119" t="str">
            <v>WHP-3-00-01604</v>
          </cell>
          <cell r="B6119" t="str">
            <v>דן 2801</v>
          </cell>
          <cell r="C6119" t="str">
            <v>שכונת מכבי יפו</v>
          </cell>
          <cell r="D6119">
            <v>47484</v>
          </cell>
        </row>
        <row r="6120">
          <cell r="A6120" t="str">
            <v>WBJ-015</v>
          </cell>
          <cell r="B6120" t="str">
            <v>דן (מורשה)</v>
          </cell>
          <cell r="C6120" t="str">
            <v>דן (מורשה)-הקמת תחמ"ג 400/161 ק"ו</v>
          </cell>
          <cell r="D6120">
            <v>47847</v>
          </cell>
        </row>
        <row r="6121">
          <cell r="A6121">
            <v>9985278</v>
          </cell>
          <cell r="B6121" t="str">
            <v>דלק שורק</v>
          </cell>
          <cell r="C6121" t="str">
            <v>דלק שורק-קליטת תח"כ בהספק של 140 מגוו"ט</v>
          </cell>
          <cell r="D6121">
            <v>42971</v>
          </cell>
        </row>
        <row r="6122">
          <cell r="A6122" t="str">
            <v>WBM-01399</v>
          </cell>
          <cell r="B6122" t="str">
            <v>דלק שורק</v>
          </cell>
          <cell r="C6122" t="str">
            <v>דלק שורק - בוטל - יישום דרך קשר שנייה בין הגנות</v>
          </cell>
          <cell r="D6122">
            <v>43272</v>
          </cell>
        </row>
        <row r="6123">
          <cell r="A6123" t="str">
            <v>WBM-80014-006</v>
          </cell>
          <cell r="B6123" t="str">
            <v>דלק שורק</v>
          </cell>
          <cell r="C6123" t="str">
            <v>דלק שורק - שדרוג SCS</v>
          </cell>
          <cell r="D6123">
            <v>46022</v>
          </cell>
        </row>
        <row r="6124">
          <cell r="A6124" t="str">
            <v>HIS-134</v>
          </cell>
          <cell r="B6124" t="str">
            <v>דלית אל כרמל</v>
          </cell>
          <cell r="C6124" t="str">
            <v>דלית אל כרמל ניידת</v>
          </cell>
          <cell r="D6124">
            <v>40908</v>
          </cell>
        </row>
        <row r="6125">
          <cell r="A6125" t="str">
            <v>WBD-036</v>
          </cell>
          <cell r="B6125" t="str">
            <v>דלית אל כרמל</v>
          </cell>
          <cell r="C6125" t="str">
            <v>דלית אל כרמל ניידת-פירוק תחמ"ש ניידת</v>
          </cell>
          <cell r="D6125">
            <v>48669</v>
          </cell>
        </row>
        <row r="6126">
          <cell r="A6126" t="str">
            <v>WBC-074</v>
          </cell>
          <cell r="B6126" t="str">
            <v>דלית אל כרמל</v>
          </cell>
          <cell r="C6126" t="str">
            <v>דלית אל כרמל - הקמת תחמ"ש חיצונית</v>
          </cell>
          <cell r="D6126">
            <v>48579</v>
          </cell>
        </row>
        <row r="6127">
          <cell r="A6127" t="str">
            <v>WBM-00809</v>
          </cell>
          <cell r="B6127" t="str">
            <v>דלית אל כרמל</v>
          </cell>
          <cell r="C6127" t="str">
            <v>דלית אל כרמל ניידת-החלפת סליל כיבוי</v>
          </cell>
          <cell r="D6127">
            <v>46691</v>
          </cell>
        </row>
        <row r="6128">
          <cell r="A6128" t="str">
            <v>WBM-01018</v>
          </cell>
          <cell r="B6128" t="str">
            <v>דלית אל כרמל</v>
          </cell>
          <cell r="C6128" t="str">
            <v>דליית אל כרמל ניידת-מאצרות שמן</v>
          </cell>
          <cell r="D6128">
            <v>42722</v>
          </cell>
        </row>
        <row r="6129">
          <cell r="A6129" t="str">
            <v>WBG-151-001</v>
          </cell>
          <cell r="B6129" t="str">
            <v>דלית אל כרמל</v>
          </cell>
          <cell r="C6129" t="str">
            <v>דלית אל כרמל ניידת-התקנת מערכת מניה</v>
          </cell>
          <cell r="D6129">
            <v>40724</v>
          </cell>
        </row>
        <row r="6130">
          <cell r="A6130" t="str">
            <v>WBM-00350-063</v>
          </cell>
          <cell r="B6130" t="str">
            <v>דלית אל כרמל</v>
          </cell>
          <cell r="C6130" t="str">
            <v>דליית אל כרמל- טיפול בשנאי</v>
          </cell>
          <cell r="D6130">
            <v>46022</v>
          </cell>
        </row>
        <row r="6131">
          <cell r="A6131" t="str">
            <v>79999-10</v>
          </cell>
          <cell r="B6131" t="str">
            <v>דליה</v>
          </cell>
          <cell r="C6131" t="str">
            <v>דליה- קליטת מסדר מיתוג 400 ק"ו ותח"כ</v>
          </cell>
          <cell r="D6131">
            <v>42033</v>
          </cell>
        </row>
        <row r="6132">
          <cell r="A6132">
            <v>900044</v>
          </cell>
          <cell r="B6132" t="str">
            <v>דליה</v>
          </cell>
          <cell r="C6132" t="str">
            <v>דליה 2 - קליטת תח"כ בהספק של 900 מגוו"ט</v>
          </cell>
          <cell r="D6132">
            <v>47087</v>
          </cell>
        </row>
        <row r="6133">
          <cell r="A6133" t="str">
            <v>WBJ-013</v>
          </cell>
          <cell r="B6133" t="str">
            <v>דימונה-סולארי</v>
          </cell>
          <cell r="C6133" t="str">
            <v>דימונה-סולרי-הקמת תחמ"ג 400/161, 650*2 מ</v>
          </cell>
          <cell r="D6133">
            <v>45503</v>
          </cell>
        </row>
        <row r="6134">
          <cell r="A6134" t="str">
            <v>WBM-10593</v>
          </cell>
          <cell r="B6134" t="str">
            <v>דימונה-סולארי</v>
          </cell>
          <cell r="C6134" t="str">
            <v>דימונה סולארי -משיק לתחמ"ש דימונה שדה 11, יישום דרך קשר אופטית בין הגנות בשדה 17</v>
          </cell>
          <cell r="D6134">
            <v>45743</v>
          </cell>
        </row>
        <row r="6135">
          <cell r="A6135" t="str">
            <v>WBM-10595</v>
          </cell>
          <cell r="B6135" t="str">
            <v>דימונה-סולארי</v>
          </cell>
          <cell r="C6135" t="str">
            <v>דימונה סולארי - משיק לדימונה שדה 7, יישום דרך קשר אופטית בין הגנות בשדה 10</v>
          </cell>
          <cell r="D6135">
            <v>45743</v>
          </cell>
        </row>
        <row r="6136">
          <cell r="A6136" t="str">
            <v>WBK-020</v>
          </cell>
          <cell r="B6136" t="str">
            <v>דימונה-סולארי</v>
          </cell>
          <cell r="C6136" t="str">
            <v>דימונה -סולארי-התקנת שנאי קישור שלישי 400/161 ק"ו ,650 מגוו"א</v>
          </cell>
          <cell r="D6136">
            <v>48944</v>
          </cell>
        </row>
        <row r="6137">
          <cell r="A6137" t="str">
            <v>WBM-10698</v>
          </cell>
          <cell r="B6137" t="str">
            <v>דימונה-סולארי</v>
          </cell>
          <cell r="C6137" t="str">
            <v>דימונה סולארי- הת' תיילים-מהדקים-פורט'wbo-850</v>
          </cell>
          <cell r="D6137">
            <v>47117</v>
          </cell>
        </row>
        <row r="6138">
          <cell r="A6138" t="str">
            <v>WBE-280</v>
          </cell>
          <cell r="B6138" t="str">
            <v>דימונה-סולארי</v>
          </cell>
          <cell r="C6138" t="str">
            <v>דימונה סולארי- הקמת שדות 19 ו-21 במסדר 161 ק"ו</v>
          </cell>
          <cell r="D6138">
            <v>46387</v>
          </cell>
        </row>
        <row r="6139">
          <cell r="A6139" t="str">
            <v>WBM-10767</v>
          </cell>
          <cell r="B6139" t="str">
            <v>דימונה-סולארי</v>
          </cell>
          <cell r="C6139" t="str">
            <v>דימונה סולארי- משיק לרמת חובב שדה 5, יישום 2 דרכי קשר בין הגנות בשדה 9</v>
          </cell>
          <cell r="D6139">
            <v>46052</v>
          </cell>
        </row>
        <row r="6140">
          <cell r="A6140">
            <v>900035</v>
          </cell>
          <cell r="B6140" t="str">
            <v>דימונה סולארי D1</v>
          </cell>
          <cell r="C6140" t="str">
            <v>דימונה סולארי D1-קליטת מתקן פ"ו בהספק של  265 מגוו"ט</v>
          </cell>
          <cell r="D6140">
            <v>46538</v>
          </cell>
        </row>
        <row r="6141">
          <cell r="A6141" t="str">
            <v>HIS-074</v>
          </cell>
          <cell r="B6141" t="str">
            <v>דימונה</v>
          </cell>
          <cell r="C6141" t="str">
            <v>דימונה</v>
          </cell>
          <cell r="D6141">
            <v>40908</v>
          </cell>
        </row>
        <row r="6142">
          <cell r="A6142" t="str">
            <v>WBE-088</v>
          </cell>
          <cell r="B6142" t="str">
            <v>דימונה</v>
          </cell>
          <cell r="C6142" t="str">
            <v>דימונה- התקנת שנאי שלישי 33 ק"ו 50 מגו"א</v>
          </cell>
          <cell r="D6142">
            <v>46234</v>
          </cell>
        </row>
        <row r="6143">
          <cell r="A6143" t="str">
            <v>WBE-096</v>
          </cell>
          <cell r="B6143" t="str">
            <v>דימונה</v>
          </cell>
          <cell r="C6143" t="str">
            <v>דימונה-הקמת  שדה 17 ושדרוג שד' 7,11,15</v>
          </cell>
          <cell r="D6143">
            <v>45716</v>
          </cell>
        </row>
        <row r="6144">
          <cell r="A6144" t="str">
            <v>WBE-058</v>
          </cell>
          <cell r="B6144" t="str">
            <v>דימונה</v>
          </cell>
          <cell r="C6144" t="str">
            <v>דימונה-הרחבת תחמ"ש דימונה-שלב ב'</v>
          </cell>
          <cell r="D6144">
            <v>41357</v>
          </cell>
        </row>
        <row r="6145">
          <cell r="A6145" t="str">
            <v>WBE-156</v>
          </cell>
          <cell r="B6145" t="str">
            <v>דימונה</v>
          </cell>
          <cell r="C6145" t="str">
            <v>דימונה -בוטל-מתקן אגירת אנרגיה אוויר דחוס</v>
          </cell>
        </row>
        <row r="6146">
          <cell r="A6146" t="str">
            <v>WBE-172</v>
          </cell>
          <cell r="B6146" t="str">
            <v>דימונה</v>
          </cell>
          <cell r="C6146" t="str">
            <v>דימונה-התקנת מת.אגירת אנרגיה בליתיום יון</v>
          </cell>
          <cell r="D6146">
            <v>46295</v>
          </cell>
        </row>
        <row r="6147">
          <cell r="A6147" t="str">
            <v>WBE-142</v>
          </cell>
          <cell r="B6147" t="str">
            <v>דימונה</v>
          </cell>
          <cell r="C6147" t="str">
            <v>דימונה -בוטל-מתקן אגירת אנרגיה אוור דחוס</v>
          </cell>
        </row>
        <row r="6148">
          <cell r="A6148" t="str">
            <v>WBM-40306</v>
          </cell>
          <cell r="B6148" t="str">
            <v>דימונה</v>
          </cell>
          <cell r="C6148" t="str">
            <v>דימונה-התאמת שדה (5) לכורנוב ל-2000 א'</v>
          </cell>
          <cell r="D6148">
            <v>47118</v>
          </cell>
        </row>
        <row r="6149">
          <cell r="A6149" t="str">
            <v>WBM-70010</v>
          </cell>
          <cell r="B6149" t="str">
            <v>דימונה</v>
          </cell>
          <cell r="C6149" t="str">
            <v>דימונה - פ' ציוד הצמדה  6, 20 מ' wbo-483</v>
          </cell>
          <cell r="D6149">
            <v>45838</v>
          </cell>
        </row>
        <row r="6150">
          <cell r="A6150" t="str">
            <v>WBM-40062</v>
          </cell>
          <cell r="B6150" t="str">
            <v>דימונה</v>
          </cell>
          <cell r="C6150" t="str">
            <v>דימונה-שדה 14 - החלפת 2 מנתקים,מ"ז ומשנק</v>
          </cell>
          <cell r="D6150">
            <v>46203</v>
          </cell>
        </row>
        <row r="6151">
          <cell r="A6151" t="str">
            <v>WBM-00858</v>
          </cell>
          <cell r="B6151" t="str">
            <v>דימונה</v>
          </cell>
          <cell r="C6151" t="str">
            <v>דימונה-החלפת סלילי כיבוי 36 ק"ו</v>
          </cell>
          <cell r="D6151">
            <v>44952</v>
          </cell>
        </row>
        <row r="6152">
          <cell r="A6152" t="str">
            <v>WBM-00373</v>
          </cell>
          <cell r="B6152" t="str">
            <v>דימונה</v>
          </cell>
          <cell r="C6152" t="str">
            <v>דימונה-הסדרת דרך גישה לתחמ"ש דימונה.</v>
          </cell>
          <cell r="D6152">
            <v>46177</v>
          </cell>
        </row>
        <row r="6153">
          <cell r="A6153" t="str">
            <v>WBM-40063</v>
          </cell>
          <cell r="B6153" t="str">
            <v>דימונה</v>
          </cell>
          <cell r="C6153" t="str">
            <v>דימונה - החלפת מנתק, משנה זרם ומפסק</v>
          </cell>
          <cell r="D6153">
            <v>46476</v>
          </cell>
        </row>
        <row r="6154">
          <cell r="A6154" t="str">
            <v>WBM-40508</v>
          </cell>
          <cell r="B6154" t="str">
            <v>דימונה</v>
          </cell>
          <cell r="C6154" t="str">
            <v>דימונה - חידוש ציוד בשדות 8,12</v>
          </cell>
          <cell r="D6154">
            <v>46751</v>
          </cell>
        </row>
        <row r="6155">
          <cell r="A6155" t="str">
            <v>WBM-40507</v>
          </cell>
          <cell r="B6155" t="str">
            <v>דימונה</v>
          </cell>
          <cell r="C6155" t="str">
            <v>דימונה - שדה 6 - החלפת 2 מנתקים +מ"ז+מ"ב</v>
          </cell>
          <cell r="D6155">
            <v>46751</v>
          </cell>
        </row>
        <row r="6156">
          <cell r="A6156" t="str">
            <v>WBM-10432</v>
          </cell>
          <cell r="B6156" t="str">
            <v>דימונה</v>
          </cell>
          <cell r="C6156" t="str">
            <v>דימונה-התאמת תיילים מהדקים-פורטל WBO-483</v>
          </cell>
          <cell r="D6156">
            <v>47056</v>
          </cell>
        </row>
        <row r="6157">
          <cell r="A6157" t="str">
            <v>WBM-10159</v>
          </cell>
          <cell r="B6157" t="str">
            <v>דימונה</v>
          </cell>
          <cell r="C6157" t="str">
            <v>דימונה - התקנת מתמרים ב-3 פ"צ</v>
          </cell>
          <cell r="D6157">
            <v>46233</v>
          </cell>
        </row>
        <row r="6158">
          <cell r="A6158" t="str">
            <v>WBM-00441</v>
          </cell>
          <cell r="B6158" t="str">
            <v>דימונה</v>
          </cell>
          <cell r="C6158" t="str">
            <v>דימונה-בוטל - החלפת מגיני ברק בש"ק 1512</v>
          </cell>
        </row>
        <row r="6159">
          <cell r="A6159" t="str">
            <v>WBM-00029</v>
          </cell>
          <cell r="B6159" t="str">
            <v>דימונה</v>
          </cell>
          <cell r="C6159" t="str">
            <v>דימונה-החלפת הגנת מרחק בהגנות כפולות</v>
          </cell>
          <cell r="D6159">
            <v>46203</v>
          </cell>
        </row>
        <row r="6160">
          <cell r="A6160" t="str">
            <v>WBM-01409</v>
          </cell>
          <cell r="B6160" t="str">
            <v>דימונה</v>
          </cell>
          <cell r="C6160" t="str">
            <v>דימונה - עיגון ארונות פיקוד והגנה</v>
          </cell>
          <cell r="D6160">
            <v>44999</v>
          </cell>
        </row>
        <row r="6161">
          <cell r="A6161" t="str">
            <v>WBM-01295</v>
          </cell>
          <cell r="B6161" t="str">
            <v>דימונה</v>
          </cell>
          <cell r="C6161" t="str">
            <v>דימונה - החלפת רושם הפרעות</v>
          </cell>
          <cell r="D6161">
            <v>44507</v>
          </cell>
        </row>
        <row r="6162">
          <cell r="A6162" t="str">
            <v>WBM-40298</v>
          </cell>
          <cell r="B6162" t="str">
            <v>דימונה</v>
          </cell>
          <cell r="C6162" t="str">
            <v>דימונה - החלפת שנאי 531</v>
          </cell>
          <cell r="D6162">
            <v>44154</v>
          </cell>
        </row>
        <row r="6163">
          <cell r="A6163" t="str">
            <v>WBM-10120</v>
          </cell>
          <cell r="B6163" t="str">
            <v>דימונה</v>
          </cell>
          <cell r="C6163" t="str">
            <v>דימונה - התקנת הגנת פחת - שדה 10 לאורון</v>
          </cell>
          <cell r="D6163">
            <v>44042</v>
          </cell>
        </row>
        <row r="6164">
          <cell r="A6164" t="str">
            <v>WBM-10121</v>
          </cell>
          <cell r="B6164" t="str">
            <v>דימונה</v>
          </cell>
          <cell r="C6164" t="str">
            <v>דימונה - התקנת הגנת פחת - שדה 4 לכורנוב</v>
          </cell>
          <cell r="D6164">
            <v>44042</v>
          </cell>
        </row>
        <row r="6165">
          <cell r="A6165" t="str">
            <v>WBM-40282</v>
          </cell>
          <cell r="B6165" t="str">
            <v>דימונה</v>
          </cell>
          <cell r="C6165" t="str">
            <v>דימונה - התקנת מסדר מ"ג</v>
          </cell>
          <cell r="D6165">
            <v>44021</v>
          </cell>
        </row>
        <row r="6166">
          <cell r="A6166" t="str">
            <v>WBM-01100</v>
          </cell>
          <cell r="B6166" t="str">
            <v>דימונה</v>
          </cell>
          <cell r="C6166" t="str">
            <v>דימונה-התקנת 2 מאצרות שמן זמניות</v>
          </cell>
          <cell r="D6166">
            <v>43738</v>
          </cell>
        </row>
        <row r="6167">
          <cell r="A6167" t="str">
            <v>WBM-00330</v>
          </cell>
          <cell r="B6167" t="str">
            <v>דימונה</v>
          </cell>
          <cell r="C6167" t="str">
            <v>דימונה-התאמת מערכת המים לכיבוי אש</v>
          </cell>
          <cell r="D6167">
            <v>43676</v>
          </cell>
        </row>
        <row r="6168">
          <cell r="A6168" t="str">
            <v>WBM-01365</v>
          </cell>
          <cell r="B6168" t="str">
            <v>דימונה</v>
          </cell>
          <cell r="C6168" t="str">
            <v>דימונה- החלפת שנאי 532 30 ל-50 מגוו"א</v>
          </cell>
          <cell r="D6168">
            <v>43584</v>
          </cell>
        </row>
        <row r="6169">
          <cell r="A6169" t="str">
            <v>WBM-00830</v>
          </cell>
          <cell r="B6169" t="str">
            <v>דימונה</v>
          </cell>
          <cell r="C6169" t="str">
            <v>דימונה - התקנת מערכת טמ"ס</v>
          </cell>
          <cell r="D6169">
            <v>42369</v>
          </cell>
        </row>
        <row r="6170">
          <cell r="A6170" t="str">
            <v>0216815</v>
          </cell>
          <cell r="B6170" t="str">
            <v>דימונה</v>
          </cell>
          <cell r="C6170" t="str">
            <v>דימונה - הקמת מערכת טמ"ס</v>
          </cell>
          <cell r="D6170">
            <v>42307</v>
          </cell>
        </row>
        <row r="6171">
          <cell r="A6171" t="str">
            <v>WBM-00440</v>
          </cell>
          <cell r="B6171" t="str">
            <v>דימונה</v>
          </cell>
          <cell r="C6171" t="str">
            <v>דימונה-הקשחות אבטחת מידע במחשב</v>
          </cell>
          <cell r="D6171">
            <v>41881</v>
          </cell>
        </row>
        <row r="6172">
          <cell r="A6172" t="str">
            <v>WBG-026-026</v>
          </cell>
          <cell r="B6172" t="str">
            <v>דימונה</v>
          </cell>
          <cell r="C6172" t="str">
            <v>דימונה-החלפת מערכת גילוי וכיבוי אש</v>
          </cell>
          <cell r="D6172">
            <v>41274</v>
          </cell>
        </row>
        <row r="6173">
          <cell r="A6173" t="str">
            <v>WBG-026-029</v>
          </cell>
          <cell r="B6173" t="str">
            <v>דימונה</v>
          </cell>
          <cell r="C6173" t="str">
            <v>דימונה-הקמת רשת מחשבים תפעולית</v>
          </cell>
          <cell r="D6173">
            <v>41090</v>
          </cell>
        </row>
        <row r="6174">
          <cell r="A6174" t="str">
            <v>WBG-026-025</v>
          </cell>
          <cell r="B6174" t="str">
            <v>דימונה</v>
          </cell>
          <cell r="C6174" t="str">
            <v>דימונה-התקנת ארון ז"י 48 וולט כולל חלוקה</v>
          </cell>
          <cell r="D6174">
            <v>40968</v>
          </cell>
        </row>
        <row r="6175">
          <cell r="A6175" t="str">
            <v>WBG-026-028</v>
          </cell>
          <cell r="B6175" t="str">
            <v>דימונה</v>
          </cell>
          <cell r="C6175" t="str">
            <v>דימונה-התקנת תקשורת מנהלתית</v>
          </cell>
          <cell r="D6175">
            <v>40877</v>
          </cell>
        </row>
        <row r="6176">
          <cell r="A6176" t="str">
            <v>WBM-01408</v>
          </cell>
          <cell r="B6176" t="str">
            <v>דימונה</v>
          </cell>
          <cell r="C6176" t="str">
            <v>דימונה -בוטל- עיגון 2 אוטו-שנאים</v>
          </cell>
          <cell r="D6176">
            <v>43297</v>
          </cell>
        </row>
        <row r="6177">
          <cell r="A6177" t="str">
            <v>WBM-01247</v>
          </cell>
          <cell r="B6177" t="str">
            <v>דימונה</v>
          </cell>
          <cell r="C6177" t="str">
            <v>דימונה - בוטל-מאצרות שמן קבועות לשנאים</v>
          </cell>
          <cell r="D6177">
            <v>42902</v>
          </cell>
        </row>
        <row r="6178">
          <cell r="A6178" t="str">
            <v>WBM-40162</v>
          </cell>
          <cell r="B6178" t="str">
            <v>דימונה</v>
          </cell>
          <cell r="C6178" t="str">
            <v>דימונה-בוטל-החלפת שנאי 531 ל-50 מגוו"א</v>
          </cell>
          <cell r="D6178">
            <v>43131</v>
          </cell>
        </row>
        <row r="6179">
          <cell r="A6179" t="str">
            <v>WBM-10073</v>
          </cell>
          <cell r="B6179" t="str">
            <v>דימונה</v>
          </cell>
          <cell r="C6179" t="str">
            <v>דימונה-בוטל-החלפת גשרי דיודות</v>
          </cell>
          <cell r="D6179">
            <v>43768</v>
          </cell>
        </row>
        <row r="6180">
          <cell r="A6180">
            <v>535046</v>
          </cell>
          <cell r="B6180" t="str">
            <v>דימונה</v>
          </cell>
          <cell r="C6180" t="str">
            <v>דימונה - החלפת גשרי דיודות</v>
          </cell>
          <cell r="D6180">
            <v>42185</v>
          </cell>
        </row>
        <row r="6181">
          <cell r="A6181" t="str">
            <v>WBG-026-034</v>
          </cell>
          <cell r="B6181" t="str">
            <v>דימונה</v>
          </cell>
          <cell r="C6181" t="str">
            <v>דימונה-הקמת טבעת OM 250n</v>
          </cell>
          <cell r="D6181">
            <v>36164</v>
          </cell>
        </row>
        <row r="6182">
          <cell r="A6182">
            <v>535039</v>
          </cell>
          <cell r="B6182" t="str">
            <v>דימונה</v>
          </cell>
          <cell r="C6182" t="str">
            <v>דימונה-התקנת מאווררים בארונות פיקוד</v>
          </cell>
          <cell r="D6182">
            <v>40998</v>
          </cell>
        </row>
        <row r="6183">
          <cell r="A6183" t="str">
            <v>WBG-026-006</v>
          </cell>
          <cell r="B6183" t="str">
            <v>דימונה</v>
          </cell>
          <cell r="C6183" t="str">
            <v>דימונה-התקנת קשר בין הגנות מרחק ל - DSI</v>
          </cell>
          <cell r="D6183">
            <v>39259</v>
          </cell>
        </row>
        <row r="6184">
          <cell r="A6184" t="str">
            <v>WBG-026-031</v>
          </cell>
          <cell r="B6184" t="str">
            <v>דימונה</v>
          </cell>
          <cell r="C6184" t="str">
            <v>דימונה-החלפת מערכת התראה בטחונית</v>
          </cell>
          <cell r="D6184">
            <v>39812</v>
          </cell>
        </row>
        <row r="6185">
          <cell r="A6185" t="str">
            <v>WBE-058-ST3</v>
          </cell>
          <cell r="B6185" t="str">
            <v>דימונה</v>
          </cell>
          <cell r="C6185" t="str">
            <v>דימונה-הרחבת מסדר 161 ק"ו-שלב א'</v>
          </cell>
          <cell r="D6185">
            <v>40968</v>
          </cell>
        </row>
        <row r="6186">
          <cell r="A6186" t="str">
            <v>WBE-058-ST2</v>
          </cell>
          <cell r="B6186" t="str">
            <v>דימונה</v>
          </cell>
          <cell r="C6186" t="str">
            <v>דימונה-הרחבת מסדר 161 ק"ו-שלב א'</v>
          </cell>
          <cell r="D6186">
            <v>40968</v>
          </cell>
        </row>
        <row r="6187">
          <cell r="A6187" t="str">
            <v>WBM-00960</v>
          </cell>
          <cell r="B6187" t="str">
            <v>דימונה</v>
          </cell>
          <cell r="C6187" t="str">
            <v>דימונה-יישום קשר בין הגנות במעגל לרותם</v>
          </cell>
          <cell r="D6187">
            <v>43008</v>
          </cell>
        </row>
        <row r="6188">
          <cell r="A6188" t="str">
            <v>WBM-00965</v>
          </cell>
          <cell r="B6188" t="str">
            <v>דימונה</v>
          </cell>
          <cell r="C6188" t="str">
            <v>דימונה-עע"א-הוספת הג.דיפרנציאלית בשדה 20</v>
          </cell>
          <cell r="D6188">
            <v>42884</v>
          </cell>
        </row>
        <row r="6189">
          <cell r="A6189" t="str">
            <v>WBM-00938</v>
          </cell>
          <cell r="B6189" t="str">
            <v>דימונה</v>
          </cell>
          <cell r="C6189" t="str">
            <v>דימונה-התקנת הגנות כפולות לנבטים</v>
          </cell>
          <cell r="D6189">
            <v>42880</v>
          </cell>
        </row>
        <row r="6190">
          <cell r="A6190" t="str">
            <v>wbm-10474</v>
          </cell>
          <cell r="B6190" t="str">
            <v>דימונה</v>
          </cell>
          <cell r="C6190" t="str">
            <v>דימונה- בוטל-שדה 11, משיק לדימונה סולארי שדה 15, יישום 2 דרכי קשר אופטיות בין הגנות</v>
          </cell>
        </row>
        <row r="6191">
          <cell r="A6191" t="str">
            <v>WBM-10475</v>
          </cell>
          <cell r="B6191" t="str">
            <v>דימונה</v>
          </cell>
          <cell r="C6191" t="str">
            <v>דימונה -  בוטל-שדה 7, משיק לדימונה סולארי שדה 17, יישום 2 דרכי קשר אופטיות בין הגנות</v>
          </cell>
        </row>
        <row r="6192">
          <cell r="A6192" t="str">
            <v>WBM-40523</v>
          </cell>
          <cell r="B6192" t="str">
            <v>דימונה</v>
          </cell>
          <cell r="C6192" t="str">
            <v>דימונה-שדרוג שדה 13 ליכולת 2000 א'</v>
          </cell>
          <cell r="D6192">
            <v>46203</v>
          </cell>
        </row>
        <row r="6193">
          <cell r="A6193" t="str">
            <v>WBM-10492</v>
          </cell>
          <cell r="B6193" t="str">
            <v>דימונה</v>
          </cell>
          <cell r="C6193" t="str">
            <v>דימונה - משיק כורנוב 3, התקנת הגנות בשדה 5, דיפ. + מרחק</v>
          </cell>
          <cell r="D6193">
            <v>46203</v>
          </cell>
        </row>
        <row r="6194">
          <cell r="A6194" t="str">
            <v>WBM-10532</v>
          </cell>
          <cell r="B6194" t="str">
            <v>דימונה</v>
          </cell>
          <cell r="C6194" t="str">
            <v>דימונה- שדה 17,משיק לדימונה סולארי שדה 15, יישום 2 דרכי קשר אופטיות בין הגנות</v>
          </cell>
          <cell r="D6194">
            <v>45412</v>
          </cell>
        </row>
        <row r="6195">
          <cell r="A6195" t="str">
            <v>WBM-10590</v>
          </cell>
          <cell r="B6195" t="str">
            <v>דימונה</v>
          </cell>
          <cell r="C6195" t="str">
            <v>דימונה-משיק לתחמ"ש פארן שדה 3, יישום דרך קשר אופטית בין הגנות בשדה  15</v>
          </cell>
          <cell r="D6195">
            <v>45580</v>
          </cell>
        </row>
        <row r="6196">
          <cell r="A6196" t="str">
            <v>WBM-10592</v>
          </cell>
          <cell r="B6196" t="str">
            <v>דימונה</v>
          </cell>
          <cell r="C6196" t="str">
            <v>דימונה -משיק לדימונה סולארי שדה 17, יישום דרך קשר אופטית בין הגנות בשדה 11</v>
          </cell>
          <cell r="D6196">
            <v>45719</v>
          </cell>
        </row>
        <row r="6197">
          <cell r="A6197" t="str">
            <v>WBM-10594</v>
          </cell>
          <cell r="B6197" t="str">
            <v>דימונה</v>
          </cell>
          <cell r="C6197" t="str">
            <v>דימונה - משיק לדימונה סולארי שדה 10. יישום דרך קשר אופטית בין הגנות בשדה 7</v>
          </cell>
          <cell r="D6197">
            <v>45743</v>
          </cell>
        </row>
        <row r="6198">
          <cell r="A6198" t="str">
            <v>WBM-10603</v>
          </cell>
          <cell r="B6198" t="str">
            <v>דימונה</v>
          </cell>
          <cell r="C6198" t="str">
            <v>דימונה -בוטל- משיק לתחמ"ש רמת חובב שדה A1 , יישום דרך קשר אופטית בין הגנות בשדה 17</v>
          </cell>
        </row>
        <row r="6199">
          <cell r="A6199" t="str">
            <v>WBM-40603</v>
          </cell>
          <cell r="B6199" t="str">
            <v>דימונה</v>
          </cell>
          <cell r="C6199" t="str">
            <v>דימונה- החלפת 1 מסדרי מג</v>
          </cell>
          <cell r="D6199">
            <v>46264</v>
          </cell>
        </row>
        <row r="6200">
          <cell r="A6200" t="str">
            <v>WBM-00885-074</v>
          </cell>
          <cell r="B6200" t="str">
            <v>דימונה</v>
          </cell>
          <cell r="C6200" t="str">
            <v>דימונה - צנרת מים הזנה למבנה פיקוד וחד ה</v>
          </cell>
          <cell r="D6200">
            <v>46057</v>
          </cell>
        </row>
        <row r="6201">
          <cell r="A6201" t="str">
            <v>WBM-60088-029</v>
          </cell>
          <cell r="B6201" t="str">
            <v>דימונה</v>
          </cell>
          <cell r="C6201" t="str">
            <v>דימונה - מאצרת זמנית ל-2 אוטו-שנאים</v>
          </cell>
          <cell r="D6201">
            <v>46203</v>
          </cell>
        </row>
        <row r="6202">
          <cell r="A6202" t="str">
            <v>WBM-60088-061</v>
          </cell>
          <cell r="B6202" t="str">
            <v>דימונה</v>
          </cell>
          <cell r="C6202" t="str">
            <v>דימונה -מאצרת שמן לשנאים ומסדרי אפס של ש</v>
          </cell>
          <cell r="D6202">
            <v>46295</v>
          </cell>
        </row>
        <row r="6203">
          <cell r="A6203" t="str">
            <v>WBM-60092-032</v>
          </cell>
          <cell r="B6203" t="str">
            <v>דימונה</v>
          </cell>
          <cell r="C6203" t="str">
            <v>דימונה - בדיקות/טיפול/פינוי מכלי אש בגז</v>
          </cell>
          <cell r="D6203">
            <v>46162</v>
          </cell>
        </row>
        <row r="6204">
          <cell r="A6204" t="str">
            <v>WBM-60107-003</v>
          </cell>
          <cell r="B6204" t="str">
            <v>דימונה</v>
          </cell>
          <cell r="C6204" t="str">
            <v>דימונה - החלפת מנעולים אלק.מגנטיים באלק.</v>
          </cell>
          <cell r="D6204">
            <v>45482</v>
          </cell>
        </row>
        <row r="6205">
          <cell r="A6205" t="str">
            <v>WBM-60130-010</v>
          </cell>
          <cell r="B6205" t="str">
            <v>דימונה</v>
          </cell>
          <cell r="C6205" t="str">
            <v>דימונה - התקנת מפסק פטריה להפסקת מערכת החשמל בחירום</v>
          </cell>
          <cell r="D6205">
            <v>46568</v>
          </cell>
        </row>
        <row r="6206">
          <cell r="A6206" t="str">
            <v>WBM-10625</v>
          </cell>
          <cell r="B6206" t="str">
            <v>דימונה</v>
          </cell>
          <cell r="C6206" t="str">
            <v>דימונה-161 ק"ו , שדה 14: משיק לתחמ"ש רותם שדה 9. פרוק ממסרים הגנת מרחק והתקנת הגנה דיפרנציאלית. יישום דרך קשר אופטית בין הגנות</v>
          </cell>
          <cell r="D6206">
            <v>46387</v>
          </cell>
        </row>
        <row r="6207">
          <cell r="A6207" t="str">
            <v>WBM-00350-017</v>
          </cell>
          <cell r="B6207" t="str">
            <v>דימונה</v>
          </cell>
          <cell r="C6207" t="str">
            <v>דימונה - החלפת שנאי כתוצאה מתקלה</v>
          </cell>
          <cell r="D6207">
            <v>43129</v>
          </cell>
        </row>
        <row r="6208">
          <cell r="A6208" t="str">
            <v>WBM-60088-067</v>
          </cell>
          <cell r="B6208" t="str">
            <v>דימונה</v>
          </cell>
          <cell r="C6208" t="str">
            <v>דימונה- התקנת בור איסוף</v>
          </cell>
          <cell r="D6208">
            <v>46295</v>
          </cell>
        </row>
        <row r="6209">
          <cell r="A6209" t="str">
            <v>WBM-10682</v>
          </cell>
          <cell r="B6209" t="str">
            <v>דימונה</v>
          </cell>
          <cell r="C6209" t="str">
            <v>דימונה - פירוק מערכת 110 ק"ו והזנת צרכנים אורן ונחל צין ב-33 ק"ו.</v>
          </cell>
          <cell r="D6209">
            <v>46203</v>
          </cell>
        </row>
        <row r="6210">
          <cell r="A6210" t="str">
            <v>WBM-10697</v>
          </cell>
          <cell r="B6210" t="str">
            <v>דימונה</v>
          </cell>
          <cell r="C6210" t="str">
            <v>דימונה - הת' תיילים-מהדקים-פורט'wbo-850</v>
          </cell>
          <cell r="D6210">
            <v>47117</v>
          </cell>
        </row>
        <row r="6211">
          <cell r="A6211" t="str">
            <v>WBE-289</v>
          </cell>
          <cell r="B6211" t="str">
            <v>דימונה</v>
          </cell>
          <cell r="C6211" t="str">
            <v>דימונה-התאמת שדה 7 לדימונה סולארי ל-2500 א'</v>
          </cell>
          <cell r="D6211">
            <v>47118</v>
          </cell>
        </row>
        <row r="6212">
          <cell r="A6212" t="str">
            <v>WBM-10795</v>
          </cell>
          <cell r="B6212" t="str">
            <v>דימונה</v>
          </cell>
          <cell r="C6212" t="str">
            <v>דימונה - משיק לנבטים שדה 5, יישום דרך קשר אופטית בין הגנות בשדה 20</v>
          </cell>
          <cell r="D6212">
            <v>46233</v>
          </cell>
        </row>
        <row r="6213">
          <cell r="A6213" t="str">
            <v>WBM-60131-016</v>
          </cell>
          <cell r="B6213" t="str">
            <v>דימונה</v>
          </cell>
          <cell r="C6213" t="str">
            <v>דימונה - טיפול באופיין מים</v>
          </cell>
          <cell r="D6213">
            <v>46387</v>
          </cell>
        </row>
        <row r="6214">
          <cell r="A6214" t="str">
            <v>WBM-10421</v>
          </cell>
          <cell r="B6214" t="str">
            <v>דוראד</v>
          </cell>
          <cell r="C6214" t="str">
            <v>דוראד-שדה 12 ישום דרך קשר שניה בין הגנות</v>
          </cell>
          <cell r="D6214">
            <v>46326</v>
          </cell>
        </row>
        <row r="6215">
          <cell r="A6215" t="str">
            <v>WBM-10423</v>
          </cell>
          <cell r="B6215" t="str">
            <v>דוראד</v>
          </cell>
          <cell r="C6215" t="str">
            <v>דוראד-שדה 10 ישום דרך קשר שניה בין הגנות</v>
          </cell>
          <cell r="D6215">
            <v>45474</v>
          </cell>
        </row>
        <row r="6216">
          <cell r="A6216" t="str">
            <v>79999-11</v>
          </cell>
          <cell r="B6216" t="str">
            <v>דוראד</v>
          </cell>
          <cell r="C6216" t="str">
            <v>דוראד-קליטת מסדר מיתוג 400 ק"ו</v>
          </cell>
          <cell r="D6216">
            <v>41638</v>
          </cell>
        </row>
        <row r="6217">
          <cell r="A6217" t="str">
            <v>WBM-10315-036</v>
          </cell>
          <cell r="B6217" t="str">
            <v>דוראד</v>
          </cell>
          <cell r="C6217" t="str">
            <v>דוראד - החלפת מזגנים</v>
          </cell>
          <cell r="D6217">
            <v>45552</v>
          </cell>
        </row>
        <row r="6218">
          <cell r="A6218" t="str">
            <v>WBM-40295-035</v>
          </cell>
          <cell r="B6218" t="str">
            <v>דוראד</v>
          </cell>
          <cell r="C6218" t="str">
            <v>דוראד החלפת 2 סוללות 500AH</v>
          </cell>
          <cell r="D6218">
            <v>46387</v>
          </cell>
        </row>
        <row r="6219">
          <cell r="A6219" t="str">
            <v>WBM-60128-011</v>
          </cell>
          <cell r="B6219" t="str">
            <v>דוראד</v>
          </cell>
          <cell r="C6219" t="str">
            <v>דוראד - שדרוג ותוספות מיגון בתחמשים פרטיים</v>
          </cell>
          <cell r="D6219">
            <v>46721</v>
          </cell>
        </row>
        <row r="6220">
          <cell r="A6220" t="str">
            <v>WBM-40637-015</v>
          </cell>
          <cell r="B6220" t="str">
            <v>דוראד</v>
          </cell>
          <cell r="C6220" t="str">
            <v>דוראד-החלפת רושמי הפרעות קיימים מדגם IDM-T3 לרושמים חדשים מדגם IDM+</v>
          </cell>
          <cell r="D6220">
            <v>46538</v>
          </cell>
        </row>
        <row r="6221">
          <cell r="A6221" t="str">
            <v>WBC-214</v>
          </cell>
          <cell r="B6221" t="str">
            <v>גשר(כוכב הירדן)</v>
          </cell>
          <cell r="C6221" t="str">
            <v>גשר(כוכב הירדן)- הקמת תחמ"ש חיצונית 161/24 ק"ו</v>
          </cell>
          <cell r="D6221">
            <v>47483</v>
          </cell>
        </row>
        <row r="6222">
          <cell r="A6222" t="str">
            <v>WBC-214-ST1</v>
          </cell>
          <cell r="B6222" t="str">
            <v>גשר(כוכב הירדן)</v>
          </cell>
          <cell r="C6222" t="str">
            <v>גשר (כוכב הירדן)- קידום סטטוטורי</v>
          </cell>
          <cell r="D6222">
            <v>46387</v>
          </cell>
        </row>
        <row r="6223">
          <cell r="A6223" t="str">
            <v>WEC-001</v>
          </cell>
          <cell r="B6223" t="str">
            <v>ג'נין</v>
          </cell>
          <cell r="C6223" t="str">
            <v>ג'נין- הקמת תחמ"ש חיצונית 161/36 ק"ו.</v>
          </cell>
          <cell r="D6223">
            <v>42925</v>
          </cell>
        </row>
        <row r="6224">
          <cell r="A6224" t="str">
            <v>WBM-01067</v>
          </cell>
          <cell r="B6224" t="str">
            <v>ג'נין</v>
          </cell>
          <cell r="C6224" t="str">
            <v>ג'נין-יישום קשר בין הגנות מול עין חרוד</v>
          </cell>
          <cell r="D6224">
            <v>42925</v>
          </cell>
        </row>
        <row r="6225">
          <cell r="A6225">
            <v>900014</v>
          </cell>
          <cell r="B6225" t="str">
            <v>ג'נין</v>
          </cell>
          <cell r="C6225" t="str">
            <v>ג'נין-התאמת שדות</v>
          </cell>
          <cell r="D6225">
            <v>47149</v>
          </cell>
        </row>
        <row r="6226">
          <cell r="A6226" t="str">
            <v>WBD-049-ST2</v>
          </cell>
          <cell r="B6226" t="str">
            <v>גנים (מכבית) ניידת</v>
          </cell>
          <cell r="C6226" t="str">
            <v>גנים (מכבית) ניידת- פרוק תחמ"ש ניידת</v>
          </cell>
          <cell r="D6226">
            <v>46751</v>
          </cell>
        </row>
        <row r="6227">
          <cell r="A6227" t="str">
            <v>WBD-049</v>
          </cell>
          <cell r="B6227" t="str">
            <v>גנים (מכבית) ניידת</v>
          </cell>
          <cell r="C6227" t="str">
            <v>גנים (מכבית) ניידת-  הצבת תחמ"ש ניידת</v>
          </cell>
          <cell r="D6227">
            <v>46265</v>
          </cell>
        </row>
        <row r="6228">
          <cell r="A6228" t="str">
            <v>WBC-015</v>
          </cell>
          <cell r="B6228" t="str">
            <v>גנים (אתר מכבית)</v>
          </cell>
          <cell r="C6228" t="str">
            <v>גנים(אתר מכבית)-הקמת תחמ"ש פנימית 161/24</v>
          </cell>
          <cell r="D6228">
            <v>46660</v>
          </cell>
        </row>
        <row r="6229">
          <cell r="A6229" t="str">
            <v>0212732</v>
          </cell>
          <cell r="B6229" t="str">
            <v>גן שורק</v>
          </cell>
          <cell r="C6229" t="str">
            <v>uoe6a-גן שורק -עיבוי ושדרוג עמוד השדרה</v>
          </cell>
          <cell r="D6229">
            <v>42338</v>
          </cell>
        </row>
        <row r="6230">
          <cell r="A6230">
            <v>824205</v>
          </cell>
          <cell r="B6230" t="str">
            <v>גן שורק</v>
          </cell>
          <cell r="C6230" t="str">
            <v>גן שורק-פירוק הגנה הפרשית</v>
          </cell>
          <cell r="D6230">
            <v>41577</v>
          </cell>
        </row>
        <row r="6231">
          <cell r="A6231" t="str">
            <v>HIS-073</v>
          </cell>
          <cell r="B6231" t="str">
            <v>גן שורק</v>
          </cell>
          <cell r="C6231" t="str">
            <v>גן שורק</v>
          </cell>
          <cell r="D6231">
            <v>40908</v>
          </cell>
        </row>
        <row r="6232">
          <cell r="A6232" t="str">
            <v>WBM-00431</v>
          </cell>
          <cell r="B6232" t="str">
            <v>גן שורק</v>
          </cell>
          <cell r="C6232" t="str">
            <v>גן שורק-בוטל-הפעלת 2 שד' לכוון אור יהודה</v>
          </cell>
          <cell r="D6232">
            <v>41249</v>
          </cell>
        </row>
        <row r="6233">
          <cell r="A6233" t="str">
            <v>WBM-01282</v>
          </cell>
          <cell r="B6233" t="str">
            <v>גן שורק</v>
          </cell>
          <cell r="C6233" t="str">
            <v>גן שורק-בוטל-החלפת ס"כ בנגד ראשוני</v>
          </cell>
          <cell r="D6233">
            <v>42914</v>
          </cell>
        </row>
        <row r="6234">
          <cell r="A6234" t="str">
            <v>WBM-40498</v>
          </cell>
          <cell r="B6234" t="str">
            <v>גן שורק</v>
          </cell>
          <cell r="C6234" t="str">
            <v>גן שורק-החלפת מבדדי  400ו-161 ק"ו בשנאים</v>
          </cell>
          <cell r="D6234">
            <v>46751</v>
          </cell>
        </row>
        <row r="6235">
          <cell r="A6235" t="str">
            <v>WBM-00198</v>
          </cell>
          <cell r="B6235" t="str">
            <v>גן שורק</v>
          </cell>
          <cell r="C6235" t="str">
            <v>גן שורק-הפרדת לוח חלוקה ז"י 220 ו' כפול</v>
          </cell>
          <cell r="D6235">
            <v>46752</v>
          </cell>
        </row>
        <row r="6236">
          <cell r="A6236" t="str">
            <v>WBM-10205</v>
          </cell>
          <cell r="B6236" t="str">
            <v>גן שורק</v>
          </cell>
          <cell r="C6236" t="str">
            <v>גן שורק-משיק לגן רווה,הח' הג.מרחק בדיפ.שדה 27</v>
          </cell>
          <cell r="D6236">
            <v>45900</v>
          </cell>
        </row>
        <row r="6237">
          <cell r="A6237" t="str">
            <v>WBM-40057</v>
          </cell>
          <cell r="B6237" t="str">
            <v>גן שורק</v>
          </cell>
          <cell r="C6237" t="str">
            <v>גן שורק-החלפת הגנות שנאים</v>
          </cell>
          <cell r="D6237">
            <v>46568</v>
          </cell>
        </row>
        <row r="6238">
          <cell r="A6238" t="str">
            <v>WBM-00947</v>
          </cell>
          <cell r="B6238" t="str">
            <v>גן שורק</v>
          </cell>
          <cell r="C6238" t="str">
            <v>גן שורק-בוטל - התקנת תקשורת בין ה.מרחק בש.3A</v>
          </cell>
        </row>
        <row r="6239">
          <cell r="A6239" t="str">
            <v>WBM-00197</v>
          </cell>
          <cell r="B6239" t="str">
            <v>גן שורק</v>
          </cell>
          <cell r="C6239" t="str">
            <v>גן שורק-בניית קירות אש להפרדה</v>
          </cell>
          <cell r="D6239">
            <v>46387</v>
          </cell>
        </row>
        <row r="6240">
          <cell r="A6240" t="str">
            <v>WBM-01017</v>
          </cell>
          <cell r="B6240" t="str">
            <v>גן שורק</v>
          </cell>
          <cell r="C6240" t="str">
            <v>גן שורק-בוטל - החלפת הגנת מרחק לבת ים</v>
          </cell>
        </row>
        <row r="6241">
          <cell r="A6241" t="str">
            <v>WBM-40060</v>
          </cell>
          <cell r="B6241" t="str">
            <v>גן שורק</v>
          </cell>
          <cell r="C6241" t="str">
            <v>גן שורק - הוספת הגנות פ"צ 161 ק"ו</v>
          </cell>
          <cell r="D6241">
            <v>46568</v>
          </cell>
        </row>
        <row r="6242">
          <cell r="A6242" t="str">
            <v>WBM-40059</v>
          </cell>
          <cell r="B6242" t="str">
            <v>גן שורק</v>
          </cell>
          <cell r="C6242" t="str">
            <v>גן שורק- החלפת מערכת SCS מ"ג</v>
          </cell>
          <cell r="D6242">
            <v>46598</v>
          </cell>
        </row>
        <row r="6243">
          <cell r="A6243" t="str">
            <v>WBM-40058</v>
          </cell>
          <cell r="B6243" t="str">
            <v>גן שורק</v>
          </cell>
          <cell r="C6243" t="str">
            <v>גן שורק-החלפת רושם הפרעות 161 ו-400 ק"ו</v>
          </cell>
          <cell r="D6243">
            <v>46843</v>
          </cell>
        </row>
        <row r="6244">
          <cell r="A6244" t="str">
            <v>WBM-00834</v>
          </cell>
          <cell r="B6244" t="str">
            <v>גן שורק</v>
          </cell>
          <cell r="C6244" t="str">
            <v>גן שורק-בוטל- ביצוע חיבור למערכת הביוב האזורית</v>
          </cell>
        </row>
        <row r="6245">
          <cell r="A6245" t="str">
            <v>WBM-10217</v>
          </cell>
          <cell r="B6245" t="str">
            <v>גן שורק</v>
          </cell>
          <cell r="C6245" t="str">
            <v>גן שורק-משיק ל WBN-425- התאמת הירידות מתיילי הולכה חדשים</v>
          </cell>
          <cell r="D6245">
            <v>47848</v>
          </cell>
        </row>
        <row r="6246">
          <cell r="A6246" t="str">
            <v>WBM-01182</v>
          </cell>
          <cell r="B6246" t="str">
            <v>גן שורק</v>
          </cell>
          <cell r="C6246" t="str">
            <v>גן שורק-החלפת הגנת שנאי DT92</v>
          </cell>
          <cell r="D6246">
            <v>46752</v>
          </cell>
        </row>
        <row r="6247">
          <cell r="A6247" t="str">
            <v>WBM-40061</v>
          </cell>
          <cell r="B6247" t="str">
            <v>גן שורק</v>
          </cell>
          <cell r="C6247" t="str">
            <v>גן שורק-החלפת הגנת מרחק ב-2 שדות</v>
          </cell>
          <cell r="D6247">
            <v>46326</v>
          </cell>
        </row>
        <row r="6248">
          <cell r="A6248" t="str">
            <v>WBM-20007</v>
          </cell>
          <cell r="B6248" t="str">
            <v>גן שורק</v>
          </cell>
          <cell r="C6248" t="str">
            <v>גן שורק - שדרוג והחלפת מערכת ניטור מימן</v>
          </cell>
          <cell r="D6248">
            <v>45261</v>
          </cell>
        </row>
        <row r="6249">
          <cell r="A6249" t="str">
            <v>WBM-10424</v>
          </cell>
          <cell r="B6249" t="str">
            <v>גן שורק</v>
          </cell>
          <cell r="C6249" t="str">
            <v>גן שורק-שדה4Bישום דרך קשר שניה בין הגנות</v>
          </cell>
          <cell r="D6249">
            <v>45442</v>
          </cell>
        </row>
        <row r="6250">
          <cell r="A6250" t="str">
            <v>WBM-00437</v>
          </cell>
          <cell r="B6250" t="str">
            <v>גן שורק</v>
          </cell>
          <cell r="C6250" t="str">
            <v>גן שורק-משיק,החלפת ה.מרחק לה.דיפר.+תק.ש5</v>
          </cell>
          <cell r="D6250">
            <v>45229</v>
          </cell>
        </row>
        <row r="6251">
          <cell r="A6251" t="str">
            <v>WBM-10325</v>
          </cell>
          <cell r="B6251" t="str">
            <v>גן שורק</v>
          </cell>
          <cell r="C6251" t="str">
            <v>גן שורק-משיק הת. שורק 2-תקשורת בין הגנות</v>
          </cell>
          <cell r="D6251">
            <v>45011</v>
          </cell>
        </row>
        <row r="6252">
          <cell r="A6252" t="str">
            <v>WBM-40493</v>
          </cell>
          <cell r="B6252" t="str">
            <v>גן שורק</v>
          </cell>
          <cell r="C6252" t="str">
            <v>גן שורק-הצבת שנאי קישור חדשים-חד פאזי</v>
          </cell>
          <cell r="D6252">
            <v>44398</v>
          </cell>
        </row>
        <row r="6253">
          <cell r="A6253" t="str">
            <v>WBM-01006</v>
          </cell>
          <cell r="B6253" t="str">
            <v>גן שורק</v>
          </cell>
          <cell r="C6253" t="str">
            <v>גן שורק -החלפת הגנת מרחק לכיוון ניר גלים</v>
          </cell>
          <cell r="D6253">
            <v>44119</v>
          </cell>
        </row>
        <row r="6254">
          <cell r="A6254" t="str">
            <v>WBM-00181</v>
          </cell>
          <cell r="B6254" t="str">
            <v>גן שורק</v>
          </cell>
          <cell r="C6254" t="str">
            <v>גן שורק-התקנת ממירי מתח במערכת DC</v>
          </cell>
          <cell r="D6254">
            <v>43976</v>
          </cell>
        </row>
        <row r="6255">
          <cell r="A6255" t="str">
            <v>WBM-00157</v>
          </cell>
          <cell r="B6255" t="str">
            <v>גן שורק</v>
          </cell>
          <cell r="C6255" t="str">
            <v>גן שורק-עיגון ארונות פיקוד</v>
          </cell>
          <cell r="D6255">
            <v>43555</v>
          </cell>
        </row>
        <row r="6256">
          <cell r="A6256" t="str">
            <v>WBM-10061</v>
          </cell>
          <cell r="B6256" t="str">
            <v>גן שורק</v>
          </cell>
          <cell r="C6256" t="str">
            <v>גן שורק - שיפור אוטומטיקת סלילי כיבוי</v>
          </cell>
          <cell r="D6256">
            <v>43446</v>
          </cell>
        </row>
        <row r="6257">
          <cell r="A6257" t="str">
            <v>WBM-00438</v>
          </cell>
          <cell r="B6257" t="str">
            <v>גן שורק</v>
          </cell>
          <cell r="C6257" t="str">
            <v>גן שורק-החלפת ה.מרחק לה.דיפרנ' בשדה 10</v>
          </cell>
          <cell r="D6257">
            <v>43437</v>
          </cell>
        </row>
        <row r="6258">
          <cell r="A6258" t="str">
            <v>WBM-00820</v>
          </cell>
          <cell r="B6258" t="str">
            <v>גן שורק</v>
          </cell>
          <cell r="C6258" t="str">
            <v>גן שורק-החלפת ה.מרחק לה.דיפר' בשדה 18</v>
          </cell>
          <cell r="D6258">
            <v>43437</v>
          </cell>
        </row>
        <row r="6259">
          <cell r="A6259" t="str">
            <v>WBM-01020</v>
          </cell>
          <cell r="B6259" t="str">
            <v>גן שורק</v>
          </cell>
          <cell r="C6259" t="str">
            <v>גן שורק -תקשורת בין הגנות לגזר</v>
          </cell>
          <cell r="D6259">
            <v>43221</v>
          </cell>
        </row>
        <row r="6260">
          <cell r="A6260" t="str">
            <v>WBM-00433</v>
          </cell>
          <cell r="B6260" t="str">
            <v>גן שורק</v>
          </cell>
          <cell r="C6260" t="str">
            <v>גן שורק-עיגון 6 אוטושנאים חד-פאזיים</v>
          </cell>
          <cell r="D6260">
            <v>43174</v>
          </cell>
        </row>
        <row r="6261">
          <cell r="A6261" t="str">
            <v>WBM-01144</v>
          </cell>
          <cell r="B6261" t="str">
            <v>גן שורק</v>
          </cell>
          <cell r="C6261" t="str">
            <v>גן שורק-התאמת תקשורת בין הגנות לסתריה</v>
          </cell>
          <cell r="D6261">
            <v>42828</v>
          </cell>
        </row>
        <row r="6262">
          <cell r="A6262" t="str">
            <v>WBM-00900</v>
          </cell>
          <cell r="B6262" t="str">
            <v>גן שורק</v>
          </cell>
          <cell r="C6262" t="str">
            <v>גן שורק - קשר בין הגנות גן שורק-ת"א מזרח</v>
          </cell>
          <cell r="D6262">
            <v>42366</v>
          </cell>
        </row>
        <row r="6263">
          <cell r="A6263" t="str">
            <v>WBM-00168</v>
          </cell>
          <cell r="B6263" t="str">
            <v>גן שורק</v>
          </cell>
          <cell r="C6263" t="str">
            <v>גן שורק - קשר בין הגנות לאיילון 400 ק"ו</v>
          </cell>
          <cell r="D6263">
            <v>42180</v>
          </cell>
        </row>
        <row r="6264">
          <cell r="A6264" t="str">
            <v>WBM-00755</v>
          </cell>
          <cell r="B6264" t="str">
            <v>גן שורק</v>
          </cell>
          <cell r="C6264" t="str">
            <v>גן שורק-התאמת מערכת גילוי אש.</v>
          </cell>
          <cell r="D6264">
            <v>42154</v>
          </cell>
        </row>
        <row r="6265">
          <cell r="A6265" t="str">
            <v>WBL-003-038</v>
          </cell>
          <cell r="B6265" t="str">
            <v>גן שורק</v>
          </cell>
          <cell r="C6265" t="str">
            <v>גן שורק-החלפת ה.מרחק לה.דיפרנציאליות</v>
          </cell>
          <cell r="D6265">
            <v>41364</v>
          </cell>
        </row>
        <row r="6266">
          <cell r="A6266" t="str">
            <v>WBL-003-022</v>
          </cell>
          <cell r="B6266" t="str">
            <v>גן שורק</v>
          </cell>
          <cell r="C6266" t="str">
            <v>גן שורק-הקמת רשת מחשבים תפעולית</v>
          </cell>
          <cell r="D6266">
            <v>40979</v>
          </cell>
        </row>
        <row r="6267">
          <cell r="A6267" t="str">
            <v>WBM-01440</v>
          </cell>
          <cell r="B6267" t="str">
            <v>גן שורק</v>
          </cell>
          <cell r="C6267" t="str">
            <v>גן שורק- בוטל-שנאי 522-הוספת מזרק זרם</v>
          </cell>
          <cell r="D6267">
            <v>43693</v>
          </cell>
        </row>
        <row r="6268">
          <cell r="A6268" t="str">
            <v>WBM-00825</v>
          </cell>
          <cell r="B6268" t="str">
            <v>גן שורק</v>
          </cell>
          <cell r="C6268" t="str">
            <v>גן שורק - בוטל-שדה 7 תקשורת בין הגנות</v>
          </cell>
          <cell r="D6268">
            <v>41802</v>
          </cell>
        </row>
        <row r="6269">
          <cell r="A6269" t="str">
            <v>WBM-00818</v>
          </cell>
          <cell r="B6269" t="str">
            <v>גן שורק</v>
          </cell>
          <cell r="C6269" t="str">
            <v>גן שורק - בוטל-קשר בין הגנות לאיילון</v>
          </cell>
          <cell r="D6269">
            <v>41341</v>
          </cell>
        </row>
        <row r="6270">
          <cell r="A6270" t="str">
            <v>WBM-00185</v>
          </cell>
          <cell r="B6270" t="str">
            <v>גן שורק</v>
          </cell>
          <cell r="C6270" t="str">
            <v>גן שורק-בוטל-הקמת טבעת N150 OM</v>
          </cell>
          <cell r="D6270">
            <v>41943</v>
          </cell>
        </row>
        <row r="6271">
          <cell r="A6271" t="str">
            <v>WBM-00432</v>
          </cell>
          <cell r="B6271" t="str">
            <v>גן שורק</v>
          </cell>
          <cell r="C6271" t="str">
            <v>גן שורק-התקנת מערכת התראה ביטחונית</v>
          </cell>
          <cell r="D6271">
            <v>39690</v>
          </cell>
        </row>
        <row r="6272">
          <cell r="A6272" t="str">
            <v>WBM-00436</v>
          </cell>
          <cell r="B6272" t="str">
            <v>גן שורק</v>
          </cell>
          <cell r="C6272" t="str">
            <v>גן שורק-בוטל-התקנת מאווררים בארונות פיק</v>
          </cell>
          <cell r="D6272">
            <v>40311</v>
          </cell>
        </row>
        <row r="6273">
          <cell r="A6273" t="str">
            <v>WBM-00167</v>
          </cell>
          <cell r="B6273" t="str">
            <v>גן שורק</v>
          </cell>
          <cell r="C6273" t="str">
            <v>גן שורק-בוטל-התקנת ציוד קשר בין ה.מרחק</v>
          </cell>
          <cell r="D6273">
            <v>39983</v>
          </cell>
        </row>
        <row r="6274">
          <cell r="A6274" t="str">
            <v>WBM-00434</v>
          </cell>
          <cell r="B6274" t="str">
            <v>גן שורק</v>
          </cell>
          <cell r="C6274" t="str">
            <v>גן שורק-בוטל-עיגון דיזל גנרטור</v>
          </cell>
          <cell r="D6274">
            <v>41249</v>
          </cell>
        </row>
        <row r="6275">
          <cell r="A6275" t="str">
            <v>WBM-01012</v>
          </cell>
          <cell r="B6275" t="str">
            <v>גן שורק</v>
          </cell>
          <cell r="C6275" t="str">
            <v>גן שורק-בוטל-הוספת מהדקים לפיזור חום</v>
          </cell>
          <cell r="D6275">
            <v>39262</v>
          </cell>
        </row>
        <row r="6276">
          <cell r="A6276" t="str">
            <v>WBM-00435</v>
          </cell>
          <cell r="B6276" t="str">
            <v>גן שורק</v>
          </cell>
          <cell r="C6276" t="str">
            <v>גן שורק-בוטל-התקנת מצוף התראה למיכל דלק</v>
          </cell>
          <cell r="D6276">
            <v>39646</v>
          </cell>
        </row>
        <row r="6277">
          <cell r="A6277" t="str">
            <v>WBM-00158</v>
          </cell>
          <cell r="B6277" t="str">
            <v>גן שורק</v>
          </cell>
          <cell r="C6277" t="str">
            <v>גן שורק-בוטל-עיגון ריצפה צפה,מטענים,</v>
          </cell>
          <cell r="D6277">
            <v>40640</v>
          </cell>
        </row>
        <row r="6278">
          <cell r="A6278" t="str">
            <v>WBM-01373</v>
          </cell>
          <cell r="B6278" t="str">
            <v>גן שורק</v>
          </cell>
          <cell r="C6278" t="str">
            <v>גן שורק-מיגון מתקנים פיזי</v>
          </cell>
          <cell r="D6278">
            <v>44985</v>
          </cell>
        </row>
        <row r="6279">
          <cell r="A6279" t="str">
            <v>WBM-00266</v>
          </cell>
          <cell r="B6279" t="str">
            <v>גן שורק</v>
          </cell>
          <cell r="C6279" t="str">
            <v>גן שורק-חיבור קו  מאיילון לדיאמט.C3, C4</v>
          </cell>
          <cell r="D6279">
            <v>42180</v>
          </cell>
        </row>
        <row r="6280">
          <cell r="A6280" t="str">
            <v>WBL-003-037</v>
          </cell>
          <cell r="B6280" t="str">
            <v>גן שורק</v>
          </cell>
          <cell r="C6280" t="str">
            <v>גן שורק-החלפת ה.מרחק וה.דיפר. בש. 4B</v>
          </cell>
          <cell r="D6280">
            <v>41363</v>
          </cell>
        </row>
        <row r="6281">
          <cell r="A6281" t="str">
            <v>WBM-10481</v>
          </cell>
          <cell r="B6281" t="str">
            <v>גן שורק</v>
          </cell>
          <cell r="C6281" t="str">
            <v>גן שורק - בוטל-הרכבת הגנה דיפרנציאלית SEL311 בשדה 9</v>
          </cell>
        </row>
        <row r="6282">
          <cell r="A6282" t="str">
            <v>WBM-00885-028</v>
          </cell>
          <cell r="B6282" t="str">
            <v>גן שורק</v>
          </cell>
          <cell r="C6282" t="str">
            <v>גן שורק - להחליף ברזי הסנקה ומגוף הזנה</v>
          </cell>
          <cell r="D6282">
            <v>46751</v>
          </cell>
        </row>
        <row r="6283">
          <cell r="A6283" t="str">
            <v>WBM-01341-001</v>
          </cell>
          <cell r="B6283" t="str">
            <v>גן שורק</v>
          </cell>
          <cell r="C6283" t="str">
            <v>גן שורק - שיפוץ מסדרי GIS</v>
          </cell>
          <cell r="D6283">
            <v>47664</v>
          </cell>
        </row>
        <row r="6284">
          <cell r="A6284" t="str">
            <v>WBM-10315-028</v>
          </cell>
          <cell r="B6284" t="str">
            <v>גן שורק</v>
          </cell>
          <cell r="C6284" t="str">
            <v>גן שורק - החלפת מזגנים</v>
          </cell>
          <cell r="D6284">
            <v>45621</v>
          </cell>
        </row>
        <row r="6285">
          <cell r="A6285" t="str">
            <v>WBM-10456-008</v>
          </cell>
          <cell r="B6285" t="str">
            <v>גן שורק</v>
          </cell>
          <cell r="C6285" t="str">
            <v>גן-שורק - הוספת מתמרים ב-3 פ"צ</v>
          </cell>
          <cell r="D6285">
            <v>46477</v>
          </cell>
        </row>
        <row r="6286">
          <cell r="A6286" t="str">
            <v>WBM-40295-033</v>
          </cell>
          <cell r="B6286" t="str">
            <v>גן שורק</v>
          </cell>
          <cell r="C6286" t="str">
            <v>גן שורק -החלפת 2 סוללות 530AH</v>
          </cell>
          <cell r="D6286">
            <v>46721</v>
          </cell>
        </row>
        <row r="6287">
          <cell r="A6287" t="str">
            <v>WBM-40479-002</v>
          </cell>
          <cell r="B6287" t="str">
            <v>גן שורק</v>
          </cell>
          <cell r="C6287" t="str">
            <v>גן שורק- החלפת 9 בקרי טמפ' וגובה שמן בשנ</v>
          </cell>
          <cell r="D6287">
            <v>45621</v>
          </cell>
        </row>
        <row r="6288">
          <cell r="A6288" t="str">
            <v>WBM-60116-005</v>
          </cell>
          <cell r="B6288" t="str">
            <v>גן שורק</v>
          </cell>
          <cell r="C6288" t="str">
            <v>גן שורק - שידרוג גלאים בתחנות משנה ומיתו</v>
          </cell>
          <cell r="D6288">
            <v>46387</v>
          </cell>
        </row>
        <row r="6289">
          <cell r="A6289" t="str">
            <v>WBM-80002-020</v>
          </cell>
          <cell r="B6289" t="str">
            <v>גן שורק</v>
          </cell>
          <cell r="C6289" t="str">
            <v>גן שורק- הסבות</v>
          </cell>
          <cell r="D6289">
            <v>46198</v>
          </cell>
        </row>
        <row r="6290">
          <cell r="A6290" t="str">
            <v>WBM-80002-024</v>
          </cell>
          <cell r="B6290" t="str">
            <v>גן שורק</v>
          </cell>
          <cell r="C6290" t="str">
            <v>גן שורק 400 - הסבות</v>
          </cell>
          <cell r="D6290">
            <v>46216</v>
          </cell>
        </row>
        <row r="6291">
          <cell r="A6291" t="str">
            <v>WBM-80002-025</v>
          </cell>
          <cell r="B6291" t="str">
            <v>גן שורק</v>
          </cell>
          <cell r="C6291" t="str">
            <v>גן שורק 161 - הסבות</v>
          </cell>
          <cell r="D6291">
            <v>46295</v>
          </cell>
        </row>
        <row r="6292">
          <cell r="A6292" t="str">
            <v>WBM-80023-002</v>
          </cell>
          <cell r="B6292" t="str">
            <v>גן שורק</v>
          </cell>
          <cell r="C6292" t="str">
            <v>גן שורק -שדרוג התקשורת התפעולית</v>
          </cell>
          <cell r="D6292">
            <v>46022</v>
          </cell>
        </row>
        <row r="6293">
          <cell r="A6293" t="str">
            <v>WBM-60088-035</v>
          </cell>
          <cell r="B6293" t="str">
            <v>גן שורק</v>
          </cell>
          <cell r="C6293" t="str">
            <v>גן שורק - בוטל-התקנת תשתית ביוב</v>
          </cell>
        </row>
        <row r="6294">
          <cell r="A6294" t="str">
            <v>WBM-60130-059</v>
          </cell>
          <cell r="B6294" t="str">
            <v>גן שורק</v>
          </cell>
          <cell r="C6294" t="str">
            <v>גן שורק - התקנת מפסק פטריה להפסקת מערכת החשמל בחירום</v>
          </cell>
          <cell r="D6294">
            <v>46568</v>
          </cell>
        </row>
        <row r="6295">
          <cell r="A6295" t="str">
            <v>WBM-00885-129</v>
          </cell>
          <cell r="B6295" t="str">
            <v>גן שורק</v>
          </cell>
          <cell r="C6295" t="str">
            <v>גן שורק - תחמ"ג, אפיון מים</v>
          </cell>
          <cell r="D6295">
            <v>45607</v>
          </cell>
        </row>
        <row r="6296">
          <cell r="A6296" t="str">
            <v>WBM-10693</v>
          </cell>
          <cell r="B6296" t="str">
            <v>גן שורק</v>
          </cell>
          <cell r="C6296" t="str">
            <v>גן שורק - משיק לחולון שדה 7,  התקנת הגנה דיפרנציאלית P545SCHNEIDER  בשדה 21</v>
          </cell>
          <cell r="D6296">
            <v>46326</v>
          </cell>
        </row>
        <row r="6297">
          <cell r="A6297" t="str">
            <v>WBM-10694</v>
          </cell>
          <cell r="B6297" t="str">
            <v>גן שורק</v>
          </cell>
          <cell r="C6297" t="str">
            <v>גן שורק - משיק לחולון שדה 7,  התקנת הגנת מרחק בשדה 21</v>
          </cell>
          <cell r="D6297">
            <v>46326</v>
          </cell>
        </row>
        <row r="6298">
          <cell r="A6298" t="str">
            <v>WBM-60205-012</v>
          </cell>
          <cell r="B6298" t="str">
            <v>גן שורק</v>
          </cell>
          <cell r="C6298" t="str">
            <v>גן שורק - ניטור הצפות</v>
          </cell>
          <cell r="D6298">
            <v>46175</v>
          </cell>
        </row>
        <row r="6299">
          <cell r="A6299" t="str">
            <v>WBK-022</v>
          </cell>
          <cell r="B6299" t="str">
            <v>גן שורק</v>
          </cell>
          <cell r="C6299" t="str">
            <v>גן שורק- מסדר 400 ק"ו- הקמת דיאמטרים 5,6 לחיבור 4 מעגלי 400 ק"ו מתחמ"ג תקומה ודן (מורשה)</v>
          </cell>
          <cell r="D6299">
            <v>48699</v>
          </cell>
        </row>
        <row r="6300">
          <cell r="A6300" t="str">
            <v>WBM-10751</v>
          </cell>
          <cell r="B6300" t="str">
            <v>גן שורק</v>
          </cell>
          <cell r="C6300" t="str">
            <v>גן שורק -משיק לקניונים שדה 9, התקנת הגנה דיפרנציאלית ויישום דרך קשר אופטית בין הגנות  בשדה 21</v>
          </cell>
          <cell r="D6300">
            <v>46223</v>
          </cell>
        </row>
        <row r="6301">
          <cell r="A6301" t="str">
            <v>WBM-10752</v>
          </cell>
          <cell r="B6301" t="str">
            <v>גן שורק</v>
          </cell>
          <cell r="C6301" t="str">
            <v>גן שורק- משיק לקניונים שדה 9, התקנת הגנת מרחק ויישום דרך קשר אופטית בין הגנות  161 ק"ו בשדה 21</v>
          </cell>
          <cell r="D6301">
            <v>46326</v>
          </cell>
        </row>
        <row r="6302">
          <cell r="A6302" t="str">
            <v>WBM-10315-083</v>
          </cell>
          <cell r="B6302" t="str">
            <v>גן שורק</v>
          </cell>
          <cell r="C6302" t="str">
            <v>גן שורק- התקנת מזגנים</v>
          </cell>
          <cell r="D6302">
            <v>45900</v>
          </cell>
        </row>
        <row r="6303">
          <cell r="A6303" t="str">
            <v>WBE-287</v>
          </cell>
          <cell r="B6303" t="str">
            <v>גן שורק</v>
          </cell>
          <cell r="C6303" t="str">
            <v>גן שורק-חיבור 4 מעגלי כבלים מתח"כ שורק 900 לשדות 6,7,8,9</v>
          </cell>
          <cell r="D6303">
            <v>46964</v>
          </cell>
        </row>
        <row r="6304">
          <cell r="A6304" t="str">
            <v>WBM-70051</v>
          </cell>
          <cell r="B6304" t="str">
            <v>גן שורק</v>
          </cell>
          <cell r="C6304" t="str">
            <v>גן שורק – פירוק משנקים  בשדות 1+2</v>
          </cell>
          <cell r="D6304">
            <v>46507</v>
          </cell>
        </row>
        <row r="6305">
          <cell r="A6305" t="str">
            <v>0243131</v>
          </cell>
          <cell r="B6305" t="str">
            <v>גן רווה ארעית</v>
          </cell>
          <cell r="C6305" t="str">
            <v>גן רווה- החלפת שנאי 522</v>
          </cell>
          <cell r="D6305">
            <v>36164</v>
          </cell>
        </row>
        <row r="6306">
          <cell r="A6306" t="str">
            <v>WBM-10665</v>
          </cell>
          <cell r="B6306" t="str">
            <v>גן רווה ארעית</v>
          </cell>
          <cell r="C6306" t="str">
            <v>גן רווה ארעית- משיק  גן רווה ש3,  יישום דרך קשר אופטית בין הגנות בשדה 5</v>
          </cell>
          <cell r="D6306">
            <v>45809</v>
          </cell>
        </row>
        <row r="6307">
          <cell r="A6307" t="str">
            <v>HIS-005</v>
          </cell>
          <cell r="B6307" t="str">
            <v>גן רווה</v>
          </cell>
          <cell r="C6307" t="str">
            <v>גן רווה ארעית</v>
          </cell>
          <cell r="D6307">
            <v>40908</v>
          </cell>
        </row>
        <row r="6308">
          <cell r="A6308" t="str">
            <v>WBC-061-ST2</v>
          </cell>
          <cell r="B6308" t="str">
            <v>גן רווה</v>
          </cell>
          <cell r="C6308" t="str">
            <v>גן רווה-שולב-שלב 2-שדרוג שדה קו ושדה שנאי והחלפת שנאי</v>
          </cell>
        </row>
        <row r="6309">
          <cell r="A6309" t="str">
            <v>WBC-061</v>
          </cell>
          <cell r="B6309" t="str">
            <v>גן רווה</v>
          </cell>
          <cell r="C6309" t="str">
            <v>גן רווה-הקמת תחמ"ש חיצונית קבועה 161/24 ק"ו</v>
          </cell>
          <cell r="D6309">
            <v>45838</v>
          </cell>
        </row>
        <row r="6310">
          <cell r="A6310" t="str">
            <v>WDA-1-02-15-13</v>
          </cell>
          <cell r="B6310" t="str">
            <v>גן רווה</v>
          </cell>
          <cell r="C6310" t="str">
            <v>גן רווה אר-החלפת יחידת קצה של פיקוח ארצי</v>
          </cell>
          <cell r="D6310">
            <v>42855</v>
          </cell>
        </row>
        <row r="6311">
          <cell r="A6311" t="str">
            <v>WBM-00724</v>
          </cell>
          <cell r="B6311" t="str">
            <v>גן רווה</v>
          </cell>
          <cell r="C6311" t="str">
            <v>גן רווה-בוטל-התקנת 2 ס"ק 5*2 מגוא"ר</v>
          </cell>
          <cell r="D6311">
            <v>40904</v>
          </cell>
        </row>
        <row r="6312">
          <cell r="A6312" t="str">
            <v>WBM-00026</v>
          </cell>
          <cell r="B6312" t="str">
            <v>גן רווה</v>
          </cell>
          <cell r="C6312" t="str">
            <v>גן רווה-בוטל-התקנת 2 הגנת פ"צ 161 ק"ו</v>
          </cell>
        </row>
        <row r="6313">
          <cell r="A6313" t="str">
            <v>WBM-40056</v>
          </cell>
          <cell r="B6313" t="str">
            <v>גן רווה</v>
          </cell>
          <cell r="C6313" t="str">
            <v>גן רווה ארעית- בוטל-החלפת 8 הגנות מ"ג 7SJ512</v>
          </cell>
        </row>
        <row r="6314">
          <cell r="A6314" t="str">
            <v>WBM-10041</v>
          </cell>
          <cell r="B6314" t="str">
            <v>גן רווה</v>
          </cell>
          <cell r="C6314" t="str">
            <v>גן רווה - בוטל- התקנת רושם הפרעות</v>
          </cell>
        </row>
        <row r="6315">
          <cell r="A6315" t="str">
            <v>WBM-01005</v>
          </cell>
          <cell r="B6315" t="str">
            <v>גן רווה</v>
          </cell>
          <cell r="C6315" t="str">
            <v>גן רווה ארעית- החלפת הגנת מרחק ליבנה</v>
          </cell>
          <cell r="D6315">
            <v>44119</v>
          </cell>
        </row>
        <row r="6316">
          <cell r="A6316" t="str">
            <v>WBG-025-010</v>
          </cell>
          <cell r="B6316" t="str">
            <v>גן רווה</v>
          </cell>
          <cell r="C6316" t="str">
            <v>גן רווה ארעית-שדרוג מערכת DVR</v>
          </cell>
          <cell r="D6316">
            <v>41577</v>
          </cell>
        </row>
        <row r="6317">
          <cell r="A6317" t="str">
            <v>WBG-025-004-ST2</v>
          </cell>
          <cell r="B6317" t="str">
            <v>גן רווה</v>
          </cell>
          <cell r="C6317" t="str">
            <v>גן רווה ארעית-הוספת הגנת מרחק שנייה: 1,5</v>
          </cell>
          <cell r="D6317">
            <v>41316</v>
          </cell>
        </row>
        <row r="6318">
          <cell r="A6318" t="str">
            <v>WBG-025-007</v>
          </cell>
          <cell r="B6318" t="str">
            <v>גן רווה</v>
          </cell>
          <cell r="C6318" t="str">
            <v>גן רווה ארעית-התקנת מערכת מניה</v>
          </cell>
          <cell r="D6318">
            <v>41253</v>
          </cell>
        </row>
        <row r="6319">
          <cell r="A6319" t="str">
            <v>WBG-025-006</v>
          </cell>
          <cell r="B6319" t="str">
            <v>גן רווה</v>
          </cell>
          <cell r="C6319" t="str">
            <v>גן רווה ארעית-החלפת מערכת התראה בטחונית</v>
          </cell>
          <cell r="D6319">
            <v>39690</v>
          </cell>
        </row>
        <row r="6320">
          <cell r="A6320" t="str">
            <v>WBG-025-008</v>
          </cell>
          <cell r="B6320" t="str">
            <v>גן רווה</v>
          </cell>
          <cell r="C6320" t="str">
            <v>גן רווה ארעית-התקנת תקשורת מנהלתית</v>
          </cell>
          <cell r="D6320">
            <v>40907</v>
          </cell>
        </row>
        <row r="6321">
          <cell r="A6321" t="str">
            <v>WBM-00027</v>
          </cell>
          <cell r="B6321" t="str">
            <v>גן רווה</v>
          </cell>
          <cell r="C6321" t="str">
            <v>גן רווה ארעית-התקנת ארון ז"י 48 וולט</v>
          </cell>
          <cell r="D6321">
            <v>40332</v>
          </cell>
        </row>
        <row r="6322">
          <cell r="A6322" t="str">
            <v>WBM-00028</v>
          </cell>
          <cell r="B6322" t="str">
            <v>גן רווה</v>
          </cell>
          <cell r="C6322" t="str">
            <v>גן רווה ארעית-בוטל-התקנת מיכל מים</v>
          </cell>
          <cell r="D6322">
            <v>41046</v>
          </cell>
        </row>
        <row r="6323">
          <cell r="A6323" t="str">
            <v>WBM-00265</v>
          </cell>
          <cell r="B6323" t="str">
            <v>גן רווה</v>
          </cell>
          <cell r="C6323" t="str">
            <v>גן רווה ארעית-בוטל-התאמת שדה מס' 1</v>
          </cell>
          <cell r="D6323">
            <v>41390</v>
          </cell>
        </row>
        <row r="6324">
          <cell r="A6324" t="str">
            <v>WBE-079</v>
          </cell>
          <cell r="B6324" t="str">
            <v>גן רווה</v>
          </cell>
          <cell r="C6324" t="str">
            <v>גן רווה-בוטל-החלפת שנאי שני</v>
          </cell>
          <cell r="D6324">
            <v>43220</v>
          </cell>
        </row>
        <row r="6325">
          <cell r="A6325" t="str">
            <v>WBC-061-ST1</v>
          </cell>
          <cell r="B6325" t="str">
            <v>גן רווה</v>
          </cell>
          <cell r="C6325" t="str">
            <v>גן רווה-שולב-שלב 1: הקמת בנין פיקוד ופ''צ חדש</v>
          </cell>
        </row>
        <row r="6326">
          <cell r="A6326" t="str">
            <v>WBC-061-ST3</v>
          </cell>
          <cell r="B6326" t="str">
            <v>גן רווה</v>
          </cell>
          <cell r="C6326" t="str">
            <v>גן רווה ארעית- הוצאה מניצול של התחמ"ש הארעית</v>
          </cell>
          <cell r="D6326">
            <v>45826</v>
          </cell>
        </row>
        <row r="6327">
          <cell r="A6327" t="str">
            <v>WBM-00885-090</v>
          </cell>
          <cell r="B6327" t="str">
            <v>גן רווה</v>
          </cell>
          <cell r="C6327" t="str">
            <v>גן רווה - חיבור מים קבוע</v>
          </cell>
          <cell r="D6327">
            <v>46217</v>
          </cell>
        </row>
        <row r="6328">
          <cell r="A6328" t="str">
            <v>WBC-061-ST4</v>
          </cell>
          <cell r="B6328" t="str">
            <v>גן רווה</v>
          </cell>
          <cell r="C6328" t="str">
            <v>גן רווה ארעית- פירוק ציוד  בתחמ"ש הארעית</v>
          </cell>
          <cell r="D6328">
            <v>46234</v>
          </cell>
        </row>
        <row r="6329">
          <cell r="A6329" t="str">
            <v>WBC-085</v>
          </cell>
          <cell r="B6329" t="str">
            <v>גן יבנה</v>
          </cell>
          <cell r="C6329" t="str">
            <v>גן יבנה- הקמת תחמ"ש חיצונית 161/24 ק"ו</v>
          </cell>
          <cell r="D6329">
            <v>51439</v>
          </cell>
        </row>
        <row r="6330">
          <cell r="A6330" t="str">
            <v>WBM-60092-049</v>
          </cell>
          <cell r="B6330" t="str">
            <v>גן יבנה</v>
          </cell>
          <cell r="C6330" t="str">
            <v>יבנה - בדיקות/טיפול/פינוי מכלי אש בגז</v>
          </cell>
          <cell r="D6330">
            <v>46387</v>
          </cell>
        </row>
        <row r="6331">
          <cell r="A6331" t="str">
            <v>WBC-080</v>
          </cell>
          <cell r="B6331" t="str">
            <v>גלילות</v>
          </cell>
          <cell r="C6331" t="str">
            <v>גלילות- הוקפא - הקמת תחמ"ש פנימית 161/24 ק"ו</v>
          </cell>
        </row>
        <row r="6332">
          <cell r="A6332" t="str">
            <v>WCT-7-00-01181</v>
          </cell>
          <cell r="B6332" t="str">
            <v>גליל וגולן 2703</v>
          </cell>
          <cell r="C6332" t="str">
            <v>בטיחות - סילוק מפגעים; מ"ב גליל גולן</v>
          </cell>
          <cell r="D6332">
            <v>46752</v>
          </cell>
        </row>
        <row r="6333">
          <cell r="A6333" t="str">
            <v>WHP-7-00-01180</v>
          </cell>
          <cell r="B6333" t="str">
            <v>גליל וגולן 2703</v>
          </cell>
          <cell r="C6333" t="str">
            <v>יצור מבוזר גליל גולן</v>
          </cell>
          <cell r="D6333">
            <v>49310</v>
          </cell>
        </row>
        <row r="6334">
          <cell r="A6334" t="str">
            <v>WHP-7-00-01198</v>
          </cell>
          <cell r="B6334" t="str">
            <v>גליל וגולן 2703</v>
          </cell>
          <cell r="C6334" t="str">
            <v>אספקת חשמל לשכונת יערית-שלומי</v>
          </cell>
          <cell r="D6334">
            <v>46387</v>
          </cell>
        </row>
        <row r="6335">
          <cell r="A6335" t="str">
            <v>WHP-7-00-01201</v>
          </cell>
          <cell r="B6335" t="str">
            <v>גליל וגולן 2703</v>
          </cell>
          <cell r="C6335" t="str">
            <v>אספקת חשמל לקצרין מערב</v>
          </cell>
          <cell r="D6335">
            <v>46022</v>
          </cell>
        </row>
        <row r="6336">
          <cell r="A6336" t="str">
            <v>WHP-7-00-01247</v>
          </cell>
          <cell r="B6336" t="str">
            <v>גליל וגולן 2703</v>
          </cell>
          <cell r="C6336" t="str">
            <v>אספקה וחיבור חשמל לרכב חשמלי גליל וגולן</v>
          </cell>
          <cell r="D6336">
            <v>49674</v>
          </cell>
        </row>
        <row r="6337">
          <cell r="A6337" t="str">
            <v>WHP-7-00-01302</v>
          </cell>
          <cell r="B6337" t="str">
            <v>גליל וגולן 2703</v>
          </cell>
          <cell r="C6337" t="str">
            <v>פרויקט אר"ן - טורבינות רוח- צפון רמה"ג</v>
          </cell>
          <cell r="D6337">
            <v>47118</v>
          </cell>
        </row>
        <row r="6338">
          <cell r="A6338" t="str">
            <v>WCQ-7-00-01284</v>
          </cell>
          <cell r="B6338" t="str">
            <v>גליל וגולן 2703</v>
          </cell>
          <cell r="C6338" t="str">
            <v>יציאות מתחמ"ש כברי</v>
          </cell>
          <cell r="D6338">
            <v>45657</v>
          </cell>
        </row>
        <row r="6339">
          <cell r="A6339" t="str">
            <v>WHP-7-00-01194</v>
          </cell>
          <cell r="B6339" t="str">
            <v>גליל וגולן 2703</v>
          </cell>
          <cell r="C6339" t="str">
            <v>אספקת חשמל לשכונת רמות רזים-צפת</v>
          </cell>
          <cell r="D6339">
            <v>46752</v>
          </cell>
        </row>
        <row r="6340">
          <cell r="A6340" t="str">
            <v>WHP-7-00-01195</v>
          </cell>
          <cell r="B6340" t="str">
            <v>גליל וגולן 2703</v>
          </cell>
          <cell r="C6340" t="str">
            <v>אספקת חשמל לשכונת הר כרמי</v>
          </cell>
          <cell r="D6340">
            <v>46752</v>
          </cell>
        </row>
        <row r="6341">
          <cell r="A6341" t="str">
            <v>WHP-7-00-01199</v>
          </cell>
          <cell r="B6341" t="str">
            <v>גליל וגולן 2703</v>
          </cell>
          <cell r="C6341" t="str">
            <v>אספ.חש.שכונה מזרחית-נהריה</v>
          </cell>
          <cell r="D6341">
            <v>45657</v>
          </cell>
        </row>
        <row r="6342">
          <cell r="A6342" t="str">
            <v>WHP-7-00-01200</v>
          </cell>
          <cell r="B6342" t="str">
            <v>גליל וגולן 2703</v>
          </cell>
          <cell r="C6342" t="str">
            <v>אספקת חשמל להרחבת הישוב כפר קמא</v>
          </cell>
          <cell r="D6342">
            <v>46022</v>
          </cell>
        </row>
        <row r="6343">
          <cell r="A6343" t="str">
            <v>WHP-7-00-01202</v>
          </cell>
          <cell r="B6343" t="str">
            <v>גליל וגולן 2703</v>
          </cell>
          <cell r="C6343" t="str">
            <v>אספקת חשמל לשכונת המושבה טבריה</v>
          </cell>
          <cell r="D6343">
            <v>46752</v>
          </cell>
        </row>
        <row r="6344">
          <cell r="A6344" t="str">
            <v>WHP-7-00-01203</v>
          </cell>
          <cell r="B6344" t="str">
            <v>גליל וגולן 2703</v>
          </cell>
          <cell r="C6344" t="str">
            <v>אספקת חשמל למוצבים ברמת הגולן</v>
          </cell>
          <cell r="D6344">
            <v>46752</v>
          </cell>
        </row>
        <row r="6345">
          <cell r="A6345" t="str">
            <v>WCS-7-00-00707</v>
          </cell>
          <cell r="B6345" t="str">
            <v>גליל וגולן 2703</v>
          </cell>
          <cell r="C6345" t="str">
            <v>חידוש אמינות; מ"ב גליל</v>
          </cell>
          <cell r="D6345">
            <v>45291</v>
          </cell>
        </row>
        <row r="6346">
          <cell r="A6346" t="str">
            <v>WHP-7-00-01240</v>
          </cell>
          <cell r="B6346" t="str">
            <v>גליל וגולן 2703</v>
          </cell>
          <cell r="C6346" t="str">
            <v>אספקת חשמל לשערי עכו</v>
          </cell>
          <cell r="D6346">
            <v>47848</v>
          </cell>
        </row>
        <row r="6347">
          <cell r="A6347" t="str">
            <v>WHP-7-00-01320</v>
          </cell>
          <cell r="B6347" t="str">
            <v>גליל וגולן 2703</v>
          </cell>
          <cell r="C6347" t="str">
            <v>העתקת רשת מ"ג כביש 65- מ"ב גליל גולן</v>
          </cell>
          <cell r="D6347">
            <v>45046</v>
          </cell>
        </row>
        <row r="6348">
          <cell r="A6348" t="str">
            <v>WCS-7-00-01397</v>
          </cell>
          <cell r="B6348" t="str">
            <v>גליל וגולן 2703</v>
          </cell>
          <cell r="C6348" t="str">
            <v>גליל גולן- אמינות תוספתי</v>
          </cell>
          <cell r="D6348">
            <v>49674</v>
          </cell>
        </row>
        <row r="6349">
          <cell r="A6349" t="str">
            <v>WCQ-7-00-01394</v>
          </cell>
          <cell r="B6349" t="str">
            <v>גליל וגולן 2703</v>
          </cell>
          <cell r="C6349" t="str">
            <v>יציאות מתחמ"ש אבליים- מ"ב ג"ג</v>
          </cell>
          <cell r="D6349">
            <v>46265</v>
          </cell>
        </row>
        <row r="6350">
          <cell r="A6350" t="str">
            <v>WCS-7-00-01410</v>
          </cell>
          <cell r="B6350" t="str">
            <v>גליל וגולן 2703</v>
          </cell>
          <cell r="C6350" t="str">
            <v>גליל גולן - אמינות חידוש</v>
          </cell>
          <cell r="D6350">
            <v>49674</v>
          </cell>
        </row>
        <row r="6351">
          <cell r="A6351" t="str">
            <v>WCS-7-00-01327</v>
          </cell>
          <cell r="B6351" t="str">
            <v>גליל וגולן 2703</v>
          </cell>
          <cell r="C6351" t="str">
            <v>מיגון רכיבי רשת להגנה על ציפורים-ג"ג</v>
          </cell>
          <cell r="D6351">
            <v>46752</v>
          </cell>
        </row>
        <row r="6352">
          <cell r="A6352" t="str">
            <v>WCQ-7-00-01352</v>
          </cell>
          <cell r="B6352" t="str">
            <v>גליל וגולן 2703</v>
          </cell>
          <cell r="C6352" t="str">
            <v>יציאות מתחמ"ש פוריה</v>
          </cell>
          <cell r="D6352">
            <v>45961</v>
          </cell>
        </row>
        <row r="6353">
          <cell r="A6353" t="str">
            <v>WCQ-7-00-01351</v>
          </cell>
          <cell r="B6353" t="str">
            <v>גליל וגולן 2703</v>
          </cell>
          <cell r="C6353" t="str">
            <v>יציאות מתחמ"ש כורסי</v>
          </cell>
          <cell r="D6353">
            <v>45838</v>
          </cell>
        </row>
        <row r="6354">
          <cell r="A6354" t="str">
            <v>WCQ-7-00-01355</v>
          </cell>
          <cell r="B6354" t="str">
            <v>גליל וגולן 2703</v>
          </cell>
          <cell r="C6354" t="str">
            <v>יציאות מתחמ"ש ניידת בראון</v>
          </cell>
          <cell r="D6354">
            <v>45838</v>
          </cell>
        </row>
        <row r="6355">
          <cell r="A6355" t="str">
            <v>WCQ-7-00-01430</v>
          </cell>
          <cell r="B6355" t="str">
            <v>גליל וגולן 2703</v>
          </cell>
          <cell r="C6355" t="str">
            <v>יציאות מתחמ"ש יאסיף (מקטע מ"ב גליל גולן)</v>
          </cell>
          <cell r="D6355">
            <v>46387</v>
          </cell>
        </row>
        <row r="6356">
          <cell r="A6356" t="str">
            <v>WHP-7-00-01432</v>
          </cell>
          <cell r="B6356" t="str">
            <v>גליל וגולן 2703</v>
          </cell>
          <cell r="C6356" t="str">
            <v>אספקת חשמל לשכונת סער בנהריה</v>
          </cell>
          <cell r="D6356">
            <v>46752</v>
          </cell>
        </row>
        <row r="6357">
          <cell r="A6357" t="str">
            <v>WHP-7-00-01250</v>
          </cell>
          <cell r="B6357" t="str">
            <v>גליל וגולן 2703</v>
          </cell>
          <cell r="C6357" t="str">
            <v>חיבור מוסדות חינוך לרשת החשמל - גליל גולן</v>
          </cell>
          <cell r="D6357">
            <v>49674</v>
          </cell>
        </row>
        <row r="6358">
          <cell r="A6358" t="str">
            <v>WCQ-7-00-01439</v>
          </cell>
          <cell r="B6358" t="str">
            <v>גליל וגולן 2703</v>
          </cell>
          <cell r="C6358" t="str">
            <v>יציאות מתחמ"ש צחר</v>
          </cell>
          <cell r="D6358">
            <v>46387</v>
          </cell>
        </row>
        <row r="6359">
          <cell r="A6359" t="str">
            <v>WHP-7-00-01452</v>
          </cell>
          <cell r="B6359" t="str">
            <v>גליל וגולן 2703</v>
          </cell>
          <cell r="C6359" t="str">
            <v>אספקת חשמל לרובע 12 קצרין</v>
          </cell>
          <cell r="D6359">
            <v>47118</v>
          </cell>
        </row>
        <row r="6360">
          <cell r="A6360" t="str">
            <v>WCS-7-00-01456</v>
          </cell>
          <cell r="B6360" t="str">
            <v>גליל וגולן 2703</v>
          </cell>
          <cell r="C6360" t="str">
            <v>בוטל</v>
          </cell>
          <cell r="D6360">
            <v>46022</v>
          </cell>
        </row>
        <row r="6361">
          <cell r="A6361" t="str">
            <v>WCS-7-00-01493</v>
          </cell>
          <cell r="B6361" t="str">
            <v>גליל וגולן 2703</v>
          </cell>
          <cell r="C6361" t="str">
            <v>קווי העימות תוספתי - מרחב גליל גולן</v>
          </cell>
          <cell r="D6361">
            <v>47483</v>
          </cell>
        </row>
        <row r="6362">
          <cell r="A6362" t="str">
            <v>WCS-7-00-01494</v>
          </cell>
          <cell r="B6362" t="str">
            <v>גליל וגולן 2703</v>
          </cell>
          <cell r="C6362" t="str">
            <v>קווי העימות חידוש - מרחב גליל גולן</v>
          </cell>
          <cell r="D6362">
            <v>47483</v>
          </cell>
        </row>
        <row r="6363">
          <cell r="A6363" t="str">
            <v>WHP-7-00-01503</v>
          </cell>
          <cell r="B6363" t="str">
            <v>גליל וגולן 2703</v>
          </cell>
          <cell r="C6363" t="str">
            <v>הגרלה ייצור מבוזר גליל גולן</v>
          </cell>
          <cell r="D6363">
            <v>46022</v>
          </cell>
        </row>
        <row r="6364">
          <cell r="A6364" t="str">
            <v>WHP-7-00-01518</v>
          </cell>
          <cell r="B6364" t="str">
            <v>גליל וגולן 2703</v>
          </cell>
          <cell r="C6364" t="str">
            <v>אספקת חשמל לשכונת משולש בן עמי בנהריה</v>
          </cell>
          <cell r="D6364">
            <v>47848</v>
          </cell>
        </row>
        <row r="6365">
          <cell r="A6365" t="str">
            <v>WHP-7-00-01519</v>
          </cell>
          <cell r="B6365" t="str">
            <v>גליל וגולן 2703</v>
          </cell>
          <cell r="C6365" t="str">
            <v>הטמנת רשת מ"ג לטובת סלילת כביש 6 מקטע 8+9</v>
          </cell>
          <cell r="D6365">
            <v>47848</v>
          </cell>
        </row>
        <row r="6366">
          <cell r="A6366" t="str">
            <v>WCQ-7-00-01536</v>
          </cell>
          <cell r="B6366" t="str">
            <v>גליל וגולן 2703</v>
          </cell>
          <cell r="C6366" t="str">
            <v>יציאות מתחמ"ש גליל מזרחי</v>
          </cell>
          <cell r="D6366">
            <v>46538</v>
          </cell>
        </row>
        <row r="6367">
          <cell r="A6367" t="str">
            <v>WCQ-7-00-01550</v>
          </cell>
          <cell r="B6367" t="str">
            <v>גליל וגולן 2703</v>
          </cell>
          <cell r="C6367" t="str">
            <v>יציאות  מתחמ"ש צפת</v>
          </cell>
          <cell r="D6367">
            <v>46934</v>
          </cell>
        </row>
        <row r="6368">
          <cell r="A6368" t="str">
            <v>WCS-7-00-01562</v>
          </cell>
          <cell r="B6368" t="str">
            <v>גליל וגולן 2703</v>
          </cell>
          <cell r="C6368" t="str">
            <v>החלפת מופות מ"ג - מרחב גליל גולן</v>
          </cell>
          <cell r="D6368">
            <v>49674</v>
          </cell>
        </row>
        <row r="6369">
          <cell r="A6369" t="str">
            <v>WHP-7-00-01567</v>
          </cell>
          <cell r="B6369" t="str">
            <v>גליל וגולן 2703</v>
          </cell>
          <cell r="C6369" t="str">
            <v>רכבת כרמיאל – קריית שמונה</v>
          </cell>
          <cell r="D6369">
            <v>47118</v>
          </cell>
        </row>
        <row r="6370">
          <cell r="A6370" t="str">
            <v>WHP-7-00-01579</v>
          </cell>
          <cell r="B6370" t="str">
            <v>גליל וגולן 2703</v>
          </cell>
          <cell r="C6370" t="str">
            <v>אמינות- שיפורים - גליל גולן</v>
          </cell>
          <cell r="D6370">
            <v>50040</v>
          </cell>
        </row>
        <row r="6371">
          <cell r="A6371" t="str">
            <v>WHP-7-00-01581</v>
          </cell>
          <cell r="B6371" t="str">
            <v>גליל וגולן 2703</v>
          </cell>
          <cell r="C6371" t="str">
            <v>חיבור ארונות שקד מכשול מזרחי-משרד הביטחון</v>
          </cell>
          <cell r="D6371">
            <v>47209</v>
          </cell>
        </row>
        <row r="6372">
          <cell r="A6372" t="str">
            <v>WHP-7-00-01603</v>
          </cell>
          <cell r="B6372" t="str">
            <v>גליל וגולן 2703</v>
          </cell>
          <cell r="C6372" t="str">
            <v>חיבור שכונות ארעיות בגבול צפון</v>
          </cell>
          <cell r="D6372">
            <v>46478</v>
          </cell>
        </row>
        <row r="6373">
          <cell r="A6373" t="str">
            <v>WBC-212</v>
          </cell>
          <cell r="B6373" t="str">
            <v>גליל</v>
          </cell>
          <cell r="C6373" t="str">
            <v>גליל-בוטל-הוספת 2 שנאים 50 מגוו"א 161/24 ק"ו</v>
          </cell>
        </row>
        <row r="6374">
          <cell r="A6374" t="str">
            <v>WBJ-002</v>
          </cell>
          <cell r="B6374" t="str">
            <v>גליל</v>
          </cell>
          <cell r="C6374" t="str">
            <v>גליל-הקמת תחמ"ג 400/161, 650*3 מגוו"א- שנאי קישור שלישי יותקן ולא יחושמל-רב שלבי</v>
          </cell>
          <cell r="D6374">
            <v>46537</v>
          </cell>
        </row>
        <row r="6375">
          <cell r="A6375" t="str">
            <v>WBK-016</v>
          </cell>
          <cell r="B6375" t="str">
            <v>גליל</v>
          </cell>
          <cell r="C6375" t="str">
            <v>גליל- הפעלת שנאי קישור שלישי 400/161 ק"ו ,650 מגוו"א</v>
          </cell>
          <cell r="D6375">
            <v>47483</v>
          </cell>
        </row>
        <row r="6376">
          <cell r="A6376" t="str">
            <v>WBJ-002-ST2</v>
          </cell>
          <cell r="B6376" t="str">
            <v>גליל</v>
          </cell>
          <cell r="C6376" t="str">
            <v>גליל- תיקון תוכנית מתאר- הגדלת אחוזי בניה</v>
          </cell>
          <cell r="D6376">
            <v>45275</v>
          </cell>
        </row>
        <row r="6377">
          <cell r="A6377" t="str">
            <v>WBJ-002-ST3</v>
          </cell>
          <cell r="B6377" t="str">
            <v>גליל</v>
          </cell>
          <cell r="C6377" t="str">
            <v>גליל-הקמת מסדר 161 ק"ו פנימי</v>
          </cell>
          <cell r="D6377">
            <v>46173</v>
          </cell>
        </row>
        <row r="6378">
          <cell r="A6378" t="str">
            <v>WBJ-002-ST1</v>
          </cell>
          <cell r="B6378" t="str">
            <v>גליל</v>
          </cell>
          <cell r="C6378" t="str">
            <v>גליל-קידום סטטוטורי של ת. מיתוג 400/161</v>
          </cell>
          <cell r="D6378">
            <v>43139</v>
          </cell>
        </row>
        <row r="6379">
          <cell r="A6379" t="str">
            <v>WBE-185</v>
          </cell>
          <cell r="B6379" t="str">
            <v>גליל</v>
          </cell>
          <cell r="C6379" t="str">
            <v>גליל-התקנת 2 שנאים 50 מגוו"א 161/24 ק"ו</v>
          </cell>
          <cell r="D6379">
            <v>46538</v>
          </cell>
        </row>
        <row r="6380">
          <cell r="A6380" t="str">
            <v>WBM-10655</v>
          </cell>
          <cell r="B6380" t="str">
            <v>גליל</v>
          </cell>
          <cell r="C6380" t="str">
            <v>גליל (מזרחי) - בוטל - משיק לצלמון 5, יישום דרך קשר אופטית בין הגנות בשדה 20</v>
          </cell>
        </row>
        <row r="6381">
          <cell r="A6381" t="str">
            <v>WBM-10657</v>
          </cell>
          <cell r="B6381" t="str">
            <v>גליל</v>
          </cell>
          <cell r="C6381" t="str">
            <v>גליל (מזרחי)  -בוטל משיק לתחמ"ש כינרות שדה 1, יישום דרך קשר אופטית בין הגנות בשדה 18</v>
          </cell>
        </row>
        <row r="6382">
          <cell r="A6382" t="str">
            <v>WBJ-002-ST4</v>
          </cell>
          <cell r="B6382" t="str">
            <v>גליל</v>
          </cell>
          <cell r="C6382" t="str">
            <v>גליל-הקמת תחמ"ג- 400/161, 650*3 מגוו"א -שנאי קישור שלישי יותקן ולא יחושמל</v>
          </cell>
          <cell r="D6382">
            <v>46537</v>
          </cell>
        </row>
        <row r="6383">
          <cell r="A6383" t="str">
            <v>WBE-309</v>
          </cell>
          <cell r="B6383" t="str">
            <v>גילת - תחמ"ש</v>
          </cell>
          <cell r="C6383" t="str">
            <v>גילת-חח"י-הוספת 2 שנאי חח"י 50 מגו"א</v>
          </cell>
          <cell r="D6383">
            <v>47148</v>
          </cell>
        </row>
        <row r="6384">
          <cell r="A6384">
            <v>900036</v>
          </cell>
          <cell r="B6384" t="str">
            <v>גילת</v>
          </cell>
          <cell r="C6384" t="str">
            <v>גילת-קליטת תח"כ בהספק של 80 מגוו"ט</v>
          </cell>
          <cell r="D6384">
            <v>46783</v>
          </cell>
        </row>
        <row r="6385">
          <cell r="A6385" t="str">
            <v>0212731</v>
          </cell>
          <cell r="B6385" t="str">
            <v>גזר</v>
          </cell>
          <cell r="C6385" t="str">
            <v>uoe6a-גזר עיבוי ושדרוג עמוד השדרה</v>
          </cell>
          <cell r="D6385">
            <v>42338</v>
          </cell>
        </row>
        <row r="6386">
          <cell r="A6386" t="str">
            <v>WBE-159</v>
          </cell>
          <cell r="B6386" t="str">
            <v>גזר</v>
          </cell>
          <cell r="C6386" t="str">
            <v>גזר - בוטל-הוספת שנאי 524 50 MVA מסדר מ"ג , מסדר אפס ומאצרה</v>
          </cell>
        </row>
        <row r="6387">
          <cell r="A6387" t="str">
            <v>HIS-072</v>
          </cell>
          <cell r="B6387" t="str">
            <v>גזר</v>
          </cell>
          <cell r="C6387" t="str">
            <v>גזר</v>
          </cell>
          <cell r="D6387">
            <v>40908</v>
          </cell>
        </row>
        <row r="6388">
          <cell r="A6388" t="str">
            <v>WBM-40321</v>
          </cell>
          <cell r="B6388" t="str">
            <v>גזר</v>
          </cell>
          <cell r="C6388" t="str">
            <v>גזר 400 - התאמת שדה 7A ליכולת 4000 א'</v>
          </cell>
          <cell r="D6388">
            <v>47118</v>
          </cell>
        </row>
        <row r="6389">
          <cell r="A6389" t="str">
            <v>WBM-70030</v>
          </cell>
          <cell r="B6389" t="str">
            <v>גזר</v>
          </cell>
          <cell r="C6389" t="str">
            <v>"גזר - הוקפא - התקנת ס""ק עבור השנאי החדש"</v>
          </cell>
        </row>
        <row r="6390">
          <cell r="A6390" t="str">
            <v>WBM-00264</v>
          </cell>
          <cell r="B6390" t="str">
            <v>גזר</v>
          </cell>
          <cell r="C6390" t="str">
            <v>גזר-בוטל- החלפת סליל כיבוי של שנאי 521</v>
          </cell>
        </row>
        <row r="6391">
          <cell r="A6391" t="str">
            <v>WBM-00192</v>
          </cell>
          <cell r="B6391" t="str">
            <v>גזר</v>
          </cell>
          <cell r="C6391" t="str">
            <v>גזר -  הפרדת לוח חלוקה ז"י 220 וולט כפול</v>
          </cell>
          <cell r="D6391">
            <v>46752</v>
          </cell>
        </row>
        <row r="6392">
          <cell r="A6392" t="str">
            <v>WBM-01376</v>
          </cell>
          <cell r="B6392" t="str">
            <v>גזר</v>
          </cell>
          <cell r="C6392" t="str">
            <v>גזר - הגנה דיפרנציאלית לתחמ"ש טרומן</v>
          </cell>
          <cell r="D6392">
            <v>46599</v>
          </cell>
        </row>
        <row r="6393">
          <cell r="A6393" t="str">
            <v>WBM-00430</v>
          </cell>
          <cell r="B6393" t="str">
            <v>גזר</v>
          </cell>
          <cell r="C6393" t="str">
            <v>גזר - בוטל  החלפת 10 מפס"ז מ"ג של פ"צ</v>
          </cell>
          <cell r="D6393">
            <v>43861</v>
          </cell>
        </row>
        <row r="6394">
          <cell r="A6394" t="str">
            <v>WBM-40054</v>
          </cell>
          <cell r="B6394" t="str">
            <v>גזר</v>
          </cell>
          <cell r="C6394" t="str">
            <v>גזר - החלפת הגנות מרחק ב-4 שדות 400 ק"ו</v>
          </cell>
          <cell r="D6394">
            <v>47087</v>
          </cell>
        </row>
        <row r="6395">
          <cell r="A6395" t="str">
            <v>WBM-40511</v>
          </cell>
          <cell r="B6395" t="str">
            <v>גזר</v>
          </cell>
          <cell r="C6395" t="str">
            <v>גזר - החלפת משגוחים ( 220 וולט)</v>
          </cell>
          <cell r="D6395">
            <v>46568</v>
          </cell>
        </row>
        <row r="6396">
          <cell r="A6396" t="str">
            <v>WBM-10393</v>
          </cell>
          <cell r="B6396" t="str">
            <v>גזר</v>
          </cell>
          <cell r="C6396" t="str">
            <v>גזר-משיק-ל-WBO-237-החלפת כבלי מ"ע בכניסות לגזר ש 8,22</v>
          </cell>
          <cell r="D6396">
            <v>46568</v>
          </cell>
        </row>
        <row r="6397">
          <cell r="A6397" t="str">
            <v>WBM-10394</v>
          </cell>
          <cell r="B6397" t="str">
            <v>גזר</v>
          </cell>
          <cell r="C6397" t="str">
            <v>גזר – החלפת כבל מ"ע בכניסה לגזר שדה 17</v>
          </cell>
          <cell r="D6397">
            <v>46387</v>
          </cell>
        </row>
        <row r="6398">
          <cell r="A6398" t="str">
            <v>WBM-10398</v>
          </cell>
          <cell r="B6398" t="str">
            <v>גזר</v>
          </cell>
          <cell r="C6398" t="str">
            <v>גזר - החלפת הגנות הפרשיות של שנאי קישור</v>
          </cell>
          <cell r="D6398">
            <v>46203</v>
          </cell>
        </row>
        <row r="6399">
          <cell r="A6399" t="str">
            <v>WBM-10453</v>
          </cell>
          <cell r="B6399" t="str">
            <v>גזר</v>
          </cell>
          <cell r="C6399" t="str">
            <v>גזר 400 - משיק צפית 400 ש6B, התא.הגנות.ש8B</v>
          </cell>
          <cell r="D6399">
            <v>45648</v>
          </cell>
        </row>
        <row r="6400">
          <cell r="A6400" t="str">
            <v>WBM-10388</v>
          </cell>
          <cell r="B6400" t="str">
            <v>גזר</v>
          </cell>
          <cell r="C6400" t="str">
            <v>גזר 400 ק"ו - יישום הגנות ש'4B לחרובית</v>
          </cell>
          <cell r="D6400">
            <v>45082</v>
          </cell>
        </row>
        <row r="6401">
          <cell r="A6401" t="str">
            <v>WBM-10246</v>
          </cell>
          <cell r="B6401" t="str">
            <v>גזר</v>
          </cell>
          <cell r="C6401" t="str">
            <v>גזר - משיק לעתידים, החלפת הג.דיפ. ש.8B</v>
          </cell>
          <cell r="D6401">
            <v>45062</v>
          </cell>
        </row>
        <row r="6402">
          <cell r="A6402" t="str">
            <v>WBM-01398</v>
          </cell>
          <cell r="B6402" t="str">
            <v>גזר</v>
          </cell>
          <cell r="C6402" t="str">
            <v>גזר - עיגון 6 אוטו-שנאים חד פאזיים</v>
          </cell>
          <cell r="D6402">
            <v>44346</v>
          </cell>
        </row>
        <row r="6403">
          <cell r="A6403" t="str">
            <v>WBM-00180</v>
          </cell>
          <cell r="B6403" t="str">
            <v>גזר</v>
          </cell>
          <cell r="C6403" t="str">
            <v>גזר-התקנת מערכת  ז"י עם ממירים 220/60 ו</v>
          </cell>
          <cell r="D6403">
            <v>43871</v>
          </cell>
        </row>
        <row r="6404">
          <cell r="A6404" t="str">
            <v>WBM-01339</v>
          </cell>
          <cell r="B6404" t="str">
            <v>גזר</v>
          </cell>
          <cell r="C6404" t="str">
            <v>גזר- הוספת הגנה דיפרנציאלית בשדה 3A</v>
          </cell>
          <cell r="D6404">
            <v>43860</v>
          </cell>
        </row>
        <row r="6405">
          <cell r="A6405" t="str">
            <v>WBM-00156</v>
          </cell>
          <cell r="B6405" t="str">
            <v>גזר</v>
          </cell>
          <cell r="C6405" t="str">
            <v>גזר-התקנת מעמד לצורך עיגון ארונות פיקוד</v>
          </cell>
          <cell r="D6405">
            <v>43555</v>
          </cell>
        </row>
        <row r="6406">
          <cell r="A6406" t="str">
            <v>WBM-00889</v>
          </cell>
          <cell r="B6406" t="str">
            <v>גזר</v>
          </cell>
          <cell r="C6406" t="str">
            <v>גזר-הוספת גמל בצנרת למניעת נזילות</v>
          </cell>
          <cell r="D6406">
            <v>43446</v>
          </cell>
        </row>
        <row r="6407">
          <cell r="A6407" t="str">
            <v>WBM-00428</v>
          </cell>
          <cell r="B6407" t="str">
            <v>גזר</v>
          </cell>
          <cell r="C6407" t="str">
            <v>גזר-החלפת ה.מרחק לה.דיפרנציאליות</v>
          </cell>
          <cell r="D6407">
            <v>43440</v>
          </cell>
        </row>
        <row r="6408">
          <cell r="A6408" t="str">
            <v>WBM-01293</v>
          </cell>
          <cell r="B6408" t="str">
            <v>גזר</v>
          </cell>
          <cell r="C6408" t="str">
            <v>גזר - החלפת רושם הפרעות 400 ק"ו</v>
          </cell>
          <cell r="D6408">
            <v>43271</v>
          </cell>
        </row>
        <row r="6409">
          <cell r="A6409" t="str">
            <v>WBM-01023</v>
          </cell>
          <cell r="B6409" t="str">
            <v>גזר</v>
          </cell>
          <cell r="C6409" t="str">
            <v>גזר-תקשורת בין הגנות לגן שורק</v>
          </cell>
          <cell r="D6409">
            <v>43221</v>
          </cell>
        </row>
        <row r="6410">
          <cell r="A6410" t="str">
            <v>WBM-00193</v>
          </cell>
          <cell r="B6410" t="str">
            <v>גזר</v>
          </cell>
          <cell r="C6410" t="str">
            <v>גזר-בשדה משיק לחרובית, שלב 6, בשדה 4B.</v>
          </cell>
          <cell r="D6410">
            <v>42215</v>
          </cell>
        </row>
        <row r="6411">
          <cell r="A6411" t="str">
            <v>WBM-00196</v>
          </cell>
          <cell r="B6411" t="str">
            <v>גזר</v>
          </cell>
          <cell r="C6411" t="str">
            <v>גזר-חיבור מערכת ביוב בתחמ"ג גזר</v>
          </cell>
          <cell r="D6411">
            <v>42063</v>
          </cell>
        </row>
        <row r="6412">
          <cell r="A6412" t="str">
            <v>WBM-00195</v>
          </cell>
          <cell r="B6412" t="str">
            <v>גזר</v>
          </cell>
          <cell r="C6412" t="str">
            <v>גזר-משיק לחרובית: שלב 6 - בשדה 3A.</v>
          </cell>
          <cell r="D6412">
            <v>42063</v>
          </cell>
        </row>
        <row r="6413">
          <cell r="A6413" t="str">
            <v>WBM-00194</v>
          </cell>
          <cell r="B6413" t="str">
            <v>גזר</v>
          </cell>
          <cell r="C6413" t="str">
            <v>גזר-שלב 3-דרכי קשר שדות 3A ו-4B.</v>
          </cell>
          <cell r="D6413">
            <v>42030</v>
          </cell>
        </row>
        <row r="6414">
          <cell r="A6414" t="str">
            <v>WBL-002-002</v>
          </cell>
          <cell r="B6414" t="str">
            <v>גזר</v>
          </cell>
          <cell r="C6414" t="str">
            <v>גזר-פרוק מע' תקשורת OM</v>
          </cell>
          <cell r="D6414">
            <v>42003</v>
          </cell>
        </row>
        <row r="6415">
          <cell r="A6415" t="str">
            <v>WBG-002-028</v>
          </cell>
          <cell r="B6415" t="str">
            <v>גזר</v>
          </cell>
          <cell r="C6415" t="str">
            <v>גזר - התקנת הגנה דיפרנציאלית עם OM</v>
          </cell>
          <cell r="D6415">
            <v>41638</v>
          </cell>
        </row>
        <row r="6416">
          <cell r="A6416" t="str">
            <v>WBL-002-013</v>
          </cell>
          <cell r="B6416" t="str">
            <v>גזר</v>
          </cell>
          <cell r="C6416" t="str">
            <v>גזר-התקנת מערכת מניה</v>
          </cell>
          <cell r="D6416">
            <v>41035</v>
          </cell>
        </row>
        <row r="6417">
          <cell r="A6417" t="str">
            <v>WBL-002-901</v>
          </cell>
          <cell r="B6417" t="str">
            <v>גזר</v>
          </cell>
          <cell r="C6417" t="str">
            <v>גזר-בשדה 4B: הפיכת ה.דיפר. מ-3 ל-2 קצוות</v>
          </cell>
          <cell r="D6417">
            <v>40998</v>
          </cell>
        </row>
        <row r="6418">
          <cell r="A6418" t="str">
            <v>WBL-002-020</v>
          </cell>
          <cell r="B6418" t="str">
            <v>גזר</v>
          </cell>
          <cell r="C6418" t="str">
            <v>גזר-הקמת רשת מחשבים תפעולית</v>
          </cell>
          <cell r="D6418">
            <v>40979</v>
          </cell>
        </row>
        <row r="6419">
          <cell r="A6419" t="str">
            <v>WBM-40055</v>
          </cell>
          <cell r="B6419" t="str">
            <v>גזר</v>
          </cell>
          <cell r="C6419" t="str">
            <v>גזר-בוטל החלפת טרפו גרד ל-3 שנאים</v>
          </cell>
          <cell r="D6419">
            <v>43677</v>
          </cell>
        </row>
        <row r="6420">
          <cell r="A6420" t="str">
            <v>WBM-10070</v>
          </cell>
          <cell r="B6420" t="str">
            <v>גזר</v>
          </cell>
          <cell r="C6420" t="str">
            <v>גזר-בוטל-החלפת גשרי דיודות</v>
          </cell>
          <cell r="D6420">
            <v>43768</v>
          </cell>
        </row>
        <row r="6421">
          <cell r="A6421" t="str">
            <v>WBM-60031</v>
          </cell>
          <cell r="B6421" t="str">
            <v>גזר</v>
          </cell>
          <cell r="C6421" t="str">
            <v>גזר -בוטל- שדרוג מע' סרברוס לגילוי  אש</v>
          </cell>
          <cell r="D6421">
            <v>43864</v>
          </cell>
        </row>
        <row r="6422">
          <cell r="A6422" t="str">
            <v>WBM-00429</v>
          </cell>
          <cell r="B6422" t="str">
            <v>גזר</v>
          </cell>
          <cell r="C6422" t="str">
            <v>גזר - בוטל-החלפת גשרי דיודות</v>
          </cell>
          <cell r="D6422">
            <v>42154</v>
          </cell>
        </row>
        <row r="6423">
          <cell r="A6423" t="str">
            <v>WBM-00191</v>
          </cell>
          <cell r="B6423" t="str">
            <v>גזר</v>
          </cell>
          <cell r="C6423" t="str">
            <v>גזר-בוטל-הרחבת רושם הפרעות 400 ק"ו</v>
          </cell>
          <cell r="D6423">
            <v>41249</v>
          </cell>
        </row>
        <row r="6424">
          <cell r="A6424">
            <v>530330</v>
          </cell>
          <cell r="B6424" t="str">
            <v>גזר</v>
          </cell>
          <cell r="C6424" t="str">
            <v>גזר-הוספת מהדקים לפיזור חום על התיילים</v>
          </cell>
          <cell r="D6424">
            <v>39262</v>
          </cell>
        </row>
        <row r="6425">
          <cell r="A6425" t="str">
            <v>WBM-00426</v>
          </cell>
          <cell r="B6425" t="str">
            <v>גזר</v>
          </cell>
          <cell r="C6425" t="str">
            <v>גזר-בוטל-התקנת מאווררים בארונות פיקוד</v>
          </cell>
          <cell r="D6425">
            <v>40311</v>
          </cell>
        </row>
        <row r="6426">
          <cell r="A6426" t="str">
            <v>WBM-00425</v>
          </cell>
          <cell r="B6426" t="str">
            <v>גזר</v>
          </cell>
          <cell r="C6426" t="str">
            <v>גזר-בוטל-התקנת מערכת התראה ביטחונית</v>
          </cell>
          <cell r="D6426">
            <v>36526</v>
          </cell>
        </row>
        <row r="6427">
          <cell r="A6427" t="str">
            <v>WBM-00427</v>
          </cell>
          <cell r="B6427" t="str">
            <v>גזר</v>
          </cell>
          <cell r="C6427" t="str">
            <v>גזר-בוטל-תוספת/עדכון של 20 התראות</v>
          </cell>
          <cell r="D6427">
            <v>40714</v>
          </cell>
        </row>
        <row r="6428">
          <cell r="A6428" t="str">
            <v>WBM-01367</v>
          </cell>
          <cell r="B6428" t="str">
            <v>גזר</v>
          </cell>
          <cell r="C6428" t="str">
            <v>גזר-מיגון מתקנים פיזי</v>
          </cell>
          <cell r="D6428">
            <v>45291</v>
          </cell>
        </row>
        <row r="6429">
          <cell r="A6429" t="str">
            <v>WBL-002-023</v>
          </cell>
          <cell r="B6429" t="str">
            <v>גזר</v>
          </cell>
          <cell r="C6429" t="str">
            <v>גזר-הגדלת יכולת ההולכה  במעגלי 161 ק"ו</v>
          </cell>
          <cell r="D6429">
            <v>40930</v>
          </cell>
        </row>
        <row r="6430">
          <cell r="A6430" t="str">
            <v>WBM-00922</v>
          </cell>
          <cell r="B6430" t="str">
            <v>גזר</v>
          </cell>
          <cell r="C6430" t="str">
            <v>גזר-קשר בין הגנות לקיסריה ולפתח תקוה</v>
          </cell>
          <cell r="D6430">
            <v>42338</v>
          </cell>
        </row>
        <row r="6431">
          <cell r="A6431" t="str">
            <v>WBM-10482</v>
          </cell>
          <cell r="B6431" t="str">
            <v>גזר</v>
          </cell>
          <cell r="C6431" t="str">
            <v>גזר -  החלפת 2 מסדרי מ"ג וומערכת SCS</v>
          </cell>
          <cell r="D6431">
            <v>46568</v>
          </cell>
        </row>
        <row r="6432">
          <cell r="A6432" t="str">
            <v>WBM-40539</v>
          </cell>
          <cell r="B6432" t="str">
            <v>גזר</v>
          </cell>
          <cell r="C6432" t="str">
            <v>גזר - החלפת מבודדים של אוטושנאים 451, 452</v>
          </cell>
          <cell r="D6432">
            <v>46752</v>
          </cell>
        </row>
        <row r="6433">
          <cell r="A6433" t="str">
            <v>WBM-10598</v>
          </cell>
          <cell r="B6433" t="str">
            <v>גזר</v>
          </cell>
          <cell r="C6433" t="str">
            <v>גזר - "משיק לאריאל שדה 13, יישום דרך קשר אופטית בין הגנות (מרחק בלבד) בשדה 17</v>
          </cell>
          <cell r="D6433">
            <v>46166</v>
          </cell>
        </row>
        <row r="6434">
          <cell r="A6434" t="str">
            <v>WBM-00885-089</v>
          </cell>
          <cell r="B6434" t="str">
            <v>גזר</v>
          </cell>
          <cell r="C6434" t="str">
            <v>גזר - שדרוג מערכת המים לכיבוי אש</v>
          </cell>
          <cell r="D6434">
            <v>46217</v>
          </cell>
        </row>
        <row r="6435">
          <cell r="A6435" t="str">
            <v>WBM-01341-008</v>
          </cell>
          <cell r="B6435" t="str">
            <v>גזר</v>
          </cell>
          <cell r="C6435" t="str">
            <v>גזר - שיפוץ מסדרי GIS -170</v>
          </cell>
          <cell r="D6435">
            <v>47664</v>
          </cell>
        </row>
        <row r="6436">
          <cell r="A6436" t="str">
            <v>WBM-01341-017</v>
          </cell>
          <cell r="B6436" t="str">
            <v>גזר</v>
          </cell>
          <cell r="C6436" t="str">
            <v>גזר - שיפוץ מסדרי GIS -400</v>
          </cell>
          <cell r="D6436">
            <v>47664</v>
          </cell>
        </row>
        <row r="6437">
          <cell r="A6437" t="str">
            <v>WBM-10315-027</v>
          </cell>
          <cell r="B6437" t="str">
            <v>גזר</v>
          </cell>
          <cell r="C6437" t="str">
            <v>גזר - החלפת מזגנים</v>
          </cell>
          <cell r="D6437">
            <v>45621</v>
          </cell>
        </row>
        <row r="6438">
          <cell r="A6438" t="str">
            <v>WBM-40479-001</v>
          </cell>
          <cell r="B6438" t="str">
            <v>גזר</v>
          </cell>
          <cell r="C6438" t="str">
            <v>גזר - החלפת 5 בקרי טמפ' וגובה שמן בשנאי</v>
          </cell>
          <cell r="D6438">
            <v>47118</v>
          </cell>
        </row>
        <row r="6439">
          <cell r="A6439" t="str">
            <v>WBM-60107-021</v>
          </cell>
          <cell r="B6439" t="str">
            <v>גזר</v>
          </cell>
          <cell r="C6439" t="str">
            <v>גזר - החלפת מנעולים אלק.מגנטיים באלק.מכנ</v>
          </cell>
          <cell r="D6439">
            <v>45657</v>
          </cell>
        </row>
        <row r="6440">
          <cell r="A6440" t="str">
            <v>WBM-60130-067</v>
          </cell>
          <cell r="B6440" t="str">
            <v>גזר</v>
          </cell>
          <cell r="C6440" t="str">
            <v>גזר - התקנת מפסק פטריה להפסקת מערכת החשמל בחירום</v>
          </cell>
          <cell r="D6440">
            <v>46568</v>
          </cell>
        </row>
        <row r="6441">
          <cell r="A6441" t="str">
            <v>WBM-10648</v>
          </cell>
          <cell r="B6441" t="str">
            <v>גזר</v>
          </cell>
          <cell r="C6441" t="str">
            <v>גזר - משיק לאריאל שדה 1, התקנת הגנת מרחק בשדה 17 ויישום דרך קשר</v>
          </cell>
          <cell r="D6441">
            <v>46356</v>
          </cell>
        </row>
        <row r="6442">
          <cell r="A6442" t="str">
            <v>WBM-10482-ST1</v>
          </cell>
          <cell r="B6442" t="str">
            <v>גזר</v>
          </cell>
          <cell r="C6442" t="str">
            <v>גזר -  החלפת 2 מסדרי מ"ג והחלפת סליל כיבוי לשנאי 521</v>
          </cell>
          <cell r="D6442">
            <v>46356</v>
          </cell>
        </row>
        <row r="6443">
          <cell r="A6443" t="str">
            <v>WBM-10482-ST2</v>
          </cell>
          <cell r="B6443" t="str">
            <v>גזר</v>
          </cell>
          <cell r="C6443" t="str">
            <v>גזר – התקנת מסדר 24 ק"ו, פ"צ 4 והשלמת התקנת מערכת SCS במסדרי 161 ו-400 ק"ו.</v>
          </cell>
          <cell r="D6443">
            <v>46568</v>
          </cell>
        </row>
        <row r="6444">
          <cell r="A6444" t="str">
            <v>WBM-10722</v>
          </cell>
          <cell r="B6444" t="str">
            <v>גזר</v>
          </cell>
          <cell r="C6444" t="str">
            <v>גזר - החלפת הגנת מרחק בשדה 17.</v>
          </cell>
          <cell r="D6444">
            <v>46356</v>
          </cell>
        </row>
        <row r="6445">
          <cell r="A6445" t="str">
            <v>WBM-10723</v>
          </cell>
          <cell r="B6445" t="str">
            <v>גזר</v>
          </cell>
          <cell r="C6445" t="str">
            <v>הוספת הגנת פ"צ שניה למסדר 161 ק"ו</v>
          </cell>
          <cell r="D6445">
            <v>46752</v>
          </cell>
        </row>
        <row r="6446">
          <cell r="A6446" t="str">
            <v>WBM-10727</v>
          </cell>
          <cell r="B6446" t="str">
            <v>גזר</v>
          </cell>
          <cell r="C6446" t="str">
            <v>גזר - הוספת הגנת פ"צ שניה למסדר 400 ק"ו</v>
          </cell>
          <cell r="D6446">
            <v>47118</v>
          </cell>
        </row>
        <row r="6447">
          <cell r="A6447" t="str">
            <v>בהמתנה</v>
          </cell>
          <cell r="B6447" t="str">
            <v>גזר</v>
          </cell>
          <cell r="C6447" t="str">
            <v>גזר-הרחבת מסדר 161 ק"ו</v>
          </cell>
          <cell r="D6447">
            <v>46752</v>
          </cell>
        </row>
        <row r="6448">
          <cell r="A6448" t="str">
            <v>WBM-60116-043</v>
          </cell>
          <cell r="B6448" t="str">
            <v>גזר</v>
          </cell>
          <cell r="C6448" t="str">
            <v>גזר - מערכות גילוי אש להחלפה CERBERUS</v>
          </cell>
          <cell r="D6448">
            <v>46752</v>
          </cell>
        </row>
        <row r="6449">
          <cell r="A6449" t="str">
            <v>WBM-10779</v>
          </cell>
          <cell r="B6449" t="str">
            <v>גזר</v>
          </cell>
          <cell r="C6449" t="str">
            <v>גזר- משיק לפ"ת שדה B4, יישום דרך קשר אופטית זמנית בין הגנות (מרחק ודיפרנציאלית) בשדה A7</v>
          </cell>
          <cell r="D6449">
            <v>46326</v>
          </cell>
        </row>
        <row r="6450">
          <cell r="A6450" t="str">
            <v>WBM-40637-016</v>
          </cell>
          <cell r="B6450" t="str">
            <v>גזר</v>
          </cell>
          <cell r="C6450" t="str">
            <v>גזר-החלפת רושמי הפרעות קיימים מדגם IDM-T3 לרושמים חדשים מדגם IDM+</v>
          </cell>
          <cell r="D6450">
            <v>46599</v>
          </cell>
        </row>
        <row r="6451">
          <cell r="A6451" t="str">
            <v>WBM-10803</v>
          </cell>
          <cell r="B6451" t="str">
            <v>גזר</v>
          </cell>
          <cell r="C6451" t="str">
            <v>גזר- משיק לשוהם SDS שדה 5, יישום דרך קשר אופטית בין הגנות והחלפת הגנה דיפרנציאלית בשדה 17</v>
          </cell>
          <cell r="D6451">
            <v>46326</v>
          </cell>
        </row>
        <row r="6452">
          <cell r="A6452" t="str">
            <v>WBM-70050</v>
          </cell>
          <cell r="B6452" t="str">
            <v>גזר</v>
          </cell>
          <cell r="C6452" t="str">
            <v>גזר- פירוק משנקים בשדות 3+4</v>
          </cell>
          <cell r="D6452">
            <v>46507</v>
          </cell>
        </row>
        <row r="6453">
          <cell r="A6453" t="str">
            <v>WBM-01305</v>
          </cell>
          <cell r="B6453" t="str">
            <v>גבעתיים ארעית</v>
          </cell>
          <cell r="C6453" t="str">
            <v>גבעתיים ארעית-בוטל-החלפת הגנת שנאי</v>
          </cell>
          <cell r="D6453">
            <v>42948</v>
          </cell>
        </row>
        <row r="6454">
          <cell r="A6454" t="str">
            <v>HIS-004</v>
          </cell>
          <cell r="B6454" t="str">
            <v>גבעתיים</v>
          </cell>
          <cell r="C6454" t="str">
            <v>גבעתיים ארעית</v>
          </cell>
          <cell r="D6454">
            <v>40908</v>
          </cell>
        </row>
        <row r="6455">
          <cell r="A6455" t="str">
            <v>WBC-027</v>
          </cell>
          <cell r="B6455" t="str">
            <v>גבעתיים</v>
          </cell>
          <cell r="C6455" t="str">
            <v>גבעתיים - הקמת תחמ"ש פנימית 161/24 ק"ו</v>
          </cell>
          <cell r="D6455">
            <v>45853</v>
          </cell>
        </row>
        <row r="6456">
          <cell r="A6456" t="str">
            <v>WBC-027-ST2</v>
          </cell>
          <cell r="B6456" t="str">
            <v>גבעתיים</v>
          </cell>
          <cell r="C6456" t="str">
            <v>גבעתיים ארעית-פרוק תחמ"ש ארעית.</v>
          </cell>
          <cell r="D6456">
            <v>43464</v>
          </cell>
        </row>
        <row r="6457">
          <cell r="A6457" t="str">
            <v>WBM-00728</v>
          </cell>
          <cell r="B6457" t="str">
            <v>גבעתיים</v>
          </cell>
          <cell r="C6457" t="str">
            <v>גבעתיים- בוטל-התקנת 4 ס"ק 2*5 מגווא"ר</v>
          </cell>
          <cell r="D6457">
            <v>36526</v>
          </cell>
        </row>
        <row r="6458">
          <cell r="A6458" t="str">
            <v>WBM-00025</v>
          </cell>
          <cell r="B6458" t="str">
            <v>גבעתיים</v>
          </cell>
          <cell r="C6458" t="str">
            <v>גבעתיים ארעית-בוטל-התקנת ארון ז"י 48 ו</v>
          </cell>
          <cell r="D6458">
            <v>40903</v>
          </cell>
        </row>
        <row r="6459">
          <cell r="A6459">
            <v>546805</v>
          </cell>
          <cell r="B6459" t="str">
            <v>גבעתיים</v>
          </cell>
          <cell r="C6459" t="str">
            <v>גבעתיים ארעית-התקנת רכזת התראה בטחונית</v>
          </cell>
          <cell r="D6459">
            <v>39598</v>
          </cell>
        </row>
        <row r="6460">
          <cell r="A6460" t="str">
            <v>WBG-123-004</v>
          </cell>
          <cell r="B6460" t="str">
            <v>גבעתיים</v>
          </cell>
          <cell r="C6460" t="str">
            <v>גבעתיים ארעית-התקנת תקשורת מנהלתית</v>
          </cell>
          <cell r="D6460">
            <v>41363</v>
          </cell>
        </row>
        <row r="6461">
          <cell r="A6461" t="str">
            <v>WBG-123-003</v>
          </cell>
          <cell r="B6461" t="str">
            <v>גבעתיים</v>
          </cell>
          <cell r="C6461" t="str">
            <v>גבעתיים ארעית-התקנת מערכת מניה</v>
          </cell>
          <cell r="D6461">
            <v>40562</v>
          </cell>
        </row>
        <row r="6462">
          <cell r="A6462">
            <v>9985258</v>
          </cell>
          <cell r="B6462" t="str">
            <v>גבעתי</v>
          </cell>
          <cell r="C6462" t="str">
            <v>גבעתי- קליטת תח"כ בהספק 50 מגוו"ט</v>
          </cell>
          <cell r="D6462">
            <v>42480</v>
          </cell>
        </row>
        <row r="6463">
          <cell r="A6463" t="str">
            <v>WBC-086</v>
          </cell>
          <cell r="B6463" t="str">
            <v>גבעת שמואל</v>
          </cell>
          <cell r="C6463" t="str">
            <v>גבעת שמואל- הקמת תחמ"ש פנימית 161/24 ק"ו</v>
          </cell>
          <cell r="D6463">
            <v>50770</v>
          </cell>
        </row>
        <row r="6464">
          <cell r="A6464" t="str">
            <v>WBG-023-001</v>
          </cell>
          <cell r="B6464" t="str">
            <v>גבעת שאול - תמ''מ</v>
          </cell>
          <cell r="C6464" t="str">
            <v>גבעת שאול - תמ"מ- הרחבת מערכת כיבוי אש</v>
          </cell>
          <cell r="D6464">
            <v>43465</v>
          </cell>
        </row>
        <row r="6465">
          <cell r="A6465" t="str">
            <v>WBC-032</v>
          </cell>
          <cell r="B6465" t="str">
            <v>גבעת שאול</v>
          </cell>
          <cell r="C6465" t="str">
            <v>גבעת שאול - הקמת תחמ"ש פנימית -2 שלבים</v>
          </cell>
          <cell r="D6465">
            <v>42166</v>
          </cell>
        </row>
        <row r="6466">
          <cell r="A6466" t="str">
            <v>WBM-00263</v>
          </cell>
          <cell r="B6466" t="str">
            <v>גבעת שאול</v>
          </cell>
          <cell r="C6466" t="str">
            <v>גבעת שאול- בוטל - שולב - התקנת 3 ס"ק 5*2 מגווא"ר כ"א</v>
          </cell>
        </row>
        <row r="6467">
          <cell r="A6467" t="str">
            <v>WBM-01267</v>
          </cell>
          <cell r="B6467" t="str">
            <v>גבעת שאול</v>
          </cell>
          <cell r="C6467" t="str">
            <v>גבעת שאול-בוטל-החלפת ס"כ בנגד ראשוני</v>
          </cell>
          <cell r="D6467">
            <v>42914</v>
          </cell>
        </row>
        <row r="6468">
          <cell r="A6468" t="str">
            <v>WBM-00996</v>
          </cell>
          <cell r="B6468" t="str">
            <v>גבעת שאול</v>
          </cell>
          <cell r="C6468" t="str">
            <v>גבעת שאול-התקנת הג.דיפרנציאלית לירושלים</v>
          </cell>
          <cell r="D6468">
            <v>47299</v>
          </cell>
        </row>
        <row r="6469">
          <cell r="A6469" t="str">
            <v>WBM-10237</v>
          </cell>
          <cell r="B6469" t="str">
            <v>גבעת שאול</v>
          </cell>
          <cell r="C6469" t="str">
            <v>גבעת שאול - מיגון חדר מצב לשעת חירום</v>
          </cell>
          <cell r="D6469">
            <v>45158</v>
          </cell>
        </row>
        <row r="6470">
          <cell r="A6470" t="str">
            <v>WBM-30011</v>
          </cell>
          <cell r="B6470" t="str">
            <v>גבעת שאול</v>
          </cell>
          <cell r="C6470" t="str">
            <v>גבעת שאול בוטל--גדר אלקטרונית(ביטחון)</v>
          </cell>
          <cell r="D6470">
            <v>43830</v>
          </cell>
        </row>
        <row r="6471">
          <cell r="A6471" t="str">
            <v>WBC-032-ST1</v>
          </cell>
          <cell r="B6471" t="str">
            <v>גבעת שאול</v>
          </cell>
          <cell r="C6471" t="str">
            <v>גבעת שאול - הקמת תחמ"ש פנימית 161/24 ק"ו</v>
          </cell>
          <cell r="D6471">
            <v>42166</v>
          </cell>
        </row>
        <row r="6472">
          <cell r="A6472" t="str">
            <v>WBC-032-ST2</v>
          </cell>
          <cell r="B6472" t="str">
            <v>גבעת שאול</v>
          </cell>
          <cell r="C6472" t="str">
            <v>גבעת שאול-התקנת שדה 161 ק"ו ושנאי שלישי</v>
          </cell>
          <cell r="D6472">
            <v>42166</v>
          </cell>
        </row>
        <row r="6473">
          <cell r="A6473" t="str">
            <v>WBE-179</v>
          </cell>
          <cell r="B6473" t="str">
            <v>גבעת שאול</v>
          </cell>
          <cell r="C6473" t="str">
            <v>גבעת שאול-הרחבת מסדר 161 ק"ו והתקנת שנאי רביעי</v>
          </cell>
          <cell r="D6473">
            <v>46324</v>
          </cell>
        </row>
        <row r="6474">
          <cell r="A6474" t="str">
            <v>WBM-10488</v>
          </cell>
          <cell r="B6474" t="str">
            <v>גבעת שאול</v>
          </cell>
          <cell r="C6474" t="str">
            <v>גבעת שאול - הוספת 2 תאי מ"ג 24 ק"ו</v>
          </cell>
          <cell r="D6474">
            <v>46172</v>
          </cell>
        </row>
        <row r="6475">
          <cell r="A6475" t="str">
            <v>WBM-10315-065</v>
          </cell>
          <cell r="B6475" t="str">
            <v>גבעת שאול</v>
          </cell>
          <cell r="C6475" t="str">
            <v>גבעת שאול-התקנת מזגנים</v>
          </cell>
          <cell r="D6475">
            <v>46264</v>
          </cell>
        </row>
        <row r="6476">
          <cell r="A6476" t="str">
            <v>WBM-10484-002</v>
          </cell>
          <cell r="B6476" t="str">
            <v>גבעת שאול</v>
          </cell>
          <cell r="C6476" t="str">
            <v>גבעת שאול-בוטל- שדרוג יכולת קו מ"ג ל 600 א'</v>
          </cell>
          <cell r="D6476">
            <v>45292</v>
          </cell>
        </row>
        <row r="6477">
          <cell r="A6477" t="str">
            <v>WBM-10531-015</v>
          </cell>
          <cell r="B6477" t="str">
            <v>גבעת שאול</v>
          </cell>
          <cell r="C6477" t="str">
            <v>גבעת שאול-הכנת 4 מכולות חירום ח.ב.</v>
          </cell>
          <cell r="D6477">
            <v>45629</v>
          </cell>
        </row>
        <row r="6478">
          <cell r="A6478" t="str">
            <v>WBM-60107-031</v>
          </cell>
          <cell r="B6478" t="str">
            <v>גבעת שאול</v>
          </cell>
          <cell r="C6478" t="str">
            <v>גבעת שאול - החלפת מנעולים אלק.מגנטיים בא</v>
          </cell>
          <cell r="D6478">
            <v>45627</v>
          </cell>
        </row>
        <row r="6479">
          <cell r="A6479" t="str">
            <v>WBM-10684</v>
          </cell>
          <cell r="B6479" t="str">
            <v>גבעת שאול</v>
          </cell>
          <cell r="C6479" t="str">
            <v>גבעת שאול – שדרוג תאים במסדר מ"ג ליכולת 600 א'</v>
          </cell>
          <cell r="D6479">
            <v>46233</v>
          </cell>
        </row>
        <row r="6480">
          <cell r="A6480" t="str">
            <v>WBM-60205-018</v>
          </cell>
          <cell r="B6480" t="str">
            <v>גבעת שאול</v>
          </cell>
          <cell r="C6480" t="str">
            <v>גבעת שאול - ניטור הצפות</v>
          </cell>
          <cell r="D6480">
            <v>46175</v>
          </cell>
        </row>
        <row r="6481">
          <cell r="A6481" t="str">
            <v>WBM-60092-045</v>
          </cell>
          <cell r="B6481" t="str">
            <v>גבעת שאול</v>
          </cell>
          <cell r="C6481" t="str">
            <v>גבעת שאול - בדיקות/טיפול/פינוי מכלי אש בגז</v>
          </cell>
          <cell r="D6481">
            <v>46264</v>
          </cell>
        </row>
        <row r="6482">
          <cell r="A6482" t="str">
            <v>WBM-60131-010</v>
          </cell>
          <cell r="B6482" t="str">
            <v>גבעת שאול</v>
          </cell>
          <cell r="C6482" t="str">
            <v>גבעת שאול- בדיקת מערכת שליטה בעשן ומתן אישור תקינות לראשות הכיבוי</v>
          </cell>
          <cell r="D6482">
            <v>46175</v>
          </cell>
        </row>
        <row r="6483">
          <cell r="A6483" t="str">
            <v>WBM-40637-011</v>
          </cell>
          <cell r="B6483" t="str">
            <v>גבעת שאול</v>
          </cell>
          <cell r="C6483" t="str">
            <v>גבעת שאול - החלפת רושמי הפרעות קיימים מדגם IDM-T3 לרושמים חדשים מדגם IDM+</v>
          </cell>
          <cell r="D6483">
            <v>46477</v>
          </cell>
        </row>
        <row r="6484">
          <cell r="A6484" t="str">
            <v>WBE-296</v>
          </cell>
          <cell r="B6484" t="str">
            <v>גבעת שאול</v>
          </cell>
          <cell r="C6484" t="str">
            <v>גבעת שאול-הרחבת מסדר 161 ק"ו ב-2 שדות מעגלים</v>
          </cell>
          <cell r="D6484">
            <v>46324</v>
          </cell>
        </row>
        <row r="6485">
          <cell r="A6485" t="str">
            <v>WBC-044</v>
          </cell>
          <cell r="B6485" t="str">
            <v>גבעת המטוס (ירושלים דרום)</v>
          </cell>
          <cell r="C6485" t="str">
            <v>גבעת המטוס (ירושלים דרום)-הקמת תחמ"ש פנימית 161/13.8</v>
          </cell>
          <cell r="D6485">
            <v>47299</v>
          </cell>
        </row>
        <row r="6486">
          <cell r="A6486" t="str">
            <v>WBC-044-ST2</v>
          </cell>
          <cell r="B6486" t="str">
            <v>גבעת המטוס (ירושלים דרום)</v>
          </cell>
          <cell r="C6486" t="str">
            <v>ירושלים דרום-שולב- אישור תוכנית סטטוטורית</v>
          </cell>
        </row>
        <row r="6487">
          <cell r="A6487" t="str">
            <v>WBM-00731</v>
          </cell>
          <cell r="B6487" t="str">
            <v>גבעת המטוס (ירושלים דרום)</v>
          </cell>
          <cell r="C6487" t="str">
            <v>ירושלים דרום-בוטל-התקנת 4 ס"ק 3*2 מגווא"</v>
          </cell>
          <cell r="D6487">
            <v>43769</v>
          </cell>
        </row>
        <row r="6488">
          <cell r="A6488">
            <v>9985222</v>
          </cell>
          <cell r="B6488" t="str">
            <v>גבעת המורה</v>
          </cell>
          <cell r="C6488" t="str">
            <v>גבעת המורה-קליטת תח"כ בהספק 70 מגוו"ט</v>
          </cell>
          <cell r="D6488">
            <v>43601</v>
          </cell>
        </row>
        <row r="6489">
          <cell r="A6489" t="str">
            <v>WBM-10260</v>
          </cell>
          <cell r="B6489" t="str">
            <v>גבעת המורה</v>
          </cell>
          <cell r="C6489" t="str">
            <v>גבעת המורה-משיק א. תבור 22,תק.בין הגנות</v>
          </cell>
          <cell r="D6489">
            <v>45473</v>
          </cell>
        </row>
        <row r="6490">
          <cell r="A6490" t="str">
            <v>WBC-115</v>
          </cell>
          <cell r="B6490" t="str">
            <v>גבעת אלה (נצרת צפון)</v>
          </cell>
          <cell r="C6490" t="str">
            <v>גבעת אלה- הקמת תחמ"ש חיצונית 161/24 ק"ו</v>
          </cell>
          <cell r="D6490">
            <v>45291</v>
          </cell>
        </row>
        <row r="6491">
          <cell r="A6491" t="str">
            <v>WBE-219</v>
          </cell>
          <cell r="B6491" t="str">
            <v>גבעת אלה (נצרת צפון)</v>
          </cell>
          <cell r="C6491" t="str">
            <v>גבעת אלה-התקנת שנאי שלישי161/24ק"ו 50מו"</v>
          </cell>
          <cell r="D6491">
            <v>47483</v>
          </cell>
        </row>
        <row r="6492">
          <cell r="A6492" t="str">
            <v>WBM-70044</v>
          </cell>
          <cell r="B6492" t="str">
            <v>גבעת אלה (נצרת צפון)</v>
          </cell>
          <cell r="C6492" t="str">
            <v>גבעת אלה-התקנת 2 סוללות קבלים מודולריות 24 ק"ו 5*2 מגווא"ר כ"א.</v>
          </cell>
          <cell r="D6492">
            <v>46477</v>
          </cell>
        </row>
        <row r="6493">
          <cell r="A6493" t="str">
            <v>WBM-40521-025</v>
          </cell>
          <cell r="B6493" t="str">
            <v>גבעת אלה (נצרת צפון)</v>
          </cell>
          <cell r="C6493" t="str">
            <v>גבעת אלה - החלפת שנאי הארקה</v>
          </cell>
          <cell r="D6493">
            <v>46022</v>
          </cell>
        </row>
        <row r="6494">
          <cell r="A6494" t="str">
            <v>HIS-003</v>
          </cell>
          <cell r="B6494" t="str">
            <v>גאליה ארעית</v>
          </cell>
          <cell r="C6494" t="str">
            <v>גאליה (יפאורה) ארעית</v>
          </cell>
          <cell r="D6494">
            <v>40908</v>
          </cell>
        </row>
        <row r="6495">
          <cell r="A6495" t="str">
            <v>WBE-076</v>
          </cell>
          <cell r="B6495" t="str">
            <v>גאליה ארעית</v>
          </cell>
          <cell r="C6495" t="str">
            <v>גאליה ארעית-בוטל-החלפת שנאי 161/24 ק"ו</v>
          </cell>
          <cell r="D6495">
            <v>40750</v>
          </cell>
        </row>
        <row r="6496">
          <cell r="A6496" t="str">
            <v>WBM-00422</v>
          </cell>
          <cell r="B6496" t="str">
            <v>גאליה ארעית</v>
          </cell>
          <cell r="C6496" t="str">
            <v>גאליה ארעית-פירוק תחמ"ש ארעית</v>
          </cell>
          <cell r="D6496">
            <v>45722</v>
          </cell>
        </row>
        <row r="6497">
          <cell r="A6497" t="str">
            <v>WBM-10040</v>
          </cell>
          <cell r="B6497" t="str">
            <v>גאליה ארעית</v>
          </cell>
          <cell r="C6497" t="str">
            <v>גאליה ארעית -בוטל-התקנת רושם הפרעות</v>
          </cell>
        </row>
        <row r="6498">
          <cell r="A6498" t="str">
            <v>WBM-10310</v>
          </cell>
          <cell r="B6498" t="str">
            <v>גאליה ארעית</v>
          </cell>
          <cell r="C6498" t="str">
            <v>גאליה ארעית- פיילוט מע' להרחקת מכרסמים</v>
          </cell>
          <cell r="D6498">
            <v>44925</v>
          </cell>
        </row>
        <row r="6499">
          <cell r="A6499" t="str">
            <v>WBM-70006</v>
          </cell>
          <cell r="B6499" t="str">
            <v>גאליה ארעית</v>
          </cell>
          <cell r="C6499" t="str">
            <v>גאליה - הגנה דיפרנציאלית בשדה 5</v>
          </cell>
          <cell r="D6499">
            <v>44159</v>
          </cell>
        </row>
        <row r="6500">
          <cell r="A6500" t="str">
            <v>WBG-129-006</v>
          </cell>
          <cell r="B6500" t="str">
            <v>גאליה ארעית</v>
          </cell>
          <cell r="C6500" t="str">
            <v>גאליה (יפאורה) ארעית-התקנת מערכת מניה</v>
          </cell>
          <cell r="D6500">
            <v>41240</v>
          </cell>
        </row>
        <row r="6501">
          <cell r="A6501" t="str">
            <v>WBG-129-002</v>
          </cell>
          <cell r="B6501" t="str">
            <v>גאליה ארעית</v>
          </cell>
          <cell r="C6501" t="str">
            <v>גאליה (יפאורה) ארעית-התקנת מערכת טמ"ס</v>
          </cell>
          <cell r="D6501">
            <v>41120</v>
          </cell>
        </row>
        <row r="6502">
          <cell r="A6502" t="str">
            <v>WBM-60013</v>
          </cell>
          <cell r="B6502" t="str">
            <v>גאליה ארעית</v>
          </cell>
          <cell r="C6502" t="str">
            <v>גאליה ארעית-בוטל-הסדרת דרך גישה לתמ"ש</v>
          </cell>
          <cell r="D6502">
            <v>43556</v>
          </cell>
        </row>
        <row r="6503">
          <cell r="A6503" t="str">
            <v>WBM-40513</v>
          </cell>
          <cell r="B6503" t="str">
            <v>גאליה ארעית</v>
          </cell>
          <cell r="C6503" t="str">
            <v>גאליה ארעית - בוטל-החלפת משגוחים</v>
          </cell>
          <cell r="D6503">
            <v>44536</v>
          </cell>
        </row>
        <row r="6504">
          <cell r="A6504">
            <v>532216</v>
          </cell>
          <cell r="B6504" t="str">
            <v>גאליה ארעית</v>
          </cell>
          <cell r="C6504" t="str">
            <v>גאליה (יפאורה) ארעית-התקנת מערכת התראה</v>
          </cell>
          <cell r="D6504">
            <v>42154</v>
          </cell>
        </row>
        <row r="6505">
          <cell r="A6505" t="str">
            <v>WBG-129-005</v>
          </cell>
          <cell r="B6505" t="str">
            <v>גאליה ארעית</v>
          </cell>
          <cell r="C6505" t="str">
            <v>גאליה ארעית-התקנת תקשורת מנהלתית</v>
          </cell>
          <cell r="D6505">
            <v>40632</v>
          </cell>
        </row>
        <row r="6506">
          <cell r="A6506" t="str">
            <v>WBM-00024</v>
          </cell>
          <cell r="B6506" t="str">
            <v>גאליה ארעית</v>
          </cell>
          <cell r="C6506" t="str">
            <v>גאליה (יפאורה) ארעית-התקנת ארון ז"י 48 ו</v>
          </cell>
          <cell r="D6506">
            <v>40332</v>
          </cell>
        </row>
        <row r="6507">
          <cell r="A6507" t="str">
            <v>WBM-00423</v>
          </cell>
          <cell r="B6507" t="str">
            <v>גאליה ארעית</v>
          </cell>
          <cell r="C6507" t="str">
            <v>גאליה  ארעית-בוטל-התקנת הגנות פ"צ</v>
          </cell>
          <cell r="D6507">
            <v>39647</v>
          </cell>
        </row>
        <row r="6508">
          <cell r="A6508" t="str">
            <v>WBE-057</v>
          </cell>
          <cell r="B6508" t="str">
            <v>גאליה ארעית</v>
          </cell>
          <cell r="C6508" t="str">
            <v>גאליה ארעית- התקנת שנאי שני  50 מגוו"א.</v>
          </cell>
          <cell r="D6508">
            <v>41354</v>
          </cell>
        </row>
        <row r="6509">
          <cell r="A6509" t="str">
            <v>WBM-10571</v>
          </cell>
          <cell r="B6509" t="str">
            <v>גאליה ארעית</v>
          </cell>
          <cell r="C6509" t="str">
            <v>גאליה-משיק לקריית משה שדה 5,יישום דרך קשר אופטית בין הגנות (מרחק בלבד.לא דיפרנציאלי) בשדה 1 .</v>
          </cell>
          <cell r="D6509">
            <v>45621</v>
          </cell>
        </row>
        <row r="6510">
          <cell r="A6510" t="str">
            <v>WBM-00885-088</v>
          </cell>
          <cell r="B6510" t="str">
            <v>גאליה ארעית</v>
          </cell>
          <cell r="C6510" t="str">
            <v>גאליה - בוטל- תיקון מערכת המים</v>
          </cell>
        </row>
        <row r="6511">
          <cell r="A6511" t="str">
            <v>WBM-01193-004</v>
          </cell>
          <cell r="B6511" t="str">
            <v>גאליה ארעית</v>
          </cell>
          <cell r="C6511" t="str">
            <v>גאליה - החלפת טבעת 310 ל- RAD</v>
          </cell>
          <cell r="D6511">
            <v>46190</v>
          </cell>
        </row>
        <row r="6512">
          <cell r="A6512" t="str">
            <v>WBM-00885-150</v>
          </cell>
          <cell r="B6512" t="str">
            <v>גאליה ארעית</v>
          </cell>
          <cell r="C6512" t="str">
            <v>גאליה- פירוק מיכל ומשאבה ואביזרים</v>
          </cell>
          <cell r="D6512">
            <v>46196</v>
          </cell>
        </row>
        <row r="6513">
          <cell r="A6513" t="str">
            <v>WBM-00350-062</v>
          </cell>
          <cell r="B6513" t="str">
            <v>גאליה ארעית</v>
          </cell>
          <cell r="C6513" t="str">
            <v>גאליה -  שיפוץ 2  שנאים</v>
          </cell>
          <cell r="D6513">
            <v>46022</v>
          </cell>
        </row>
        <row r="6514">
          <cell r="A6514" t="str">
            <v>HIS-154</v>
          </cell>
          <cell r="B6514" t="str">
            <v>בתי זיקוק חיפה-פרטית</v>
          </cell>
          <cell r="C6514" t="str">
            <v>בתי זיקוק חיפה-פרטית</v>
          </cell>
          <cell r="D6514">
            <v>40908</v>
          </cell>
        </row>
        <row r="6515">
          <cell r="A6515" t="str">
            <v>WBC-028</v>
          </cell>
          <cell r="B6515" t="str">
            <v>בת ים</v>
          </cell>
          <cell r="C6515" t="str">
            <v>בת ים - הקמת תחמ"ש פנימית 161/24 ק"ו</v>
          </cell>
          <cell r="D6515">
            <v>46356</v>
          </cell>
        </row>
        <row r="6516">
          <cell r="A6516" t="str">
            <v>WBM-00729</v>
          </cell>
          <cell r="B6516" t="str">
            <v>בת ים</v>
          </cell>
          <cell r="C6516" t="str">
            <v>בת ים-בוטל- התקנת 2 ס"ק 5*2 מגווא"ר כ"א</v>
          </cell>
          <cell r="D6516">
            <v>36526</v>
          </cell>
        </row>
        <row r="6517">
          <cell r="A6517" t="str">
            <v>WBM-60008-071</v>
          </cell>
          <cell r="B6517" t="str">
            <v>בת ים</v>
          </cell>
          <cell r="C6517" t="str">
            <v>בת ים - מערכת בקרה, טמ"ס וגדר אלקטרונית</v>
          </cell>
          <cell r="D6517">
            <v>46752</v>
          </cell>
        </row>
        <row r="6518">
          <cell r="A6518" t="str">
            <v>WBM-60008-092</v>
          </cell>
          <cell r="B6518" t="str">
            <v>בת ים</v>
          </cell>
          <cell r="C6518" t="str">
            <v>בת ים  - התקנת מערות מיגון בתחמש</v>
          </cell>
          <cell r="D6518">
            <v>46180</v>
          </cell>
        </row>
        <row r="6519">
          <cell r="A6519" t="str">
            <v>HIS-071</v>
          </cell>
          <cell r="B6519" t="str">
            <v>בשור</v>
          </cell>
          <cell r="C6519" t="str">
            <v>בשור</v>
          </cell>
          <cell r="D6519">
            <v>40908</v>
          </cell>
        </row>
        <row r="6520">
          <cell r="A6520" t="str">
            <v>WBE-239</v>
          </cell>
          <cell r="B6520" t="str">
            <v>בשור</v>
          </cell>
          <cell r="C6520" t="str">
            <v>בשור-הקמת 4 שדות קו 161 ק"ו חדשים והתאמת השדות הקיימים</v>
          </cell>
          <cell r="D6520">
            <v>46691</v>
          </cell>
        </row>
        <row r="6521">
          <cell r="A6521" t="str">
            <v>WBE-238</v>
          </cell>
          <cell r="B6521" t="str">
            <v>בשור</v>
          </cell>
          <cell r="C6521" t="str">
            <v>בשור-שולב-הקמת 2 שד' קו161ק"ו חדשים לניר יצחק</v>
          </cell>
        </row>
        <row r="6522">
          <cell r="A6522" t="str">
            <v>WBE-119</v>
          </cell>
          <cell r="B6522" t="str">
            <v>בשור</v>
          </cell>
          <cell r="C6522" t="str">
            <v>בשור- התקנת שנאי  50 מגוו"א ומאצרת שמן לשנאי</v>
          </cell>
          <cell r="D6522">
            <v>46265</v>
          </cell>
        </row>
        <row r="6523">
          <cell r="A6523" t="str">
            <v>WBE-089</v>
          </cell>
          <cell r="B6523" t="str">
            <v>בשור</v>
          </cell>
          <cell r="C6523" t="str">
            <v>בשור- החלפת 3 שנאים  33 ל-50 מגוו"א</v>
          </cell>
          <cell r="D6523">
            <v>44497</v>
          </cell>
        </row>
        <row r="6524">
          <cell r="A6524" t="str">
            <v>WBE-131</v>
          </cell>
          <cell r="B6524" t="str">
            <v>בשור</v>
          </cell>
          <cell r="C6524" t="str">
            <v>בשור - התקנת מתקן אגירת אנרגיה</v>
          </cell>
          <cell r="D6524">
            <v>46295</v>
          </cell>
        </row>
        <row r="6525">
          <cell r="A6525" t="str">
            <v>WDB-04COM23</v>
          </cell>
          <cell r="B6525" t="str">
            <v>בשור</v>
          </cell>
          <cell r="C6525" t="str">
            <v>בשור-הנחת כבל סיב אופטי מכיוון נתיבות</v>
          </cell>
          <cell r="D6525">
            <v>41273</v>
          </cell>
        </row>
        <row r="6526">
          <cell r="A6526" t="str">
            <v>WDB-04COM24</v>
          </cell>
          <cell r="B6526" t="str">
            <v>בשור</v>
          </cell>
          <cell r="C6526" t="str">
            <v>בשור-הנחת כבל סיב אופטי מכיוון אופקים</v>
          </cell>
          <cell r="D6526">
            <v>41151</v>
          </cell>
        </row>
        <row r="6527">
          <cell r="A6527" t="str">
            <v>WBM-70011</v>
          </cell>
          <cell r="B6527" t="str">
            <v>בשור</v>
          </cell>
          <cell r="C6527" t="str">
            <v>בשור - החלפת משנק, שדה 1 (לנתיבות)</v>
          </cell>
          <cell r="D6527">
            <v>44798</v>
          </cell>
        </row>
        <row r="6528">
          <cell r="A6528" t="str">
            <v>WBM-70041</v>
          </cell>
          <cell r="B6528" t="str">
            <v>בשור</v>
          </cell>
          <cell r="C6528" t="str">
            <v>בשור - התקנת סוללת קבלים עבור שנאי 524</v>
          </cell>
          <cell r="D6528">
            <v>46477</v>
          </cell>
        </row>
        <row r="6529">
          <cell r="A6529" t="str">
            <v>WBM-00261</v>
          </cell>
          <cell r="B6529" t="str">
            <v>בשור</v>
          </cell>
          <cell r="C6529" t="str">
            <v>בשור-התקנת 3 סוללות קבלים 24 ק"ו 2X5 מגוא"ר</v>
          </cell>
          <cell r="D6529">
            <v>46660</v>
          </cell>
        </row>
        <row r="6530">
          <cell r="A6530" t="str">
            <v>WBM-00420</v>
          </cell>
          <cell r="B6530" t="str">
            <v>בשור</v>
          </cell>
          <cell r="C6530" t="str">
            <v>בשור - הזנת תאורת חירום ז"י</v>
          </cell>
          <cell r="D6530">
            <v>46752</v>
          </cell>
        </row>
        <row r="6531">
          <cell r="A6531" t="str">
            <v>WBM-40008</v>
          </cell>
          <cell r="B6531" t="str">
            <v>בשור</v>
          </cell>
          <cell r="C6531" t="str">
            <v>בשור - החלפת רושם הפרעות</v>
          </cell>
          <cell r="D6531">
            <v>46477</v>
          </cell>
        </row>
        <row r="6532">
          <cell r="A6532" t="str">
            <v>WBM-40052</v>
          </cell>
          <cell r="B6532" t="str">
            <v>בשור</v>
          </cell>
          <cell r="C6532" t="str">
            <v>בשור - החלפת מפסקי זרם והגנות</v>
          </cell>
          <cell r="D6532">
            <v>46476</v>
          </cell>
        </row>
        <row r="6533">
          <cell r="A6533" t="str">
            <v>WBM-00925</v>
          </cell>
          <cell r="B6533" t="str">
            <v>בשור</v>
          </cell>
          <cell r="C6533" t="str">
            <v>בשור-התקנת הגנת מרחק שנייה בשדה 1</v>
          </cell>
          <cell r="D6533">
            <v>46476</v>
          </cell>
        </row>
        <row r="6534">
          <cell r="A6534" t="str">
            <v>WBM-10197</v>
          </cell>
          <cell r="B6534" t="str">
            <v>בשור</v>
          </cell>
          <cell r="C6534" t="str">
            <v>בשור-משיק לניר יצחק,הח' הג.דיפ.+תקש. ש9</v>
          </cell>
          <cell r="D6534">
            <v>46690</v>
          </cell>
        </row>
        <row r="6535">
          <cell r="A6535" t="str">
            <v>WBM-00839</v>
          </cell>
          <cell r="B6535" t="str">
            <v>בשור</v>
          </cell>
          <cell r="C6535" t="str">
            <v>בשור-הסדרת צומת כניסה לתחמ"ש</v>
          </cell>
          <cell r="D6535">
            <v>46177</v>
          </cell>
        </row>
        <row r="6536">
          <cell r="A6536" t="str">
            <v>WBM-10399</v>
          </cell>
          <cell r="B6536" t="str">
            <v>בשור</v>
          </cell>
          <cell r="C6536" t="str">
            <v>בשור-החלפת מטען ללוח חלוקה 60 ו'+ממירים</v>
          </cell>
          <cell r="D6536">
            <v>45320</v>
          </cell>
        </row>
        <row r="6537">
          <cell r="A6537" t="str">
            <v>WBM-10395</v>
          </cell>
          <cell r="B6537" t="str">
            <v>בשור</v>
          </cell>
          <cell r="C6537" t="str">
            <v>בשור -יישום תקשורת אופט. בין הגנות ש1</v>
          </cell>
          <cell r="D6537">
            <v>45929</v>
          </cell>
        </row>
        <row r="6538">
          <cell r="A6538" t="str">
            <v>WBM-10137</v>
          </cell>
          <cell r="B6538" t="str">
            <v>בשור</v>
          </cell>
          <cell r="C6538" t="str">
            <v>בשור - התקנת מתמרים ב-3 פ"צ</v>
          </cell>
          <cell r="D6538">
            <v>44507</v>
          </cell>
        </row>
        <row r="6539">
          <cell r="A6539" t="str">
            <v>WBM-01260</v>
          </cell>
          <cell r="B6539" t="str">
            <v>בשור</v>
          </cell>
          <cell r="C6539" t="str">
            <v>בשור-התאמת הגנות בשדה 3 ליחפ צאלים</v>
          </cell>
          <cell r="D6539">
            <v>43631</v>
          </cell>
        </row>
        <row r="6540">
          <cell r="A6540" t="str">
            <v>WBM-00421</v>
          </cell>
          <cell r="B6540" t="str">
            <v>בשור</v>
          </cell>
          <cell r="C6540" t="str">
            <v>בשור-החלפת מ.ברק של פ"צ 1,2,3 ,24 ק"ו</v>
          </cell>
          <cell r="D6540">
            <v>43356</v>
          </cell>
        </row>
        <row r="6541">
          <cell r="A6541" t="str">
            <v>WBM-00419</v>
          </cell>
          <cell r="B6541" t="str">
            <v>בשור</v>
          </cell>
          <cell r="C6541" t="str">
            <v>בשור-החלפת מ.ברק מ"ג שנאים 521,522,523</v>
          </cell>
          <cell r="D6541">
            <v>43349</v>
          </cell>
        </row>
        <row r="6542">
          <cell r="A6542" t="str">
            <v>WBM-01118</v>
          </cell>
          <cell r="B6542" t="str">
            <v>בשור</v>
          </cell>
          <cell r="C6542" t="str">
            <v>בשור - פיילוט ליישום שליטה מרחוק</v>
          </cell>
          <cell r="D6542">
            <v>43206</v>
          </cell>
        </row>
        <row r="6543">
          <cell r="A6543" t="str">
            <v>WBM-00703</v>
          </cell>
          <cell r="B6543" t="str">
            <v>בשור</v>
          </cell>
          <cell r="C6543" t="str">
            <v>בשור-התקנת הגנות פ"צ 161 ק"ו</v>
          </cell>
          <cell r="D6543">
            <v>41708</v>
          </cell>
        </row>
        <row r="6544">
          <cell r="A6544" t="str">
            <v>WBG-022-012</v>
          </cell>
          <cell r="B6544" t="str">
            <v>בשור</v>
          </cell>
          <cell r="C6544" t="str">
            <v>בשור-החלפת מפ"ז מ"ג ב-3 שדות ס"ק</v>
          </cell>
          <cell r="D6544">
            <v>41289</v>
          </cell>
        </row>
        <row r="6545">
          <cell r="A6545" t="str">
            <v>WBG-022-008</v>
          </cell>
          <cell r="B6545" t="str">
            <v>בשור</v>
          </cell>
          <cell r="C6545" t="str">
            <v>בשור-התקנת תקשורת מנהלתית</v>
          </cell>
          <cell r="D6545">
            <v>41274</v>
          </cell>
        </row>
        <row r="6546">
          <cell r="A6546" t="str">
            <v>WBG-022-011</v>
          </cell>
          <cell r="B6546" t="str">
            <v>בשור</v>
          </cell>
          <cell r="C6546" t="str">
            <v>בשור-החלפת מערכת גילוי וכיבוי אש</v>
          </cell>
          <cell r="D6546">
            <v>41175</v>
          </cell>
        </row>
        <row r="6547">
          <cell r="A6547" t="str">
            <v>WBM-01047</v>
          </cell>
          <cell r="B6547" t="str">
            <v>בשור</v>
          </cell>
          <cell r="C6547" t="str">
            <v>בשור-בוטל-החלפת מפסקים מ"ג</v>
          </cell>
          <cell r="D6547">
            <v>42335</v>
          </cell>
        </row>
        <row r="6548">
          <cell r="A6548" t="str">
            <v>WBM-01255</v>
          </cell>
          <cell r="B6548" t="str">
            <v>בשור</v>
          </cell>
          <cell r="C6548" t="str">
            <v>בשור - בוטל-מאצרות שמן קבועות למסדרי אפס</v>
          </cell>
          <cell r="D6548">
            <v>42905</v>
          </cell>
        </row>
        <row r="6549">
          <cell r="A6549" t="str">
            <v>WBM-40053</v>
          </cell>
          <cell r="B6549" t="str">
            <v>בשור</v>
          </cell>
          <cell r="C6549" t="str">
            <v>בשור - בוטל-החלפת הגנות שנאי 521, 522</v>
          </cell>
          <cell r="D6549">
            <v>43111</v>
          </cell>
        </row>
        <row r="6550">
          <cell r="A6550" t="str">
            <v>WBM-60006</v>
          </cell>
          <cell r="B6550" t="str">
            <v>בשור</v>
          </cell>
          <cell r="C6550" t="str">
            <v>בשור-בוטל-התקנת מאצרות שמן זמניות לשנאים</v>
          </cell>
          <cell r="D6550">
            <v>36526</v>
          </cell>
        </row>
        <row r="6551">
          <cell r="A6551" t="str">
            <v>WBM-01327</v>
          </cell>
          <cell r="B6551" t="str">
            <v>בשור</v>
          </cell>
          <cell r="C6551" t="str">
            <v>בשור - בוטל-החלפת רושם הפרעות</v>
          </cell>
          <cell r="D6551">
            <v>42948</v>
          </cell>
        </row>
        <row r="6552">
          <cell r="A6552">
            <v>535721</v>
          </cell>
          <cell r="B6552" t="str">
            <v>בשור</v>
          </cell>
          <cell r="C6552" t="str">
            <v>בשור-התקנת מערכת התראה ביטחונית</v>
          </cell>
          <cell r="D6552">
            <v>39812</v>
          </cell>
        </row>
        <row r="6553">
          <cell r="A6553">
            <v>535728</v>
          </cell>
          <cell r="B6553" t="str">
            <v>בשור</v>
          </cell>
          <cell r="C6553" t="str">
            <v>בשור-התקנת מאווררים בארונות פיקוד</v>
          </cell>
          <cell r="D6553">
            <v>40311</v>
          </cell>
        </row>
        <row r="6554">
          <cell r="A6554" t="str">
            <v>WBM-00023</v>
          </cell>
          <cell r="B6554" t="str">
            <v>בשור</v>
          </cell>
          <cell r="C6554" t="str">
            <v>בשור - הוספת סוללות מצברים 220 וולט (משיק ל- WBE-119).</v>
          </cell>
          <cell r="D6554">
            <v>46325</v>
          </cell>
        </row>
        <row r="6555">
          <cell r="A6555" t="str">
            <v>WBG-022-019</v>
          </cell>
          <cell r="B6555" t="str">
            <v>בשור</v>
          </cell>
          <cell r="C6555" t="str">
            <v>בשור-הסדרת דרך גישה לתחמ"ש בשור</v>
          </cell>
          <cell r="D6555">
            <v>40743</v>
          </cell>
        </row>
        <row r="6556">
          <cell r="A6556" t="str">
            <v>WBM-00262</v>
          </cell>
          <cell r="B6556" t="str">
            <v>בשור</v>
          </cell>
          <cell r="C6556" t="str">
            <v>בשור-הקמת שדה 161 ק"ו לחלוציות</v>
          </cell>
          <cell r="D6556">
            <v>42480</v>
          </cell>
        </row>
        <row r="6557">
          <cell r="A6557" t="str">
            <v>WBM-01073</v>
          </cell>
          <cell r="B6557" t="str">
            <v>בשור</v>
          </cell>
          <cell r="C6557" t="str">
            <v>בשור-הוספת הגנה דיפרנציאלית בשדה מס' 7</v>
          </cell>
          <cell r="D6557">
            <v>43342</v>
          </cell>
        </row>
        <row r="6558">
          <cell r="A6558" t="str">
            <v>WBM-10469</v>
          </cell>
          <cell r="B6558" t="str">
            <v>בשור</v>
          </cell>
          <cell r="C6558" t="str">
            <v>בשור- שדה 9, העברת אותות TT בציוד קרייר</v>
          </cell>
          <cell r="D6558">
            <v>46233</v>
          </cell>
        </row>
        <row r="6559">
          <cell r="A6559" t="str">
            <v>WBM-00350-042</v>
          </cell>
          <cell r="B6559" t="str">
            <v>בשור</v>
          </cell>
          <cell r="C6559" t="str">
            <v>בשור - החלפת שנאי הארקה בהמשך לניסוי</v>
          </cell>
          <cell r="D6559">
            <v>46022</v>
          </cell>
        </row>
        <row r="6560">
          <cell r="A6560" t="str">
            <v>WBM-40295-026</v>
          </cell>
          <cell r="B6560" t="str">
            <v>בשור</v>
          </cell>
          <cell r="C6560" t="str">
            <v>בשור- החלפת סוללת מצברים 2021</v>
          </cell>
          <cell r="D6560">
            <v>46721</v>
          </cell>
        </row>
        <row r="6561">
          <cell r="A6561" t="str">
            <v>WBM-40521-020</v>
          </cell>
          <cell r="B6561" t="str">
            <v>בשור</v>
          </cell>
          <cell r="C6561" t="str">
            <v>בשור - החלפת 3 שנאי הארקה</v>
          </cell>
          <cell r="D6561">
            <v>46721</v>
          </cell>
        </row>
        <row r="6562">
          <cell r="A6562" t="str">
            <v>WBM-60092-031</v>
          </cell>
          <cell r="B6562" t="str">
            <v>בשור</v>
          </cell>
          <cell r="C6562" t="str">
            <v>בשור - בדיקות/טיפול/פינוי מכלי אש בגז</v>
          </cell>
          <cell r="D6562">
            <v>46162</v>
          </cell>
        </row>
        <row r="6563">
          <cell r="A6563" t="str">
            <v>WBM-40609</v>
          </cell>
          <cell r="B6563" t="str">
            <v>בשור</v>
          </cell>
          <cell r="C6563" t="str">
            <v>בשור- הקמת בניין פקוד, התקנת 3 מסדרי מ''ג והעתקת היציאות למסדרים החדשים ומאצרת שמן לשנאי</v>
          </cell>
          <cell r="D6563">
            <v>46203</v>
          </cell>
        </row>
        <row r="6564">
          <cell r="A6564" t="str">
            <v>WBM-60130-017</v>
          </cell>
          <cell r="B6564" t="str">
            <v>בשור</v>
          </cell>
          <cell r="C6564" t="str">
            <v>בשור - התקנת מפסק פטריה להפסקת מערכת החשמל בחירום</v>
          </cell>
          <cell r="D6564">
            <v>46568</v>
          </cell>
        </row>
        <row r="6565">
          <cell r="A6565" t="str">
            <v>WBM-10640</v>
          </cell>
          <cell r="B6565" t="str">
            <v>בשור</v>
          </cell>
          <cell r="C6565" t="str">
            <v>בשור -התאמת תיילים- מהדקים- פורטל WBO-594</v>
          </cell>
          <cell r="D6565">
            <v>46690</v>
          </cell>
        </row>
        <row r="6566">
          <cell r="A6566" t="str">
            <v>WBM-10643</v>
          </cell>
          <cell r="B6566" t="str">
            <v>בשור</v>
          </cell>
          <cell r="C6566" t="str">
            <v>בשור -התאמת תיילים- מהדקים- פורטל WBO-829</v>
          </cell>
          <cell r="D6566">
            <v>48029</v>
          </cell>
        </row>
        <row r="6567">
          <cell r="A6567" t="str">
            <v>WBM-10315-074</v>
          </cell>
          <cell r="B6567" t="str">
            <v>בשור</v>
          </cell>
          <cell r="C6567" t="str">
            <v>בשור-התקנת מזגנים</v>
          </cell>
          <cell r="D6567">
            <v>46295</v>
          </cell>
        </row>
        <row r="6568">
          <cell r="A6568" t="str">
            <v>WBM-10597-005</v>
          </cell>
          <cell r="B6568" t="str">
            <v>בשור</v>
          </cell>
          <cell r="C6568" t="str">
            <v>בשור - משיק אופקים שדה 9, פיילוט יישום תקשורת הגנות בשדה 7</v>
          </cell>
          <cell r="D6568">
            <v>46295</v>
          </cell>
        </row>
        <row r="6569">
          <cell r="A6569" t="str">
            <v>WBE-284</v>
          </cell>
          <cell r="B6569" t="str">
            <v>בשור</v>
          </cell>
          <cell r="C6569" t="str">
            <v>בשור-הקמת שדה 161 ק"ו  מותאם ליכולת 2000 אמפר</v>
          </cell>
          <cell r="D6569">
            <v>46783</v>
          </cell>
        </row>
        <row r="6570">
          <cell r="A6570" t="str">
            <v>WBM-10788</v>
          </cell>
          <cell r="B6570" t="str">
            <v>בשור</v>
          </cell>
          <cell r="C6570" t="str">
            <v>בשור - משיק לאורים שדה 7,  התקנת הגנת מרחק ממכרז חדש ויישום 2 דרכי קשר בשדה 7</v>
          </cell>
          <cell r="D6570">
            <v>46568</v>
          </cell>
        </row>
        <row r="6571">
          <cell r="A6571" t="str">
            <v>WBD-051-ST2</v>
          </cell>
          <cell r="B6571" t="str">
            <v>ברקאי ניידת</v>
          </cell>
          <cell r="C6571" t="str">
            <v>ברקאי ניידת-פרוק התחמ"ש הניידת</v>
          </cell>
          <cell r="D6571">
            <v>44083</v>
          </cell>
        </row>
        <row r="6572">
          <cell r="A6572" t="str">
            <v>WBM-01079</v>
          </cell>
          <cell r="B6572" t="str">
            <v>ברקאי ניידת</v>
          </cell>
          <cell r="C6572" t="str">
            <v>ברקאי-בוטל-שיפוץ ניידת ברקאי/חריש</v>
          </cell>
          <cell r="D6572">
            <v>42625</v>
          </cell>
        </row>
        <row r="6573">
          <cell r="A6573" t="str">
            <v>WBD-051</v>
          </cell>
          <cell r="B6573" t="str">
            <v>ברקאי ניידת</v>
          </cell>
          <cell r="C6573" t="str">
            <v>ברקאי ניידת-הצבת  תחמ"ש ניידת</v>
          </cell>
          <cell r="D6573">
            <v>42722</v>
          </cell>
        </row>
        <row r="6574">
          <cell r="A6574" t="str">
            <v>HIS-070</v>
          </cell>
          <cell r="B6574" t="str">
            <v>בר-לב</v>
          </cell>
          <cell r="C6574" t="str">
            <v>בר-לב</v>
          </cell>
          <cell r="D6574">
            <v>40908</v>
          </cell>
        </row>
        <row r="6575">
          <cell r="A6575" t="str">
            <v>WBM-00686</v>
          </cell>
          <cell r="B6575" t="str">
            <v>בר-לב</v>
          </cell>
          <cell r="C6575" t="str">
            <v>בר-לב - התקנת מערכת FRD  בפסי צבירה מס' 1,2</v>
          </cell>
          <cell r="D6575">
            <v>46752</v>
          </cell>
        </row>
        <row r="6576">
          <cell r="A6576" t="str">
            <v>WBM-60070</v>
          </cell>
          <cell r="B6576" t="str">
            <v>בר-לב</v>
          </cell>
          <cell r="C6576" t="str">
            <v>בר-לב- עיגון ארונות פיקוד ושנאים</v>
          </cell>
          <cell r="D6576">
            <v>46691</v>
          </cell>
        </row>
        <row r="6577">
          <cell r="A6577" t="str">
            <v>WBM-40031</v>
          </cell>
          <cell r="B6577" t="str">
            <v>בר-לב</v>
          </cell>
          <cell r="C6577" t="str">
            <v>בר-לב - החלפת 20 הגנות מ"ג 7SJ512</v>
          </cell>
          <cell r="D6577">
            <v>46752</v>
          </cell>
        </row>
        <row r="6578">
          <cell r="A6578" t="str">
            <v>WBM-00022</v>
          </cell>
          <cell r="B6578" t="str">
            <v>בר-לב</v>
          </cell>
          <cell r="C6578" t="str">
            <v>בר-לב-התקנת רושם הפרעות 161 ק"ו</v>
          </cell>
          <cell r="D6578">
            <v>46265</v>
          </cell>
        </row>
        <row r="6579">
          <cell r="A6579" t="str">
            <v>WBM-00768</v>
          </cell>
          <cell r="B6579" t="str">
            <v>בר-לב</v>
          </cell>
          <cell r="C6579" t="str">
            <v>בר-לב-הסדרת אספקת מים ללחץ וספיקה.</v>
          </cell>
          <cell r="D6579">
            <v>46264</v>
          </cell>
        </row>
        <row r="6580">
          <cell r="A6580" t="str">
            <v>WBM-10357</v>
          </cell>
          <cell r="B6580" t="str">
            <v>בר-לב</v>
          </cell>
          <cell r="C6580" t="str">
            <v>בר לב-משיק יאסיף5-התקנת הג.דיפ.ש7+ד"ק</v>
          </cell>
          <cell r="D6580">
            <v>45757</v>
          </cell>
        </row>
        <row r="6581">
          <cell r="A6581" t="str">
            <v>WBM-60090</v>
          </cell>
          <cell r="B6581" t="str">
            <v>בר-לב</v>
          </cell>
          <cell r="C6581" t="str">
            <v>בר לב-החלפת מערכות גילוי אש</v>
          </cell>
          <cell r="D6581">
            <v>44586</v>
          </cell>
        </row>
        <row r="6582">
          <cell r="A6582" t="str">
            <v>WBM-01363</v>
          </cell>
          <cell r="B6582" t="str">
            <v>בר-לב</v>
          </cell>
          <cell r="C6582" t="str">
            <v>בר-לב-שיפור אוטומטיקת סלילי כיבוי בתחמ"ש</v>
          </cell>
          <cell r="D6582">
            <v>43073</v>
          </cell>
        </row>
        <row r="6583">
          <cell r="A6583" t="str">
            <v>WBG-134-006</v>
          </cell>
          <cell r="B6583" t="str">
            <v>בר-לב</v>
          </cell>
          <cell r="C6583" t="str">
            <v>בר-לב-החלפת הממסר להשלת עומס לפי תדר</v>
          </cell>
          <cell r="D6583">
            <v>41973</v>
          </cell>
        </row>
        <row r="6584">
          <cell r="A6584" t="str">
            <v>WBG-134-004</v>
          </cell>
          <cell r="B6584" t="str">
            <v>בר-לב</v>
          </cell>
          <cell r="C6584" t="str">
            <v>בר-לב- ביצוע פיילוט OM בטבעת</v>
          </cell>
          <cell r="D6584">
            <v>41270</v>
          </cell>
        </row>
        <row r="6585">
          <cell r="A6585" t="str">
            <v>WBG-134-010</v>
          </cell>
          <cell r="B6585" t="str">
            <v>בר-לב</v>
          </cell>
          <cell r="C6585" t="str">
            <v>בר-לב-פתרון בעיית חי. לא מבוקר של ממסרים</v>
          </cell>
          <cell r="D6585">
            <v>41102</v>
          </cell>
        </row>
        <row r="6586">
          <cell r="A6586" t="str">
            <v>WBG-134-009</v>
          </cell>
          <cell r="B6586" t="str">
            <v>בר-לב</v>
          </cell>
          <cell r="C6586" t="str">
            <v>בר-לב-התקנת ציוד קשר הג.מרחק בקו לזבולון</v>
          </cell>
          <cell r="D6586">
            <v>41095</v>
          </cell>
        </row>
        <row r="6587">
          <cell r="A6587" t="str">
            <v>WBM-40018</v>
          </cell>
          <cell r="B6587" t="str">
            <v>בר-לב</v>
          </cell>
          <cell r="C6587" t="str">
            <v>בר-לב - בוטל-החלפת 20 הגנות מ"ג 7sj512</v>
          </cell>
          <cell r="D6587">
            <v>43110</v>
          </cell>
        </row>
        <row r="6588">
          <cell r="A6588">
            <v>527302</v>
          </cell>
          <cell r="B6588" t="str">
            <v>בר-לב</v>
          </cell>
          <cell r="C6588" t="str">
            <v>בר-לב-בוטל-החלפת רכזת התראה בטחונית</v>
          </cell>
          <cell r="D6588">
            <v>36526</v>
          </cell>
        </row>
        <row r="6589">
          <cell r="A6589" t="str">
            <v>WBM-00418</v>
          </cell>
          <cell r="B6589" t="str">
            <v>בר-לב</v>
          </cell>
          <cell r="C6589" t="str">
            <v>בר-לב-שיפור בוטל מערכת הארקת בתחמ"ש</v>
          </cell>
          <cell r="D6589">
            <v>39798</v>
          </cell>
        </row>
        <row r="6590">
          <cell r="A6590">
            <v>527314</v>
          </cell>
          <cell r="B6590" t="str">
            <v>בר-לב</v>
          </cell>
          <cell r="C6590" t="str">
            <v>בר-לב-בוטל-התקנת מאווררים בארונות פיקוד</v>
          </cell>
          <cell r="D6590">
            <v>40311</v>
          </cell>
        </row>
        <row r="6591">
          <cell r="A6591" t="str">
            <v>WBM-00343</v>
          </cell>
          <cell r="B6591" t="str">
            <v>בר-לב</v>
          </cell>
          <cell r="C6591" t="str">
            <v>בר-לב-בוטל-החלפת מ.להשלת עומס לפי תדר</v>
          </cell>
          <cell r="D6591">
            <v>41233</v>
          </cell>
        </row>
        <row r="6592">
          <cell r="A6592" t="str">
            <v>WBE-191</v>
          </cell>
          <cell r="B6592" t="str">
            <v>בר-לב</v>
          </cell>
          <cell r="C6592" t="str">
            <v>בר-לב - התקנת שנאי שלישי 161/24 ק"ו , 50 מגוו"א</v>
          </cell>
          <cell r="D6592">
            <v>46387</v>
          </cell>
        </row>
        <row r="6593">
          <cell r="A6593" t="str">
            <v>WBM-10577</v>
          </cell>
          <cell r="B6593" t="str">
            <v>בר-לב</v>
          </cell>
          <cell r="C6593" t="str">
            <v>בר-לב - התקנת הגנה דיפרנציאלית שדה 9 -משיק לתחמ"ש כרמיאל שדה 9</v>
          </cell>
          <cell r="D6593">
            <v>47117</v>
          </cell>
        </row>
        <row r="6594">
          <cell r="A6594" t="str">
            <v>WBM-00885-054</v>
          </cell>
          <cell r="B6594" t="str">
            <v>בר-לב</v>
          </cell>
          <cell r="C6594" t="str">
            <v>בר-לב- התאמת מערכת המים לכיבוי אש לנוהל</v>
          </cell>
          <cell r="D6594">
            <v>46387</v>
          </cell>
        </row>
        <row r="6595">
          <cell r="A6595" t="str">
            <v>WBM-00885-083</v>
          </cell>
          <cell r="B6595" t="str">
            <v>בר-לב</v>
          </cell>
          <cell r="C6595" t="str">
            <v>בר לב - תיקון מערכת מיים</v>
          </cell>
          <cell r="D6595">
            <v>45607</v>
          </cell>
        </row>
        <row r="6596">
          <cell r="A6596" t="str">
            <v>WBM-20004-022</v>
          </cell>
          <cell r="B6596" t="str">
            <v>בר-לב</v>
          </cell>
          <cell r="C6596" t="str">
            <v>בר-לב - התקנת תאורת חירום מוגנת אש</v>
          </cell>
          <cell r="D6596">
            <v>46203</v>
          </cell>
        </row>
        <row r="6597">
          <cell r="A6597" t="str">
            <v>WBM-40295-066</v>
          </cell>
          <cell r="B6597" t="str">
            <v>בר-לב</v>
          </cell>
          <cell r="C6597" t="str">
            <v>בר-לב - החלפת סוללות מצברים</v>
          </cell>
          <cell r="D6597">
            <v>46387</v>
          </cell>
        </row>
        <row r="6598">
          <cell r="A6598" t="str">
            <v>WBM-40479-031</v>
          </cell>
          <cell r="B6598" t="str">
            <v>בר-לב</v>
          </cell>
          <cell r="C6598" t="str">
            <v>בר-לב החלפת 2 בקרי טמפ' וגובה שמן בשנאי</v>
          </cell>
          <cell r="D6598">
            <v>47118</v>
          </cell>
        </row>
        <row r="6599">
          <cell r="A6599" t="str">
            <v>WBM-60118-017</v>
          </cell>
          <cell r="B6599" t="str">
            <v>בר-לב</v>
          </cell>
          <cell r="C6599" t="str">
            <v>בר-לב - שיפור מערכת הארקה</v>
          </cell>
          <cell r="D6599">
            <v>46751</v>
          </cell>
        </row>
        <row r="6600">
          <cell r="A6600" t="str">
            <v>WBM-80002-042</v>
          </cell>
          <cell r="B6600" t="str">
            <v>בר-לב</v>
          </cell>
          <cell r="C6600" t="str">
            <v>בר-לב הסבות</v>
          </cell>
          <cell r="D6600">
            <v>46022</v>
          </cell>
        </row>
        <row r="6601">
          <cell r="A6601" t="str">
            <v>WBM-80024-001</v>
          </cell>
          <cell r="B6601" t="str">
            <v>בר-לב</v>
          </cell>
          <cell r="C6601" t="str">
            <v>בר-לב - החלפת בקר RTU שנאי 526</v>
          </cell>
          <cell r="D6601">
            <v>45382</v>
          </cell>
        </row>
        <row r="6602">
          <cell r="B6602" t="str">
            <v>בר-לב</v>
          </cell>
          <cell r="C6602" t="str">
            <v>בר לב - ביטול - החלפת בקר RTU שנאי 525</v>
          </cell>
        </row>
        <row r="6603">
          <cell r="A6603" t="str">
            <v>WBM-80024-004</v>
          </cell>
          <cell r="B6603" t="str">
            <v>בר-לב</v>
          </cell>
          <cell r="C6603" t="str">
            <v>בר-לב - החלפת בקר RTU שנאי 525</v>
          </cell>
          <cell r="D6603">
            <v>46142</v>
          </cell>
        </row>
        <row r="6604">
          <cell r="A6604" t="str">
            <v>WBM-60205-038</v>
          </cell>
          <cell r="B6604" t="str">
            <v>בר-לב</v>
          </cell>
          <cell r="C6604" t="str">
            <v>בר-לב - ניטור הצפות</v>
          </cell>
          <cell r="D6604">
            <v>46175</v>
          </cell>
        </row>
        <row r="6605">
          <cell r="A6605" t="str">
            <v>WBM-60132</v>
          </cell>
          <cell r="B6605" t="str">
            <v>בר-לב</v>
          </cell>
          <cell r="C6605" t="str">
            <v>בר-לב - הקמת מאצרת שמן מרכזית בתחנה</v>
          </cell>
          <cell r="D6605">
            <v>46203</v>
          </cell>
        </row>
        <row r="6606">
          <cell r="A6606" t="str">
            <v>WBM-10730</v>
          </cell>
          <cell r="B6606" t="str">
            <v>בר-לב</v>
          </cell>
          <cell r="C6606" t="str">
            <v>בר-לב - שדרוג מערכת SCS וחיבור מסדרי אפס של שנאים 521,522 ישירות</v>
          </cell>
          <cell r="D6606">
            <v>46387</v>
          </cell>
        </row>
        <row r="6607">
          <cell r="A6607" t="str">
            <v>HIS-153</v>
          </cell>
          <cell r="B6607" t="str">
            <v>ברום-פרטית</v>
          </cell>
          <cell r="C6607" t="str">
            <v>ברום-פרטית</v>
          </cell>
          <cell r="D6607">
            <v>40908</v>
          </cell>
        </row>
        <row r="6608">
          <cell r="A6608" t="str">
            <v>WBD-079-ST2</v>
          </cell>
          <cell r="B6608" t="str">
            <v>בראון ניידת</v>
          </cell>
          <cell r="C6608" t="str">
            <v>בראון ניידת - בוטל - פירוק תחמ"ש ניידת</v>
          </cell>
        </row>
        <row r="6609">
          <cell r="A6609" t="str">
            <v>WBD-079</v>
          </cell>
          <cell r="B6609" t="str">
            <v>בראון ניידת</v>
          </cell>
          <cell r="C6609" t="str">
            <v>בראון ניידת - הצבת תחמ"ש ניידת 20 MVA</v>
          </cell>
          <cell r="D6609">
            <v>44926</v>
          </cell>
        </row>
        <row r="6610">
          <cell r="A6610" t="str">
            <v>WBD-112</v>
          </cell>
          <cell r="B6610" t="str">
            <v>בראון ניידת</v>
          </cell>
          <cell r="C6610" t="str">
            <v>בראון ניידת- החלפת ניידת 20 מגוו"א בניידת 30 מגוו"א</v>
          </cell>
          <cell r="D6610">
            <v>45865</v>
          </cell>
        </row>
        <row r="6611">
          <cell r="A6611" t="str">
            <v>wbd-112-st2</v>
          </cell>
          <cell r="B6611" t="str">
            <v>בראון ניידת</v>
          </cell>
          <cell r="C6611" t="str">
            <v>בראון ניידת- פירוק  תחמ"ש ניידת</v>
          </cell>
          <cell r="D6611">
            <v>47572</v>
          </cell>
        </row>
        <row r="6612">
          <cell r="A6612" t="str">
            <v>9915128-1</v>
          </cell>
          <cell r="B6612" t="str">
            <v>בראון (עמק הבכא)</v>
          </cell>
          <cell r="C6612" t="str">
            <v>עמק הבכא-שולב בפרויקט אחר-הק תחמ"ש פרטית</v>
          </cell>
          <cell r="D6612">
            <v>43348</v>
          </cell>
        </row>
        <row r="6613">
          <cell r="A6613" t="str">
            <v>0265233</v>
          </cell>
          <cell r="B6613" t="str">
            <v>בראון (עמק הבכא)</v>
          </cell>
          <cell r="C6613" t="str">
            <v>עמק הבכא-שולב בפרויקט אחר-קליטת יצרן רוח</v>
          </cell>
          <cell r="D6613">
            <v>36525</v>
          </cell>
        </row>
        <row r="6614">
          <cell r="A6614">
            <v>9915128</v>
          </cell>
          <cell r="B6614" t="str">
            <v>בראון (עמק הבכא)</v>
          </cell>
          <cell r="C6614" t="str">
            <v>עמק הבכא-קליטה של יצרן פרטי- אנרגית רוח</v>
          </cell>
          <cell r="D6614">
            <v>44571</v>
          </cell>
        </row>
        <row r="6615">
          <cell r="A6615" t="str">
            <v>WBC-119</v>
          </cell>
          <cell r="B6615" t="str">
            <v>בראון (עמק הבכא)</v>
          </cell>
          <cell r="C6615" t="str">
            <v>בראון (עמק הבכא)-הרחבת תחמ"ש פרטי(לחח"י)</v>
          </cell>
          <cell r="D6615">
            <v>46387</v>
          </cell>
        </row>
        <row r="6616">
          <cell r="A6616" t="str">
            <v>WBM-01436</v>
          </cell>
          <cell r="B6616" t="str">
            <v>בראון (עמק הבכא)</v>
          </cell>
          <cell r="C6616" t="str">
            <v>עמק הבכא -תוספת תשתיות ל-4 שנאים עתידיים</v>
          </cell>
          <cell r="D6616">
            <v>44496</v>
          </cell>
        </row>
        <row r="6617">
          <cell r="A6617" t="str">
            <v>WBE-192</v>
          </cell>
          <cell r="B6617" t="str">
            <v>בראון (עמק הבכא)</v>
          </cell>
          <cell r="C6617" t="str">
            <v>הוקפא - בראון- התקנת שנאי רביעי 161/36 ק"ו, 50 מגוו"א</v>
          </cell>
          <cell r="D6617">
            <v>46326</v>
          </cell>
        </row>
        <row r="6618">
          <cell r="A6618" t="str">
            <v>WBM-60133</v>
          </cell>
          <cell r="B6618" t="str">
            <v>בראון (עמק הבכא)</v>
          </cell>
          <cell r="C6618" t="str">
            <v>בראון- הרחבת שטח התחנה</v>
          </cell>
          <cell r="D6618">
            <v>46325</v>
          </cell>
        </row>
        <row r="6619">
          <cell r="A6619" t="str">
            <v>WBM-60131-003</v>
          </cell>
          <cell r="B6619" t="str">
            <v>בראון (עמק הבכא)</v>
          </cell>
          <cell r="C6619" t="str">
            <v>עמק הבכא- טיפול באופיין מים</v>
          </cell>
          <cell r="D6619">
            <v>46752</v>
          </cell>
        </row>
        <row r="6620">
          <cell r="A6620" t="str">
            <v>WBM-01028</v>
          </cell>
          <cell r="B6620" t="str">
            <v>בנין המה''ר</v>
          </cell>
          <cell r="C6620" t="str">
            <v>בנין המה"ר-ניטור נתוני סייבר</v>
          </cell>
          <cell r="D6620">
            <v>43821</v>
          </cell>
        </row>
        <row r="6621">
          <cell r="A6621" t="str">
            <v>WBM-01034</v>
          </cell>
          <cell r="B6621" t="str">
            <v>בנין המה''ר</v>
          </cell>
          <cell r="C6621" t="str">
            <v>בנין המה"ר-התקנת תוכנה מרכזית בשרת</v>
          </cell>
          <cell r="D6621">
            <v>42735</v>
          </cell>
        </row>
        <row r="6622">
          <cell r="A6622" t="str">
            <v>WBM-00880</v>
          </cell>
          <cell r="B6622" t="str">
            <v>בנין המה''ר</v>
          </cell>
          <cell r="C6622" t="str">
            <v>בנין המה"ר-רשת תקשורת לכיוונוני הגנות</v>
          </cell>
          <cell r="D6622">
            <v>46326</v>
          </cell>
        </row>
        <row r="6623">
          <cell r="A6623" t="str">
            <v>WBM-80008</v>
          </cell>
          <cell r="B6623" t="str">
            <v>בנין המה''ר</v>
          </cell>
          <cell r="C6623" t="str">
            <v>OSS -מערכת לניהול תקלות ברשת תקשורת תפעו</v>
          </cell>
          <cell r="D6623">
            <v>46356</v>
          </cell>
        </row>
        <row r="6624">
          <cell r="A6624" t="str">
            <v>WBM-80009</v>
          </cell>
          <cell r="B6624" t="str">
            <v>בנין המה''ר</v>
          </cell>
          <cell r="C6624" t="str">
            <v>הגברת חוסן הסייבר ועמידה בדרישות רגולציה</v>
          </cell>
          <cell r="D6624">
            <v>46203</v>
          </cell>
        </row>
        <row r="6625">
          <cell r="A6625" t="str">
            <v>WBM-80023-001</v>
          </cell>
          <cell r="B6625" t="str">
            <v>בנין המה''ר</v>
          </cell>
          <cell r="C6625" t="str">
            <v>בנין המה"ר -שדרוג התקשורת התפעולית</v>
          </cell>
          <cell r="D6625">
            <v>46203</v>
          </cell>
        </row>
        <row r="6626">
          <cell r="A6626" t="str">
            <v>HIS-002</v>
          </cell>
          <cell r="B6626" t="str">
            <v>בנימין ארעית</v>
          </cell>
          <cell r="C6626" t="str">
            <v>בנימין ארעית</v>
          </cell>
          <cell r="D6626">
            <v>40908</v>
          </cell>
        </row>
        <row r="6627">
          <cell r="A6627" t="str">
            <v>WDB-04COM22</v>
          </cell>
          <cell r="B6627" t="str">
            <v>בנימין ארעית</v>
          </cell>
          <cell r="C6627" t="str">
            <v>בנימין ארעית-הנחת כבל סיב אופטי כ"ס</v>
          </cell>
          <cell r="D6627">
            <v>42141</v>
          </cell>
        </row>
        <row r="6628">
          <cell r="A6628" t="str">
            <v>WBM-00416</v>
          </cell>
          <cell r="B6628" t="str">
            <v>בנימין ארעית</v>
          </cell>
          <cell r="C6628" t="str">
            <v>בנימין ארעית-פירוק תחמ"ש ארעית</v>
          </cell>
          <cell r="D6628">
            <v>43844</v>
          </cell>
        </row>
        <row r="6629">
          <cell r="A6629" t="str">
            <v>WBM-00845</v>
          </cell>
          <cell r="B6629" t="str">
            <v>בנימין ארעית</v>
          </cell>
          <cell r="C6629" t="str">
            <v>בנימין ארעית-חיבור באמצעות OM לשכם</v>
          </cell>
          <cell r="D6629">
            <v>43222</v>
          </cell>
        </row>
        <row r="6630">
          <cell r="A6630" t="str">
            <v>WBG-021-007</v>
          </cell>
          <cell r="B6630" t="str">
            <v>בנימין ארעית</v>
          </cell>
          <cell r="C6630" t="str">
            <v>בנימין ארעית-התקנת מערכת מניה</v>
          </cell>
          <cell r="D6630">
            <v>41253</v>
          </cell>
        </row>
        <row r="6631">
          <cell r="A6631" t="str">
            <v>WBM-10029</v>
          </cell>
          <cell r="B6631" t="str">
            <v>בנימין ארעית</v>
          </cell>
          <cell r="C6631" t="str">
            <v>בנימין ארעית - בוטל-התקנת רושם הפרעות</v>
          </cell>
          <cell r="D6631">
            <v>43138</v>
          </cell>
        </row>
        <row r="6632">
          <cell r="A6632" t="str">
            <v>0243277</v>
          </cell>
          <cell r="B6632" t="str">
            <v>בנימין ארעית</v>
          </cell>
          <cell r="C6632" t="str">
            <v>בנימין - החלפת הגנת שנאי RQ4a</v>
          </cell>
          <cell r="D6632">
            <v>36164</v>
          </cell>
        </row>
        <row r="6633">
          <cell r="A6633" t="str">
            <v>0243278</v>
          </cell>
          <cell r="B6633" t="str">
            <v>בנימין ארעית</v>
          </cell>
          <cell r="C6633" t="str">
            <v>בנימין - החלפת 8 הגנות מ"ג</v>
          </cell>
          <cell r="D6633">
            <v>36164</v>
          </cell>
        </row>
        <row r="6634">
          <cell r="A6634">
            <v>530517</v>
          </cell>
          <cell r="B6634" t="str">
            <v>בנימין ארעית</v>
          </cell>
          <cell r="C6634" t="str">
            <v>בנימין ארעית - יצירת תקשורת OM להגנות</v>
          </cell>
          <cell r="D6634">
            <v>36164</v>
          </cell>
        </row>
        <row r="6635">
          <cell r="A6635" t="str">
            <v>WBG-021-009</v>
          </cell>
          <cell r="B6635" t="str">
            <v>בנימין ארעית</v>
          </cell>
          <cell r="C6635" t="str">
            <v>בנימין ארעית-התקנת תקשורת מנהלתית</v>
          </cell>
          <cell r="D6635">
            <v>41363</v>
          </cell>
        </row>
        <row r="6636">
          <cell r="A6636" t="str">
            <v>WBM-00021</v>
          </cell>
          <cell r="B6636" t="str">
            <v>בנימין ארעית</v>
          </cell>
          <cell r="C6636" t="str">
            <v>בנימין ארעית-התקנת ארון ז"י 48 וולט</v>
          </cell>
          <cell r="D6636">
            <v>40903</v>
          </cell>
        </row>
        <row r="6637">
          <cell r="A6637" t="str">
            <v>WBG-101-014</v>
          </cell>
          <cell r="B6637" t="str">
            <v>בנימין ארעית</v>
          </cell>
          <cell r="C6637" t="str">
            <v>בנימין ארעית-התקנת שעון נוכחות</v>
          </cell>
          <cell r="D6637">
            <v>39963</v>
          </cell>
        </row>
        <row r="6638">
          <cell r="A6638" t="str">
            <v>WBM-00417</v>
          </cell>
          <cell r="B6638" t="str">
            <v>בנימין ארעית</v>
          </cell>
          <cell r="C6638" t="str">
            <v>בנימין ארעית-בוטל-התקנת הגנות פ"צ 161 ק"</v>
          </cell>
          <cell r="D6638">
            <v>39647</v>
          </cell>
        </row>
        <row r="6639">
          <cell r="A6639" t="str">
            <v>WBG-021-005</v>
          </cell>
          <cell r="B6639" t="str">
            <v>בנימין ארעית</v>
          </cell>
          <cell r="C6639" t="str">
            <v>בנימין ארעית-התקנת מערכת טמ"ס</v>
          </cell>
          <cell r="D6639">
            <v>41090</v>
          </cell>
        </row>
        <row r="6640">
          <cell r="A6640" t="str">
            <v>WBM-00260</v>
          </cell>
          <cell r="B6640" t="str">
            <v>בנימין ארעית</v>
          </cell>
          <cell r="C6640" t="str">
            <v>בנימין ארעית-בוטל- קשר הג.מרחק לכ.סבא</v>
          </cell>
          <cell r="D6640">
            <v>40399</v>
          </cell>
        </row>
        <row r="6641">
          <cell r="A6641" t="str">
            <v>WBC-079</v>
          </cell>
          <cell r="B6641" t="str">
            <v>בני ברק</v>
          </cell>
          <cell r="C6641" t="str">
            <v>בני ברק- הקמת תחמ"ש פנימית 161/24 ק"ו</v>
          </cell>
          <cell r="D6641">
            <v>48213</v>
          </cell>
        </row>
        <row r="6642">
          <cell r="A6642" t="str">
            <v>HIS-069</v>
          </cell>
          <cell r="B6642" t="str">
            <v>ביתר</v>
          </cell>
          <cell r="C6642" t="str">
            <v>ביתר</v>
          </cell>
          <cell r="D6642">
            <v>40908</v>
          </cell>
        </row>
        <row r="6643">
          <cell r="A6643" t="str">
            <v>WBE-261</v>
          </cell>
          <cell r="B6643" t="str">
            <v>ביתר</v>
          </cell>
          <cell r="C6643" t="str">
            <v>ביתר – הוספת שנאי רביעי  36KV 50 MVA</v>
          </cell>
          <cell r="D6643">
            <v>46173</v>
          </cell>
        </row>
        <row r="6644">
          <cell r="A6644" t="str">
            <v>WBE-091</v>
          </cell>
          <cell r="B6644" t="str">
            <v>ביתר</v>
          </cell>
          <cell r="C6644" t="str">
            <v>ביתר-התקנת שנאי (533) 50 מגוו"א</v>
          </cell>
          <cell r="D6644">
            <v>44196</v>
          </cell>
        </row>
        <row r="6645">
          <cell r="A6645" t="str">
            <v>WDB-04COM17</v>
          </cell>
          <cell r="B6645" t="str">
            <v>ביתר</v>
          </cell>
          <cell r="C6645" t="str">
            <v>ביתר-הנחת כבל אופטי בין תיל מכיוון חברון</v>
          </cell>
          <cell r="D6645">
            <v>41088</v>
          </cell>
        </row>
        <row r="6646">
          <cell r="A6646" t="str">
            <v>WBM-00258</v>
          </cell>
          <cell r="B6646" t="str">
            <v>ביתר</v>
          </cell>
          <cell r="C6646" t="str">
            <v>ביתר-התקנת 3 ס"ק 36 ק"ו, 5*1 מגווא"ר כ"א</v>
          </cell>
          <cell r="D6646">
            <v>45019</v>
          </cell>
        </row>
        <row r="6647">
          <cell r="A6647" t="str">
            <v>WBM-00797</v>
          </cell>
          <cell r="B6647" t="str">
            <v>ביתר</v>
          </cell>
          <cell r="C6647" t="str">
            <v>ביתר-התקנת סלילי כיבוי עבור שנ' 531,532</v>
          </cell>
          <cell r="D6647">
            <v>44504</v>
          </cell>
        </row>
        <row r="6648">
          <cell r="A6648" t="str">
            <v>WBM-10004</v>
          </cell>
          <cell r="B6648" t="str">
            <v>ביתר</v>
          </cell>
          <cell r="C6648" t="str">
            <v>ביתר -התקנת רושם הפרעות 161 ק"ו</v>
          </cell>
          <cell r="D6648">
            <v>46229</v>
          </cell>
        </row>
        <row r="6649">
          <cell r="A6649" t="str">
            <v>WBM-00887</v>
          </cell>
          <cell r="B6649" t="str">
            <v>ביתר</v>
          </cell>
          <cell r="C6649" t="str">
            <v>ביתר-איטום כבלי פיקוד מאולם מסדרים מ"ג</v>
          </cell>
          <cell r="D6649">
            <v>44623</v>
          </cell>
        </row>
        <row r="6650">
          <cell r="A6650" t="str">
            <v>WBG-020-005</v>
          </cell>
          <cell r="B6650" t="str">
            <v>ביתר</v>
          </cell>
          <cell r="C6650" t="str">
            <v>ביתר-הקמת רשת מחשבים תפעולית</v>
          </cell>
          <cell r="D6650">
            <v>40986</v>
          </cell>
        </row>
        <row r="6651">
          <cell r="A6651" t="str">
            <v>WBM-40051</v>
          </cell>
          <cell r="B6651" t="str">
            <v>ביתר</v>
          </cell>
          <cell r="C6651" t="str">
            <v>ביתר -בוטל-החלפת טרפו גרד לשנאים 531,532</v>
          </cell>
          <cell r="D6651">
            <v>44346</v>
          </cell>
        </row>
        <row r="6652">
          <cell r="A6652" t="str">
            <v>WBM-10346</v>
          </cell>
          <cell r="B6652" t="str">
            <v>ביתר</v>
          </cell>
          <cell r="C6652" t="str">
            <v>ביתר-בוטל-תקש.אופט.בין הגנות,שדה 5,לכנות</v>
          </cell>
          <cell r="D6652">
            <v>44811</v>
          </cell>
        </row>
        <row r="6653">
          <cell r="A6653">
            <v>548209</v>
          </cell>
          <cell r="B6653" t="str">
            <v>ביתר</v>
          </cell>
          <cell r="C6653" t="str">
            <v>ביתר-התקנת מאווררים בארונות פיקוד</v>
          </cell>
          <cell r="D6653">
            <v>40311</v>
          </cell>
        </row>
        <row r="6654">
          <cell r="A6654" t="str">
            <v>WBG-020-008</v>
          </cell>
          <cell r="B6654" t="str">
            <v>ביתר</v>
          </cell>
          <cell r="C6654" t="str">
            <v>ביתר-החלפת רכזת התראה ביטחונית</v>
          </cell>
          <cell r="D6654">
            <v>41789</v>
          </cell>
        </row>
        <row r="6655">
          <cell r="A6655" t="str">
            <v>WBG-020-009</v>
          </cell>
          <cell r="B6655" t="str">
            <v>ביתר</v>
          </cell>
          <cell r="C6655" t="str">
            <v>ביתר-הקשחות אבטחת מידע במחשב</v>
          </cell>
          <cell r="D6655">
            <v>40605</v>
          </cell>
        </row>
        <row r="6656">
          <cell r="A6656" t="str">
            <v>WBM-00259</v>
          </cell>
          <cell r="B6656" t="str">
            <v>ביתר</v>
          </cell>
          <cell r="C6656" t="str">
            <v>ביתר-הקמת שדה 161 ק"ו לחברון</v>
          </cell>
          <cell r="D6656">
            <v>42876</v>
          </cell>
        </row>
        <row r="6657">
          <cell r="A6657" t="str">
            <v>WBE-078</v>
          </cell>
          <cell r="B6657" t="str">
            <v>ביתר</v>
          </cell>
          <cell r="C6657" t="str">
            <v>ביתר-החלפת שנאי 33 מגוו"א, 532</v>
          </cell>
          <cell r="D6657">
            <v>41796</v>
          </cell>
        </row>
        <row r="6658">
          <cell r="A6658" t="str">
            <v>WBE-050</v>
          </cell>
          <cell r="B6658" t="str">
            <v>ביתר</v>
          </cell>
          <cell r="C6658" t="str">
            <v>ביתר-הקמת שדה נוסף 161 ק"ו לחברון</v>
          </cell>
          <cell r="D6658">
            <v>41088</v>
          </cell>
        </row>
        <row r="6659">
          <cell r="A6659" t="str">
            <v>WBM-00885-073</v>
          </cell>
          <cell r="B6659" t="str">
            <v>ביתר</v>
          </cell>
          <cell r="C6659" t="str">
            <v>ביתר - התאמה מערכת המים למכ"ר</v>
          </cell>
          <cell r="D6659">
            <v>46751</v>
          </cell>
        </row>
        <row r="6660">
          <cell r="A6660" t="str">
            <v>WBM-01431-011</v>
          </cell>
          <cell r="B6660" t="str">
            <v>ביתר</v>
          </cell>
          <cell r="C6660" t="str">
            <v>ביתר - ממסרי השגחה על שנאים 531, 532</v>
          </cell>
          <cell r="D6660">
            <v>46203</v>
          </cell>
        </row>
        <row r="6661">
          <cell r="A6661" t="str">
            <v>WBM-10315-057</v>
          </cell>
          <cell r="B6661" t="str">
            <v>ביתר</v>
          </cell>
          <cell r="C6661" t="str">
            <v>ביתר- התקנת מזגנים</v>
          </cell>
          <cell r="D6661">
            <v>46721</v>
          </cell>
        </row>
        <row r="6662">
          <cell r="A6662" t="str">
            <v>WBM-40479-023</v>
          </cell>
          <cell r="B6662" t="str">
            <v>ביתר</v>
          </cell>
          <cell r="C6662" t="str">
            <v>ביתר-החלפת בקר טמפ' וגובה שמן בשנאי</v>
          </cell>
          <cell r="D6662">
            <v>47482</v>
          </cell>
        </row>
        <row r="6663">
          <cell r="A6663" t="str">
            <v>WBM-60107-030</v>
          </cell>
          <cell r="B6663" t="str">
            <v>ביתר</v>
          </cell>
          <cell r="C6663" t="str">
            <v>ביתר - החלפת מנעולים אלק.מגנטיים באלק.מכ</v>
          </cell>
          <cell r="D6663">
            <v>45627</v>
          </cell>
        </row>
        <row r="6664">
          <cell r="A6664" t="str">
            <v>WBM-10632</v>
          </cell>
          <cell r="B6664" t="str">
            <v>ביתר</v>
          </cell>
          <cell r="C6664" t="str">
            <v>ביתר- שדה 11, משיק לירושלים ג שדה 3. התקנת הגנה דיפרנציאלית. יישום דרך קשר אופטית בין הגנות</v>
          </cell>
          <cell r="D6664">
            <v>46326</v>
          </cell>
        </row>
        <row r="6665">
          <cell r="A6665" t="str">
            <v>WBM-10662</v>
          </cell>
          <cell r="B6665" t="str">
            <v>ביתר</v>
          </cell>
          <cell r="C6665" t="str">
            <v>בית"ר- משיק לכנות 9, הוספת הגנה דיפרנציאלית ויישום תקשורת אופטית בין הגנות בשדה 5</v>
          </cell>
          <cell r="D6665">
            <v>46356</v>
          </cell>
        </row>
        <row r="6666">
          <cell r="A6666" t="str">
            <v>WBM-60205-023</v>
          </cell>
          <cell r="B6666" t="str">
            <v>ביתר</v>
          </cell>
          <cell r="C6666" t="str">
            <v>ביתר - ניטור הצפות</v>
          </cell>
          <cell r="D6666">
            <v>46162</v>
          </cell>
        </row>
        <row r="6667">
          <cell r="A6667" t="str">
            <v>WBM-60092-044</v>
          </cell>
          <cell r="B6667" t="str">
            <v>ביתר</v>
          </cell>
          <cell r="C6667" t="str">
            <v>ביתר - בדיקות/טיפול/פינוי מכלי אש בגז</v>
          </cell>
          <cell r="D6667">
            <v>46264</v>
          </cell>
        </row>
        <row r="6668">
          <cell r="A6668" t="str">
            <v>WBM-00885-161</v>
          </cell>
          <cell r="B6668" t="str">
            <v>ביתר</v>
          </cell>
          <cell r="C6668" t="str">
            <v>בית"ר - התקנת מיכל ומשאבה</v>
          </cell>
          <cell r="D6668">
            <v>47118</v>
          </cell>
        </row>
        <row r="6669">
          <cell r="A6669" t="str">
            <v>WBC-034</v>
          </cell>
          <cell r="B6669" t="str">
            <v>בית שמש</v>
          </cell>
          <cell r="C6669" t="str">
            <v>בית שמש-הקמת תחמ"ש פנימית  161/24 ק"ו</v>
          </cell>
          <cell r="D6669">
            <v>44721</v>
          </cell>
        </row>
        <row r="6670">
          <cell r="A6670" t="str">
            <v>WBM-00734</v>
          </cell>
          <cell r="B6670" t="str">
            <v>בית שמש</v>
          </cell>
          <cell r="C6670" t="str">
            <v>בית שמש-התקנת 2 ס"ק 2*5 מגווא"ר כ"א</v>
          </cell>
          <cell r="D6670">
            <v>46203</v>
          </cell>
        </row>
        <row r="6671">
          <cell r="A6671" t="str">
            <v>WBM-00885-058</v>
          </cell>
          <cell r="B6671" t="str">
            <v>בית שמש</v>
          </cell>
          <cell r="C6671" t="str">
            <v>בית שמש - הוספת מקטין לחץ בכניסה לתחמש</v>
          </cell>
          <cell r="D6671">
            <v>45477</v>
          </cell>
        </row>
        <row r="6672">
          <cell r="A6672" t="str">
            <v>WBE-294</v>
          </cell>
          <cell r="B6672" t="str">
            <v>בית שמש</v>
          </cell>
          <cell r="C6672" t="str">
            <v>בית שמש -התקנת שנאי שלישי 161/24 ק"ו, 50 מגוו"א</v>
          </cell>
          <cell r="D6672">
            <v>46477</v>
          </cell>
        </row>
        <row r="6673">
          <cell r="A6673" t="str">
            <v>HIS-068</v>
          </cell>
          <cell r="B6673" t="str">
            <v>בית שאן</v>
          </cell>
          <cell r="C6673" t="str">
            <v>בית שאן</v>
          </cell>
          <cell r="D6673">
            <v>40908</v>
          </cell>
        </row>
        <row r="6674">
          <cell r="A6674" t="str">
            <v>WBE-247</v>
          </cell>
          <cell r="B6674" t="str">
            <v>בית שאן</v>
          </cell>
          <cell r="C6674" t="str">
            <v>בית שאן-הוספת 2 שדות מעגלים 161 ק"ו (שדות 1,15)</v>
          </cell>
          <cell r="D6674">
            <v>47848</v>
          </cell>
        </row>
        <row r="6675">
          <cell r="A6675" t="str">
            <v>WBE-162</v>
          </cell>
          <cell r="B6675" t="str">
            <v>בית שאן</v>
          </cell>
          <cell r="C6675" t="str">
            <v>בית שאן- הקמת מסדר 161, בניין מסדרים מ"ג והחלפת שנאים 521,522,531</v>
          </cell>
          <cell r="D6675">
            <v>46446</v>
          </cell>
        </row>
        <row r="6676">
          <cell r="A6676" t="str">
            <v>WBE-223</v>
          </cell>
          <cell r="B6676" t="str">
            <v>בית שאן</v>
          </cell>
          <cell r="C6676" t="str">
            <v>בית שאן-התקנת שנאי חמישי 161/24 ק"ו 50 מ</v>
          </cell>
          <cell r="D6676">
            <v>46356</v>
          </cell>
        </row>
        <row r="6677">
          <cell r="A6677" t="str">
            <v>WBE-101</v>
          </cell>
          <cell r="B6677" t="str">
            <v>בית שאן</v>
          </cell>
          <cell r="C6677" t="str">
            <v>בית שאן -התקנת שנאי רביעי ומכולת מ"ג</v>
          </cell>
          <cell r="D6677">
            <v>45865</v>
          </cell>
        </row>
        <row r="6678">
          <cell r="A6678" t="str">
            <v>WBM-10215</v>
          </cell>
          <cell r="B6678" t="str">
            <v>בית שאן</v>
          </cell>
          <cell r="C6678" t="str">
            <v>בית שאן- שדרוג שנאי 522</v>
          </cell>
          <cell r="D6678">
            <v>44544</v>
          </cell>
        </row>
        <row r="6679">
          <cell r="A6679" t="str">
            <v>WBM-01076</v>
          </cell>
          <cell r="B6679" t="str">
            <v>בית שאן</v>
          </cell>
          <cell r="C6679" t="str">
            <v>בית שאן-בוטל-התאמת ציוד הצמדה בשדה 1</v>
          </cell>
          <cell r="D6679">
            <v>44135</v>
          </cell>
        </row>
        <row r="6680">
          <cell r="A6680" t="str">
            <v>WBM-01155</v>
          </cell>
          <cell r="B6680" t="str">
            <v>בית שאן</v>
          </cell>
          <cell r="C6680" t="str">
            <v>בית שאן-בוטל-הוספת פיקוד מרחוק לשנ'הארקה</v>
          </cell>
          <cell r="D6680">
            <v>42815</v>
          </cell>
        </row>
        <row r="6681">
          <cell r="A6681" t="str">
            <v>WBM-10368</v>
          </cell>
          <cell r="B6681" t="str">
            <v>בית שאן</v>
          </cell>
          <cell r="C6681" t="str">
            <v>בית שאן-בוטל - בהת' תיילים-מהדקים-פורט'wbo-083</v>
          </cell>
        </row>
        <row r="6682">
          <cell r="A6682" t="str">
            <v>WBM-10094</v>
          </cell>
          <cell r="B6682" t="str">
            <v>בית שאן</v>
          </cell>
          <cell r="C6682" t="str">
            <v>בית שאן-משיק כ.הירדן, הגנות  שד' 3 ו -9</v>
          </cell>
          <cell r="D6682">
            <v>45214</v>
          </cell>
        </row>
        <row r="6683">
          <cell r="A6683" t="str">
            <v>WBM-01209</v>
          </cell>
          <cell r="B6683" t="str">
            <v>בית שאן</v>
          </cell>
          <cell r="C6683" t="str">
            <v>בית שאן-החלפת רושמי הפרעות INDACTIC</v>
          </cell>
          <cell r="D6683">
            <v>43332</v>
          </cell>
        </row>
        <row r="6684">
          <cell r="A6684" t="str">
            <v>WBM-01097</v>
          </cell>
          <cell r="B6684" t="str">
            <v>בית שאן</v>
          </cell>
          <cell r="C6684" t="str">
            <v>בית שאן-התקנת 3 מאצרות שמן לשנאים</v>
          </cell>
          <cell r="D6684">
            <v>43219</v>
          </cell>
        </row>
        <row r="6685">
          <cell r="A6685" t="str">
            <v>WBM-00762</v>
          </cell>
          <cell r="B6685" t="str">
            <v>בית שאן</v>
          </cell>
          <cell r="C6685" t="str">
            <v>בית שאן-פירוק הרצפה בקומת הפיקוד</v>
          </cell>
          <cell r="D6685">
            <v>41883</v>
          </cell>
        </row>
        <row r="6686">
          <cell r="A6686" t="str">
            <v>WBG-019-010-ST3</v>
          </cell>
          <cell r="B6686" t="str">
            <v>בית שאן</v>
          </cell>
          <cell r="C6686" t="str">
            <v>בית שאן-התקנת צ.קשר ה.מרחק לת.אור-ירוק</v>
          </cell>
          <cell r="D6686">
            <v>41297</v>
          </cell>
        </row>
        <row r="6687">
          <cell r="A6687" t="str">
            <v>WBG-019-010-ST2</v>
          </cell>
          <cell r="B6687" t="str">
            <v>בית שאן</v>
          </cell>
          <cell r="C6687" t="str">
            <v>בית שאן-התקנת צ.קשר ה.מרחק קו לת.אור-לבן</v>
          </cell>
          <cell r="D6687">
            <v>41295</v>
          </cell>
        </row>
        <row r="6688">
          <cell r="A6688" t="str">
            <v>WBG-019-010</v>
          </cell>
          <cell r="B6688" t="str">
            <v>בית שאן</v>
          </cell>
          <cell r="C6688" t="str">
            <v>בית שאן-התקנת צי.קשר הג.מרחק בקו לע.חרוד</v>
          </cell>
          <cell r="D6688">
            <v>41254</v>
          </cell>
        </row>
        <row r="6689">
          <cell r="A6689" t="str">
            <v>WBG-019-020</v>
          </cell>
          <cell r="B6689" t="str">
            <v>בית שאן</v>
          </cell>
          <cell r="C6689" t="str">
            <v>בית שאן-הוספת סוללת מצברים 220 וולט שניה</v>
          </cell>
          <cell r="D6689">
            <v>41228</v>
          </cell>
        </row>
        <row r="6690">
          <cell r="A6690" t="str">
            <v>WBG-019-030</v>
          </cell>
          <cell r="B6690" t="str">
            <v>בית שאן</v>
          </cell>
          <cell r="C6690" t="str">
            <v>בית שאן-שדרוג מערכת DVR</v>
          </cell>
          <cell r="D6690">
            <v>41220</v>
          </cell>
        </row>
        <row r="6691">
          <cell r="A6691" t="str">
            <v>WBG-019-013</v>
          </cell>
          <cell r="B6691" t="str">
            <v>בית שאן</v>
          </cell>
          <cell r="C6691" t="str">
            <v>בית שאן-התקנת גדר שקופה כולל תאורה</v>
          </cell>
          <cell r="D6691">
            <v>41149</v>
          </cell>
        </row>
        <row r="6692">
          <cell r="A6692" t="str">
            <v>WBM-01050</v>
          </cell>
          <cell r="B6692" t="str">
            <v>בית שאן</v>
          </cell>
          <cell r="C6692" t="str">
            <v>בית שאן-בוטל-החלפת מפסקים מ"ג</v>
          </cell>
          <cell r="D6692">
            <v>42335</v>
          </cell>
        </row>
        <row r="6693">
          <cell r="A6693" t="str">
            <v>WBM-00896</v>
          </cell>
          <cell r="B6693" t="str">
            <v>בית שאן</v>
          </cell>
          <cell r="C6693" t="str">
            <v>בית שאן-בוטל-הוספת הגנת מרחק שדות 3,7,9</v>
          </cell>
          <cell r="D6693">
            <v>41982</v>
          </cell>
        </row>
        <row r="6694">
          <cell r="A6694" t="str">
            <v>WBM-01236</v>
          </cell>
          <cell r="B6694" t="str">
            <v>בית שאן</v>
          </cell>
          <cell r="C6694" t="str">
            <v>בית שאן -בוטל מאצרות שמן 'קבועות' לשנאים</v>
          </cell>
          <cell r="D6694">
            <v>42900</v>
          </cell>
        </row>
        <row r="6695">
          <cell r="A6695" t="str">
            <v>WBM-01306</v>
          </cell>
          <cell r="B6695" t="str">
            <v>בית שאן</v>
          </cell>
          <cell r="C6695" t="str">
            <v>בית שאן - בוטל-החלפת הגנת שנאי מסוג RQ4A</v>
          </cell>
          <cell r="D6695">
            <v>42948</v>
          </cell>
        </row>
        <row r="6696">
          <cell r="A6696" t="str">
            <v>WBM-01309</v>
          </cell>
          <cell r="B6696" t="str">
            <v>בית שאן</v>
          </cell>
          <cell r="C6696" t="str">
            <v>בית שאן - בוטל-החלפת הגנת קווים מ"ע</v>
          </cell>
          <cell r="D6696">
            <v>42948</v>
          </cell>
        </row>
        <row r="6697">
          <cell r="A6697" t="str">
            <v>WBM-30012</v>
          </cell>
          <cell r="B6697" t="str">
            <v>בית שאן</v>
          </cell>
          <cell r="C6697" t="str">
            <v>בית שאן-בוטל-גדר אלקטרונית (ביטחון)</v>
          </cell>
          <cell r="D6697">
            <v>43830</v>
          </cell>
        </row>
        <row r="6698">
          <cell r="A6698" t="str">
            <v>WBM-40160</v>
          </cell>
          <cell r="B6698" t="str">
            <v>בית שאן</v>
          </cell>
          <cell r="C6698" t="str">
            <v>בית שאן-בוטל- החלפת ציוד בשדות מ"ע 1,2,3</v>
          </cell>
          <cell r="D6698">
            <v>43130</v>
          </cell>
        </row>
        <row r="6699">
          <cell r="A6699" t="str">
            <v>WBM-40149</v>
          </cell>
          <cell r="B6699" t="str">
            <v>בית שאן</v>
          </cell>
          <cell r="C6699" t="str">
            <v>בית שאן- בוטל - החלפת ציוד בשדות 4,5-6,7</v>
          </cell>
        </row>
        <row r="6700">
          <cell r="A6700" t="str">
            <v>WBM-40150</v>
          </cell>
          <cell r="B6700" t="str">
            <v>בית שאן</v>
          </cell>
          <cell r="C6700" t="str">
            <v>בית שאן- בוטל-החלפת  הגנות מ"ג</v>
          </cell>
          <cell r="D6700">
            <v>43119</v>
          </cell>
        </row>
        <row r="6701">
          <cell r="A6701" t="str">
            <v>WBM-40257</v>
          </cell>
          <cell r="B6701" t="str">
            <v>בית שאן</v>
          </cell>
          <cell r="C6701" t="str">
            <v>בית שאן -בוטל- החלפת ציוד בשדות 8,9,10</v>
          </cell>
          <cell r="D6701">
            <v>43119</v>
          </cell>
        </row>
        <row r="6702">
          <cell r="A6702" t="str">
            <v>WBM-40251</v>
          </cell>
          <cell r="B6702" t="str">
            <v>בית שאן</v>
          </cell>
          <cell r="C6702" t="str">
            <v>בית שאן -בוטל- החלפת שרשראות מבודדים</v>
          </cell>
          <cell r="D6702">
            <v>43228</v>
          </cell>
        </row>
        <row r="6703">
          <cell r="A6703" t="str">
            <v>WBM-00415</v>
          </cell>
          <cell r="B6703" t="str">
            <v>בית שאן</v>
          </cell>
          <cell r="C6703" t="str">
            <v>בית שאן-בוטל-החלפת 57 מבדדים קרמיים</v>
          </cell>
          <cell r="D6703">
            <v>41435</v>
          </cell>
        </row>
        <row r="6704">
          <cell r="A6704" t="str">
            <v>WBM-00414</v>
          </cell>
          <cell r="B6704" t="str">
            <v>בית שאן</v>
          </cell>
          <cell r="C6704" t="str">
            <v>בית שאן-בוטל-שדרוג מפסקי זרם מ"ג</v>
          </cell>
          <cell r="D6704">
            <v>41421</v>
          </cell>
        </row>
        <row r="6705">
          <cell r="A6705" t="str">
            <v>WBM-00650</v>
          </cell>
          <cell r="B6705" t="str">
            <v>בית שאן</v>
          </cell>
          <cell r="C6705" t="str">
            <v>בית שאן-בוטל-התקנת תקשורת הגנות  om</v>
          </cell>
          <cell r="D6705">
            <v>41038</v>
          </cell>
        </row>
        <row r="6706">
          <cell r="A6706">
            <v>523622</v>
          </cell>
          <cell r="B6706" t="str">
            <v>בית שאן</v>
          </cell>
          <cell r="C6706" t="str">
            <v>בית שאן-החלפת רכזת התראה בטחונית</v>
          </cell>
          <cell r="D6706">
            <v>39598</v>
          </cell>
        </row>
        <row r="6707">
          <cell r="A6707" t="str">
            <v>WBM-00412</v>
          </cell>
          <cell r="B6707" t="str">
            <v>בית שאן</v>
          </cell>
          <cell r="C6707" t="str">
            <v>בית שאן-בוטל-שיפור מערכת הארקה בתחמ"ש</v>
          </cell>
          <cell r="D6707">
            <v>39798</v>
          </cell>
        </row>
        <row r="6708">
          <cell r="A6708">
            <v>523636</v>
          </cell>
          <cell r="B6708" t="str">
            <v>בית שאן</v>
          </cell>
          <cell r="C6708" t="str">
            <v>בית שאן-מוקפא-התקנת מאווררים בא.הפיקוד</v>
          </cell>
          <cell r="D6708">
            <v>40311</v>
          </cell>
        </row>
        <row r="6709">
          <cell r="A6709" t="str">
            <v>WBM-00020</v>
          </cell>
          <cell r="B6709" t="str">
            <v>בית שאן</v>
          </cell>
          <cell r="C6709" t="str">
            <v>בית שאן-בוטל-החלפת 9 מגיני ברק 161 ק"ו</v>
          </cell>
          <cell r="D6709">
            <v>40750</v>
          </cell>
        </row>
        <row r="6710">
          <cell r="A6710" t="str">
            <v>WBM-00226</v>
          </cell>
          <cell r="B6710" t="str">
            <v>בית שאן</v>
          </cell>
          <cell r="C6710" t="str">
            <v>בית שאן-בוטל-החלפת מגיני ברק מ"ג</v>
          </cell>
          <cell r="D6710">
            <v>41249</v>
          </cell>
        </row>
        <row r="6711">
          <cell r="A6711" t="str">
            <v>WBM-00413</v>
          </cell>
          <cell r="B6711" t="str">
            <v>בית שאן</v>
          </cell>
          <cell r="C6711" t="str">
            <v>בית שאן-בוטל-השבחת מערכת טמ"ס ניידת</v>
          </cell>
          <cell r="D6711">
            <v>40116</v>
          </cell>
        </row>
        <row r="6712">
          <cell r="A6712" t="str">
            <v>WBM-00939</v>
          </cell>
          <cell r="B6712" t="str">
            <v>בית שאן</v>
          </cell>
          <cell r="C6712" t="str">
            <v>בית שאן-בוטל-החלפה ועיגון לוח חלוקה ז"ח.</v>
          </cell>
          <cell r="D6712">
            <v>40340</v>
          </cell>
        </row>
        <row r="6713">
          <cell r="A6713" t="str">
            <v>WBM-00643</v>
          </cell>
          <cell r="B6713" t="str">
            <v>בית שאן</v>
          </cell>
          <cell r="C6713" t="str">
            <v>בית שאן-בוטל-הוספת ה.מרחק שנייה בשדה 1</v>
          </cell>
          <cell r="D6713">
            <v>41249</v>
          </cell>
        </row>
        <row r="6714">
          <cell r="A6714" t="str">
            <v>WBM-00411</v>
          </cell>
          <cell r="B6714" t="str">
            <v>בית שאן</v>
          </cell>
          <cell r="C6714" t="str">
            <v>בית שאן-בוטל-ישום  הפסקת השנאים 521,522</v>
          </cell>
          <cell r="D6714">
            <v>39262</v>
          </cell>
        </row>
        <row r="6715">
          <cell r="A6715" t="str">
            <v>WBM-00410</v>
          </cell>
          <cell r="B6715" t="str">
            <v>בית שאן</v>
          </cell>
          <cell r="C6715" t="str">
            <v>בית שאן-בוטל-עיגון ארונות חלוקה DC ו-AC.</v>
          </cell>
          <cell r="D6715">
            <v>41249</v>
          </cell>
        </row>
        <row r="6716">
          <cell r="A6716" t="str">
            <v>WBG-019-014</v>
          </cell>
          <cell r="B6716" t="str">
            <v>בית שאן</v>
          </cell>
          <cell r="C6716" t="str">
            <v>בית שאן-התקנת 2 ס"ק 36 ק"ו,5 מגווא"ר כ"א</v>
          </cell>
          <cell r="D6716">
            <v>41088</v>
          </cell>
        </row>
        <row r="6717">
          <cell r="A6717" t="str">
            <v>WBE-101-ST1</v>
          </cell>
          <cell r="B6717" t="str">
            <v>בית שאן</v>
          </cell>
          <cell r="C6717" t="str">
            <v>בית שאן -בוטל בנין מסדרים שולב באחר</v>
          </cell>
          <cell r="D6717">
            <v>44742</v>
          </cell>
        </row>
        <row r="6718">
          <cell r="A6718" t="str">
            <v>WBE-101-ST2</v>
          </cell>
          <cell r="B6718" t="str">
            <v>בית שאן</v>
          </cell>
          <cell r="C6718" t="str">
            <v>בית שאן - בוטל התקנת מסדר 36 ק"ו</v>
          </cell>
          <cell r="D6718">
            <v>44925</v>
          </cell>
        </row>
        <row r="6719">
          <cell r="A6719" t="str">
            <v>WBM-00857</v>
          </cell>
          <cell r="B6719" t="str">
            <v>בית שאן</v>
          </cell>
          <cell r="C6719" t="str">
            <v>בית שאן-בוטל- התקנת ס.כיבוי 36 ק"ו</v>
          </cell>
          <cell r="D6719">
            <v>41828</v>
          </cell>
        </row>
        <row r="6720">
          <cell r="A6720" t="str">
            <v>WBM-01064</v>
          </cell>
          <cell r="B6720" t="str">
            <v>בית שאן</v>
          </cell>
          <cell r="C6720" t="str">
            <v>בית שאן-התאמת הגנות בשדה 1 למעלה גלבוע</v>
          </cell>
          <cell r="D6720">
            <v>43188</v>
          </cell>
        </row>
        <row r="6721">
          <cell r="A6721" t="str">
            <v>WBE-003</v>
          </cell>
          <cell r="B6721" t="str">
            <v>בית שאן</v>
          </cell>
          <cell r="C6721" t="str">
            <v>בית שאן-הרכבת מקשר עם ראשי T חדשים</v>
          </cell>
          <cell r="D6721">
            <v>41042</v>
          </cell>
        </row>
        <row r="6722">
          <cell r="A6722" t="str">
            <v>WBM-40535</v>
          </cell>
          <cell r="B6722" t="str">
            <v>בית שאן</v>
          </cell>
          <cell r="C6722" t="str">
            <v>בית שאן-החלפת שנאי ישן 161/36 ק"ו 532 מ-33 מגוו"א ל-50 מגוו"א חדש</v>
          </cell>
          <cell r="D6722">
            <v>46477</v>
          </cell>
        </row>
        <row r="6723">
          <cell r="A6723" t="str">
            <v>WBE-269</v>
          </cell>
          <cell r="B6723" t="str">
            <v>בית שאן</v>
          </cell>
          <cell r="C6723" t="str">
            <v>בית שאן-מתקן אגירת אנרגיה בסוללות</v>
          </cell>
          <cell r="D6723">
            <v>46934</v>
          </cell>
        </row>
        <row r="6724">
          <cell r="A6724" t="str">
            <v>WBM-10456-019</v>
          </cell>
          <cell r="B6724" t="str">
            <v>בית שאן</v>
          </cell>
          <cell r="C6724" t="str">
            <v>בית שאן- הוספת מתמרים ב-5 פ"צ כולל 33</v>
          </cell>
          <cell r="D6724">
            <v>46752</v>
          </cell>
        </row>
        <row r="6725">
          <cell r="A6725" t="str">
            <v>WBM-60008-004</v>
          </cell>
          <cell r="B6725" t="str">
            <v>בית שאן</v>
          </cell>
          <cell r="C6725" t="str">
            <v>בית שאן - התקנת מערכת מיגון בתחמ"ש</v>
          </cell>
          <cell r="D6725">
            <v>46568</v>
          </cell>
        </row>
        <row r="6726">
          <cell r="A6726" t="str">
            <v>WBM-60130-023</v>
          </cell>
          <cell r="B6726" t="str">
            <v>בית שאן</v>
          </cell>
          <cell r="C6726" t="str">
            <v>בית שאן - בוטל - התקנת מפסק פטריה להפסקת מערכת החשמל בחירום</v>
          </cell>
        </row>
        <row r="6727">
          <cell r="A6727" t="str">
            <v>WBM-10645</v>
          </cell>
          <cell r="B6727" t="str">
            <v>בית שאן</v>
          </cell>
          <cell r="C6727" t="str">
            <v>בית שאן- פירוק פורטל קיים והקמת פורטל חדש</v>
          </cell>
          <cell r="D6727">
            <v>46203</v>
          </cell>
        </row>
        <row r="6728">
          <cell r="A6728" t="str">
            <v>WBM-00885-147</v>
          </cell>
          <cell r="B6728" t="str">
            <v>בית שאן</v>
          </cell>
          <cell r="C6728" t="str">
            <v>בית שאן- תיקון ריג'קטים במע' גילוי אש</v>
          </cell>
          <cell r="D6728">
            <v>46092</v>
          </cell>
        </row>
        <row r="6729">
          <cell r="A6729" t="str">
            <v>WBM-60131-008</v>
          </cell>
          <cell r="B6729" t="str">
            <v>בית שאן</v>
          </cell>
          <cell r="C6729" t="str">
            <v>בית שאן- בדיקת אופיין מים</v>
          </cell>
          <cell r="D6729">
            <v>46072</v>
          </cell>
        </row>
        <row r="6730">
          <cell r="A6730" t="str">
            <v>WBE-311</v>
          </cell>
          <cell r="B6730" t="str">
            <v>בית ניר - תחמ"ש</v>
          </cell>
          <cell r="C6730" t="str">
            <v>בית ניר-הוספת 2 שנאי חח"י 50 מגוו"א</v>
          </cell>
          <cell r="D6730">
            <v>47149</v>
          </cell>
        </row>
        <row r="6731">
          <cell r="A6731">
            <v>900021</v>
          </cell>
          <cell r="B6731" t="str">
            <v>בית ניר</v>
          </cell>
          <cell r="C6731" t="str">
            <v>בית ניר-הקמת מתקן אגירה במ"ע SA בהספק של 110 מגאווט</v>
          </cell>
          <cell r="D6731">
            <v>46783</v>
          </cell>
        </row>
        <row r="6732">
          <cell r="A6732" t="str">
            <v>HIS-067</v>
          </cell>
          <cell r="B6732" t="str">
            <v>בית יהושע</v>
          </cell>
          <cell r="C6732" t="str">
            <v>בית יהושע</v>
          </cell>
          <cell r="D6732">
            <v>40908</v>
          </cell>
        </row>
        <row r="6733">
          <cell r="A6733" t="str">
            <v>WBM-00257</v>
          </cell>
          <cell r="B6733" t="str">
            <v>בית יהושע</v>
          </cell>
          <cell r="C6733" t="str">
            <v>בית יהושע-התקנת 3 ס"ק  2*5 מגווא"ר</v>
          </cell>
          <cell r="D6733">
            <v>47603</v>
          </cell>
        </row>
        <row r="6734">
          <cell r="A6734" t="str">
            <v>WBM-01277</v>
          </cell>
          <cell r="B6734" t="str">
            <v>בית יהושע</v>
          </cell>
          <cell r="C6734" t="str">
            <v>בית יהושע-בוטל-החלפת ס"כ בנגד ראשוני</v>
          </cell>
          <cell r="D6734">
            <v>42914</v>
          </cell>
        </row>
        <row r="6735">
          <cell r="A6735" t="str">
            <v>WBM-40154</v>
          </cell>
          <cell r="B6735" t="str">
            <v>בית יהושע</v>
          </cell>
          <cell r="C6735" t="str">
            <v>בית יהושע -החלפת מפ"ז, מ"ז, מנתקים</v>
          </cell>
          <cell r="D6735">
            <v>46598</v>
          </cell>
        </row>
        <row r="6736">
          <cell r="A6736" t="str">
            <v>WBM-01053</v>
          </cell>
          <cell r="B6736" t="str">
            <v>בית יהושע</v>
          </cell>
          <cell r="C6736" t="str">
            <v>בית יהושע-הוספת הגנה דיפרנציאלית, שדה 1</v>
          </cell>
          <cell r="D6736">
            <v>44370</v>
          </cell>
        </row>
        <row r="6737">
          <cell r="A6737" t="str">
            <v>WBM-01394</v>
          </cell>
          <cell r="B6737" t="str">
            <v>בית יהושע</v>
          </cell>
          <cell r="C6737" t="str">
            <v>בית יהושע-התקנת מערכת טמ"ס</v>
          </cell>
          <cell r="D6737">
            <v>44316</v>
          </cell>
        </row>
        <row r="6738">
          <cell r="A6738" t="str">
            <v>WBM-10068</v>
          </cell>
          <cell r="B6738" t="str">
            <v>בית יהושע</v>
          </cell>
          <cell r="C6738" t="str">
            <v>בית יהושע - שיפור אוטומטיקת סלילי כיבוי</v>
          </cell>
          <cell r="D6738">
            <v>43900</v>
          </cell>
        </row>
        <row r="6739">
          <cell r="A6739" t="str">
            <v>WBM-10033</v>
          </cell>
          <cell r="B6739" t="str">
            <v>בית יהושע</v>
          </cell>
          <cell r="C6739" t="str">
            <v>בית יהושע - החלפת שרשראות מבודדים</v>
          </cell>
          <cell r="D6739">
            <v>43768</v>
          </cell>
        </row>
        <row r="6740">
          <cell r="A6740" t="str">
            <v>WBG-018-014</v>
          </cell>
          <cell r="B6740" t="str">
            <v>בית יהושע</v>
          </cell>
          <cell r="C6740" t="str">
            <v>בית יהושע-שדרוג הגנת מרחק בשדה צהוב שרון</v>
          </cell>
          <cell r="D6740">
            <v>41577</v>
          </cell>
        </row>
        <row r="6741">
          <cell r="A6741" t="str">
            <v>WBG-018-012</v>
          </cell>
          <cell r="B6741" t="str">
            <v>בית יהושע</v>
          </cell>
          <cell r="C6741" t="str">
            <v>בית יהושע-הקמת רשת מחשבים תפעולית</v>
          </cell>
          <cell r="D6741">
            <v>41320</v>
          </cell>
        </row>
        <row r="6742">
          <cell r="A6742" t="str">
            <v>0243121</v>
          </cell>
          <cell r="B6742" t="str">
            <v>בית יהושע</v>
          </cell>
          <cell r="C6742" t="str">
            <v>בית יהושע-החלפת מערכת SCS</v>
          </cell>
          <cell r="D6742">
            <v>36164</v>
          </cell>
        </row>
        <row r="6743">
          <cell r="A6743" t="str">
            <v>WBM-10054</v>
          </cell>
          <cell r="B6743" t="str">
            <v>בית יהושע</v>
          </cell>
          <cell r="C6743" t="str">
            <v>בית יהושע -בוטל- החלפת גשרי דיודות</v>
          </cell>
          <cell r="D6743">
            <v>43174</v>
          </cell>
        </row>
        <row r="6744">
          <cell r="A6744" t="str">
            <v>WBM-60079</v>
          </cell>
          <cell r="B6744" t="str">
            <v>בית יהושע</v>
          </cell>
          <cell r="C6744" t="str">
            <v>בית יהושע - בוטל-מאצרת שמן למסדרי אפס-שנ</v>
          </cell>
          <cell r="D6744">
            <v>44148</v>
          </cell>
        </row>
        <row r="6745">
          <cell r="A6745" t="str">
            <v>WBM-60023</v>
          </cell>
          <cell r="B6745" t="str">
            <v>בית יהושע</v>
          </cell>
          <cell r="C6745" t="str">
            <v>בית  יהושע - בוטל-בניית תשתית לאי. שפכים</v>
          </cell>
          <cell r="D6745">
            <v>43789</v>
          </cell>
        </row>
        <row r="6746">
          <cell r="A6746">
            <v>531125</v>
          </cell>
          <cell r="B6746" t="str">
            <v>בית יהושע</v>
          </cell>
          <cell r="C6746" t="str">
            <v>בית יהושע - החלפת גשרי דיודות</v>
          </cell>
          <cell r="D6746">
            <v>42154</v>
          </cell>
        </row>
        <row r="6747">
          <cell r="A6747">
            <v>531116</v>
          </cell>
          <cell r="B6747" t="str">
            <v>בית יהושע</v>
          </cell>
          <cell r="C6747" t="str">
            <v>בית יהושע-החלפת מערכת התראה בטחונית</v>
          </cell>
          <cell r="D6747">
            <v>39020</v>
          </cell>
        </row>
        <row r="6748">
          <cell r="A6748">
            <v>531123</v>
          </cell>
          <cell r="B6748" t="str">
            <v>בית יהושע</v>
          </cell>
          <cell r="C6748" t="str">
            <v>בית יהושע-התקנת מאווררים בארונות פיקוד</v>
          </cell>
          <cell r="D6748">
            <v>40311</v>
          </cell>
        </row>
        <row r="6749">
          <cell r="A6749" t="str">
            <v>WBE-052-ST1</v>
          </cell>
          <cell r="B6749" t="str">
            <v>בית יהושע</v>
          </cell>
          <cell r="C6749" t="str">
            <v>בית יהושע-התקנת שנאי שלישי  50 מגוו"א</v>
          </cell>
          <cell r="D6749">
            <v>42926</v>
          </cell>
        </row>
        <row r="6750">
          <cell r="A6750" t="str">
            <v>WBE-052-ST2</v>
          </cell>
          <cell r="B6750" t="str">
            <v>בית יהושע</v>
          </cell>
          <cell r="C6750" t="str">
            <v>בית יהושע-שידרוג והרחבת מערכת SCS</v>
          </cell>
          <cell r="D6750">
            <v>42926</v>
          </cell>
        </row>
        <row r="6751">
          <cell r="A6751" t="str">
            <v>WBE-052</v>
          </cell>
          <cell r="B6751" t="str">
            <v>בית יהושע</v>
          </cell>
          <cell r="C6751" t="str">
            <v>בית יהושע-התקנת שנאי שלישי,2 שלבים</v>
          </cell>
          <cell r="D6751">
            <v>42926</v>
          </cell>
        </row>
        <row r="6752">
          <cell r="A6752" t="str">
            <v>WBM-00665</v>
          </cell>
          <cell r="B6752" t="str">
            <v>בית יהושע</v>
          </cell>
          <cell r="C6752" t="str">
            <v>בית יהושע-התקנת הגנה דיפרנציאלית ליהלום</v>
          </cell>
          <cell r="D6752">
            <v>42338</v>
          </cell>
        </row>
        <row r="6753">
          <cell r="A6753" t="str">
            <v>WBM-00666</v>
          </cell>
          <cell r="B6753" t="str">
            <v>בית יהושע</v>
          </cell>
          <cell r="C6753" t="str">
            <v>בית יהושע-בוטל-שדרוג הגנת מרחק לשרון</v>
          </cell>
          <cell r="D6753">
            <v>41234</v>
          </cell>
        </row>
        <row r="6754">
          <cell r="A6754" t="str">
            <v>WBM-00368</v>
          </cell>
          <cell r="B6754" t="str">
            <v>בית יהושע</v>
          </cell>
          <cell r="C6754" t="str">
            <v>בית יהושע-בוטל-יישום השלת עומס לפי מתח</v>
          </cell>
          <cell r="D6754">
            <v>41470</v>
          </cell>
        </row>
        <row r="6755">
          <cell r="A6755" t="str">
            <v>WBM-10565</v>
          </cell>
          <cell r="B6755" t="str">
            <v>בית יהושע</v>
          </cell>
          <cell r="C6755" t="str">
            <v>בית יהושע -החלפת מפ"ז, מ"ז, מנתקים-שד' 9</v>
          </cell>
          <cell r="D6755">
            <v>46598</v>
          </cell>
        </row>
        <row r="6756">
          <cell r="A6756" t="str">
            <v>WBM-00885-079</v>
          </cell>
          <cell r="B6756" t="str">
            <v>בית יהושע</v>
          </cell>
          <cell r="C6756" t="str">
            <v>בית יהושע-נדרש איפיון מים ומפסק חירום</v>
          </cell>
          <cell r="D6756">
            <v>46217</v>
          </cell>
        </row>
        <row r="6757">
          <cell r="A6757" t="str">
            <v>WBM-01190-004</v>
          </cell>
          <cell r="B6757" t="str">
            <v>בית יהושע</v>
          </cell>
          <cell r="C6757" t="str">
            <v>בית יהושע - החלפת טבעת 92 ל- RAD</v>
          </cell>
          <cell r="D6757">
            <v>46568</v>
          </cell>
        </row>
        <row r="6758">
          <cell r="A6758" t="str">
            <v>WBM-40479-053</v>
          </cell>
          <cell r="B6758" t="str">
            <v>בית יהושע</v>
          </cell>
          <cell r="C6758" t="str">
            <v>בית יהושע- החלפת 2 בקרי טמפ' וגובה שמן ב</v>
          </cell>
          <cell r="D6758">
            <v>47299</v>
          </cell>
        </row>
        <row r="6759">
          <cell r="A6759" t="str">
            <v>WBM-60008-039</v>
          </cell>
          <cell r="B6759" t="str">
            <v>בית יהושע</v>
          </cell>
          <cell r="C6759" t="str">
            <v>בית יהושוע - התקנת מערכת מיגון בתחמ"ש</v>
          </cell>
          <cell r="D6759">
            <v>46660</v>
          </cell>
        </row>
        <row r="6760">
          <cell r="A6760" t="str">
            <v>WBM-60088-018</v>
          </cell>
          <cell r="B6760" t="str">
            <v>בית יהושע</v>
          </cell>
          <cell r="C6760" t="str">
            <v>בית יהושע - מאצרה ל-2 מסדרי אפס</v>
          </cell>
          <cell r="D6760">
            <v>46507</v>
          </cell>
        </row>
        <row r="6761">
          <cell r="A6761" t="str">
            <v>WBM-60107-019</v>
          </cell>
          <cell r="B6761" t="str">
            <v>בית יהושע</v>
          </cell>
          <cell r="C6761" t="str">
            <v>בית יהושע - החלפת מנעולים אלק.מגנטיים בא</v>
          </cell>
          <cell r="D6761">
            <v>45657</v>
          </cell>
        </row>
        <row r="6762">
          <cell r="A6762" t="str">
            <v>WBM-60130-051</v>
          </cell>
          <cell r="B6762" t="str">
            <v>בית יהושע</v>
          </cell>
          <cell r="C6762" t="str">
            <v>בית יהושוע - התקנת מפסק פטריה להפסקת מערכת החשמל בחירום</v>
          </cell>
          <cell r="D6762">
            <v>46568</v>
          </cell>
        </row>
        <row r="6763">
          <cell r="A6763" t="str">
            <v>WBM-10597-007</v>
          </cell>
          <cell r="B6763" t="str">
            <v>בית יהושע</v>
          </cell>
          <cell r="C6763" t="str">
            <v>בית יהושע -משיק יהלום שדה 7, פיילוט יישום תקשורת הגנות בשדה 9</v>
          </cell>
          <cell r="D6763">
            <v>46181</v>
          </cell>
        </row>
        <row r="6764">
          <cell r="A6764" t="str">
            <v>WBM-10663-004</v>
          </cell>
          <cell r="B6764" t="str">
            <v>בית יהושע</v>
          </cell>
          <cell r="C6764" t="str">
            <v>בית יהושוע- החלפת מטענים</v>
          </cell>
          <cell r="D6764">
            <v>45728</v>
          </cell>
        </row>
        <row r="6765">
          <cell r="A6765" t="str">
            <v>WBM-40629-010</v>
          </cell>
          <cell r="B6765" t="str">
            <v>בית יהושע</v>
          </cell>
          <cell r="C6765" t="str">
            <v>בית יהושע- החלפת מבדדי 161 ק"ו של שנאי הספק</v>
          </cell>
          <cell r="D6765">
            <v>45728</v>
          </cell>
        </row>
        <row r="6766">
          <cell r="A6766" t="str">
            <v>WBM-60205-011</v>
          </cell>
          <cell r="B6766" t="str">
            <v>בית יהושע</v>
          </cell>
          <cell r="C6766" t="str">
            <v>בית יהושע - ניטור הצפות</v>
          </cell>
          <cell r="D6766">
            <v>46175</v>
          </cell>
        </row>
        <row r="6767">
          <cell r="A6767" t="str">
            <v>WBM-40637-019</v>
          </cell>
          <cell r="B6767" t="str">
            <v>בית יהושע</v>
          </cell>
          <cell r="C6767" t="str">
            <v>בית יהושע-החלפת רושמי הפרעות קיימים מדגם IDM-T3 לרושמים חדשים מדגם IDM+</v>
          </cell>
          <cell r="D6767">
            <v>46752</v>
          </cell>
        </row>
        <row r="6768">
          <cell r="A6768" t="str">
            <v>WBD-126</v>
          </cell>
          <cell r="B6768" t="str">
            <v>בית יהושע</v>
          </cell>
          <cell r="C6768" t="str">
            <v>בית יהושע- תכנון הצבת תחמ"ש ניידת</v>
          </cell>
          <cell r="D6768">
            <v>46568</v>
          </cell>
        </row>
        <row r="6769">
          <cell r="A6769" t="str">
            <v>WBE-314</v>
          </cell>
          <cell r="B6769" t="str">
            <v>בית יהושע</v>
          </cell>
          <cell r="C6769" t="str">
            <v>בית יהושע-הוספת מסדר מ"ג רביעי</v>
          </cell>
          <cell r="D6769">
            <v>46203</v>
          </cell>
        </row>
        <row r="6770">
          <cell r="A6770" t="str">
            <v>WBC-031</v>
          </cell>
          <cell r="B6770" t="str">
            <v>בית וגן</v>
          </cell>
          <cell r="C6770" t="str">
            <v>בית וגן - הקמת תחמ"ש פנימית 161/24 ק"ו</v>
          </cell>
          <cell r="D6770">
            <v>46934</v>
          </cell>
        </row>
        <row r="6771">
          <cell r="A6771" t="str">
            <v>WBM-00733</v>
          </cell>
          <cell r="B6771" t="str">
            <v>בית וגן</v>
          </cell>
          <cell r="C6771" t="str">
            <v>בית וגן-בוטל-התקנת 2 ס"ק 5*2 מגווא"ר כ"א</v>
          </cell>
          <cell r="D6771">
            <v>44134</v>
          </cell>
        </row>
        <row r="6772">
          <cell r="A6772" t="str">
            <v>WBC-204</v>
          </cell>
          <cell r="B6772" t="str">
            <v>בית השיטה</v>
          </cell>
          <cell r="C6772" t="str">
            <v>בית השיטה-הקמת תחנת משנה חיצונית 161/24 ק"ו, 50*2  מגוו"א</v>
          </cell>
          <cell r="D6772">
            <v>47483</v>
          </cell>
        </row>
        <row r="6773">
          <cell r="A6773" t="str">
            <v>WBM-10377</v>
          </cell>
          <cell r="B6773" t="str">
            <v>בית השיטה</v>
          </cell>
          <cell r="C6773" t="str">
            <v>בית השיטה- בוטל הת' תיילים-מהדקים-פורט'wbo-092</v>
          </cell>
          <cell r="D6773">
            <v>44925</v>
          </cell>
        </row>
        <row r="6774">
          <cell r="A6774" t="str">
            <v>WBD-091</v>
          </cell>
          <cell r="B6774" t="str">
            <v>בית הלוחם ניידת</v>
          </cell>
          <cell r="C6774" t="str">
            <v>בית הלוחם- בוטל - הצבת תחמ"ש ניידת, 20 מגוו"א</v>
          </cell>
        </row>
        <row r="6775">
          <cell r="A6775" t="str">
            <v>WBD-091-ST2</v>
          </cell>
          <cell r="B6775" t="str">
            <v>בית הלוחם ניידת</v>
          </cell>
          <cell r="C6775" t="str">
            <v>בית הלוחם ניידת-בוטל - פירוק הניידת</v>
          </cell>
        </row>
        <row r="6776">
          <cell r="A6776" t="str">
            <v>WBC-066</v>
          </cell>
          <cell r="B6776" t="str">
            <v>בית הלוחם</v>
          </cell>
          <cell r="C6776" t="str">
            <v>בית הלוחם- הקמת תחמ"ש פנימית</v>
          </cell>
          <cell r="D6776">
            <v>45826</v>
          </cell>
        </row>
        <row r="6777">
          <cell r="A6777" t="str">
            <v>WBM-01400</v>
          </cell>
          <cell r="B6777" t="str">
            <v>בית הלוחם</v>
          </cell>
          <cell r="C6777" t="str">
            <v>בית הלוחם--בוטל-התקנת 2 סוללות קבלים</v>
          </cell>
        </row>
        <row r="6778">
          <cell r="A6778" t="str">
            <v>WBD-100</v>
          </cell>
          <cell r="B6778" t="str">
            <v>בית הגדי ניידת</v>
          </cell>
          <cell r="C6778" t="str">
            <v>בית הגדי ניידת- הצבת תחמ"ש ניידת</v>
          </cell>
          <cell r="D6778">
            <v>45991</v>
          </cell>
        </row>
        <row r="6779">
          <cell r="A6779" t="str">
            <v>WBD-100-ST2</v>
          </cell>
          <cell r="B6779" t="str">
            <v>בית הגדי ניידת</v>
          </cell>
          <cell r="C6779" t="str">
            <v>בית הגדי ניידת - פירוק תחמ"ש ניידת</v>
          </cell>
          <cell r="D6779">
            <v>46782</v>
          </cell>
        </row>
        <row r="6780">
          <cell r="A6780" t="str">
            <v>WBC-083</v>
          </cell>
          <cell r="B6780" t="str">
            <v>בית הגדי</v>
          </cell>
          <cell r="C6780" t="str">
            <v>בית הגדי- הקמת תחמ"ש חיצונית 161/24 ק"ו</v>
          </cell>
          <cell r="D6780">
            <v>46690</v>
          </cell>
        </row>
        <row r="6781">
          <cell r="A6781" t="str">
            <v>WBE-234</v>
          </cell>
          <cell r="B6781" t="str">
            <v>בית הגדי</v>
          </cell>
          <cell r="C6781" t="str">
            <v>בית הגדי- שולב בפרויקט WBC-083-התקנת  2 שנאים  161/24 50 מגוו"א כ"א.</v>
          </cell>
        </row>
        <row r="6782">
          <cell r="A6782" t="str">
            <v>WBC-207</v>
          </cell>
          <cell r="B6782" t="str">
            <v>בית אלפא</v>
          </cell>
          <cell r="C6782" t="str">
            <v>בית אלפא- בוטל- הקמת תחמ"ש חיצונית 161/24 ק"ו</v>
          </cell>
          <cell r="D6782">
            <v>44536</v>
          </cell>
        </row>
        <row r="6783">
          <cell r="A6783" t="str">
            <v>WBC-104</v>
          </cell>
          <cell r="B6783" t="str">
            <v>בית אליעזר</v>
          </cell>
          <cell r="C6783" t="str">
            <v>בית אליעזר-הקמת תחמ"ש פנימית 161/24</v>
          </cell>
          <cell r="D6783">
            <v>47573</v>
          </cell>
        </row>
        <row r="6784">
          <cell r="A6784" t="str">
            <v>WBC-004</v>
          </cell>
          <cell r="B6784" t="str">
            <v>ביכורים</v>
          </cell>
          <cell r="C6784" t="str">
            <v>ביכורים (אסיף)-הקמת תחמ"ש פנימית 161/24</v>
          </cell>
          <cell r="D6784">
            <v>47118</v>
          </cell>
        </row>
        <row r="6785">
          <cell r="A6785" t="str">
            <v>WBC-004-ST2</v>
          </cell>
          <cell r="B6785" t="str">
            <v>ביכורים</v>
          </cell>
          <cell r="C6785" t="str">
            <v>ביכורים(אסיף)-אישור תוכנית סטטוטורית</v>
          </cell>
          <cell r="D6785">
            <v>45046</v>
          </cell>
        </row>
        <row r="6786">
          <cell r="A6786" t="str">
            <v>WBM-00716</v>
          </cell>
          <cell r="B6786" t="str">
            <v>ביכורים</v>
          </cell>
          <cell r="C6786" t="str">
            <v>ביכורים-בוטל התקנת 2 ס"ק 5*2 מגווא"ר כ"א</v>
          </cell>
          <cell r="D6786">
            <v>39963</v>
          </cell>
        </row>
        <row r="6787">
          <cell r="A6787" t="str">
            <v>HIS-152</v>
          </cell>
          <cell r="B6787" t="str">
            <v>בז''ן אשדוד-פרטית</v>
          </cell>
          <cell r="C6787" t="str">
            <v>בז"ן אשדוד-פרטית</v>
          </cell>
          <cell r="D6787">
            <v>40908</v>
          </cell>
        </row>
        <row r="6788">
          <cell r="A6788" t="str">
            <v>WBM-40295-073</v>
          </cell>
          <cell r="B6788" t="str">
            <v>בז''ן אשדוד-פרטית</v>
          </cell>
          <cell r="C6788" t="str">
            <v>בזן - החלפת מצברים</v>
          </cell>
          <cell r="D6788">
            <v>45838</v>
          </cell>
        </row>
        <row r="6789">
          <cell r="A6789" t="str">
            <v>WBC-076</v>
          </cell>
          <cell r="B6789" t="str">
            <v>בורסה(רמת גן 2)</v>
          </cell>
          <cell r="C6789" t="str">
            <v>בורסה (רמת גן 2)- הקמת תחמ"ש פנימית 161/24 ק"ו</v>
          </cell>
          <cell r="D6789">
            <v>48548</v>
          </cell>
        </row>
        <row r="6790">
          <cell r="A6790" t="str">
            <v>HIS-066</v>
          </cell>
          <cell r="B6790" t="str">
            <v>בארות יצחק</v>
          </cell>
          <cell r="C6790" t="str">
            <v>בארות יצחק</v>
          </cell>
          <cell r="D6790">
            <v>40908</v>
          </cell>
        </row>
        <row r="6791">
          <cell r="A6791" t="str">
            <v>WBM-00255</v>
          </cell>
          <cell r="B6791" t="str">
            <v>בארות יצחק</v>
          </cell>
          <cell r="C6791" t="str">
            <v>בארות יצחק-התקנת ס"ק מודולריות, 2*5 מג</v>
          </cell>
          <cell r="D6791">
            <v>47118</v>
          </cell>
        </row>
        <row r="6792">
          <cell r="A6792" t="str">
            <v>WBM-01151</v>
          </cell>
          <cell r="B6792" t="str">
            <v>בארות יצחק</v>
          </cell>
          <cell r="C6792" t="str">
            <v>בארות יצחק-הוספת פיקוד מרחוק לשנאי הארקה</v>
          </cell>
          <cell r="D6792">
            <v>46387</v>
          </cell>
        </row>
        <row r="6793">
          <cell r="A6793" t="str">
            <v>WBM-00991</v>
          </cell>
          <cell r="B6793" t="str">
            <v>בארות יצחק</v>
          </cell>
          <cell r="C6793" t="str">
            <v>בארות יצחק-החלפת 2 סלילי כיבוי 24 ק"ו ו2 שנאי הארקה</v>
          </cell>
          <cell r="D6793">
            <v>46326</v>
          </cell>
        </row>
        <row r="6794">
          <cell r="A6794" t="str">
            <v>WBM-10348</v>
          </cell>
          <cell r="B6794" t="str">
            <v>בארות יצחק</v>
          </cell>
          <cell r="C6794" t="str">
            <v>בארות יצחק-הבוטל- חלפת 4 מסדרי מ"ג סגור-GIS</v>
          </cell>
          <cell r="D6794">
            <v>44823</v>
          </cell>
        </row>
        <row r="6795">
          <cell r="A6795" t="str">
            <v>WBM-00657</v>
          </cell>
          <cell r="B6795" t="str">
            <v>בארות יצחק</v>
          </cell>
          <cell r="C6795" t="str">
            <v>בארות יצחק - קשר בין הגנות לאיילון</v>
          </cell>
          <cell r="D6795">
            <v>43552</v>
          </cell>
        </row>
        <row r="6796">
          <cell r="A6796" t="str">
            <v>WBM-00409</v>
          </cell>
          <cell r="B6796" t="str">
            <v>בארות יצחק</v>
          </cell>
          <cell r="C6796" t="str">
            <v>בארות יצחק-החלפת הגנת מרחק לאור יהודה</v>
          </cell>
          <cell r="D6796">
            <v>43527</v>
          </cell>
        </row>
        <row r="6797">
          <cell r="A6797" t="str">
            <v>WBM-01337</v>
          </cell>
          <cell r="B6797" t="str">
            <v>בארות יצחק</v>
          </cell>
          <cell r="C6797" t="str">
            <v>בארות יצחק -  התקנת 4 מאצרות שמן זמניות</v>
          </cell>
          <cell r="D6797">
            <v>43517</v>
          </cell>
        </row>
        <row r="6798">
          <cell r="A6798" t="str">
            <v>WBM-00890</v>
          </cell>
          <cell r="B6798" t="str">
            <v>בארות יצחק</v>
          </cell>
          <cell r="C6798" t="str">
            <v>בארות יצחק-הוספת גמל בצנרת למניעת נזילות</v>
          </cell>
          <cell r="D6798">
            <v>42509</v>
          </cell>
        </row>
        <row r="6799">
          <cell r="A6799" t="str">
            <v>WBG-017-023</v>
          </cell>
          <cell r="B6799" t="str">
            <v>בארות יצחק</v>
          </cell>
          <cell r="C6799" t="str">
            <v>בארות יצחק-שידרוג מע' אזעקה</v>
          </cell>
          <cell r="D6799">
            <v>41638</v>
          </cell>
        </row>
        <row r="6800">
          <cell r="A6800" t="str">
            <v>WBG-017-017</v>
          </cell>
          <cell r="B6800" t="str">
            <v>בארות יצחק</v>
          </cell>
          <cell r="C6800" t="str">
            <v>בארות יצחק-הקמת רשת מחשבים תפעולית</v>
          </cell>
          <cell r="D6800">
            <v>41392</v>
          </cell>
        </row>
        <row r="6801">
          <cell r="A6801" t="str">
            <v>WBG-017-016</v>
          </cell>
          <cell r="B6801" t="str">
            <v>בארות יצחק</v>
          </cell>
          <cell r="C6801" t="str">
            <v>בארות יצחק-שינויים בלוח חלוקה ז"י 60 ו'</v>
          </cell>
          <cell r="D6801">
            <v>41361</v>
          </cell>
        </row>
        <row r="6802">
          <cell r="A6802" t="str">
            <v>WBG-017-013</v>
          </cell>
          <cell r="B6802" t="str">
            <v>בארות יצחק</v>
          </cell>
          <cell r="C6802" t="str">
            <v>בארות יצחק-הוספת ווסתים לסליל כיבוי</v>
          </cell>
          <cell r="D6802">
            <v>41336</v>
          </cell>
        </row>
        <row r="6803">
          <cell r="A6803" t="str">
            <v>WBM-10053</v>
          </cell>
          <cell r="B6803" t="str">
            <v>בארות יצחק</v>
          </cell>
          <cell r="C6803" t="str">
            <v>בארות יצחק -בוטל- החלפת גשרי דיודות</v>
          </cell>
          <cell r="D6803">
            <v>43769</v>
          </cell>
        </row>
        <row r="6804">
          <cell r="A6804">
            <v>532537</v>
          </cell>
          <cell r="B6804" t="str">
            <v>בארות יצחק</v>
          </cell>
          <cell r="C6804" t="str">
            <v>בארות יצחק - החלפת גשרי דיודות</v>
          </cell>
          <cell r="D6804">
            <v>42185</v>
          </cell>
        </row>
        <row r="6805">
          <cell r="A6805" t="str">
            <v>WBM-01170</v>
          </cell>
          <cell r="B6805" t="str">
            <v>בארות יצחק</v>
          </cell>
          <cell r="C6805" t="str">
            <v>בארות יצחק-שדרוג מערכות SCS מסוג UNIX-LON</v>
          </cell>
          <cell r="D6805">
            <v>46568</v>
          </cell>
        </row>
        <row r="6806">
          <cell r="A6806" t="str">
            <v>WBM-00408</v>
          </cell>
          <cell r="B6806" t="str">
            <v>בארות יצחק</v>
          </cell>
          <cell r="C6806" t="str">
            <v>בארות יצחק-החלפת מ.ברק מ"ג  4 שנאים</v>
          </cell>
          <cell r="D6806">
            <v>47118</v>
          </cell>
        </row>
        <row r="6807">
          <cell r="A6807" t="str">
            <v>WBM-01313</v>
          </cell>
          <cell r="B6807" t="str">
            <v>בארות יצחק</v>
          </cell>
          <cell r="C6807" t="str">
            <v>בארות יצחק-החלפת הג. מרחק בשדות 2, 4</v>
          </cell>
          <cell r="D6807">
            <v>45592</v>
          </cell>
        </row>
        <row r="6808">
          <cell r="A6808" t="str">
            <v>WBM-40050</v>
          </cell>
          <cell r="B6808" t="str">
            <v>בארות יצחק</v>
          </cell>
          <cell r="C6808" t="str">
            <v>בארות יצחק – החלפת ציוד 161 ק"ו בשדות השנאים</v>
          </cell>
          <cell r="D6808">
            <v>47117</v>
          </cell>
        </row>
        <row r="6809">
          <cell r="A6809" t="str">
            <v>WBM-10443</v>
          </cell>
          <cell r="B6809" t="str">
            <v>בארות יצחק</v>
          </cell>
          <cell r="C6809" t="str">
            <v>בארות יצחק-משיק לאלעד 9,החלפת הגנות.ש12</v>
          </cell>
          <cell r="D6809">
            <v>46022</v>
          </cell>
        </row>
        <row r="6810">
          <cell r="A6810" t="str">
            <v>WBM-60096</v>
          </cell>
          <cell r="B6810" t="str">
            <v>בארות יצחק</v>
          </cell>
          <cell r="C6810" t="str">
            <v>בארות יצחק - משטר עבודה.של מפוחים לעשן</v>
          </cell>
          <cell r="D6810">
            <v>46842</v>
          </cell>
        </row>
        <row r="6811">
          <cell r="A6811" t="str">
            <v>0243101</v>
          </cell>
          <cell r="B6811" t="str">
            <v>בארות יצחק</v>
          </cell>
          <cell r="C6811" t="str">
            <v>בארות יצחק- החלפת 2 סוללות מצברים</v>
          </cell>
          <cell r="D6811">
            <v>43646</v>
          </cell>
        </row>
        <row r="6812">
          <cell r="A6812" t="str">
            <v>WBM-01243</v>
          </cell>
          <cell r="B6812" t="str">
            <v>בארות יצחק</v>
          </cell>
          <cell r="C6812" t="str">
            <v>בארות יצחק -בוטל-מאצרות שמן קבועות לשנאי</v>
          </cell>
          <cell r="D6812">
            <v>42902</v>
          </cell>
        </row>
        <row r="6813">
          <cell r="A6813" t="str">
            <v>WBM-40017</v>
          </cell>
          <cell r="B6813" t="str">
            <v>בארות יצחק</v>
          </cell>
          <cell r="C6813" t="str">
            <v>בארות יצחק-בוטל-החלפת מגני ברק ב-4 שנאים</v>
          </cell>
          <cell r="D6813">
            <v>43110</v>
          </cell>
        </row>
        <row r="6814">
          <cell r="A6814">
            <v>532525</v>
          </cell>
          <cell r="B6814" t="str">
            <v>בארות יצחק</v>
          </cell>
          <cell r="C6814" t="str">
            <v>בארות יצחק-החלפת מערכת התראה בטחונית</v>
          </cell>
          <cell r="D6814">
            <v>39598</v>
          </cell>
        </row>
        <row r="6815">
          <cell r="A6815">
            <v>532533</v>
          </cell>
          <cell r="B6815" t="str">
            <v>בארות יצחק</v>
          </cell>
          <cell r="C6815" t="str">
            <v>בארות יצחק-התקנת מאווררים בארונות פיקוד</v>
          </cell>
          <cell r="D6815">
            <v>40877</v>
          </cell>
        </row>
        <row r="6816">
          <cell r="A6816" t="str">
            <v>WBG-017-019</v>
          </cell>
          <cell r="B6816" t="str">
            <v>בארות יצחק</v>
          </cell>
          <cell r="C6816" t="str">
            <v>בארות יצחק-הפרדת אתראת פליטת מימן</v>
          </cell>
          <cell r="D6816">
            <v>40481</v>
          </cell>
        </row>
        <row r="6817">
          <cell r="A6817" t="str">
            <v>WBM-00256</v>
          </cell>
          <cell r="B6817" t="str">
            <v>בארות יצחק</v>
          </cell>
          <cell r="C6817" t="str">
            <v>בארות יצחק-שדרוג מסדר לקליטת קו מא.יהודה</v>
          </cell>
          <cell r="D6817">
            <v>43573</v>
          </cell>
        </row>
        <row r="6818">
          <cell r="A6818" t="str">
            <v>WBM-00361</v>
          </cell>
          <cell r="B6818" t="str">
            <v>בארות יצחק</v>
          </cell>
          <cell r="C6818" t="str">
            <v>בארות יצחק-החלפת ממסר למרחק להשלת עומס</v>
          </cell>
          <cell r="D6818">
            <v>43552</v>
          </cell>
        </row>
        <row r="6819">
          <cell r="A6819" t="str">
            <v>WBM-00370</v>
          </cell>
          <cell r="B6819" t="str">
            <v>בארות יצחק</v>
          </cell>
          <cell r="C6819" t="str">
            <v>בארות יצחק-יישום השלת עומס לפי מתח</v>
          </cell>
          <cell r="D6819">
            <v>42634</v>
          </cell>
        </row>
        <row r="6820">
          <cell r="A6820" t="str">
            <v>WBE-196</v>
          </cell>
          <cell r="B6820" t="str">
            <v>בארות יצחק</v>
          </cell>
          <cell r="C6820" t="str">
            <v>בארות יצחק – הרחבת פ"צ והוספת שנאי חמישי 161/24 ק"ו, 50 מגוו"א וסוללות קבלים</v>
          </cell>
          <cell r="D6820">
            <v>46568</v>
          </cell>
        </row>
        <row r="6821">
          <cell r="A6821" t="str">
            <v>WBM-00885-087</v>
          </cell>
          <cell r="B6821" t="str">
            <v>בארות יצחק</v>
          </cell>
          <cell r="C6821" t="str">
            <v>בארות יצחק - שדרוג מערכת המים לכיבוי אש</v>
          </cell>
          <cell r="D6821">
            <v>46217</v>
          </cell>
        </row>
        <row r="6822">
          <cell r="A6822" t="str">
            <v>WBM-20004-027</v>
          </cell>
          <cell r="B6822" t="str">
            <v>בארות יצחק</v>
          </cell>
          <cell r="C6822" t="str">
            <v>בארות יצחק - שיפור מערכת תאורה</v>
          </cell>
          <cell r="D6822">
            <v>45621</v>
          </cell>
        </row>
        <row r="6823">
          <cell r="A6823" t="str">
            <v>WBM-40479-052</v>
          </cell>
          <cell r="B6823" t="str">
            <v>בארות יצחק</v>
          </cell>
          <cell r="C6823" t="str">
            <v>בארות יצחק-החלפת 3 בקרי טמפ' וגובה שמן ב</v>
          </cell>
          <cell r="D6823">
            <v>47299</v>
          </cell>
        </row>
        <row r="6824">
          <cell r="A6824" t="str">
            <v>WBM-60008-029</v>
          </cell>
          <cell r="B6824" t="str">
            <v>בארות יצחק</v>
          </cell>
          <cell r="C6824" t="str">
            <v>בארות יצחק - התקנת מערכת מיגון בתחמ"ש</v>
          </cell>
          <cell r="D6824">
            <v>46690</v>
          </cell>
        </row>
        <row r="6825">
          <cell r="A6825" t="str">
            <v>WBM-60088-011</v>
          </cell>
          <cell r="B6825" t="str">
            <v>בארות יצחק</v>
          </cell>
          <cell r="C6825" t="str">
            <v>בארות יצחק - מאצרות ל-4 שנאים</v>
          </cell>
          <cell r="D6825">
            <v>46477</v>
          </cell>
        </row>
        <row r="6826">
          <cell r="A6826" t="str">
            <v>WBM-60118-035</v>
          </cell>
          <cell r="B6826" t="str">
            <v>בארות יצחק</v>
          </cell>
          <cell r="C6826" t="str">
            <v>בארות יצחק -  שיפור מערכת הארקה</v>
          </cell>
          <cell r="D6826">
            <v>46196</v>
          </cell>
        </row>
        <row r="6827">
          <cell r="A6827" t="str">
            <v>WBM-60130-054</v>
          </cell>
          <cell r="B6827" t="str">
            <v>בארות יצחק</v>
          </cell>
          <cell r="C6827" t="str">
            <v>בארות יצחק - התקנת מפסק פטריה להפסקת מערכת החשמל בחירום</v>
          </cell>
          <cell r="D6827">
            <v>46568</v>
          </cell>
        </row>
        <row r="6828">
          <cell r="A6828" t="str">
            <v>WBM-10626</v>
          </cell>
          <cell r="B6828" t="str">
            <v>בארות יצחק</v>
          </cell>
          <cell r="C6828" t="str">
            <v>בארות יצחק – החלפת הגנת מרחק בשדה 10. משיק למכבית, שדה 5.</v>
          </cell>
          <cell r="D6828">
            <v>46356</v>
          </cell>
        </row>
        <row r="6829">
          <cell r="A6829" t="str">
            <v>WBM-10628</v>
          </cell>
          <cell r="B6829" t="str">
            <v>בארות יצחק</v>
          </cell>
          <cell r="C6829" t="str">
            <v>בארות יצחק- פרוק הגנת פ"צ ישנה והתקנת הגנת פ"צ שניה דיפרנציאלית בלבד.</v>
          </cell>
          <cell r="D6829">
            <v>46568</v>
          </cell>
        </row>
        <row r="6830">
          <cell r="A6830" t="str">
            <v>WBM-10629</v>
          </cell>
          <cell r="B6830" t="str">
            <v>בארות יצחק</v>
          </cell>
          <cell r="C6830" t="str">
            <v>בארות יצחק- הקמת מבנה מסדרי מ"ג 24 ק"ו חדש.</v>
          </cell>
          <cell r="D6830">
            <v>47118</v>
          </cell>
        </row>
        <row r="6831">
          <cell r="A6831" t="str">
            <v>WBM-40629-001</v>
          </cell>
          <cell r="B6831" t="str">
            <v>בארות יצחק</v>
          </cell>
          <cell r="C6831" t="str">
            <v>בארות יצחק- החלפת מבדדי 161 ק"ו של שנאי הספק</v>
          </cell>
          <cell r="D6831">
            <v>46387</v>
          </cell>
        </row>
        <row r="6832">
          <cell r="A6832" t="str">
            <v>WBM-10726</v>
          </cell>
          <cell r="B6832" t="str">
            <v>בארות יצחק</v>
          </cell>
          <cell r="C6832" t="str">
            <v>בארות יצחק – הוספת מכולת מ"ג לתחנה</v>
          </cell>
          <cell r="D6832">
            <v>46387</v>
          </cell>
        </row>
        <row r="6833">
          <cell r="A6833" t="str">
            <v>WBM-40637-036</v>
          </cell>
          <cell r="B6833" t="str">
            <v>בארות יצחק</v>
          </cell>
          <cell r="C6833" t="str">
            <v>בארות יצחק-החלפת רושמי הפרעות קיימים מדגם IDM-T3 לרושמים חדשים מדגם IDM+</v>
          </cell>
          <cell r="D6833">
            <v>47360</v>
          </cell>
        </row>
        <row r="6834">
          <cell r="A6834" t="str">
            <v>WBM-10797</v>
          </cell>
          <cell r="B6834" t="str">
            <v>בארות יצחק</v>
          </cell>
          <cell r="C6834" t="str">
            <v>בארות יצחק - משיק לעתידים שדה 7, התקנת הגנה דיפרנציאלית SEL-311L ויישום דרך קשר אופטית בין הגנות בשדה 10</v>
          </cell>
          <cell r="D6834">
            <v>46295</v>
          </cell>
        </row>
        <row r="6835">
          <cell r="A6835" t="str">
            <v>HIS-065</v>
          </cell>
          <cell r="B6835" t="str">
            <v>באר שבע צפון</v>
          </cell>
          <cell r="C6835" t="str">
            <v>באר שבע צפון</v>
          </cell>
          <cell r="D6835">
            <v>40908</v>
          </cell>
        </row>
        <row r="6836">
          <cell r="A6836" t="str">
            <v>WDA-1-02-45-03</v>
          </cell>
          <cell r="B6836" t="str">
            <v>באר שבע צפון</v>
          </cell>
          <cell r="C6836" t="str">
            <v>באר שבע צפון בוטל-החלפת יחידת קצה פיקוח</v>
          </cell>
          <cell r="D6836">
            <v>36526</v>
          </cell>
        </row>
        <row r="6837">
          <cell r="A6837" t="str">
            <v>WDB-04COM21</v>
          </cell>
          <cell r="B6837" t="str">
            <v>באר שבע צפון</v>
          </cell>
          <cell r="C6837" t="str">
            <v>באר שבע צפון-הנחת כבל סיב אופטי  מב"ש</v>
          </cell>
          <cell r="D6837">
            <v>42159</v>
          </cell>
        </row>
        <row r="6838">
          <cell r="A6838" t="str">
            <v>WBM-70018</v>
          </cell>
          <cell r="B6838" t="str">
            <v>באר שבע צפון</v>
          </cell>
          <cell r="C6838" t="str">
            <v>ב"ש צפון -החלפת משנק ותילים, שדה 5</v>
          </cell>
          <cell r="D6838">
            <v>46203</v>
          </cell>
        </row>
        <row r="6839">
          <cell r="A6839" t="str">
            <v>WBM-70038</v>
          </cell>
          <cell r="B6839" t="str">
            <v>באר שבע צפון</v>
          </cell>
          <cell r="C6839" t="str">
            <v>באר שבע צפון- שדרוג שדה 5 מסדר 161</v>
          </cell>
          <cell r="D6839">
            <v>46203</v>
          </cell>
        </row>
        <row r="6840">
          <cell r="A6840" t="str">
            <v>WBM-00986</v>
          </cell>
          <cell r="B6840" t="str">
            <v>באר שבע צפון</v>
          </cell>
          <cell r="C6840" t="str">
            <v>באר שבע צפון-החלפת סליל כיבוי 24 ק"ו,300</v>
          </cell>
          <cell r="D6840">
            <v>46233</v>
          </cell>
        </row>
        <row r="6841">
          <cell r="A6841" t="str">
            <v>WBM-00405</v>
          </cell>
          <cell r="B6841" t="str">
            <v>באר שבע צפון</v>
          </cell>
          <cell r="C6841" t="str">
            <v>באר שבע צפון-החלפת מ.ברק מ"ג של 521, 522</v>
          </cell>
          <cell r="D6841">
            <v>46752</v>
          </cell>
        </row>
        <row r="6842">
          <cell r="A6842" t="str">
            <v>WBM-00406</v>
          </cell>
          <cell r="B6842" t="str">
            <v>באר שבע צפון</v>
          </cell>
          <cell r="C6842" t="str">
            <v>באר שבע צפון-הזנת תאורת חירום ז"י.</v>
          </cell>
          <cell r="D6842">
            <v>46751</v>
          </cell>
        </row>
        <row r="6843">
          <cell r="A6843" t="str">
            <v>WBM-10003</v>
          </cell>
          <cell r="B6843" t="str">
            <v>באר שבע צפון</v>
          </cell>
          <cell r="C6843" t="str">
            <v>באר שבע צפון -התקנת רושם הפרעות 161 ק"ו</v>
          </cell>
          <cell r="D6843">
            <v>46598</v>
          </cell>
        </row>
        <row r="6844">
          <cell r="A6844" t="str">
            <v>WBM-40049</v>
          </cell>
          <cell r="B6844" t="str">
            <v>באר שבע צפון</v>
          </cell>
          <cell r="C6844" t="str">
            <v>באר שבע צפון - שדות  6, 10  - החלפת הגנות שנאי</v>
          </cell>
          <cell r="D6844">
            <v>46203</v>
          </cell>
        </row>
        <row r="6845">
          <cell r="A6845" t="str">
            <v>WBM-00329</v>
          </cell>
          <cell r="B6845" t="str">
            <v>באר שבע צפון</v>
          </cell>
          <cell r="C6845" t="str">
            <v>באר שבע צפון-התקנת 2 הגנת פ"צ 161 ק"ו.</v>
          </cell>
          <cell r="D6845">
            <v>46203</v>
          </cell>
        </row>
        <row r="6846">
          <cell r="A6846" t="str">
            <v>WBM-10433</v>
          </cell>
          <cell r="B6846" t="str">
            <v>באר שבע צפון</v>
          </cell>
          <cell r="C6846" t="str">
            <v>באר שבע צפון-משיק תה"ר נגב(5)-החלפת הגנות שדה 9</v>
          </cell>
          <cell r="D6846">
            <v>46811</v>
          </cell>
        </row>
        <row r="6847">
          <cell r="A6847" t="str">
            <v>WBM-10152</v>
          </cell>
          <cell r="B6847" t="str">
            <v>באר שבע צפון</v>
          </cell>
          <cell r="C6847" t="str">
            <v>ב"ש צפון - התקנת מתמרים ב-3 פ"צ</v>
          </cell>
          <cell r="D6847">
            <v>46477</v>
          </cell>
        </row>
        <row r="6848">
          <cell r="A6848" t="str">
            <v>WBM-01179</v>
          </cell>
          <cell r="B6848" t="str">
            <v>באר שבע צפון</v>
          </cell>
          <cell r="C6848" t="str">
            <v>באר שבע צפון-שדרוג הגנות מרחק ש' 5</v>
          </cell>
          <cell r="D6848">
            <v>43797</v>
          </cell>
        </row>
        <row r="6849">
          <cell r="A6849" t="str">
            <v>WBM-00924</v>
          </cell>
          <cell r="B6849" t="str">
            <v>באר שבע צפון</v>
          </cell>
          <cell r="C6849" t="str">
            <v>באר שבע צפון-התקנת קשר הגנות מרחק לאיתן</v>
          </cell>
          <cell r="D6849">
            <v>43403</v>
          </cell>
        </row>
        <row r="6850">
          <cell r="A6850" t="str">
            <v>WBM-00968</v>
          </cell>
          <cell r="B6850" t="str">
            <v>באר שבע צפון</v>
          </cell>
          <cell r="C6850" t="str">
            <v>באר שבע צפון - עע"א - הוספת הגנה דיפרנצי</v>
          </cell>
          <cell r="D6850">
            <v>42809</v>
          </cell>
        </row>
        <row r="6851">
          <cell r="A6851" t="str">
            <v>WBM-00328</v>
          </cell>
          <cell r="B6851" t="str">
            <v>באר שבע צפון</v>
          </cell>
          <cell r="C6851" t="str">
            <v>ב"ש צפון - התקנת מערכת טמ"ס</v>
          </cell>
          <cell r="D6851">
            <v>42369</v>
          </cell>
        </row>
        <row r="6852">
          <cell r="A6852" t="str">
            <v>WBG-016-002-ST2</v>
          </cell>
          <cell r="B6852" t="str">
            <v>באר שבע צפון</v>
          </cell>
          <cell r="C6852" t="str">
            <v>באר שבע צפון-התקנת קשר הגנות מרחק ללהבים</v>
          </cell>
          <cell r="D6852">
            <v>42003</v>
          </cell>
        </row>
        <row r="6853">
          <cell r="A6853" t="str">
            <v>WBM-00404</v>
          </cell>
          <cell r="B6853" t="str">
            <v>באר שבע צפון</v>
          </cell>
          <cell r="C6853" t="str">
            <v>באר שבע צפון-הקשחות אבטחת מידע במחשב</v>
          </cell>
          <cell r="D6853">
            <v>41881</v>
          </cell>
        </row>
        <row r="6854">
          <cell r="A6854" t="str">
            <v>WBG-016-015</v>
          </cell>
          <cell r="B6854" t="str">
            <v>באר שבע צפון</v>
          </cell>
          <cell r="C6854" t="str">
            <v>באר שבע צפון-החלפת הממסר להשלת עומס</v>
          </cell>
          <cell r="D6854">
            <v>41424</v>
          </cell>
        </row>
        <row r="6855">
          <cell r="A6855" t="str">
            <v>WBG-016-013</v>
          </cell>
          <cell r="B6855" t="str">
            <v>באר שבע צפון</v>
          </cell>
          <cell r="C6855" t="str">
            <v>באר שבע צפון-החלפת הגנת מרחק שדה 5 לאיתן</v>
          </cell>
          <cell r="D6855">
            <v>41394</v>
          </cell>
        </row>
        <row r="6856">
          <cell r="A6856">
            <v>530716</v>
          </cell>
          <cell r="B6856" t="str">
            <v>באר שבע צפון</v>
          </cell>
          <cell r="C6856" t="str">
            <v>באר שבע צפון-בנית מאצרת דלק לדיזל גנרטור</v>
          </cell>
          <cell r="D6856">
            <v>41090</v>
          </cell>
        </row>
        <row r="6857">
          <cell r="A6857" t="str">
            <v>WBG-016-003</v>
          </cell>
          <cell r="B6857" t="str">
            <v>באר שבע צפון</v>
          </cell>
          <cell r="C6857" t="str">
            <v>באר שבע צפון-התקנת מערכת מניה</v>
          </cell>
          <cell r="D6857">
            <v>41074</v>
          </cell>
        </row>
        <row r="6858">
          <cell r="A6858">
            <v>530732</v>
          </cell>
          <cell r="B6858" t="str">
            <v>באר שבע צפון</v>
          </cell>
          <cell r="C6858" t="str">
            <v>באר שבע צפון-התקנת מאווררים בארונ.פיקוד</v>
          </cell>
          <cell r="D6858">
            <v>40311</v>
          </cell>
        </row>
        <row r="6859">
          <cell r="A6859" t="str">
            <v>WBG-016-010</v>
          </cell>
          <cell r="B6859" t="str">
            <v>באר שבע צפון</v>
          </cell>
          <cell r="C6859" t="str">
            <v>באר שבע צפון-התקנת מערכת מיגון</v>
          </cell>
          <cell r="D6859">
            <v>38898</v>
          </cell>
        </row>
        <row r="6860">
          <cell r="A6860" t="str">
            <v>WBM-00407</v>
          </cell>
          <cell r="B6860" t="str">
            <v>באר שבע צפון</v>
          </cell>
          <cell r="C6860" t="str">
            <v>באר שבע צפון-בוטל-התקנת מצוף התראה</v>
          </cell>
          <cell r="D6860">
            <v>39653</v>
          </cell>
        </row>
        <row r="6861">
          <cell r="A6861" t="str">
            <v>WBG-016-014</v>
          </cell>
          <cell r="B6861" t="str">
            <v>באר שבע צפון</v>
          </cell>
          <cell r="C6861" t="str">
            <v>באר שבע צפון-התקנת מערכת תאורת אזהרה</v>
          </cell>
          <cell r="D6861">
            <v>40014</v>
          </cell>
        </row>
        <row r="6862">
          <cell r="A6862" t="str">
            <v>WBG-016-016</v>
          </cell>
          <cell r="B6862" t="str">
            <v>באר שבע צפון</v>
          </cell>
          <cell r="C6862" t="str">
            <v>באר שבע צפון-תיקון והחלפת רכיבי מע.אזעקה</v>
          </cell>
          <cell r="D6862">
            <v>40632</v>
          </cell>
        </row>
        <row r="6863">
          <cell r="A6863" t="str">
            <v>WBG-016-018</v>
          </cell>
          <cell r="B6863" t="str">
            <v>באר שבע צפון</v>
          </cell>
          <cell r="C6863" t="str">
            <v>באר שבע צפון-הקמת רשת מחשבים תפעולית</v>
          </cell>
          <cell r="D6863">
            <v>40543</v>
          </cell>
        </row>
        <row r="6864">
          <cell r="A6864" t="str">
            <v>WBM-00664</v>
          </cell>
          <cell r="B6864" t="str">
            <v>באר שבע צפון</v>
          </cell>
          <cell r="C6864" t="str">
            <v>באר שבע צפון-בוטל-חלפת הממסר להש.עומס</v>
          </cell>
          <cell r="D6864">
            <v>39993</v>
          </cell>
        </row>
        <row r="6865">
          <cell r="A6865" t="str">
            <v>WBM-00663</v>
          </cell>
          <cell r="B6865" t="str">
            <v>באר שבע צפון</v>
          </cell>
          <cell r="C6865" t="str">
            <v>באר שבע צפון-בוטל-החלפת הגנת שדה 5 לאיתן</v>
          </cell>
          <cell r="D6865">
            <v>41232</v>
          </cell>
        </row>
        <row r="6866">
          <cell r="A6866" t="str">
            <v>WBM-10551</v>
          </cell>
          <cell r="B6866" t="str">
            <v>באר שבע צפון</v>
          </cell>
          <cell r="C6866" t="str">
            <v>באר שבע צפון- שדה 5, משיק לאיתן שדה 16. התקנת הגנה דיפרנציאלית P545 SCHNEIDER</v>
          </cell>
          <cell r="D6866">
            <v>46356</v>
          </cell>
        </row>
        <row r="6867">
          <cell r="A6867" t="str">
            <v>WBM-40605</v>
          </cell>
          <cell r="B6867" t="str">
            <v>באר שבע צפון</v>
          </cell>
          <cell r="C6867" t="str">
            <v>באר שבע צפון- החלפת 1 מסדרי מג</v>
          </cell>
          <cell r="D6867">
            <v>46690</v>
          </cell>
        </row>
        <row r="6868">
          <cell r="A6868" t="str">
            <v>WBM-00884-033</v>
          </cell>
          <cell r="B6868" t="str">
            <v>באר שבע צפון</v>
          </cell>
          <cell r="C6868" t="str">
            <v>ב"ש צפון- בוטל -  החלפת מערכות כיבוי בגז NAF-S3</v>
          </cell>
          <cell r="D6868">
            <v>46387</v>
          </cell>
        </row>
        <row r="6869">
          <cell r="A6869" t="str">
            <v>WBM-40295-056</v>
          </cell>
          <cell r="B6869" t="str">
            <v>באר שבע צפון</v>
          </cell>
          <cell r="C6869" t="str">
            <v>באר שבע צפון - החלפת סוללות מצברים</v>
          </cell>
          <cell r="D6869">
            <v>46721</v>
          </cell>
        </row>
        <row r="6870">
          <cell r="A6870" t="str">
            <v>WBM-60092-015</v>
          </cell>
          <cell r="B6870" t="str">
            <v>באר שבע צפון</v>
          </cell>
          <cell r="C6870" t="str">
            <v>ב"ש צפון -בדיקות/טיפול/פינוי מכלי אש בגז</v>
          </cell>
          <cell r="D6870">
            <v>46172</v>
          </cell>
        </row>
        <row r="6871">
          <cell r="A6871" t="str">
            <v>WBM-60107-007</v>
          </cell>
          <cell r="B6871" t="str">
            <v>באר שבע צפון</v>
          </cell>
          <cell r="C6871" t="str">
            <v>ב"ש צפון - החלפת מנעולים אלק.מגנטיים באל</v>
          </cell>
          <cell r="D6871">
            <v>45599</v>
          </cell>
        </row>
        <row r="6872">
          <cell r="A6872" t="str">
            <v>WBM-60130-014</v>
          </cell>
          <cell r="B6872" t="str">
            <v>באר שבע צפון</v>
          </cell>
          <cell r="C6872" t="str">
            <v>באר שבע צפון - התקנת מפסק פטריה להפסקת מערכת החשמל בחירום</v>
          </cell>
          <cell r="D6872">
            <v>46568</v>
          </cell>
        </row>
        <row r="6873">
          <cell r="A6873" t="str">
            <v>WBM-10678</v>
          </cell>
          <cell r="B6873" t="str">
            <v>באר שבע צפון</v>
          </cell>
          <cell r="C6873" t="str">
            <v>באר שבע צפון- שדה 5, משיק ללהבים שדה 7, ישום תקשורת אופטית בין הגנות</v>
          </cell>
          <cell r="D6873">
            <v>45839</v>
          </cell>
        </row>
        <row r="6874">
          <cell r="A6874" t="str">
            <v>HIS-064</v>
          </cell>
          <cell r="B6874" t="str">
            <v>באר שבע מערב</v>
          </cell>
          <cell r="C6874" t="str">
            <v>באר שבע מערב</v>
          </cell>
          <cell r="D6874">
            <v>40908</v>
          </cell>
        </row>
        <row r="6875">
          <cell r="A6875" t="str">
            <v>0247804</v>
          </cell>
          <cell r="B6875" t="str">
            <v>באר שבע מערב</v>
          </cell>
          <cell r="C6875" t="str">
            <v>ב"ש מערב - בוטל - שידרוג ציוד</v>
          </cell>
        </row>
        <row r="6876">
          <cell r="A6876" t="str">
            <v>WBM-80019</v>
          </cell>
          <cell r="B6876" t="str">
            <v>באר שבע מערב</v>
          </cell>
          <cell r="C6876" t="str">
            <v>באר שבע בוטל-הת' תיילים-מהדקים-פורט'wbo-</v>
          </cell>
          <cell r="D6876">
            <v>44904</v>
          </cell>
        </row>
        <row r="6877">
          <cell r="A6877" t="str">
            <v>WBE-139</v>
          </cell>
          <cell r="B6877" t="str">
            <v>באר שבע מערב</v>
          </cell>
          <cell r="C6877" t="str">
            <v>ב"ש מערב -מתקן אגירת אנרגיה בסוללות</v>
          </cell>
          <cell r="D6877">
            <v>46752</v>
          </cell>
        </row>
        <row r="6878">
          <cell r="A6878" t="str">
            <v>WBM-00254</v>
          </cell>
          <cell r="B6878" t="str">
            <v>באר שבע מערב</v>
          </cell>
          <cell r="C6878" t="str">
            <v>באר שבע מערב-החלפת מנתקים מש"ז ומשנקים</v>
          </cell>
          <cell r="D6878">
            <v>44314</v>
          </cell>
        </row>
        <row r="6879">
          <cell r="A6879" t="str">
            <v>WBM-00253</v>
          </cell>
          <cell r="B6879" t="str">
            <v>באר שבע מערב</v>
          </cell>
          <cell r="C6879" t="str">
            <v>באר שבע מערב-התקנת 3 ס"ק  24 ק"ו 2*5 מגו</v>
          </cell>
          <cell r="D6879">
            <v>47422</v>
          </cell>
        </row>
        <row r="6880">
          <cell r="A6880" t="str">
            <v>WBM-00993</v>
          </cell>
          <cell r="B6880" t="str">
            <v>באר שבע מערב</v>
          </cell>
          <cell r="C6880" t="str">
            <v>באר שבע מערב-התקנת סליל כיבוי 24 ק"ו</v>
          </cell>
          <cell r="D6880">
            <v>46568</v>
          </cell>
        </row>
        <row r="6881">
          <cell r="A6881" t="str">
            <v>WBM-40213</v>
          </cell>
          <cell r="B6881" t="str">
            <v>באר שבע מערב</v>
          </cell>
          <cell r="C6881" t="str">
            <v>באר שבע מערב- החלפת ציוד בשד' 2,8,9</v>
          </cell>
          <cell r="D6881">
            <v>46477</v>
          </cell>
        </row>
        <row r="6882">
          <cell r="A6882" t="str">
            <v>0243432</v>
          </cell>
          <cell r="B6882" t="str">
            <v>באר שבע מערב</v>
          </cell>
          <cell r="C6882" t="str">
            <v>ב"ש מערב- בוטל - החל' ציוד מ"ג מפ"ז והגנות</v>
          </cell>
        </row>
        <row r="6883">
          <cell r="A6883" t="str">
            <v>WBM-01046</v>
          </cell>
          <cell r="B6883" t="str">
            <v>באר שבע מערב</v>
          </cell>
          <cell r="C6883" t="str">
            <v>באר שבע מערב-החלפת מפסקים מ"ג</v>
          </cell>
          <cell r="D6883">
            <v>46477</v>
          </cell>
        </row>
        <row r="6884">
          <cell r="A6884" t="str">
            <v>WBM-00403</v>
          </cell>
          <cell r="B6884" t="str">
            <v>באר שבע מערב</v>
          </cell>
          <cell r="C6884" t="str">
            <v>באר שבע מערב-הזנת תאורת חירום ז"י</v>
          </cell>
          <cell r="D6884">
            <v>46751</v>
          </cell>
        </row>
        <row r="6885">
          <cell r="A6885" t="str">
            <v>WBM-40286</v>
          </cell>
          <cell r="B6885" t="str">
            <v>באר שבע מערב</v>
          </cell>
          <cell r="C6885" t="str">
            <v>באר שבע מערב-החלפת הגנה דיפרנציאלית ש' 3</v>
          </cell>
          <cell r="D6885">
            <v>46477</v>
          </cell>
        </row>
        <row r="6886">
          <cell r="A6886" t="str">
            <v>WBM-40007</v>
          </cell>
          <cell r="B6886" t="str">
            <v>באר שבע מערב</v>
          </cell>
          <cell r="C6886" t="str">
            <v>באר שבע מערב - החלפת רושם הפרעות</v>
          </cell>
          <cell r="D6886">
            <v>46751</v>
          </cell>
        </row>
        <row r="6887">
          <cell r="A6887" t="str">
            <v>WBM-40302</v>
          </cell>
          <cell r="B6887" t="str">
            <v>באר שבע מערב</v>
          </cell>
          <cell r="C6887" t="str">
            <v>באר שבע מערב-החלפת ציוד שדות 3,9</v>
          </cell>
          <cell r="D6887">
            <v>46934</v>
          </cell>
        </row>
        <row r="6888">
          <cell r="A6888" t="str">
            <v>WBM-40212</v>
          </cell>
          <cell r="B6888" t="str">
            <v>באר שבע מערב</v>
          </cell>
          <cell r="C6888" t="str">
            <v>באר שבע מערב- החל' ציוד בשד' 4,1,5,6</v>
          </cell>
          <cell r="D6888">
            <v>46476</v>
          </cell>
        </row>
        <row r="6889">
          <cell r="A6889" t="str">
            <v>WBM-00642</v>
          </cell>
          <cell r="B6889" t="str">
            <v>באר שבע מערב</v>
          </cell>
          <cell r="C6889" t="str">
            <v>באר שבע מערב-הוספת הג.מרחק שנייה:1,3,7,9</v>
          </cell>
          <cell r="D6889">
            <v>46387</v>
          </cell>
        </row>
        <row r="6890">
          <cell r="A6890" t="str">
            <v>WBM-00222</v>
          </cell>
          <cell r="B6890" t="str">
            <v>באר שבע מערב</v>
          </cell>
          <cell r="C6890" t="str">
            <v>באר שבע מערב-החלפת  מגיני ברק מ"ג</v>
          </cell>
          <cell r="D6890">
            <v>46476</v>
          </cell>
        </row>
        <row r="6891">
          <cell r="A6891" t="str">
            <v>WBM-10365</v>
          </cell>
          <cell r="B6891" t="str">
            <v>באר שבע מערב</v>
          </cell>
          <cell r="C6891" t="str">
            <v>באר שבע מערב-בוטל - הת' תיילים--פורט'wbo-827</v>
          </cell>
        </row>
        <row r="6892">
          <cell r="A6892" t="str">
            <v>WBM-01263</v>
          </cell>
          <cell r="B6892" t="str">
            <v>באר שבע מערב</v>
          </cell>
          <cell r="C6892" t="str">
            <v>באר שבע מערב-הוספת פיק.מרחוק לשנאי הארקה</v>
          </cell>
          <cell r="D6892">
            <v>44608</v>
          </cell>
        </row>
        <row r="6893">
          <cell r="A6893" t="str">
            <v>WBM-10157</v>
          </cell>
          <cell r="B6893" t="str">
            <v>באר שבע מערב</v>
          </cell>
          <cell r="C6893" t="str">
            <v>באר שבע מערב - התקנת מתמרים ב-3 פ"צ</v>
          </cell>
          <cell r="D6893">
            <v>44608</v>
          </cell>
        </row>
        <row r="6894">
          <cell r="A6894" t="str">
            <v>WBG-015-004</v>
          </cell>
          <cell r="B6894" t="str">
            <v>באר שבע מערב</v>
          </cell>
          <cell r="C6894" t="str">
            <v>באר שבע מערב-הוספת סוללת מצברים 220 וולט</v>
          </cell>
          <cell r="D6894">
            <v>41120</v>
          </cell>
        </row>
        <row r="6895">
          <cell r="A6895" t="str">
            <v>WBG-015-025</v>
          </cell>
          <cell r="B6895" t="str">
            <v>באר שבע מערב</v>
          </cell>
          <cell r="C6895" t="str">
            <v>באר שבע מערב-הקמת רשת מחשבים תפעולית</v>
          </cell>
          <cell r="D6895">
            <v>41090</v>
          </cell>
        </row>
        <row r="6896">
          <cell r="A6896" t="str">
            <v>WBG-015-020</v>
          </cell>
          <cell r="B6896" t="str">
            <v>באר שבע מערב</v>
          </cell>
          <cell r="C6896" t="str">
            <v>באר שבע מערב-החלפת מפסק זרם מ"ג ב-3 שד'</v>
          </cell>
          <cell r="D6896">
            <v>41059</v>
          </cell>
        </row>
        <row r="6897">
          <cell r="A6897" t="str">
            <v>WBG-015-016</v>
          </cell>
          <cell r="B6897" t="str">
            <v>באר שבע מערב</v>
          </cell>
          <cell r="C6897" t="str">
            <v>באר שבע מערב-התקנת גדר שקופה סביב התחמ"ש</v>
          </cell>
          <cell r="D6897">
            <v>40938</v>
          </cell>
        </row>
        <row r="6898">
          <cell r="A6898" t="str">
            <v>WBM-00019</v>
          </cell>
          <cell r="B6898" t="str">
            <v>באר שבע מערב</v>
          </cell>
          <cell r="C6898" t="str">
            <v>באר שבע מערב-בוטל-מיגון ח.מצב לשעת חירום</v>
          </cell>
          <cell r="D6898">
            <v>41229</v>
          </cell>
        </row>
        <row r="6899">
          <cell r="A6899" t="str">
            <v>WBG-015-009</v>
          </cell>
          <cell r="B6899" t="str">
            <v>באר שבע מערב</v>
          </cell>
          <cell r="C6899" t="str">
            <v>באר שבע מערב-התקנת מערכת התראה ביטחונית</v>
          </cell>
          <cell r="D6899">
            <v>38867</v>
          </cell>
        </row>
        <row r="6900">
          <cell r="A6900">
            <v>534138</v>
          </cell>
          <cell r="B6900" t="str">
            <v>באר שבע מערב</v>
          </cell>
          <cell r="C6900" t="str">
            <v>באר שבע מערב-התקנת מאווררים בארונות</v>
          </cell>
          <cell r="D6900">
            <v>40311</v>
          </cell>
        </row>
        <row r="6901">
          <cell r="A6901" t="str">
            <v>WBM-10547</v>
          </cell>
          <cell r="B6901" t="str">
            <v>באר שבע מערב</v>
          </cell>
          <cell r="C6901" t="str">
            <v>באר שבע מערב - פירוק והתקנת הגנת פ"צ</v>
          </cell>
          <cell r="D6901">
            <v>46326</v>
          </cell>
        </row>
        <row r="6902">
          <cell r="A6902" t="str">
            <v>WBM-10548</v>
          </cell>
          <cell r="B6902" t="str">
            <v>באר שבע מערב</v>
          </cell>
          <cell r="C6902" t="str">
            <v>באר שבע מערב - התקנת הגנת פ"צ (דיפרנציאלית בלבד).</v>
          </cell>
          <cell r="D6902">
            <v>46752</v>
          </cell>
        </row>
        <row r="6903">
          <cell r="A6903" t="str">
            <v>WBM-40479-020</v>
          </cell>
          <cell r="B6903" t="str">
            <v>באר שבע מערב</v>
          </cell>
          <cell r="C6903" t="str">
            <v>ב"ש מערב- החלפת 2 בקרי טמפ' וגובה שמן בש</v>
          </cell>
          <cell r="D6903">
            <v>47937</v>
          </cell>
        </row>
        <row r="6904">
          <cell r="A6904" t="str">
            <v>WBM-60092-029</v>
          </cell>
          <cell r="B6904" t="str">
            <v>באר שבע מערב</v>
          </cell>
          <cell r="C6904" t="str">
            <v>ב"ש מערב -בדיקות/טיפול/פינוי מכלי אש בגז</v>
          </cell>
          <cell r="D6904">
            <v>46162</v>
          </cell>
        </row>
        <row r="6905">
          <cell r="A6905" t="str">
            <v>WBM-60130-015</v>
          </cell>
          <cell r="B6905" t="str">
            <v>באר שבע מערב</v>
          </cell>
          <cell r="C6905" t="str">
            <v>באר שבע מערב - התקנת מפסק פטריה להפסקת מערכת החשמל בחירום</v>
          </cell>
          <cell r="D6905">
            <v>46568</v>
          </cell>
        </row>
        <row r="6906">
          <cell r="A6906" t="str">
            <v>WBM-40295-080</v>
          </cell>
          <cell r="B6906" t="str">
            <v>באר שבע מערב</v>
          </cell>
          <cell r="C6906" t="str">
            <v>באר שבע מערב - החלפת מצברים</v>
          </cell>
          <cell r="D6906">
            <v>46203</v>
          </cell>
        </row>
        <row r="6907">
          <cell r="A6907" t="str">
            <v>WBM-10816</v>
          </cell>
          <cell r="B6907" t="str">
            <v>באר שבע מערב</v>
          </cell>
          <cell r="C6907" t="str">
            <v>באר שבע מערב – משיק לבית הגדי שדה 7, התקנת הגנת מרחק בשדה 9 ויישום תקשורת אופטית בין הגנות</v>
          </cell>
          <cell r="D6907">
            <v>46690</v>
          </cell>
        </row>
        <row r="6908">
          <cell r="A6908" t="str">
            <v>WBM-10817</v>
          </cell>
          <cell r="B6908" t="str">
            <v>באר שבע מערב</v>
          </cell>
          <cell r="C6908" t="str">
            <v>באר שבע מערב – משיק לבית הגדי שדה 7,  התקנת הגנה דיפרנציאלית בשדה 9, ויישום תקשורת אופטית בין הגנות</v>
          </cell>
          <cell r="D6908">
            <v>46690</v>
          </cell>
        </row>
        <row r="6909">
          <cell r="A6909" t="str">
            <v>HIS-063</v>
          </cell>
          <cell r="B6909" t="str">
            <v>באר שבע</v>
          </cell>
          <cell r="C6909" t="str">
            <v>באר שבע</v>
          </cell>
          <cell r="D6909">
            <v>40908</v>
          </cell>
        </row>
        <row r="6910">
          <cell r="A6910" t="str">
            <v>0212739</v>
          </cell>
          <cell r="B6910" t="str">
            <v>באר שבע</v>
          </cell>
          <cell r="C6910" t="str">
            <v>uoe6a-באר שבע -עיבוי ושדרוג עמוד השדרה</v>
          </cell>
          <cell r="D6910">
            <v>42308</v>
          </cell>
        </row>
        <row r="6911">
          <cell r="A6911" t="str">
            <v>WDA-1-02-15-28</v>
          </cell>
          <cell r="B6911" t="str">
            <v>באר שבע</v>
          </cell>
          <cell r="C6911" t="str">
            <v>באר שבע בוטל-החלפת יחידת קצה פיקוח ארצי</v>
          </cell>
          <cell r="D6911">
            <v>36526</v>
          </cell>
        </row>
        <row r="6912">
          <cell r="A6912" t="str">
            <v>WDB-04COM19</v>
          </cell>
          <cell r="B6912" t="str">
            <v>באר שבע</v>
          </cell>
          <cell r="C6912" t="str">
            <v>באר שבע-הנחת כבל סיב אופטי מכיוון ערד</v>
          </cell>
          <cell r="D6912">
            <v>43464</v>
          </cell>
        </row>
        <row r="6913">
          <cell r="A6913" t="str">
            <v>WDB-04COM20</v>
          </cell>
          <cell r="B6913" t="str">
            <v>באר שבע</v>
          </cell>
          <cell r="C6913" t="str">
            <v>באר שבע-הנחת כבל סיב אופטי  מב"ש צפון</v>
          </cell>
          <cell r="D6913">
            <v>42159</v>
          </cell>
        </row>
        <row r="6914">
          <cell r="A6914" t="str">
            <v>WBM-00252</v>
          </cell>
          <cell r="B6914" t="str">
            <v>באר שבע</v>
          </cell>
          <cell r="C6914" t="str">
            <v>באר שבע-התקנת 3 ס"ק 24 ק"ו 2*5 מגווא"ר</v>
          </cell>
          <cell r="D6914">
            <v>47238</v>
          </cell>
        </row>
        <row r="6915">
          <cell r="A6915" t="str">
            <v>WBM-40276</v>
          </cell>
          <cell r="B6915" t="str">
            <v>באר שבע</v>
          </cell>
          <cell r="C6915" t="str">
            <v>באר שבע - החלפת ציוד בשדות 5 ו-13 פ"צ ומקשר</v>
          </cell>
          <cell r="D6915">
            <v>46326</v>
          </cell>
        </row>
        <row r="6916">
          <cell r="A6916" t="str">
            <v>WBM-10285</v>
          </cell>
          <cell r="B6916" t="str">
            <v>באר שבע</v>
          </cell>
          <cell r="C6916" t="str">
            <v>ב"ש-התאמת תיילים-מהדקים-פורטליםWBO-478</v>
          </cell>
          <cell r="D6916">
            <v>46387</v>
          </cell>
        </row>
        <row r="6917">
          <cell r="A6917" t="str">
            <v>WBM-10434</v>
          </cell>
          <cell r="B6917" t="str">
            <v>באר שבע</v>
          </cell>
          <cell r="C6917" t="str">
            <v>באר שבע -משיק תה"ר נגב-1,החלפת הגנות שדה 3</v>
          </cell>
          <cell r="D6917">
            <v>46811</v>
          </cell>
        </row>
        <row r="6918">
          <cell r="A6918" t="str">
            <v>WBM-10153</v>
          </cell>
          <cell r="B6918" t="str">
            <v>באר שבע</v>
          </cell>
          <cell r="C6918" t="str">
            <v>באר שבע - התקנת מתמרים ב-3 פ"צ</v>
          </cell>
          <cell r="D6918">
            <v>46386</v>
          </cell>
        </row>
        <row r="6919">
          <cell r="A6919" t="str">
            <v>WBM-10204</v>
          </cell>
          <cell r="B6919" t="str">
            <v>באר שבע</v>
          </cell>
          <cell r="C6919" t="str">
            <v>באר שבע-משיק לבית הלוחם-יישום תקשורת בין הגנות בשדה 9</v>
          </cell>
          <cell r="D6919">
            <v>45839</v>
          </cell>
        </row>
        <row r="6920">
          <cell r="A6920" t="str">
            <v>WBM-10342</v>
          </cell>
          <cell r="B6920" t="str">
            <v>באר שבע</v>
          </cell>
          <cell r="C6920" t="str">
            <v>באר שבע – הוקפא- פירוק ציוד הצמדה בשדה 11</v>
          </cell>
        </row>
        <row r="6921">
          <cell r="A6921" t="str">
            <v>WBM-00402</v>
          </cell>
          <cell r="B6921" t="str">
            <v>באר שבע</v>
          </cell>
          <cell r="C6921" t="str">
            <v>באר שבע-ביטול חיבור חוזר מרחוק בשדה  13</v>
          </cell>
          <cell r="D6921">
            <v>44540</v>
          </cell>
        </row>
        <row r="6922">
          <cell r="A6922" t="str">
            <v>WBM-10169</v>
          </cell>
          <cell r="B6922" t="str">
            <v>באר שבע</v>
          </cell>
          <cell r="C6922" t="str">
            <v>באר שבע-משיק להבים-הח' הג. מר.+דיפ.(ש9)</v>
          </cell>
          <cell r="D6922">
            <v>44358</v>
          </cell>
        </row>
        <row r="6923">
          <cell r="A6923" t="str">
            <v>WBM-10123</v>
          </cell>
          <cell r="B6923" t="str">
            <v>באר שבע</v>
          </cell>
          <cell r="C6923" t="str">
            <v>ב"ש - כיוון אנרגיה להשלת עומס בתדר מ"ג</v>
          </cell>
          <cell r="D6923">
            <v>44021</v>
          </cell>
        </row>
        <row r="6924">
          <cell r="A6924" t="str">
            <v>WBM-01136</v>
          </cell>
          <cell r="B6924" t="str">
            <v>באר שבע</v>
          </cell>
          <cell r="C6924" t="str">
            <v>באר שבע-החלפת סליל כיבוי בשנאי 522 ל-150</v>
          </cell>
          <cell r="D6924">
            <v>43797</v>
          </cell>
        </row>
        <row r="6925">
          <cell r="A6925" t="str">
            <v>WBM-01169</v>
          </cell>
          <cell r="B6925" t="str">
            <v>באר שבע</v>
          </cell>
          <cell r="C6925" t="str">
            <v>באר שבע-שדרוג מערכות SCS מסוג UNIX - LON</v>
          </cell>
          <cell r="D6925">
            <v>43768</v>
          </cell>
        </row>
        <row r="6926">
          <cell r="A6926" t="str">
            <v>WBM-01178</v>
          </cell>
          <cell r="B6926" t="str">
            <v>באר שבע</v>
          </cell>
          <cell r="C6926" t="str">
            <v>באר שבע-שדרוג הגנות מרחק ישנות ש' 5 ו-13</v>
          </cell>
          <cell r="D6926">
            <v>43434</v>
          </cell>
        </row>
        <row r="6927">
          <cell r="A6927" t="str">
            <v>WBM-00915</v>
          </cell>
          <cell r="B6927" t="str">
            <v>באר שבע</v>
          </cell>
          <cell r="C6927" t="str">
            <v>באר שבע - התקנת מערכת טמ"ס</v>
          </cell>
          <cell r="D6927">
            <v>43146</v>
          </cell>
        </row>
        <row r="6928">
          <cell r="A6928" t="str">
            <v>WBM-00398</v>
          </cell>
          <cell r="B6928" t="str">
            <v>באר שבע</v>
          </cell>
          <cell r="C6928" t="str">
            <v>באר שבע-התקנת קשר בין ה.מרחק לאיתן-ירוק</v>
          </cell>
          <cell r="D6928">
            <v>43142</v>
          </cell>
        </row>
        <row r="6929">
          <cell r="A6929" t="str">
            <v>WBM-00969</v>
          </cell>
          <cell r="B6929" t="str">
            <v>באר שבע</v>
          </cell>
          <cell r="C6929" t="str">
            <v>באר שבע - עע"א - החלפת הגנה</v>
          </cell>
          <cell r="D6929">
            <v>42809</v>
          </cell>
        </row>
        <row r="6930">
          <cell r="A6930" t="str">
            <v>WBM-00018</v>
          </cell>
          <cell r="B6930" t="str">
            <v>באר שבע</v>
          </cell>
          <cell r="C6930" t="str">
            <v>באר שבע - מיגון חדר מצב לשעת חירום</v>
          </cell>
          <cell r="D6930">
            <v>41820</v>
          </cell>
        </row>
        <row r="6931">
          <cell r="A6931" t="str">
            <v>WBM-00400</v>
          </cell>
          <cell r="B6931" t="str">
            <v>באר שבע</v>
          </cell>
          <cell r="C6931" t="str">
            <v>באר שבע-בניית מאצרת דלק לדיזל גנרטור</v>
          </cell>
          <cell r="D6931">
            <v>41820</v>
          </cell>
        </row>
        <row r="6932">
          <cell r="A6932" t="str">
            <v>WBM-00789</v>
          </cell>
          <cell r="B6932" t="str">
            <v>באר שבע</v>
          </cell>
          <cell r="C6932" t="str">
            <v>באר שבע-העתקת ציוד קשר של תחמ"ש ב"ש.</v>
          </cell>
          <cell r="D6932">
            <v>41820</v>
          </cell>
        </row>
        <row r="6933">
          <cell r="A6933" t="str">
            <v>WBM-00016</v>
          </cell>
          <cell r="B6933" t="str">
            <v>באר שבע</v>
          </cell>
          <cell r="C6933" t="str">
            <v>באר שבע-התקנת מערכת גילוי וכיבוי אש</v>
          </cell>
          <cell r="D6933">
            <v>41728</v>
          </cell>
        </row>
        <row r="6934">
          <cell r="A6934" t="str">
            <v>WBG-014-023</v>
          </cell>
          <cell r="B6934" t="str">
            <v>באר שבע</v>
          </cell>
          <cell r="C6934" t="str">
            <v>באר שבע-החלפת מערכת גילוי וכיבוי אש</v>
          </cell>
          <cell r="D6934">
            <v>41267</v>
          </cell>
        </row>
        <row r="6935">
          <cell r="A6935" t="str">
            <v>WBM-40048</v>
          </cell>
          <cell r="B6935" t="str">
            <v>באר שבע</v>
          </cell>
          <cell r="C6935" t="str">
            <v>ב"ש -בוטל- החלפת הגנות שנאי שדה 4</v>
          </cell>
          <cell r="D6935">
            <v>43111</v>
          </cell>
        </row>
        <row r="6936">
          <cell r="A6936" t="str">
            <v>WBM-10072</v>
          </cell>
          <cell r="B6936" t="str">
            <v>באר שבע</v>
          </cell>
          <cell r="C6936" t="str">
            <v>באר שבע-בוטל-החלפת גשרי דיודות</v>
          </cell>
          <cell r="D6936">
            <v>43768</v>
          </cell>
        </row>
        <row r="6937">
          <cell r="A6937" t="str">
            <v>WBM-10283</v>
          </cell>
          <cell r="B6937" t="str">
            <v>באר שבע</v>
          </cell>
          <cell r="C6937" t="str">
            <v>ב"ש-בוטל- התאמת תיילים-מהדקים-פ'WBO-483</v>
          </cell>
          <cell r="D6937">
            <v>44592</v>
          </cell>
        </row>
        <row r="6938">
          <cell r="A6938">
            <v>534237</v>
          </cell>
          <cell r="B6938" t="str">
            <v>באר שבע</v>
          </cell>
          <cell r="C6938" t="str">
            <v>באר שבע - החלפת גשרי דיודות</v>
          </cell>
          <cell r="D6938">
            <v>42185</v>
          </cell>
        </row>
        <row r="6939">
          <cell r="A6939" t="str">
            <v>WBM-00914</v>
          </cell>
          <cell r="B6939" t="str">
            <v>באר שבע</v>
          </cell>
          <cell r="C6939" t="str">
            <v>בארות יצחק-בוטל-החלפת הגנת מרחק לגן שורק</v>
          </cell>
          <cell r="D6939">
            <v>40787</v>
          </cell>
        </row>
        <row r="6940">
          <cell r="A6940" t="str">
            <v>WBM-00399</v>
          </cell>
          <cell r="B6940" t="str">
            <v>באר שבע</v>
          </cell>
          <cell r="C6940" t="str">
            <v>באר שבע-הוקפא-התקנת מערכת ניטור מקוונת</v>
          </cell>
          <cell r="D6940">
            <v>41249</v>
          </cell>
        </row>
        <row r="6941">
          <cell r="A6941">
            <v>534217</v>
          </cell>
          <cell r="B6941" t="str">
            <v>באר שבע</v>
          </cell>
          <cell r="C6941" t="str">
            <v>באר שבע-בוטל-החלפת רכזת התראה בטחונית</v>
          </cell>
          <cell r="D6941">
            <v>36526</v>
          </cell>
        </row>
        <row r="6942">
          <cell r="A6942" t="str">
            <v>WBM-00401</v>
          </cell>
          <cell r="B6942" t="str">
            <v>באר שבע</v>
          </cell>
          <cell r="C6942" t="str">
            <v>באר שבע-בוטל-התקנת מצוף התראה למיכל דלק</v>
          </cell>
          <cell r="D6942">
            <v>39646</v>
          </cell>
        </row>
        <row r="6943">
          <cell r="A6943">
            <v>534235</v>
          </cell>
          <cell r="B6943" t="str">
            <v>באר שבע</v>
          </cell>
          <cell r="C6943" t="str">
            <v>באר שבע-בוטל-התקנת מאווררים בארונות פיק</v>
          </cell>
          <cell r="D6943">
            <v>40311</v>
          </cell>
        </row>
        <row r="6944">
          <cell r="A6944" t="str">
            <v>WBM-00757</v>
          </cell>
          <cell r="B6944" t="str">
            <v>באר שבע</v>
          </cell>
          <cell r="C6944" t="str">
            <v>באר שבע-בוטל-הקמת רשת מחשבים תפעולית</v>
          </cell>
        </row>
        <row r="6945">
          <cell r="A6945" t="str">
            <v>WBG-014-023-ST2</v>
          </cell>
          <cell r="B6945" t="str">
            <v>באר שבע</v>
          </cell>
          <cell r="C6945" t="str">
            <v>באר שבע-החלפת הגנת מרחק שדה 9 לאיתן</v>
          </cell>
          <cell r="D6945">
            <v>40298</v>
          </cell>
        </row>
        <row r="6946">
          <cell r="A6946" t="str">
            <v>WBE-081</v>
          </cell>
          <cell r="B6946" t="str">
            <v>באר שבע</v>
          </cell>
          <cell r="C6946" t="str">
            <v>באר שבע-החלפת שנאי 523 33 ב- 50 מגוו"א</v>
          </cell>
          <cell r="D6946">
            <v>43720</v>
          </cell>
        </row>
        <row r="6947">
          <cell r="A6947" t="str">
            <v>WBM-00966</v>
          </cell>
          <cell r="B6947" t="str">
            <v>באר שבע</v>
          </cell>
          <cell r="C6947" t="str">
            <v>באר שבע-עע"א-החלפת הג.מרחק לדיפרנציאלית</v>
          </cell>
          <cell r="D6947">
            <v>42884</v>
          </cell>
        </row>
        <row r="6948">
          <cell r="A6948" t="str">
            <v>WBM-00342</v>
          </cell>
          <cell r="B6948" t="str">
            <v>באר שבע</v>
          </cell>
          <cell r="C6948" t="str">
            <v>באר שבע-בוטל-החלפת הגנת  שדה 9 לאיתן</v>
          </cell>
          <cell r="D6948">
            <v>39993</v>
          </cell>
        </row>
        <row r="6949">
          <cell r="A6949" t="str">
            <v>WBM-40533</v>
          </cell>
          <cell r="B6949" t="str">
            <v>באר שבע</v>
          </cell>
          <cell r="C6949" t="str">
            <v>באר שבע- החלפת שרשראות מבודדים</v>
          </cell>
          <cell r="D6949">
            <v>45349</v>
          </cell>
        </row>
        <row r="6950">
          <cell r="A6950" t="str">
            <v>WBM-10600</v>
          </cell>
          <cell r="B6950" t="str">
            <v>באר שבע</v>
          </cell>
          <cell r="C6950" t="str">
            <v>באר שבע - משיק לנבטים שדה 1, יישום דרך קשר אופטית בין הגנות בשדה 11</v>
          </cell>
          <cell r="D6950">
            <v>45594</v>
          </cell>
        </row>
        <row r="6951">
          <cell r="A6951" t="str">
            <v>WBM-10315-046</v>
          </cell>
          <cell r="B6951" t="str">
            <v>באר שבע</v>
          </cell>
          <cell r="C6951" t="str">
            <v>ב"ש-בוטל- התקנת מזגנים</v>
          </cell>
        </row>
        <row r="6952">
          <cell r="A6952" t="str">
            <v>WBM-10316-002</v>
          </cell>
          <cell r="B6952" t="str">
            <v>באר שבע</v>
          </cell>
          <cell r="C6952" t="str">
            <v>באר שבע - חבור רושמי הפרעות למתג מנהלת</v>
          </cell>
          <cell r="D6952">
            <v>45607</v>
          </cell>
        </row>
        <row r="6953">
          <cell r="A6953" t="str">
            <v>WBM-40295-055</v>
          </cell>
          <cell r="B6953" t="str">
            <v>באר שבע</v>
          </cell>
          <cell r="C6953" t="str">
            <v>באר שבע - החלפת סוללות מצברים</v>
          </cell>
          <cell r="D6953">
            <v>46387</v>
          </cell>
        </row>
        <row r="6954">
          <cell r="A6954" t="str">
            <v>WBM-40479-019</v>
          </cell>
          <cell r="B6954" t="str">
            <v>באר שבע</v>
          </cell>
          <cell r="C6954" t="str">
            <v>באר שבע-החלפת 2 בקרי טמפ' וגובה שמן בשנא</v>
          </cell>
          <cell r="D6954">
            <v>47756</v>
          </cell>
        </row>
        <row r="6955">
          <cell r="A6955" t="str">
            <v>WBM-40521-017</v>
          </cell>
          <cell r="B6955" t="str">
            <v>באר שבע</v>
          </cell>
          <cell r="C6955" t="str">
            <v>באר שבע - החלפת שנאי הארקה</v>
          </cell>
          <cell r="D6955">
            <v>46721</v>
          </cell>
        </row>
        <row r="6956">
          <cell r="A6956" t="str">
            <v>WBM-60092-030</v>
          </cell>
          <cell r="B6956" t="str">
            <v>באר שבע</v>
          </cell>
          <cell r="C6956" t="str">
            <v>באר שבע - בדיקות/טיפול/פינוי מכלי אש בגז</v>
          </cell>
          <cell r="D6956">
            <v>46162</v>
          </cell>
        </row>
        <row r="6957">
          <cell r="A6957" t="str">
            <v>WBM-60107-001</v>
          </cell>
          <cell r="B6957" t="str">
            <v>באר שבע</v>
          </cell>
          <cell r="C6957" t="str">
            <v>באר שבע - החלפת מנעולים אלק.מגנטיים באלק</v>
          </cell>
          <cell r="D6957">
            <v>45610</v>
          </cell>
        </row>
        <row r="6958">
          <cell r="A6958" t="str">
            <v>WBM-60116-011</v>
          </cell>
          <cell r="B6958" t="str">
            <v>באר שבע</v>
          </cell>
          <cell r="C6958" t="str">
            <v>באר שבע משרדים - החלפת מערכת גילוי וכיבוי אש כולל רכזת</v>
          </cell>
          <cell r="D6958">
            <v>46387</v>
          </cell>
        </row>
        <row r="6959">
          <cell r="A6959" t="str">
            <v>WBM-60130-013</v>
          </cell>
          <cell r="B6959" t="str">
            <v>באר שבע</v>
          </cell>
          <cell r="C6959" t="str">
            <v>באר שבע - התקנת מפסק פטריה להפסקת מערכת החשמל בחירום</v>
          </cell>
          <cell r="D6959">
            <v>46568</v>
          </cell>
        </row>
        <row r="6960">
          <cell r="A6960" t="str">
            <v>WBM-10315-076</v>
          </cell>
          <cell r="B6960" t="str">
            <v>באר שבע</v>
          </cell>
          <cell r="C6960" t="str">
            <v>ב"ש-התקנת מזגנים בחדר פיקוד</v>
          </cell>
          <cell r="D6960">
            <v>46295</v>
          </cell>
        </row>
        <row r="6961">
          <cell r="A6961" t="str">
            <v>WBM-60205-028</v>
          </cell>
          <cell r="B6961" t="str">
            <v>באר שבע</v>
          </cell>
          <cell r="C6961" t="str">
            <v>באר שבע - ניטור הצפות</v>
          </cell>
          <cell r="D6961">
            <v>46162</v>
          </cell>
        </row>
        <row r="6962">
          <cell r="A6962" t="str">
            <v>WBM-60116-051</v>
          </cell>
          <cell r="B6962" t="str">
            <v>באר שבע</v>
          </cell>
          <cell r="C6962" t="str">
            <v>באר שבע צפון - החלפת מערכת גילוי וכיבוי אש אוטומטית CERBERUS</v>
          </cell>
          <cell r="D6962">
            <v>46387</v>
          </cell>
        </row>
        <row r="6963">
          <cell r="A6963" t="str">
            <v>WBM-10315-088</v>
          </cell>
          <cell r="B6963" t="str">
            <v>באר שבע</v>
          </cell>
          <cell r="C6963" t="str">
            <v>באר שבע - התקנת מזגנים בחדר מחשבים</v>
          </cell>
          <cell r="D6963">
            <v>46295</v>
          </cell>
        </row>
        <row r="6964">
          <cell r="A6964" t="str">
            <v>WBM-40637-004</v>
          </cell>
          <cell r="B6964" t="str">
            <v>באר שבע</v>
          </cell>
          <cell r="C6964" t="str">
            <v>באר שבע -  החלפת רושמי הפרעות קיימים מדגם IDM-T3 לרושמים חדשים מדגם IDM+</v>
          </cell>
          <cell r="D6964">
            <v>46418</v>
          </cell>
        </row>
        <row r="6965">
          <cell r="A6965" t="str">
            <v>WBM-10791</v>
          </cell>
          <cell r="B6965" t="str">
            <v>באר שבע</v>
          </cell>
          <cell r="C6965" t="str">
            <v>באר שבע - תכנון והקמה של סגירות סופית לחיבור כבלי 161 ק"ו לשדות 5, 13. משיק ל- WBO-671,WBO-683</v>
          </cell>
          <cell r="D6965">
            <v>47513</v>
          </cell>
        </row>
        <row r="6966">
          <cell r="A6966" t="str">
            <v>WBM-10806</v>
          </cell>
          <cell r="B6966" t="str">
            <v>באר שבע</v>
          </cell>
          <cell r="C6966" t="str">
            <v>באר שבע -  משיק לרמת חובב שדה 19, יישום דרך קשר אופטית בין הגנות בשדה 13</v>
          </cell>
          <cell r="D6966">
            <v>46096</v>
          </cell>
        </row>
        <row r="6967">
          <cell r="A6967" t="str">
            <v>WBM-10812</v>
          </cell>
          <cell r="B6967" t="str">
            <v>באר שבע</v>
          </cell>
          <cell r="C6967" t="str">
            <v>באר שבע- משיק לרמת חובב שדה 20, יישום דרך קשר אופטית בין הגנות (מרחק ודיפרנציאלית) בשדה 5</v>
          </cell>
          <cell r="D6967">
            <v>46146</v>
          </cell>
        </row>
        <row r="6968">
          <cell r="A6968" t="str">
            <v>WBC-090</v>
          </cell>
          <cell r="B6968" t="str">
            <v>באר יעקב</v>
          </cell>
          <cell r="C6968" t="str">
            <v>באר יעקב- הקמת תחמ"ש חיצונית 161/24 ק"ו</v>
          </cell>
          <cell r="D6968">
            <v>50708</v>
          </cell>
        </row>
        <row r="6969">
          <cell r="A6969" t="str">
            <v>WBD-067</v>
          </cell>
          <cell r="B6969" t="str">
            <v>באר טוביה ניידת</v>
          </cell>
          <cell r="C6969" t="str">
            <v>באר טוביה ניידת-הצבת תחמ"ש ניידת</v>
          </cell>
          <cell r="D6969">
            <v>43205</v>
          </cell>
        </row>
        <row r="6970">
          <cell r="A6970" t="str">
            <v>WBD-067-ST2</v>
          </cell>
          <cell r="B6970" t="str">
            <v>באר טוביה ניידת</v>
          </cell>
          <cell r="C6970" t="str">
            <v>באר טוביה  ניידת-פירוק תחמ"ש ניידת</v>
          </cell>
          <cell r="D6970">
            <v>43816</v>
          </cell>
        </row>
        <row r="6971">
          <cell r="A6971">
            <v>9985273</v>
          </cell>
          <cell r="B6971" t="str">
            <v>באר טוביה</v>
          </cell>
          <cell r="C6971" t="str">
            <v>באר טוביה-קליטת תח"כ בהספק של 452 מגוו"ט</v>
          </cell>
          <cell r="D6971">
            <v>43998</v>
          </cell>
        </row>
        <row r="6972">
          <cell r="A6972" t="str">
            <v>WBM-10387</v>
          </cell>
          <cell r="B6972" t="str">
            <v>באר טוביה</v>
          </cell>
          <cell r="C6972" t="str">
            <v>באר טוביה 400 ק"ו-בוטל-יישום תקשורת בין הגנות</v>
          </cell>
        </row>
        <row r="6973">
          <cell r="A6973" t="str">
            <v>WBM-10167</v>
          </cell>
          <cell r="B6973" t="str">
            <v>באר טוביה</v>
          </cell>
          <cell r="C6973" t="str">
            <v>באר טוביה - העברת ממסר LOR של הגנת שנאי</v>
          </cell>
          <cell r="D6973">
            <v>44150</v>
          </cell>
        </row>
        <row r="6974">
          <cell r="A6974" t="str">
            <v>WBM-60010-084</v>
          </cell>
          <cell r="B6974" t="str">
            <v>באר טוביה</v>
          </cell>
          <cell r="C6974" t="str">
            <v>באר טוביה- בוטל- החלפת מוני ION למוני SATEC</v>
          </cell>
        </row>
        <row r="6975">
          <cell r="A6975" t="str">
            <v>09915224</v>
          </cell>
          <cell r="B6975" t="str">
            <v>באר אורה</v>
          </cell>
          <cell r="C6975" t="str">
            <v>באר אורה--קליטת תח"כ בהספק של 60 מגוו"ט</v>
          </cell>
          <cell r="D6975">
            <v>44202</v>
          </cell>
        </row>
        <row r="6976">
          <cell r="A6976">
            <v>900022</v>
          </cell>
          <cell r="B6976" t="str">
            <v>באר אורה</v>
          </cell>
          <cell r="C6976" t="str">
            <v>באר אורה-הקמת מתקן אגירה במ"ע SA בהספק של 150 מגאווט</v>
          </cell>
          <cell r="D6976">
            <v>46843</v>
          </cell>
        </row>
        <row r="6977">
          <cell r="A6977" t="str">
            <v>WBC-216</v>
          </cell>
          <cell r="B6977" t="str">
            <v>באקה גת</v>
          </cell>
          <cell r="C6977" t="str">
            <v>באקה ג'ת- הקמת תחנת משנה חיצונית 161/24 ק"ו</v>
          </cell>
          <cell r="D6977">
            <v>50708</v>
          </cell>
        </row>
        <row r="6978">
          <cell r="A6978" t="str">
            <v>WBM-00901</v>
          </cell>
          <cell r="B6978" t="str">
            <v>אתר כללי</v>
          </cell>
          <cell r="C6978" t="str">
            <v>נושאי-אגרות והיטלי פיתוח רטרואקטיביים1</v>
          </cell>
          <cell r="D6978">
            <v>46387</v>
          </cell>
        </row>
        <row r="6979">
          <cell r="A6979" t="str">
            <v>WBM-01063</v>
          </cell>
          <cell r="B6979" t="str">
            <v>אתר כללי</v>
          </cell>
          <cell r="C6979" t="str">
            <v>נושאי-השקעה א במבנים ומתקנים במערכת השנאה</v>
          </cell>
          <cell r="D6979">
            <v>46387</v>
          </cell>
        </row>
        <row r="6980">
          <cell r="A6980" t="str">
            <v>WBM-00658</v>
          </cell>
          <cell r="B6980" t="str">
            <v>אתר כללי</v>
          </cell>
          <cell r="C6980" t="str">
            <v>נושאי-חידוש/היוון חוזה חכירה</v>
          </cell>
          <cell r="D6980">
            <v>46387</v>
          </cell>
        </row>
        <row r="6981">
          <cell r="A6981" t="str">
            <v>WBM-00902</v>
          </cell>
          <cell r="B6981" t="str">
            <v>אתר כללי</v>
          </cell>
          <cell r="C6981" t="str">
            <v>נושאי-בוטל - לגליזציה תכנונית</v>
          </cell>
        </row>
        <row r="6982">
          <cell r="A6982" t="str">
            <v>WBM-40000</v>
          </cell>
          <cell r="B6982" t="str">
            <v>אתר כללי</v>
          </cell>
          <cell r="C6982" t="str">
            <v>חידוש ציוד-תקציב מאוגד</v>
          </cell>
          <cell r="D6982">
            <v>47848</v>
          </cell>
        </row>
        <row r="6983">
          <cell r="A6983" t="str">
            <v>WBM-50000</v>
          </cell>
          <cell r="B6983" t="str">
            <v>אתר כללי</v>
          </cell>
          <cell r="C6983" t="str">
            <v>משיק ליח"פ-ציוד-תקציב מאוגד</v>
          </cell>
          <cell r="D6983">
            <v>47848</v>
          </cell>
        </row>
        <row r="6984">
          <cell r="A6984" t="str">
            <v>WBM-60000</v>
          </cell>
          <cell r="B6984" t="str">
            <v>אתר כללי</v>
          </cell>
          <cell r="C6984" t="str">
            <v>נחיצות על פי דין-תקציב מאוגד</v>
          </cell>
          <cell r="D6984">
            <v>47848</v>
          </cell>
        </row>
        <row r="6985">
          <cell r="A6985" t="str">
            <v>WBM-70000</v>
          </cell>
          <cell r="B6985" t="str">
            <v>אתר כללי</v>
          </cell>
          <cell r="C6985" t="str">
            <v>פרויקטים מערכתיים- תקציב מאוגד</v>
          </cell>
          <cell r="D6985">
            <v>47848</v>
          </cell>
        </row>
        <row r="6986">
          <cell r="A6986" t="str">
            <v>WBM-20000</v>
          </cell>
          <cell r="B6986" t="str">
            <v>אתר כללי</v>
          </cell>
          <cell r="C6986" t="str">
            <v>בטיחות-תקציב מאוגד</v>
          </cell>
          <cell r="D6986">
            <v>47848</v>
          </cell>
        </row>
        <row r="6987">
          <cell r="A6987" t="str">
            <v>WBM-30000</v>
          </cell>
          <cell r="B6987" t="str">
            <v>אתר כללי</v>
          </cell>
          <cell r="C6987" t="str">
            <v>ביטחון-תקציב מאוגד</v>
          </cell>
          <cell r="D6987">
            <v>47848</v>
          </cell>
        </row>
        <row r="6988">
          <cell r="A6988" t="str">
            <v>WBM-80000</v>
          </cell>
          <cell r="B6988" t="str">
            <v>אתר כללי</v>
          </cell>
          <cell r="C6988" t="str">
            <v>פרויקטי מחשוב ותקשורת- תקציב מאוגד</v>
          </cell>
          <cell r="D6988">
            <v>47848</v>
          </cell>
        </row>
        <row r="6989">
          <cell r="A6989" t="str">
            <v>WBM-10000</v>
          </cell>
          <cell r="B6989" t="str">
            <v>אתר כללי</v>
          </cell>
          <cell r="C6989" t="str">
            <v>אמינות - תקציב מאוגד</v>
          </cell>
          <cell r="D6989">
            <v>47726</v>
          </cell>
        </row>
        <row r="6990">
          <cell r="A6990" t="str">
            <v>WBM-40479</v>
          </cell>
          <cell r="B6990" t="str">
            <v>אתר כללי</v>
          </cell>
          <cell r="C6990" t="str">
            <v>נושאי -החלפת בקרי טמפ וגובה שמן בשנאי</v>
          </cell>
          <cell r="D6990">
            <v>46569</v>
          </cell>
        </row>
        <row r="6991">
          <cell r="A6991" t="str">
            <v>WBM-10356</v>
          </cell>
          <cell r="B6991" t="str">
            <v>אתר כללי</v>
          </cell>
          <cell r="C6991" t="str">
            <v>נושאי -החלפת ראשי כבלים 161 ק"ו של שנאים ובדיקת כבלים ברשת</v>
          </cell>
          <cell r="D6991">
            <v>46387</v>
          </cell>
        </row>
        <row r="6992">
          <cell r="A6992" t="str">
            <v>WBM-01082</v>
          </cell>
          <cell r="B6992" t="str">
            <v>אתר כללי</v>
          </cell>
          <cell r="C6992" t="str">
            <v>נושאי - שיפוץ ניידות</v>
          </cell>
          <cell r="D6992">
            <v>46387</v>
          </cell>
        </row>
        <row r="6993">
          <cell r="A6993" t="str">
            <v>WBM-80003</v>
          </cell>
          <cell r="B6993" t="str">
            <v>אתר כללי</v>
          </cell>
          <cell r="C6993" t="str">
            <v>ציוד נושא קרייר</v>
          </cell>
          <cell r="D6993">
            <v>47118</v>
          </cell>
        </row>
        <row r="6994">
          <cell r="A6994" t="str">
            <v>WBM-80004</v>
          </cell>
          <cell r="B6994" t="str">
            <v>אתר כללי</v>
          </cell>
          <cell r="C6994" t="str">
            <v>אבטחת מידע בתקשורת</v>
          </cell>
          <cell r="D6994">
            <v>46387</v>
          </cell>
        </row>
        <row r="6995">
          <cell r="A6995" t="str">
            <v>WBM-80005</v>
          </cell>
          <cell r="B6995" t="str">
            <v>אתר כללי</v>
          </cell>
          <cell r="C6995" t="str">
            <v>הקמת יחידות קצה וארונות חיבורים</v>
          </cell>
          <cell r="D6995">
            <v>44561</v>
          </cell>
        </row>
        <row r="6996">
          <cell r="A6996" t="str">
            <v>WBM-01146</v>
          </cell>
          <cell r="B6996" t="str">
            <v>אתר כללי</v>
          </cell>
          <cell r="C6996" t="str">
            <v>נושאי-בוטל-הוספת פיקוד מרחוק לשנאי הארקה</v>
          </cell>
          <cell r="D6996">
            <v>42802</v>
          </cell>
        </row>
        <row r="6997">
          <cell r="A6997" t="str">
            <v>WBM-60087</v>
          </cell>
          <cell r="B6997" t="str">
            <v>אתר כללי</v>
          </cell>
          <cell r="C6997" t="str">
            <v>נושאי - בוטל - צביעת רצפת חדר מצברים</v>
          </cell>
          <cell r="D6997">
            <v>44203</v>
          </cell>
        </row>
        <row r="6998">
          <cell r="A6998" t="str">
            <v>WBM-80014</v>
          </cell>
          <cell r="B6998" t="str">
            <v>אתר כללי</v>
          </cell>
          <cell r="C6998" t="str">
            <v>נושאי - שדרוג SCS גרסת  Wizcon בתחמ"ש</v>
          </cell>
          <cell r="D6998">
            <v>45741</v>
          </cell>
        </row>
        <row r="6999">
          <cell r="A6999" t="str">
            <v>WBM-40261</v>
          </cell>
          <cell r="B6999" t="str">
            <v>אתר כללי</v>
          </cell>
          <cell r="C6999" t="str">
            <v>נושאי - החלפת מחשב SCS  במסדר 400 ק"ו</v>
          </cell>
          <cell r="D6999">
            <v>45231</v>
          </cell>
        </row>
        <row r="7000">
          <cell r="A7000" t="str">
            <v>WBM-00822</v>
          </cell>
          <cell r="B7000" t="str">
            <v>אתר כללי</v>
          </cell>
          <cell r="C7000" t="str">
            <v>נושאי-התקנת מאווררים בארונות פיקוד והגנה</v>
          </cell>
          <cell r="D7000">
            <v>41788</v>
          </cell>
        </row>
        <row r="7001">
          <cell r="A7001" t="str">
            <v>WBM-60088</v>
          </cell>
          <cell r="B7001" t="str">
            <v>אתר כללי</v>
          </cell>
          <cell r="C7001" t="str">
            <v>נושאי-הסדרה סביבתית-מאצרות שמן ותש.שפכים</v>
          </cell>
          <cell r="D7001">
            <v>46752</v>
          </cell>
        </row>
        <row r="7002">
          <cell r="A7002" t="str">
            <v>WBM-60086</v>
          </cell>
          <cell r="B7002" t="str">
            <v>אתר כללי</v>
          </cell>
          <cell r="C7002" t="str">
            <v>פרויקט נושאי -  היתרי קרינה לניידות</v>
          </cell>
          <cell r="D7002">
            <v>44313</v>
          </cell>
        </row>
        <row r="7003">
          <cell r="A7003" t="str">
            <v>WBM-60045</v>
          </cell>
          <cell r="B7003" t="str">
            <v>אתר כללי</v>
          </cell>
          <cell r="C7003" t="str">
            <v>פרויקט נושאי - בוטל-אכיפה סביבתית</v>
          </cell>
          <cell r="D7003">
            <v>44053</v>
          </cell>
        </row>
        <row r="7004">
          <cell r="A7004" t="str">
            <v>WBM-01116</v>
          </cell>
          <cell r="B7004" t="str">
            <v>אתר כללי</v>
          </cell>
          <cell r="C7004" t="str">
            <v>נושאי-בוטל-התקנת מאצרות שמן על מסד קיים</v>
          </cell>
          <cell r="D7004">
            <v>42703</v>
          </cell>
        </row>
        <row r="7005">
          <cell r="A7005" t="str">
            <v>WBM-01117</v>
          </cell>
          <cell r="B7005" t="str">
            <v>אתר כללי</v>
          </cell>
          <cell r="C7005" t="str">
            <v>נושאי -בוטל-התקנת מאצרת שמן בניידת פעילה</v>
          </cell>
          <cell r="D7005">
            <v>42703</v>
          </cell>
        </row>
        <row r="7006">
          <cell r="A7006" t="str">
            <v>WBM-60018</v>
          </cell>
          <cell r="B7006" t="str">
            <v>אתר כללי</v>
          </cell>
          <cell r="C7006" t="str">
            <v>נושאי-בוטל-הסדרה סביבתית באתרי תחמ"ש</v>
          </cell>
          <cell r="D7006">
            <v>43735</v>
          </cell>
        </row>
        <row r="7007">
          <cell r="A7007" t="str">
            <v>WBM-20004</v>
          </cell>
          <cell r="B7007" t="str">
            <v>אתר כללי</v>
          </cell>
          <cell r="C7007" t="str">
            <v>נושאי - שיפורי בטיחות  בתחנות משנה</v>
          </cell>
          <cell r="D7007">
            <v>46387</v>
          </cell>
        </row>
        <row r="7008">
          <cell r="A7008" t="str">
            <v>WBM-60107</v>
          </cell>
          <cell r="B7008" t="str">
            <v>אתר כללי</v>
          </cell>
          <cell r="C7008" t="str">
            <v>נושאי-החלפת מנעולים אלק.מגנטיים באלק.מכנ</v>
          </cell>
          <cell r="D7008">
            <v>45664</v>
          </cell>
        </row>
        <row r="7009">
          <cell r="A7009" t="str">
            <v>WBM-00885</v>
          </cell>
          <cell r="B7009" t="str">
            <v>אתר כללי</v>
          </cell>
          <cell r="C7009" t="str">
            <v>נושאי - שדרוג תשתיות המים בתחמ"ש לכיבוי אש</v>
          </cell>
          <cell r="D7009">
            <v>46387</v>
          </cell>
        </row>
        <row r="7010">
          <cell r="A7010" t="str">
            <v>WBM-60118</v>
          </cell>
          <cell r="B7010" t="str">
            <v>אתר כללי</v>
          </cell>
          <cell r="C7010" t="str">
            <v>נושאי - שיפור מערכת הארקה</v>
          </cell>
          <cell r="D7010">
            <v>47118</v>
          </cell>
        </row>
        <row r="7011">
          <cell r="A7011" t="str">
            <v>WBM-00235</v>
          </cell>
          <cell r="B7011" t="str">
            <v>אתר כללי</v>
          </cell>
          <cell r="C7011" t="str">
            <v>נושאי-החלפת גשרי דיודה למטה בתחמ"ש</v>
          </cell>
          <cell r="D7011">
            <v>44507</v>
          </cell>
        </row>
        <row r="7012">
          <cell r="A7012" t="str">
            <v>WBM-01176</v>
          </cell>
          <cell r="B7012" t="str">
            <v>אתר כללי</v>
          </cell>
          <cell r="C7012" t="str">
            <v>נושאי- יישום תוספת השהיית זמן לממסרים</v>
          </cell>
          <cell r="D7012">
            <v>46721</v>
          </cell>
        </row>
        <row r="7013">
          <cell r="A7013" t="str">
            <v>WBM-00152</v>
          </cell>
          <cell r="B7013" t="str">
            <v>אתר כללי</v>
          </cell>
          <cell r="C7013" t="str">
            <v>נושאי-התקנת הגנת מרחק שניה</v>
          </cell>
          <cell r="D7013">
            <v>42124</v>
          </cell>
        </row>
        <row r="7014">
          <cell r="A7014" t="str">
            <v>WBM-01431</v>
          </cell>
          <cell r="B7014" t="str">
            <v>אתר כללי</v>
          </cell>
          <cell r="C7014" t="str">
            <v>נושאי- התקנת ממסרים להשגחה על שנאי הספק</v>
          </cell>
          <cell r="D7014">
            <v>46387</v>
          </cell>
        </row>
        <row r="7015">
          <cell r="A7015" t="str">
            <v>WBM-10315</v>
          </cell>
          <cell r="B7015" t="str">
            <v>אתר כללי</v>
          </cell>
          <cell r="C7015" t="str">
            <v>נושאי - התקנת מזגנים</v>
          </cell>
          <cell r="D7015">
            <v>46387</v>
          </cell>
        </row>
        <row r="7016">
          <cell r="A7016" t="str">
            <v>WBM-00017</v>
          </cell>
          <cell r="B7016" t="str">
            <v>אתר כללי</v>
          </cell>
          <cell r="C7016" t="str">
            <v>נושאי-בוטל-תוספת/עדכון הת.מהתחמ"ש לפקא"צ</v>
          </cell>
          <cell r="D7016">
            <v>41432</v>
          </cell>
        </row>
        <row r="7017">
          <cell r="A7017" t="str">
            <v>WBM-40295</v>
          </cell>
          <cell r="B7017" t="str">
            <v>אתר כללי</v>
          </cell>
          <cell r="C7017" t="str">
            <v>נושאי-החלפת ס.מצברים החל משנת 2021</v>
          </cell>
          <cell r="D7017">
            <v>46387</v>
          </cell>
        </row>
        <row r="7018">
          <cell r="A7018" t="str">
            <v>WBM-10101</v>
          </cell>
          <cell r="B7018" t="str">
            <v>אתר כללי</v>
          </cell>
          <cell r="C7018" t="str">
            <v>פרויקט נושאי -הוספת סוללות מצברים וממירי</v>
          </cell>
          <cell r="D7018">
            <v>46721</v>
          </cell>
        </row>
        <row r="7019">
          <cell r="A7019" t="str">
            <v>WBM-10456</v>
          </cell>
          <cell r="B7019" t="str">
            <v>אתר כללי</v>
          </cell>
          <cell r="C7019" t="str">
            <v>נושאי-התקנת מתמרים בפ"צ</v>
          </cell>
          <cell r="D7019">
            <v>47483</v>
          </cell>
        </row>
        <row r="7020">
          <cell r="A7020" t="str">
            <v>WBM-10305</v>
          </cell>
          <cell r="B7020" t="str">
            <v>אתר כללי</v>
          </cell>
          <cell r="C7020" t="str">
            <v>נושאי - פילוט מערכת דיגיטאלית לאספקת בית</v>
          </cell>
          <cell r="D7020">
            <v>45137</v>
          </cell>
        </row>
        <row r="7021">
          <cell r="A7021" t="str">
            <v>WBM-01225</v>
          </cell>
          <cell r="B7021" t="str">
            <v>אתר כללי</v>
          </cell>
          <cell r="C7021" t="str">
            <v>נושאי - החלפת סוללות מצברים</v>
          </cell>
          <cell r="D7021">
            <v>44905</v>
          </cell>
        </row>
        <row r="7022">
          <cell r="A7022" t="str">
            <v>WBM-10092</v>
          </cell>
          <cell r="B7022" t="str">
            <v>אתר כללי</v>
          </cell>
          <cell r="C7022" t="str">
            <v>נושאי-התקנת ממירים 220/60 וולט</v>
          </cell>
          <cell r="D7022">
            <v>44061</v>
          </cell>
        </row>
        <row r="7023">
          <cell r="A7023" t="str">
            <v>WBM-00155</v>
          </cell>
          <cell r="B7023" t="str">
            <v>אתר כללי</v>
          </cell>
          <cell r="C7023" t="str">
            <v>נושאי-בוטל-התקנת ממירים 220/60 ו'</v>
          </cell>
          <cell r="D7023">
            <v>41437</v>
          </cell>
        </row>
        <row r="7024">
          <cell r="A7024" t="str">
            <v>WBM-60119</v>
          </cell>
          <cell r="B7024" t="str">
            <v>אתר כללי</v>
          </cell>
          <cell r="C7024" t="str">
            <v>נושאי - החלפת גלאי קרן בגלאים מתכווננים.</v>
          </cell>
          <cell r="D7024">
            <v>46173</v>
          </cell>
        </row>
        <row r="7025">
          <cell r="A7025" t="str">
            <v>WBM-60116</v>
          </cell>
          <cell r="B7025" t="str">
            <v>אתר כללי</v>
          </cell>
          <cell r="C7025" t="str">
            <v>נושאי-שידרוג גלאים בתחנות משנה ומיתוג - (היה יונניזציה)</v>
          </cell>
          <cell r="D7025">
            <v>46203</v>
          </cell>
        </row>
        <row r="7026">
          <cell r="A7026" t="str">
            <v>WBM-60100</v>
          </cell>
          <cell r="B7026" t="str">
            <v>אתר כללי</v>
          </cell>
          <cell r="C7026" t="str">
            <v>נושאי-החלפת ברזי זרימה של מע' כבוי במים</v>
          </cell>
          <cell r="D7026">
            <v>46022</v>
          </cell>
        </row>
        <row r="7027">
          <cell r="A7027" t="str">
            <v>WBM-00884</v>
          </cell>
          <cell r="B7027" t="str">
            <v>אתר כללי</v>
          </cell>
          <cell r="C7027" t="str">
            <v>נושאי- התאמת מערכת גילוי אש וכיבוי בגז</v>
          </cell>
          <cell r="D7027">
            <v>46387</v>
          </cell>
        </row>
        <row r="7028">
          <cell r="A7028" t="str">
            <v>WBM-60092</v>
          </cell>
          <cell r="B7028" t="str">
            <v>אתר כללי</v>
          </cell>
          <cell r="C7028" t="str">
            <v>נושאי-בדיקות/טיפול/פינוי מכלי אש בגז</v>
          </cell>
          <cell r="D7028">
            <v>46386</v>
          </cell>
        </row>
        <row r="7029">
          <cell r="A7029" t="str">
            <v>WBM-10103</v>
          </cell>
          <cell r="B7029" t="str">
            <v>אתר כללי</v>
          </cell>
          <cell r="C7029" t="str">
            <v>נושאי-איטום כבלים לעיכוב בעירה</v>
          </cell>
          <cell r="D7029">
            <v>44985</v>
          </cell>
        </row>
        <row r="7030">
          <cell r="A7030" t="str">
            <v>WBM-01397</v>
          </cell>
          <cell r="B7030" t="str">
            <v>אתר כללי</v>
          </cell>
          <cell r="C7030" t="str">
            <v>נושאי- צביעת כבלים בצבע מעכב בעירה</v>
          </cell>
          <cell r="D7030">
            <v>44711</v>
          </cell>
        </row>
        <row r="7031">
          <cell r="A7031" t="str">
            <v>WBM-00236</v>
          </cell>
          <cell r="B7031" t="str">
            <v>אתר כללי</v>
          </cell>
          <cell r="C7031" t="str">
            <v>נושאי-הפרדת התראות מימן מהתראות כיבוי אש</v>
          </cell>
          <cell r="D7031">
            <v>46387</v>
          </cell>
        </row>
        <row r="7032">
          <cell r="A7032" t="str">
            <v>WBM-20001</v>
          </cell>
          <cell r="B7032" t="str">
            <v>אתר כללי</v>
          </cell>
          <cell r="C7032" t="str">
            <v>נושאי-החלפת מערכת לגילוי מימן</v>
          </cell>
          <cell r="D7032">
            <v>46112</v>
          </cell>
        </row>
        <row r="7033">
          <cell r="A7033" t="str">
            <v>WBM-60008</v>
          </cell>
          <cell r="B7033" t="str">
            <v>אתר כללי</v>
          </cell>
          <cell r="C7033" t="str">
            <v>פרויקט נושאי -  התקנת מערכת מיגון בתחמ"ש</v>
          </cell>
          <cell r="D7033">
            <v>46752</v>
          </cell>
        </row>
        <row r="7034">
          <cell r="A7034" t="str">
            <v>WBM-00894</v>
          </cell>
          <cell r="B7034" t="str">
            <v>אתר כללי</v>
          </cell>
          <cell r="C7034" t="str">
            <v>נושאי-התקנת גדר אלקטרונית  בתחמ"ש</v>
          </cell>
          <cell r="D7034">
            <v>43464</v>
          </cell>
        </row>
        <row r="7035">
          <cell r="A7035" t="str">
            <v>WBM-60010</v>
          </cell>
          <cell r="B7035" t="str">
            <v>אתר כללי</v>
          </cell>
          <cell r="C7035" t="str">
            <v>נושאי - החלפת מוני ION למוני SATEC</v>
          </cell>
          <cell r="D7035">
            <v>46021</v>
          </cell>
        </row>
        <row r="7036">
          <cell r="A7036" t="str">
            <v>WBM-00151</v>
          </cell>
          <cell r="B7036" t="str">
            <v>אתר כללי</v>
          </cell>
          <cell r="C7036" t="str">
            <v>נושאי-בוטל-התקנת מערכת מניה בתחמ"ש ניידת</v>
          </cell>
          <cell r="D7036">
            <v>41436</v>
          </cell>
        </row>
        <row r="7037">
          <cell r="A7037" t="str">
            <v>WBM-01075</v>
          </cell>
          <cell r="B7037" t="str">
            <v>אתר כללי</v>
          </cell>
          <cell r="C7037" t="str">
            <v>נושאי-בוטל-שדרוג  מפ"ז מ"ג בתאי ס"ק</v>
          </cell>
          <cell r="D7037">
            <v>42562</v>
          </cell>
        </row>
        <row r="7038">
          <cell r="A7038" t="str">
            <v>WBM-00237</v>
          </cell>
          <cell r="B7038" t="str">
            <v>אתר כללי</v>
          </cell>
          <cell r="C7038" t="str">
            <v>נושאי - בוטל-עיגון שנאים</v>
          </cell>
          <cell r="D7038">
            <v>41443</v>
          </cell>
        </row>
        <row r="7039">
          <cell r="A7039" t="str">
            <v>WBM-80006</v>
          </cell>
          <cell r="B7039" t="str">
            <v>אתר כללי</v>
          </cell>
          <cell r="C7039" t="str">
            <v>נושאי- החלפת טכ' מרבבי MP2  לתקשורת לפ"א</v>
          </cell>
          <cell r="D7039">
            <v>47938</v>
          </cell>
        </row>
        <row r="7040">
          <cell r="A7040" t="str">
            <v>WBM-80002</v>
          </cell>
          <cell r="B7040" t="str">
            <v>אתר כללי</v>
          </cell>
          <cell r="C7040" t="str">
            <v>נושאי-החלפת יחידת קצה של פיקוח ארצי</v>
          </cell>
          <cell r="D7040">
            <v>46387</v>
          </cell>
        </row>
        <row r="7041">
          <cell r="A7041" t="str">
            <v>WBM-80007</v>
          </cell>
          <cell r="B7041" t="str">
            <v>אתר כללי</v>
          </cell>
          <cell r="C7041" t="str">
            <v>נושאי-שדרוג צמתי מיתוג לתקשורת לפ"א</v>
          </cell>
          <cell r="D7041">
            <v>46387</v>
          </cell>
        </row>
        <row r="7042">
          <cell r="A7042" t="str">
            <v>WBM-00153</v>
          </cell>
          <cell r="B7042" t="str">
            <v>אתר כללי</v>
          </cell>
          <cell r="C7042" t="str">
            <v>נושאי-התקנת ציוד קשר בין הגנות</v>
          </cell>
          <cell r="D7042">
            <v>42035</v>
          </cell>
        </row>
        <row r="7043">
          <cell r="A7043" t="str">
            <v>WBM-01193</v>
          </cell>
          <cell r="B7043" t="str">
            <v>אתר כללי</v>
          </cell>
          <cell r="C7043" t="str">
            <v>נושאי - החלפת טבעת 310N ל- RAD</v>
          </cell>
          <cell r="D7043">
            <v>46568</v>
          </cell>
        </row>
        <row r="7044">
          <cell r="A7044" t="str">
            <v>WBM-01190</v>
          </cell>
          <cell r="B7044" t="str">
            <v>אתר כללי</v>
          </cell>
          <cell r="C7044" t="str">
            <v>נושאי - החלפת טבעת 92N ל-RAD</v>
          </cell>
          <cell r="D7044">
            <v>46568</v>
          </cell>
        </row>
        <row r="7045">
          <cell r="A7045" t="str">
            <v>WBM-10454</v>
          </cell>
          <cell r="B7045" t="str">
            <v>אתר כללי</v>
          </cell>
          <cell r="C7045" t="str">
            <v>נושאי - החלפת טבעת 520N ל-RAD</v>
          </cell>
          <cell r="D7045">
            <v>46568</v>
          </cell>
        </row>
        <row r="7046">
          <cell r="A7046" t="str">
            <v>WBM-01189</v>
          </cell>
          <cell r="B7046" t="str">
            <v>אתר כללי</v>
          </cell>
          <cell r="C7046" t="str">
            <v>נושאי - החלפת טבעת 150N ל-RAD</v>
          </cell>
          <cell r="D7046">
            <v>45089</v>
          </cell>
        </row>
        <row r="7047">
          <cell r="A7047" t="str">
            <v>WBM-01191</v>
          </cell>
          <cell r="B7047" t="str">
            <v>אתר כללי</v>
          </cell>
          <cell r="C7047" t="str">
            <v>נושאי - החלפת טבעת 40 ל- RAD</v>
          </cell>
          <cell r="D7047">
            <v>46568</v>
          </cell>
        </row>
        <row r="7048">
          <cell r="A7048" t="str">
            <v>WBM-01192</v>
          </cell>
          <cell r="B7048" t="str">
            <v>אתר כללי</v>
          </cell>
          <cell r="C7048" t="str">
            <v>נושאי - החלפת טבעת 11 ל- RAD</v>
          </cell>
          <cell r="D7048">
            <v>44407</v>
          </cell>
        </row>
        <row r="7049">
          <cell r="A7049" t="str">
            <v>WBM-01197</v>
          </cell>
          <cell r="B7049" t="str">
            <v>אתר כללי</v>
          </cell>
          <cell r="C7049" t="str">
            <v>נושאי - החלפת טבעת 20 ל- RAD</v>
          </cell>
          <cell r="D7049">
            <v>44150</v>
          </cell>
        </row>
        <row r="7050">
          <cell r="A7050" t="str">
            <v>WBM-00749</v>
          </cell>
          <cell r="B7050" t="str">
            <v>אתר כללי</v>
          </cell>
          <cell r="C7050" t="str">
            <v>נושאי - הקמת טבעת 220N OM</v>
          </cell>
          <cell r="D7050">
            <v>43697</v>
          </cell>
        </row>
        <row r="7051">
          <cell r="A7051" t="str">
            <v>WBM-01198</v>
          </cell>
          <cell r="B7051" t="str">
            <v>אתר כללי</v>
          </cell>
          <cell r="C7051" t="str">
            <v>נושאי - החלפת טבעת 330N ל- RAD</v>
          </cell>
          <cell r="D7051">
            <v>43614</v>
          </cell>
        </row>
        <row r="7052">
          <cell r="A7052" t="str">
            <v>WBM-01195</v>
          </cell>
          <cell r="B7052" t="str">
            <v>אתר כללי</v>
          </cell>
          <cell r="C7052" t="str">
            <v>נושאי - החלפת טבעת 200N ל- RAD</v>
          </cell>
          <cell r="D7052">
            <v>43558</v>
          </cell>
        </row>
        <row r="7053">
          <cell r="A7053" t="str">
            <v>WBM-01194</v>
          </cell>
          <cell r="B7053" t="str">
            <v>אתר כללי</v>
          </cell>
          <cell r="C7053" t="str">
            <v>נושאי - החלפת טבעת 240N ל- RAD</v>
          </cell>
          <cell r="D7053">
            <v>43556</v>
          </cell>
        </row>
        <row r="7054">
          <cell r="A7054" t="str">
            <v>WBM-00761</v>
          </cell>
          <cell r="B7054" t="str">
            <v>אתר כללי</v>
          </cell>
          <cell r="C7054" t="str">
            <v>נושאי - טבעות 250N OM</v>
          </cell>
          <cell r="D7054">
            <v>43465</v>
          </cell>
        </row>
        <row r="7055">
          <cell r="A7055" t="str">
            <v>WBM-00232</v>
          </cell>
          <cell r="B7055" t="str">
            <v>אתר כללי</v>
          </cell>
          <cell r="C7055" t="str">
            <v>נושאי-הקמת טבעת 110N ,OM, להעברת תקשורת</v>
          </cell>
          <cell r="D7055">
            <v>43281</v>
          </cell>
        </row>
        <row r="7056">
          <cell r="A7056" t="str">
            <v>WBM-00748</v>
          </cell>
          <cell r="B7056" t="str">
            <v>אתר כללי</v>
          </cell>
          <cell r="C7056" t="str">
            <v>נושאי - הקמת טבעת 230N ,OM</v>
          </cell>
          <cell r="D7056">
            <v>43281</v>
          </cell>
        </row>
        <row r="7057">
          <cell r="A7057" t="str">
            <v>WBM-00233</v>
          </cell>
          <cell r="B7057" t="str">
            <v>אתר כללי</v>
          </cell>
          <cell r="C7057" t="str">
            <v>נושאי-הקמת טבעת 150N ,OM, להעברת תקשורת</v>
          </cell>
          <cell r="D7057">
            <v>43220</v>
          </cell>
        </row>
        <row r="7058">
          <cell r="A7058" t="str">
            <v>WBM-01196</v>
          </cell>
          <cell r="B7058" t="str">
            <v>אתר כללי</v>
          </cell>
          <cell r="C7058" t="str">
            <v>נושאי - החלפת טבעת 181N ל- RAD</v>
          </cell>
          <cell r="D7058">
            <v>43124</v>
          </cell>
        </row>
        <row r="7059">
          <cell r="A7059" t="str">
            <v>WBM-00154</v>
          </cell>
          <cell r="B7059" t="str">
            <v>אתר כללי</v>
          </cell>
          <cell r="C7059" t="str">
            <v>נושאי-הקמת טבעת 60N ,OM, להעברת תקשורת</v>
          </cell>
          <cell r="D7059">
            <v>43023</v>
          </cell>
        </row>
        <row r="7060">
          <cell r="A7060" t="str">
            <v>WBM-00793</v>
          </cell>
          <cell r="B7060" t="str">
            <v>אתר כללי</v>
          </cell>
          <cell r="C7060" t="str">
            <v>נושאי - הקמת טבעת  OM  200N</v>
          </cell>
          <cell r="D7060">
            <v>42765</v>
          </cell>
        </row>
        <row r="7061">
          <cell r="A7061" t="str">
            <v>WBM-00234</v>
          </cell>
          <cell r="B7061" t="str">
            <v>אתר כללי</v>
          </cell>
          <cell r="C7061" t="str">
            <v>נושאי-הקמת טבעת 40N ,OM, להעברת תקשורת</v>
          </cell>
          <cell r="D7061">
            <v>41639</v>
          </cell>
        </row>
        <row r="7062">
          <cell r="A7062" t="str">
            <v>WBM-00350</v>
          </cell>
          <cell r="B7062" t="str">
            <v>אתר כללי</v>
          </cell>
          <cell r="C7062" t="str">
            <v>נושאי-החלפת ציוד עיקרי לאחר תקלה</v>
          </cell>
          <cell r="D7062">
            <v>47848</v>
          </cell>
        </row>
        <row r="7063">
          <cell r="A7063" t="str">
            <v>WBM-00150</v>
          </cell>
          <cell r="B7063" t="str">
            <v>אתר כללי</v>
          </cell>
          <cell r="C7063" t="str">
            <v>נושאי-שעוני נוכחות בחיבור ישיר לרשת</v>
          </cell>
          <cell r="D7063">
            <v>45473</v>
          </cell>
        </row>
        <row r="7064">
          <cell r="A7064" t="str">
            <v>WBM-00852</v>
          </cell>
          <cell r="B7064" t="str">
            <v>אתר כללי</v>
          </cell>
          <cell r="C7064" t="str">
            <v>נושאי-עיבוי ושדרוג עמוד שדרה</v>
          </cell>
          <cell r="D7064">
            <v>43829</v>
          </cell>
        </row>
        <row r="7065">
          <cell r="A7065" t="str">
            <v>WBM-00009</v>
          </cell>
          <cell r="B7065" t="str">
            <v>אתר כללי</v>
          </cell>
          <cell r="C7065" t="str">
            <v>נושאי-מגן-תמסורת תפעולית ומרבב תפעולי</v>
          </cell>
          <cell r="D7065">
            <v>43797</v>
          </cell>
        </row>
        <row r="7066">
          <cell r="A7066" t="str">
            <v>WBM-00821</v>
          </cell>
          <cell r="B7066" t="str">
            <v>אתר כללי</v>
          </cell>
          <cell r="C7066" t="str">
            <v>נושאי-הקמת רשת מחשבים תפעולית</v>
          </cell>
          <cell r="D7066">
            <v>43465</v>
          </cell>
        </row>
        <row r="7067">
          <cell r="A7067" t="str">
            <v>WBM-01153</v>
          </cell>
          <cell r="B7067" t="str">
            <v>אתר כללי</v>
          </cell>
          <cell r="C7067" t="str">
            <v>נושאי-טמ"סים בניידות</v>
          </cell>
          <cell r="D7067">
            <v>43087</v>
          </cell>
        </row>
        <row r="7068">
          <cell r="A7068" t="str">
            <v>WBM-10160</v>
          </cell>
          <cell r="B7068" t="str">
            <v>אתר כללי</v>
          </cell>
          <cell r="C7068" t="str">
            <v>נושאי-בוטל-התקנת גלאי הצפה במרתפי כבלים</v>
          </cell>
          <cell r="D7068">
            <v>44378</v>
          </cell>
        </row>
        <row r="7069">
          <cell r="A7069" t="str">
            <v>WBM-60043</v>
          </cell>
          <cell r="B7069" t="str">
            <v>אתר כללי</v>
          </cell>
          <cell r="C7069" t="str">
            <v>נושאי-מיגון שערים באמע' גלאי אנפרא אדום</v>
          </cell>
          <cell r="D7069">
            <v>44189</v>
          </cell>
        </row>
        <row r="7070">
          <cell r="A7070" t="str">
            <v>WBM-10316</v>
          </cell>
          <cell r="B7070" t="str">
            <v>אתר כללי</v>
          </cell>
          <cell r="C7070" t="str">
            <v>נושאי-חבור רושמי הפרעות  למתג מנהלת</v>
          </cell>
          <cell r="D7070">
            <v>46142</v>
          </cell>
        </row>
        <row r="7071">
          <cell r="A7071" t="str">
            <v>WBM-60017</v>
          </cell>
          <cell r="B7071" t="str">
            <v>אתר כללי</v>
          </cell>
          <cell r="C7071" t="str">
            <v>נושאי-חיבור רושמי הפרעות לרשת המנהלתית</v>
          </cell>
          <cell r="D7071">
            <v>44193</v>
          </cell>
        </row>
        <row r="7072">
          <cell r="A7072" t="str">
            <v>WBM-00149</v>
          </cell>
          <cell r="B7072" t="str">
            <v>אתר כללי</v>
          </cell>
          <cell r="C7072" t="str">
            <v>נושאי-התקנת מער' התראה בטחונית</v>
          </cell>
          <cell r="D7072">
            <v>44188</v>
          </cell>
        </row>
        <row r="7073">
          <cell r="A7073" t="str">
            <v>WBM-01029</v>
          </cell>
          <cell r="B7073" t="str">
            <v>אתר כללי</v>
          </cell>
          <cell r="C7073" t="str">
            <v>נושאי-שער מאובטח לרשת תפעולית (דרור)</v>
          </cell>
          <cell r="D7073">
            <v>43821</v>
          </cell>
        </row>
        <row r="7074">
          <cell r="A7074" t="str">
            <v>WBM-00892</v>
          </cell>
          <cell r="B7074" t="str">
            <v>אתר כללי</v>
          </cell>
          <cell r="C7074" t="str">
            <v>נושאי-סקר סיכונים-בוטל-אבטחת מידע בתחמ"ש</v>
          </cell>
          <cell r="D7074">
            <v>41249</v>
          </cell>
        </row>
        <row r="7075">
          <cell r="A7075" t="str">
            <v>WBM-00893</v>
          </cell>
          <cell r="B7075" t="str">
            <v>אתר כללי</v>
          </cell>
          <cell r="C7075" t="str">
            <v>נושאי-בוטל-ניטור פרוטוקולים תפעוליים</v>
          </cell>
          <cell r="D7075">
            <v>41249</v>
          </cell>
        </row>
        <row r="7076">
          <cell r="A7076" t="str">
            <v>WBM-01341</v>
          </cell>
          <cell r="B7076" t="str">
            <v>אתר כללי</v>
          </cell>
          <cell r="C7076" t="str">
            <v>נושאי - שיפוץ מסדרי GIS</v>
          </cell>
          <cell r="D7076">
            <v>47483</v>
          </cell>
        </row>
        <row r="7077">
          <cell r="A7077" t="str">
            <v>WBM-80022</v>
          </cell>
          <cell r="B7077" t="str">
            <v>אתר כללי</v>
          </cell>
          <cell r="C7077" t="str">
            <v>נושאי- יתירות ושרידות רשת התקשורת התפעולית עבור פיקוח הולכה – TMS ופיקוח חלוקה-ADMS</v>
          </cell>
          <cell r="D7077">
            <v>46198</v>
          </cell>
        </row>
        <row r="7078">
          <cell r="A7078" t="str">
            <v>WBM-40521</v>
          </cell>
          <cell r="B7078" t="str">
            <v>אתר כללי</v>
          </cell>
          <cell r="C7078" t="str">
            <v>נושאי - החלפה שנאי הארקה מתוצרת ארדן לפי מפרט  138 –SR</v>
          </cell>
          <cell r="D7078">
            <v>46721</v>
          </cell>
        </row>
        <row r="7079">
          <cell r="A7079" t="str">
            <v>WBM-10484</v>
          </cell>
          <cell r="B7079" t="str">
            <v>אתר כללי</v>
          </cell>
          <cell r="C7079" t="str">
            <v>נושאי - בוטל- בחינת שדרוג יכולת קו מ"ג ל- 600 א'</v>
          </cell>
        </row>
        <row r="7080">
          <cell r="A7080" t="str">
            <v>WBM-40600</v>
          </cell>
          <cell r="B7080" t="str">
            <v>אתר כללי</v>
          </cell>
          <cell r="C7080" t="str">
            <v>נושאי - החלפת מסדרי מ"ג</v>
          </cell>
          <cell r="D7080">
            <v>47848</v>
          </cell>
        </row>
        <row r="7081">
          <cell r="A7081" t="str">
            <v>WBM-10531</v>
          </cell>
          <cell r="B7081" t="str">
            <v>אתר כללי</v>
          </cell>
          <cell r="C7081" t="str">
            <v>נושאי - שיפוץ ניידות ומכולות- מוכנות לחירום – חרבות ברזל</v>
          </cell>
          <cell r="D7081">
            <v>46387</v>
          </cell>
        </row>
        <row r="7082">
          <cell r="A7082" t="str">
            <v>WBM-01385</v>
          </cell>
          <cell r="B7082" t="str">
            <v>אתר כללי</v>
          </cell>
          <cell r="C7082" t="str">
            <v>מיגון מתקנים פיזי בתחמ"ש - הרחבה</v>
          </cell>
          <cell r="D7082">
            <v>46387</v>
          </cell>
        </row>
        <row r="7083">
          <cell r="A7083" t="str">
            <v>WBM-80023</v>
          </cell>
          <cell r="B7083" t="str">
            <v>אתר כללי</v>
          </cell>
          <cell r="C7083" t="str">
            <v>נושאי - שדרוג התקשורת התפעולית צק פוינט וחומות אש</v>
          </cell>
          <cell r="D7083">
            <v>46198</v>
          </cell>
        </row>
        <row r="7084">
          <cell r="A7084" t="str">
            <v>WBM-10557</v>
          </cell>
          <cell r="B7084" t="str">
            <v>אתר כללי</v>
          </cell>
          <cell r="C7084" t="str">
            <v>נושאי - התקנת גלאי טמפ' בתחנות משנה</v>
          </cell>
          <cell r="D7084">
            <v>46112</v>
          </cell>
        </row>
        <row r="7085">
          <cell r="A7085" t="str">
            <v>WBM-20009</v>
          </cell>
          <cell r="B7085" t="str">
            <v>אתר כללי</v>
          </cell>
          <cell r="C7085" t="str">
            <v>ציוד לבדיקה - עבודות במתח חי</v>
          </cell>
          <cell r="D7085">
            <v>46203</v>
          </cell>
        </row>
        <row r="7086">
          <cell r="A7086" t="str">
            <v>WBM-10597</v>
          </cell>
          <cell r="B7086" t="str">
            <v>אתר כללי</v>
          </cell>
          <cell r="C7086" t="str">
            <v>נושאי - פיילוט יישום תקשורת הגנות באמצעות ETHERNET בין הגנות דיפרנציאליות ב 4 מעגלים</v>
          </cell>
          <cell r="D7086">
            <v>46295</v>
          </cell>
        </row>
        <row r="7087">
          <cell r="A7087" t="str">
            <v>WBM-10604</v>
          </cell>
          <cell r="B7087" t="str">
            <v>אתר כללי</v>
          </cell>
          <cell r="C7087" t="str">
            <v>נושאי - מוכנות וכשירות דיזל גנרטורים</v>
          </cell>
          <cell r="D7087">
            <v>45529</v>
          </cell>
        </row>
        <row r="7088">
          <cell r="A7088" t="str">
            <v>WBM-60128</v>
          </cell>
          <cell r="B7088" t="str">
            <v>אתר כללי</v>
          </cell>
          <cell r="C7088" t="str">
            <v>נושאי - שדרוג ותוספות מיגון בתחמשים פרטיים</v>
          </cell>
          <cell r="D7088">
            <v>46721</v>
          </cell>
        </row>
        <row r="7089">
          <cell r="A7089" t="str">
            <v>WBM-60130</v>
          </cell>
          <cell r="B7089" t="str">
            <v>אתר כללי</v>
          </cell>
          <cell r="C7089" t="str">
            <v>נושאי- מפסק פטריה בתחנות משנה ומיתוג.</v>
          </cell>
          <cell r="D7089">
            <v>46568</v>
          </cell>
        </row>
        <row r="7090">
          <cell r="A7090" t="str">
            <v>WBM-80022-001</v>
          </cell>
          <cell r="B7090" t="str">
            <v>אתר כללי</v>
          </cell>
          <cell r="C7090" t="str">
            <v>אגף רשת צפון</v>
          </cell>
          <cell r="D7090">
            <v>46203</v>
          </cell>
        </row>
        <row r="7091">
          <cell r="A7091" t="str">
            <v>WBM-80022-002</v>
          </cell>
          <cell r="B7091" t="str">
            <v>אתר כללי</v>
          </cell>
          <cell r="C7091" t="str">
            <v>אגף רשת דן-חוף</v>
          </cell>
          <cell r="D7091">
            <v>46203</v>
          </cell>
        </row>
        <row r="7092">
          <cell r="A7092" t="str">
            <v>WBM-80022-003</v>
          </cell>
          <cell r="B7092" t="str">
            <v>אתר כללי</v>
          </cell>
          <cell r="C7092" t="str">
            <v>אגף רשת ירושלים-נגב</v>
          </cell>
          <cell r="D7092">
            <v>46203</v>
          </cell>
        </row>
        <row r="7093">
          <cell r="A7093" t="str">
            <v>WBM-60202</v>
          </cell>
          <cell r="B7093" t="str">
            <v>אתר כללי</v>
          </cell>
          <cell r="C7093" t="str">
            <v>נושאי - החלפות לוח פיקוד משאבות ולוח גוקי בתחמשים</v>
          </cell>
          <cell r="D7093">
            <v>46721</v>
          </cell>
        </row>
        <row r="7094">
          <cell r="A7094" t="str">
            <v>WBM-40629</v>
          </cell>
          <cell r="B7094" t="str">
            <v>אתר כללי</v>
          </cell>
          <cell r="C7094" t="str">
            <v>נושאי- החלפת מבדדי 161 ק"ו של שנאי הספק</v>
          </cell>
          <cell r="D7094">
            <v>46387</v>
          </cell>
        </row>
        <row r="7095">
          <cell r="A7095" t="str">
            <v>WBM-60131</v>
          </cell>
          <cell r="B7095" t="str">
            <v>אתר כללי</v>
          </cell>
          <cell r="C7095" t="str">
            <v>נושאי-  בדיקת אופיין מים לטובת היתר כיבוי אש בתחמ"ש</v>
          </cell>
          <cell r="D7095">
            <v>46721</v>
          </cell>
        </row>
        <row r="7096">
          <cell r="A7096" t="str">
            <v>WBM-10663</v>
          </cell>
          <cell r="B7096" t="str">
            <v>אתר כללי</v>
          </cell>
          <cell r="C7096" t="str">
            <v>נושאי- החלפת מטענים</v>
          </cell>
          <cell r="D7096">
            <v>46387</v>
          </cell>
        </row>
        <row r="7097">
          <cell r="A7097" t="str">
            <v>WBM-80024</v>
          </cell>
          <cell r="B7097" t="str">
            <v>אתר כללי</v>
          </cell>
          <cell r="C7097" t="str">
            <v>נושאי - החלפת בקר RTU</v>
          </cell>
          <cell r="D7097">
            <v>46387</v>
          </cell>
        </row>
        <row r="7098">
          <cell r="A7098" t="str">
            <v>WBM-01063-001</v>
          </cell>
          <cell r="B7098" t="str">
            <v>אתר כללי</v>
          </cell>
          <cell r="C7098" t="str">
            <v>מבנים ומתקנים כללי</v>
          </cell>
          <cell r="D7098">
            <v>46387</v>
          </cell>
        </row>
        <row r="7099">
          <cell r="A7099" t="str">
            <v>WBM-80026</v>
          </cell>
          <cell r="B7099" t="str">
            <v>אתר כללי</v>
          </cell>
          <cell r="C7099" t="str">
            <v>נושאי - התקנת  מתג מדגם JL663A - Aruba 6300M 48G 4SFP56 Swch</v>
          </cell>
          <cell r="D7099">
            <v>46752</v>
          </cell>
        </row>
        <row r="7100">
          <cell r="A7100" t="str">
            <v>WBM-01063-002</v>
          </cell>
          <cell r="B7100" t="str">
            <v>אתר כללי</v>
          </cell>
          <cell r="C7100" t="str">
            <v>החלפת רצפות צפות בחדרי פיקוד וחדרי תקשור</v>
          </cell>
          <cell r="D7100">
            <v>46387</v>
          </cell>
        </row>
        <row r="7101">
          <cell r="A7101" t="str">
            <v>WBM-01063-006</v>
          </cell>
          <cell r="B7101" t="str">
            <v>אתר כללי</v>
          </cell>
          <cell r="C7101" t="str">
            <v>שיקום תחמשי"ם במרחב דרום וירושלים</v>
          </cell>
          <cell r="D7101">
            <v>46387</v>
          </cell>
        </row>
        <row r="7102">
          <cell r="A7102" t="str">
            <v>WBM-60205</v>
          </cell>
          <cell r="B7102" t="str">
            <v>אתר כללי</v>
          </cell>
          <cell r="C7102" t="str">
            <v>נושאי- ניטור הצפות - החלפת תדרי רשתות תקשורת</v>
          </cell>
          <cell r="D7102">
            <v>46568</v>
          </cell>
        </row>
        <row r="7103">
          <cell r="A7103" t="str">
            <v>WBM-10733</v>
          </cell>
          <cell r="B7103" t="str">
            <v>אתר כללי</v>
          </cell>
          <cell r="C7103" t="str">
            <v>אתר כללי- רכש מחשבים תעשיתייים וחלקי חילוף למערכות SCS</v>
          </cell>
          <cell r="D7103">
            <v>46387</v>
          </cell>
        </row>
        <row r="7104">
          <cell r="A7104" t="str">
            <v>WBM-40637</v>
          </cell>
          <cell r="B7104" t="str">
            <v>אתר כללי</v>
          </cell>
          <cell r="C7104" t="str">
            <v>נושאי - החלפת רושמי הפרעות קיימים מדגם IDM-T3 לרושמים חדשים מדגם IDM+</v>
          </cell>
          <cell r="D7104">
            <v>47483</v>
          </cell>
        </row>
        <row r="7105">
          <cell r="A7105" t="str">
            <v>WBM-80027</v>
          </cell>
          <cell r="B7105" t="str">
            <v>אתר כללי</v>
          </cell>
          <cell r="C7105" t="str">
            <v>פרויקט תוכנה -  שינוי הארכיטקטורה של מערכות PI ואהב"ה (לוגר) לקבלת נתונים מה- TMS במקום מה- EMS</v>
          </cell>
          <cell r="D7105">
            <v>46752</v>
          </cell>
        </row>
        <row r="7106">
          <cell r="A7106" t="str">
            <v>WBM-00704</v>
          </cell>
          <cell r="B7106" t="str">
            <v>אתגל (אשקוגן)-פרטית</v>
          </cell>
          <cell r="C7106" t="str">
            <v>אתגל - הוספת דרך קשר OM בשדות: 2,1</v>
          </cell>
          <cell r="D7106">
            <v>41638</v>
          </cell>
        </row>
        <row r="7107">
          <cell r="A7107" t="str">
            <v>WBM-10028</v>
          </cell>
          <cell r="B7107" t="str">
            <v>אתגל (אשקוגן)-פרטית</v>
          </cell>
          <cell r="C7107" t="str">
            <v>אתגל -בוטל- התקנת רושם הפרעות</v>
          </cell>
          <cell r="D7107">
            <v>43138</v>
          </cell>
        </row>
        <row r="7108">
          <cell r="A7108" t="str">
            <v>WBM-00015</v>
          </cell>
          <cell r="B7108" t="str">
            <v>אתגל (אשקוגן)-פרטית</v>
          </cell>
          <cell r="C7108" t="str">
            <v>אתגל (אשקוגן)-בוטל-הוספת הגנת מרחק שנייה</v>
          </cell>
          <cell r="D7108">
            <v>40714</v>
          </cell>
        </row>
        <row r="7109">
          <cell r="A7109" t="str">
            <v>WBG-131-006</v>
          </cell>
          <cell r="B7109" t="str">
            <v>אתגל (אשקוגן)-פרטית</v>
          </cell>
          <cell r="C7109" t="str">
            <v>אתגל-פרויקט תקשורת לתחמ"ש(מגן)</v>
          </cell>
          <cell r="D7109">
            <v>36525</v>
          </cell>
        </row>
        <row r="7110">
          <cell r="A7110">
            <v>9985164</v>
          </cell>
          <cell r="B7110" t="str">
            <v>אתגל</v>
          </cell>
          <cell r="C7110" t="str">
            <v>אתגל-קליטת תח"כ בהספק של 186 מגוו"ט</v>
          </cell>
          <cell r="D7110">
            <v>45046</v>
          </cell>
        </row>
        <row r="7111">
          <cell r="A7111" t="str">
            <v>WBG-131-005</v>
          </cell>
          <cell r="B7111" t="str">
            <v>אתגל</v>
          </cell>
          <cell r="C7111" t="str">
            <v>אתגל-התקנת ארון ז"י 48 וולט</v>
          </cell>
          <cell r="D7111">
            <v>41577</v>
          </cell>
        </row>
        <row r="7112">
          <cell r="A7112" t="str">
            <v>WBD-086</v>
          </cell>
          <cell r="B7112" t="str">
            <v>אשקלון צפון ניידת</v>
          </cell>
          <cell r="C7112" t="str">
            <v>אשקלון צפון ניידת- התקנת ניידת 30 MVA</v>
          </cell>
          <cell r="D7112">
            <v>45902</v>
          </cell>
        </row>
        <row r="7113">
          <cell r="A7113" t="str">
            <v>WBD-086-ST2</v>
          </cell>
          <cell r="B7113" t="str">
            <v>אשקלון צפון ניידת</v>
          </cell>
          <cell r="C7113" t="str">
            <v>אשקלון צפון - פירוק תחמ"ש ניידת</v>
          </cell>
          <cell r="D7113">
            <v>46568</v>
          </cell>
        </row>
        <row r="7114">
          <cell r="A7114" t="str">
            <v>WBC-099</v>
          </cell>
          <cell r="B7114" t="str">
            <v>אשקלון צפון</v>
          </cell>
          <cell r="C7114" t="str">
            <v>אשקלון צפון-הקמת תחמ"ש חיצונית 161/24 ק"</v>
          </cell>
          <cell r="D7114">
            <v>46476</v>
          </cell>
        </row>
        <row r="7115">
          <cell r="A7115" t="str">
            <v>WBC-128</v>
          </cell>
          <cell r="B7115" t="str">
            <v>אשקלון דרום מזרח</v>
          </cell>
          <cell r="C7115" t="str">
            <v>אשקלון דרום מזרח - הקמת תחמ"ש פנימית 161/24 ק"ו</v>
          </cell>
          <cell r="D7115">
            <v>51501</v>
          </cell>
        </row>
        <row r="7116">
          <cell r="A7116" t="str">
            <v>HIS-062</v>
          </cell>
          <cell r="B7116" t="str">
            <v>אשקלון</v>
          </cell>
          <cell r="C7116" t="str">
            <v>אשקלון</v>
          </cell>
          <cell r="D7116">
            <v>40908</v>
          </cell>
        </row>
        <row r="7117">
          <cell r="A7117" t="str">
            <v>WBE-066</v>
          </cell>
          <cell r="B7117" t="str">
            <v>אשקלון</v>
          </cell>
          <cell r="C7117" t="str">
            <v>אשקלון-התקנת שנאי שלישי 50 מגוו"א</v>
          </cell>
          <cell r="D7117">
            <v>43326</v>
          </cell>
        </row>
        <row r="7118">
          <cell r="A7118" t="str">
            <v>WDB-02</v>
          </cell>
          <cell r="B7118" t="str">
            <v>אשקלון</v>
          </cell>
          <cell r="C7118" t="str">
            <v>אשקלון-הקמת מערכת טמ"ס</v>
          </cell>
          <cell r="D7118">
            <v>40946</v>
          </cell>
        </row>
        <row r="7119">
          <cell r="A7119" t="str">
            <v>WBM-00251</v>
          </cell>
          <cell r="B7119" t="str">
            <v>אשקלון</v>
          </cell>
          <cell r="C7119" t="str">
            <v>אשקלון-התקנת 3 ס"ק  2*5 מגווא"ר כ"א</v>
          </cell>
          <cell r="D7119">
            <v>47118</v>
          </cell>
        </row>
        <row r="7120">
          <cell r="A7120" t="str">
            <v>WBM-10361</v>
          </cell>
          <cell r="B7120" t="str">
            <v>אשקלון</v>
          </cell>
          <cell r="C7120" t="str">
            <v>אשקלון -משיק צ.כר-התק.הג.דיפ.ש4 + תקשורת</v>
          </cell>
          <cell r="D7120">
            <v>45175</v>
          </cell>
        </row>
        <row r="7121">
          <cell r="A7121" t="str">
            <v>WBM-00999</v>
          </cell>
          <cell r="B7121" t="str">
            <v>אשקלון</v>
          </cell>
          <cell r="C7121" t="str">
            <v>אשקלון - הוספת הגנה דיפרנציאלית ליבנה</v>
          </cell>
          <cell r="D7121">
            <v>44234</v>
          </cell>
        </row>
        <row r="7122">
          <cell r="A7122" t="str">
            <v>WBM-10067</v>
          </cell>
          <cell r="B7122" t="str">
            <v>אשקלון</v>
          </cell>
          <cell r="C7122" t="str">
            <v>אשקלון - שיפור אוטומטיקת סלילי כיבוי</v>
          </cell>
          <cell r="D7122">
            <v>43620</v>
          </cell>
        </row>
        <row r="7123">
          <cell r="A7123" t="str">
            <v>WBG128-003</v>
          </cell>
          <cell r="B7123" t="str">
            <v>אשקלון</v>
          </cell>
          <cell r="C7123" t="str">
            <v>אשקלון-הקמת רשת מחשבים תפעולית</v>
          </cell>
          <cell r="D7123">
            <v>41090</v>
          </cell>
        </row>
        <row r="7124">
          <cell r="A7124">
            <v>530813</v>
          </cell>
          <cell r="B7124" t="str">
            <v>אשקלון</v>
          </cell>
          <cell r="C7124" t="str">
            <v>אשקלון-התקנת מאווררים בארונות פיקוד</v>
          </cell>
          <cell r="D7124">
            <v>40311</v>
          </cell>
        </row>
        <row r="7125">
          <cell r="A7125" t="str">
            <v>WBG-128-009</v>
          </cell>
          <cell r="B7125" t="str">
            <v>אשקלון</v>
          </cell>
          <cell r="C7125" t="str">
            <v>אשקלון-החלפת מערכת התראה בטחונית</v>
          </cell>
          <cell r="D7125">
            <v>41789</v>
          </cell>
        </row>
        <row r="7126">
          <cell r="A7126" t="str">
            <v>WBD-060-ST2</v>
          </cell>
          <cell r="B7126" t="str">
            <v>אשקלון</v>
          </cell>
          <cell r="C7126" t="str">
            <v>אשקלון-פירוק תחמ"ש ניידת</v>
          </cell>
          <cell r="D7126">
            <v>43180</v>
          </cell>
        </row>
        <row r="7127">
          <cell r="A7127" t="str">
            <v>WBD-060</v>
          </cell>
          <cell r="B7127" t="str">
            <v>אשקלון</v>
          </cell>
          <cell r="C7127" t="str">
            <v>אשקלון ניידת-הצבת  תחמ"ש ניידת</v>
          </cell>
          <cell r="D7127">
            <v>42523</v>
          </cell>
        </row>
        <row r="7128">
          <cell r="A7128" t="str">
            <v>WBM-00885-085</v>
          </cell>
          <cell r="B7128" t="str">
            <v>אשקלון</v>
          </cell>
          <cell r="C7128" t="str">
            <v>אשקלון - בוטל- יישום הערות בדיקת מת"י</v>
          </cell>
        </row>
        <row r="7129">
          <cell r="A7129" t="str">
            <v>WBM-01431-012</v>
          </cell>
          <cell r="B7129" t="str">
            <v>אשקלון</v>
          </cell>
          <cell r="C7129" t="str">
            <v>אשקלון -ממסרי  שנאים 521, 522</v>
          </cell>
          <cell r="D7129">
            <v>46721</v>
          </cell>
        </row>
        <row r="7130">
          <cell r="A7130" t="str">
            <v>WBM-10315-035</v>
          </cell>
          <cell r="B7130" t="str">
            <v>אשקלון</v>
          </cell>
          <cell r="C7130" t="str">
            <v>אשקלון - החלפת מזגנים</v>
          </cell>
          <cell r="D7130">
            <v>45930</v>
          </cell>
        </row>
        <row r="7131">
          <cell r="A7131" t="str">
            <v>WBM-10356-007</v>
          </cell>
          <cell r="B7131" t="str">
            <v>אשקלון</v>
          </cell>
          <cell r="C7131" t="str">
            <v>אשקלון - החלפת ראשי כבל בכבלים 2000 ממ"ר</v>
          </cell>
          <cell r="D7131">
            <v>46752</v>
          </cell>
        </row>
        <row r="7132">
          <cell r="A7132" t="str">
            <v>WBM-10456-005</v>
          </cell>
          <cell r="B7132" t="str">
            <v>אשקלון</v>
          </cell>
          <cell r="C7132" t="str">
            <v>אשקלון - הוספת מתמרים ב- 3 פ"צ</v>
          </cell>
          <cell r="D7132">
            <v>46721</v>
          </cell>
        </row>
        <row r="7133">
          <cell r="A7133" t="str">
            <v>WBM-60008-040</v>
          </cell>
          <cell r="B7133" t="str">
            <v>אשקלון</v>
          </cell>
          <cell r="C7133" t="str">
            <v>אשקלון - התקנת מערכת מיגון בתחמ"ש</v>
          </cell>
          <cell r="D7133">
            <v>46265</v>
          </cell>
        </row>
        <row r="7134">
          <cell r="A7134" t="str">
            <v>WBM-60107-002</v>
          </cell>
          <cell r="B7134" t="str">
            <v>אשקלון</v>
          </cell>
          <cell r="C7134" t="str">
            <v>אשקלון - החלפת מנעולים אלק.מגנטיים באלק.</v>
          </cell>
          <cell r="D7134">
            <v>45482</v>
          </cell>
        </row>
        <row r="7135">
          <cell r="A7135" t="str">
            <v>WBM-60119-007</v>
          </cell>
          <cell r="B7135" t="str">
            <v>אשקלון</v>
          </cell>
          <cell r="C7135" t="str">
            <v>אשקלון - החלפת גלאי קרן בגלאים</v>
          </cell>
          <cell r="D7135">
            <v>46217</v>
          </cell>
        </row>
        <row r="7136">
          <cell r="A7136" t="str">
            <v>WBM-60130-066</v>
          </cell>
          <cell r="B7136" t="str">
            <v>אשקלון</v>
          </cell>
          <cell r="C7136" t="str">
            <v>אשקלון - התקנת מפסק פטריה להפסקת מערכת החשמל בחירום</v>
          </cell>
          <cell r="D7136">
            <v>46568</v>
          </cell>
        </row>
        <row r="7137">
          <cell r="A7137" t="str">
            <v>WBM-10356-008</v>
          </cell>
          <cell r="B7137" t="str">
            <v>אשקלון</v>
          </cell>
          <cell r="C7137" t="str">
            <v>אשקלון - בדיקת התפרקויות חלקיות ובדיקות מעבדה לראשי כבלים</v>
          </cell>
          <cell r="D7137">
            <v>46387</v>
          </cell>
        </row>
        <row r="7138">
          <cell r="A7138" t="str">
            <v>WBM-60205-008</v>
          </cell>
          <cell r="B7138" t="str">
            <v>אשקלון</v>
          </cell>
          <cell r="C7138" t="str">
            <v>אשקלון - ניטור הצפות</v>
          </cell>
          <cell r="D7138">
            <v>46175</v>
          </cell>
        </row>
        <row r="7139">
          <cell r="A7139" t="str">
            <v>WBM-60092-043</v>
          </cell>
          <cell r="B7139" t="str">
            <v>אשקלון</v>
          </cell>
          <cell r="C7139" t="str">
            <v>אשקלון - בדיקות/טיפול/פינוי מכלי אש בגז</v>
          </cell>
          <cell r="D7139">
            <v>46387</v>
          </cell>
        </row>
        <row r="7140">
          <cell r="A7140" t="str">
            <v>WBM-60116-048</v>
          </cell>
          <cell r="B7140" t="str">
            <v>אשקלון</v>
          </cell>
          <cell r="C7140" t="str">
            <v>אשקלון - מערכות גילוי אש להחלפה CERBERUS</v>
          </cell>
          <cell r="D7140">
            <v>46721</v>
          </cell>
        </row>
        <row r="7141">
          <cell r="A7141" t="str">
            <v>WBM-40637-006</v>
          </cell>
          <cell r="B7141" t="str">
            <v>אשקלון</v>
          </cell>
          <cell r="C7141" t="str">
            <v>אשקלון-החלפת רושמי הפרעות קיימים מדגם IDM-T3 לרושמים חדשים מדגם IDM+</v>
          </cell>
          <cell r="D7141">
            <v>47330</v>
          </cell>
        </row>
        <row r="7142">
          <cell r="A7142">
            <v>900033</v>
          </cell>
          <cell r="B7142" t="str">
            <v>אשלים PV</v>
          </cell>
          <cell r="C7142" t="str">
            <v>אשלים-PV3-קליטת מתקן פוטו-וולטאי בהספק 99.99 מגוו"א</v>
          </cell>
          <cell r="D7142">
            <v>46418</v>
          </cell>
        </row>
        <row r="7143">
          <cell r="A7143">
            <v>900038</v>
          </cell>
          <cell r="B7143" t="str">
            <v>אשלים PV</v>
          </cell>
          <cell r="C7143" t="str">
            <v>אשלים plot_a-קליטת מתקן אגירת אנרגיה בהספק 80 מגוו"א</v>
          </cell>
          <cell r="D7143">
            <v>46387</v>
          </cell>
        </row>
        <row r="7144">
          <cell r="A7144">
            <v>9915053</v>
          </cell>
          <cell r="B7144" t="str">
            <v>אשלים</v>
          </cell>
          <cell r="C7144" t="str">
            <v>אשלים pv-קליטת תח"כ בהספק 30 מגוו"ט</v>
          </cell>
          <cell r="D7144">
            <v>43131</v>
          </cell>
        </row>
        <row r="7145">
          <cell r="A7145">
            <v>9915054</v>
          </cell>
          <cell r="B7145" t="str">
            <v>אשלים</v>
          </cell>
          <cell r="C7145" t="str">
            <v>אשלים plot_b-קליטת תח"כ בהספק 120 מגוו"ט</v>
          </cell>
          <cell r="D7145">
            <v>43047</v>
          </cell>
        </row>
        <row r="7146">
          <cell r="A7146">
            <v>9915052</v>
          </cell>
          <cell r="B7146" t="str">
            <v>אשלים</v>
          </cell>
          <cell r="C7146" t="str">
            <v>אשלים plot_a-קליטת תח"כ בהספק 121 מגוו"ט</v>
          </cell>
          <cell r="D7146">
            <v>43047</v>
          </cell>
        </row>
        <row r="7147">
          <cell r="A7147" t="str">
            <v>WEC-006</v>
          </cell>
          <cell r="B7147" t="str">
            <v>אשלים</v>
          </cell>
          <cell r="C7147" t="str">
            <v>אשלים-בוטל-הקמת מסדר 161 ק"ו</v>
          </cell>
          <cell r="D7147">
            <v>41285</v>
          </cell>
        </row>
        <row r="7148">
          <cell r="A7148">
            <v>269381</v>
          </cell>
          <cell r="B7148" t="str">
            <v>אשלים</v>
          </cell>
          <cell r="C7148" t="str">
            <v>אשלים pv2-קליטת תח"כ בהספק 40 מגו"ט במ"ג</v>
          </cell>
          <cell r="D7148">
            <v>44560</v>
          </cell>
        </row>
        <row r="7149">
          <cell r="A7149" t="str">
            <v>WBE-204</v>
          </cell>
          <cell r="B7149" t="str">
            <v>אשלים</v>
          </cell>
          <cell r="C7149" t="str">
            <v>אשלים-התקנת  2 שנאים 50 מגוו"א</v>
          </cell>
          <cell r="D7149">
            <v>46325</v>
          </cell>
        </row>
        <row r="7150">
          <cell r="A7150" t="str">
            <v>WBE-094</v>
          </cell>
          <cell r="B7150" t="str">
            <v>אשלים</v>
          </cell>
          <cell r="C7150" t="str">
            <v>אשלים-הקמת שדה 161 ק"ו ושנאי לקליטת PV2</v>
          </cell>
          <cell r="D7150">
            <v>44560</v>
          </cell>
        </row>
        <row r="7151">
          <cell r="A7151" t="str">
            <v>WBM-10347</v>
          </cell>
          <cell r="B7151" t="str">
            <v>אשלים</v>
          </cell>
          <cell r="C7151" t="str">
            <v>אשלים - בוטל - תוספת 2 תאים במכולת מ"ג 36 ק"ו</v>
          </cell>
        </row>
        <row r="7152">
          <cell r="A7152" t="str">
            <v>WBM-30013</v>
          </cell>
          <cell r="B7152" t="str">
            <v>אשלים</v>
          </cell>
          <cell r="C7152" t="str">
            <v>אשלים-בוטל- גדר אלקטרונית (ביטחון)</v>
          </cell>
          <cell r="D7152">
            <v>43830</v>
          </cell>
        </row>
        <row r="7153">
          <cell r="A7153" t="str">
            <v>WBC-098</v>
          </cell>
          <cell r="B7153" t="str">
            <v>אשלים</v>
          </cell>
          <cell r="C7153" t="str">
            <v>אשלים-הקמת מסדר 161 ק"ו</v>
          </cell>
          <cell r="D7153">
            <v>42641</v>
          </cell>
        </row>
        <row r="7154">
          <cell r="A7154" t="str">
            <v>WBE-180</v>
          </cell>
          <cell r="B7154" t="str">
            <v>אשלים</v>
          </cell>
          <cell r="C7154" t="str">
            <v>אשלים-PV3-הרחבת פ"צ 2 והקמת שדה שנאי  (שדה 18)</v>
          </cell>
          <cell r="D7154">
            <v>46418</v>
          </cell>
        </row>
        <row r="7155">
          <cell r="A7155" t="str">
            <v>WBM-10514</v>
          </cell>
          <cell r="B7155" t="str">
            <v>אשלים</v>
          </cell>
          <cell r="C7155" t="str">
            <v>אשלים-  משיק לנווה מדבר שדה 5,יישום 2 דרכי קשר בין הגנות בשדה 7</v>
          </cell>
          <cell r="D7155">
            <v>47482</v>
          </cell>
        </row>
        <row r="7156">
          <cell r="A7156" t="str">
            <v>WBM-10516</v>
          </cell>
          <cell r="B7156" t="str">
            <v>אשלים</v>
          </cell>
          <cell r="C7156" t="str">
            <v>אשלים- משיק לרמת חובב שדה 9, התקנת הגנה דיפ. ויישום דרך קשר בין הגנות בשדה 11</v>
          </cell>
          <cell r="D7156">
            <v>46326</v>
          </cell>
        </row>
        <row r="7157">
          <cell r="A7157" t="str">
            <v>WBM-10456-012</v>
          </cell>
          <cell r="B7157" t="str">
            <v>אשלים</v>
          </cell>
          <cell r="C7157" t="str">
            <v>אשלים - הוספת מתמרים בפ"צ אחד</v>
          </cell>
          <cell r="D7157">
            <v>46387</v>
          </cell>
        </row>
        <row r="7158">
          <cell r="A7158" t="str">
            <v>WBM-60128-003</v>
          </cell>
          <cell r="B7158" t="str">
            <v>אשלים</v>
          </cell>
          <cell r="C7158" t="str">
            <v>אשלים- שדרוג ותוספות מיגון בתחמשים פרטיים</v>
          </cell>
          <cell r="D7158">
            <v>46721</v>
          </cell>
        </row>
        <row r="7159">
          <cell r="A7159" t="str">
            <v>WBM-60201</v>
          </cell>
          <cell r="B7159" t="str">
            <v>אשלים</v>
          </cell>
          <cell r="C7159" t="str">
            <v>אשלים - התקנת משאבת מים ומיכל לכיבוי אש</v>
          </cell>
          <cell r="D7159">
            <v>46325</v>
          </cell>
        </row>
        <row r="7160">
          <cell r="A7160" t="str">
            <v>WBM-10702</v>
          </cell>
          <cell r="B7160" t="str">
            <v>אשלים</v>
          </cell>
          <cell r="C7160" t="str">
            <v>אשלים - הת' תיילים-מהדקים-פורט'wbo-851</v>
          </cell>
          <cell r="D7160">
            <v>47847</v>
          </cell>
        </row>
        <row r="7161">
          <cell r="A7161" t="str">
            <v>WBM-10761</v>
          </cell>
          <cell r="B7161" t="str">
            <v>אשלים</v>
          </cell>
          <cell r="C7161" t="str">
            <v>אשלים - משיק לרמת חובב שדה 11, יישום דרך קשר אופטית בין הגנות בשדה 7</v>
          </cell>
          <cell r="D7161">
            <v>46052</v>
          </cell>
        </row>
        <row r="7162">
          <cell r="A7162" t="str">
            <v>WBM-00885-133</v>
          </cell>
          <cell r="B7162" t="str">
            <v>אשכול צפון</v>
          </cell>
          <cell r="C7162" t="str">
            <v>אשכול צפון- אפיון מים</v>
          </cell>
          <cell r="D7162">
            <v>45616</v>
          </cell>
        </row>
        <row r="7163">
          <cell r="A7163" t="str">
            <v>WBM-00885-134</v>
          </cell>
          <cell r="B7163" t="str">
            <v>אשכול דרום</v>
          </cell>
          <cell r="C7163" t="str">
            <v>אשכול דרום- אפיון מים</v>
          </cell>
          <cell r="D7163">
            <v>45616</v>
          </cell>
        </row>
        <row r="7164">
          <cell r="A7164">
            <v>287886</v>
          </cell>
          <cell r="B7164" t="str">
            <v>אשכול</v>
          </cell>
          <cell r="C7164" t="str">
            <v>אשכול3,-בוטל- משיק התפלה אשדוד,קשר בין</v>
          </cell>
        </row>
        <row r="7165">
          <cell r="A7165">
            <v>734241</v>
          </cell>
          <cell r="B7165" t="str">
            <v>אשכול</v>
          </cell>
          <cell r="C7165" t="str">
            <v>אשכול-התקנת תק.הגנות באמצעות OM</v>
          </cell>
          <cell r="D7165">
            <v>41709</v>
          </cell>
        </row>
        <row r="7166">
          <cell r="A7166" t="str">
            <v>WBM-10430</v>
          </cell>
          <cell r="B7166" t="str">
            <v>אשכול</v>
          </cell>
          <cell r="C7166" t="str">
            <v>אשכול 3-משיק התפלה אשדוד ש5,קשר בין הגנות בשדה 1</v>
          </cell>
          <cell r="D7166">
            <v>45578</v>
          </cell>
        </row>
        <row r="7167">
          <cell r="A7167" t="str">
            <v>WBM-60130-065</v>
          </cell>
          <cell r="B7167" t="str">
            <v>אשדוד דרום</v>
          </cell>
          <cell r="C7167" t="str">
            <v>אשדוד דרום - התקנת מפסק פטריה להפסקת מערכת החשמל בחירום</v>
          </cell>
          <cell r="D7167">
            <v>46568</v>
          </cell>
        </row>
        <row r="7168">
          <cell r="A7168" t="str">
            <v>WBM-60107-018</v>
          </cell>
          <cell r="B7168" t="str">
            <v>אשדוד דרום</v>
          </cell>
          <cell r="C7168" t="str">
            <v>אשדוד דרום - החלפת מנעולים אלק.מגנטיים ב</v>
          </cell>
          <cell r="D7168">
            <v>45627</v>
          </cell>
        </row>
        <row r="7169">
          <cell r="A7169">
            <v>9985287</v>
          </cell>
          <cell r="B7169" t="str">
            <v>אשדוד אנרגיה -פרטית</v>
          </cell>
          <cell r="C7169" t="str">
            <v>אשדוד אנרגיה-קליטת תח"כ בהספק של 55 מגוו</v>
          </cell>
          <cell r="D7169">
            <v>42136</v>
          </cell>
        </row>
        <row r="7170">
          <cell r="A7170" t="str">
            <v>HIS-061</v>
          </cell>
          <cell r="B7170" t="str">
            <v>אשדוד</v>
          </cell>
          <cell r="C7170" t="str">
            <v>אשדוד</v>
          </cell>
          <cell r="D7170">
            <v>40908</v>
          </cell>
        </row>
        <row r="7171">
          <cell r="A7171" t="str">
            <v>WDA-1-PA20</v>
          </cell>
          <cell r="B7171" t="str">
            <v>אשדוד</v>
          </cell>
          <cell r="C7171" t="str">
            <v>אשדוד-החלפה של יחידת קצה של פיקוח ארצי</v>
          </cell>
          <cell r="D7171">
            <v>42520</v>
          </cell>
        </row>
        <row r="7172">
          <cell r="A7172">
            <v>490862</v>
          </cell>
          <cell r="B7172" t="str">
            <v>אשדוד</v>
          </cell>
          <cell r="C7172" t="str">
            <v>אשדוד - התקנת ציוד הצמדה בשדה 7 ליבנה</v>
          </cell>
          <cell r="D7172">
            <v>42306</v>
          </cell>
        </row>
        <row r="7173">
          <cell r="A7173" t="str">
            <v>WBM-01272</v>
          </cell>
          <cell r="B7173" t="str">
            <v>אשדוד</v>
          </cell>
          <cell r="C7173" t="str">
            <v>אשדוד -בוטל-החלפת סליל כיבוי בנגד ראשוני</v>
          </cell>
          <cell r="D7173">
            <v>42914</v>
          </cell>
        </row>
        <row r="7174">
          <cell r="A7174" t="str">
            <v>WBM-00397</v>
          </cell>
          <cell r="B7174" t="str">
            <v>אשדוד</v>
          </cell>
          <cell r="C7174" t="str">
            <v>אשדוד-הזנת תאורת חירום ז"י</v>
          </cell>
          <cell r="D7174">
            <v>46081</v>
          </cell>
        </row>
        <row r="7175">
          <cell r="A7175" t="str">
            <v>WBM-01304</v>
          </cell>
          <cell r="B7175" t="str">
            <v>אשדוד</v>
          </cell>
          <cell r="C7175" t="str">
            <v>אשדוד - החלפת הגנות שנאי מסוג DT92</v>
          </cell>
          <cell r="D7175">
            <v>46326</v>
          </cell>
        </row>
        <row r="7176">
          <cell r="A7176" t="str">
            <v>WBM-01414</v>
          </cell>
          <cell r="B7176" t="str">
            <v>אשדוד</v>
          </cell>
          <cell r="C7176" t="str">
            <v>אשדוד - החלפת מיכל ל- 150 קוב</v>
          </cell>
          <cell r="D7176">
            <v>45595</v>
          </cell>
        </row>
        <row r="7177">
          <cell r="A7177" t="str">
            <v>WBM-01211</v>
          </cell>
          <cell r="B7177" t="str">
            <v>אשדוד</v>
          </cell>
          <cell r="C7177" t="str">
            <v>אשדוד-הוספת הגנות פ"צ וכשל המפסק</v>
          </cell>
          <cell r="D7177">
            <v>44127</v>
          </cell>
        </row>
        <row r="7178">
          <cell r="A7178" t="str">
            <v>WBM-01312</v>
          </cell>
          <cell r="B7178" t="str">
            <v>אשדוד</v>
          </cell>
          <cell r="C7178" t="str">
            <v>אשדוד-החלפת הג. מרחק  בהג. דיפרנצי שדה 9</v>
          </cell>
          <cell r="D7178">
            <v>44013</v>
          </cell>
        </row>
        <row r="7179">
          <cell r="A7179" t="str">
            <v>WBM-10069</v>
          </cell>
          <cell r="B7179" t="str">
            <v>אשדוד</v>
          </cell>
          <cell r="C7179" t="str">
            <v>אשדוד - שיפור אוטומטיקת סלילי כיבוי</v>
          </cell>
          <cell r="D7179">
            <v>44000</v>
          </cell>
        </row>
        <row r="7180">
          <cell r="A7180" t="str">
            <v>WBM-01001</v>
          </cell>
          <cell r="B7180" t="str">
            <v>אשדוד</v>
          </cell>
          <cell r="C7180" t="str">
            <v>אשדוד - החלפת הגנת מרחק מדגם LZ31 ליבנה</v>
          </cell>
          <cell r="D7180">
            <v>43608</v>
          </cell>
        </row>
        <row r="7181">
          <cell r="A7181" t="str">
            <v>WBM-40258</v>
          </cell>
          <cell r="B7181" t="str">
            <v>אשדוד</v>
          </cell>
          <cell r="C7181" t="str">
            <v>אשדוד - החלפת שרשראות מבודדים</v>
          </cell>
          <cell r="D7181">
            <v>43544</v>
          </cell>
        </row>
        <row r="7182">
          <cell r="A7182" t="str">
            <v>WBM-00679</v>
          </cell>
          <cell r="B7182" t="str">
            <v>אשדוד</v>
          </cell>
          <cell r="C7182" t="str">
            <v>אשדוד-הוספת הגנות בשדה 4 לכיוון א.אנרגיה</v>
          </cell>
          <cell r="D7182">
            <v>43179</v>
          </cell>
        </row>
        <row r="7183">
          <cell r="A7183" t="str">
            <v>WBM-00678</v>
          </cell>
          <cell r="B7183" t="str">
            <v>אשדוד</v>
          </cell>
          <cell r="C7183" t="str">
            <v>אשדוד-יצירת 2 דרכי תקשורת בשדה 7</v>
          </cell>
          <cell r="D7183">
            <v>42308</v>
          </cell>
        </row>
        <row r="7184">
          <cell r="A7184" t="str">
            <v>WBM-10055</v>
          </cell>
          <cell r="B7184" t="str">
            <v>אשדוד</v>
          </cell>
          <cell r="C7184" t="str">
            <v>אשדוד - בוטל-החלפת גשרי דיודות</v>
          </cell>
          <cell r="D7184">
            <v>43769</v>
          </cell>
        </row>
        <row r="7185">
          <cell r="A7185" t="str">
            <v>WBM-60081</v>
          </cell>
          <cell r="B7185" t="str">
            <v>אשדוד</v>
          </cell>
          <cell r="C7185" t="str">
            <v>אשדוד - בוטל-מאצרות שמן למסדרי אפס</v>
          </cell>
          <cell r="D7185">
            <v>44148</v>
          </cell>
        </row>
        <row r="7186">
          <cell r="A7186" t="str">
            <v>WBM-40047</v>
          </cell>
          <cell r="B7186" t="str">
            <v>אשדוד</v>
          </cell>
          <cell r="C7186" t="str">
            <v>אשדוד- בוטל-החלפת טרפו גרד בשנאים</v>
          </cell>
          <cell r="D7186">
            <v>43646</v>
          </cell>
        </row>
        <row r="7187">
          <cell r="A7187">
            <v>533530</v>
          </cell>
          <cell r="B7187" t="str">
            <v>אשדוד</v>
          </cell>
          <cell r="C7187" t="str">
            <v>אשדוד - החלפת גשרי דיודות</v>
          </cell>
          <cell r="D7187">
            <v>42124</v>
          </cell>
        </row>
        <row r="7188">
          <cell r="A7188" t="str">
            <v>WBM-00771</v>
          </cell>
          <cell r="B7188" t="str">
            <v>אשדוד</v>
          </cell>
          <cell r="C7188" t="str">
            <v>אשדוד - בוטל-התקנת מערכת טמ"ס.</v>
          </cell>
          <cell r="D7188">
            <v>41455</v>
          </cell>
        </row>
        <row r="7189">
          <cell r="A7189">
            <v>533527</v>
          </cell>
          <cell r="B7189" t="str">
            <v>אשדוד</v>
          </cell>
          <cell r="C7189" t="str">
            <v>אשדוד-התקנת מאווררים בארונות פיקוד</v>
          </cell>
          <cell r="D7189">
            <v>40311</v>
          </cell>
        </row>
        <row r="7190">
          <cell r="A7190" t="str">
            <v>WBG-013-013</v>
          </cell>
          <cell r="B7190" t="str">
            <v>אשדוד</v>
          </cell>
          <cell r="C7190" t="str">
            <v>אשדוד-התקנת מערכת התראה ביטחונית</v>
          </cell>
          <cell r="D7190">
            <v>39568</v>
          </cell>
        </row>
        <row r="7191">
          <cell r="A7191" t="str">
            <v>WBG-013-021</v>
          </cell>
          <cell r="B7191" t="str">
            <v>אשדוד</v>
          </cell>
          <cell r="C7191" t="str">
            <v>אשדוד-הקשחות אבטחת מידע במחשב</v>
          </cell>
          <cell r="D7191">
            <v>40605</v>
          </cell>
        </row>
        <row r="7192">
          <cell r="A7192" t="str">
            <v>WBM-00796</v>
          </cell>
          <cell r="B7192" t="str">
            <v>אשדוד</v>
          </cell>
          <cell r="C7192" t="str">
            <v>אשדוד-הוספת 3 מגיני ברק מ"ע</v>
          </cell>
          <cell r="D7192">
            <v>43179</v>
          </cell>
        </row>
        <row r="7193">
          <cell r="A7193" t="str">
            <v>WBM-00885-018</v>
          </cell>
          <cell r="B7193" t="str">
            <v>אשדוד</v>
          </cell>
          <cell r="C7193" t="str">
            <v>אשדוד - התאמת מע' המים לכיבוי אש כולל החלפת משאבה לשנאים</v>
          </cell>
          <cell r="D7193">
            <v>45838</v>
          </cell>
        </row>
        <row r="7194">
          <cell r="A7194" t="str">
            <v>WBM-10456-006</v>
          </cell>
          <cell r="B7194" t="str">
            <v>אשדוד</v>
          </cell>
          <cell r="C7194" t="str">
            <v>אשדוד - הוספת מתמרים ב-5 פ"צ</v>
          </cell>
          <cell r="D7194">
            <v>46752</v>
          </cell>
        </row>
        <row r="7195">
          <cell r="A7195" t="str">
            <v>WBM-40295-005</v>
          </cell>
          <cell r="B7195" t="str">
            <v>אשדוד</v>
          </cell>
          <cell r="C7195" t="str">
            <v>אשדוד- -החלפת 2 סוללות מצברים</v>
          </cell>
          <cell r="D7195">
            <v>45546</v>
          </cell>
        </row>
        <row r="7196">
          <cell r="A7196" t="str">
            <v>WBM-40479-035</v>
          </cell>
          <cell r="B7196" t="str">
            <v>אשדוד</v>
          </cell>
          <cell r="C7196" t="str">
            <v>אשדוד- החלפת 2 בקרי טמפ' וגובה שמן בשנא</v>
          </cell>
          <cell r="D7196">
            <v>48182</v>
          </cell>
        </row>
        <row r="7197">
          <cell r="A7197" t="str">
            <v>WBM-40521-026</v>
          </cell>
          <cell r="B7197" t="str">
            <v>אשדוד</v>
          </cell>
          <cell r="C7197" t="str">
            <v>אשדוד - החלפת שנאי הארקה</v>
          </cell>
          <cell r="D7197">
            <v>46721</v>
          </cell>
        </row>
        <row r="7198">
          <cell r="A7198" t="str">
            <v>WBM-60008-057</v>
          </cell>
          <cell r="B7198" t="str">
            <v>אשדוד</v>
          </cell>
          <cell r="C7198" t="str">
            <v>אשדוד - מערכת טמ"ס וגדר אלקטרונית</v>
          </cell>
          <cell r="D7198">
            <v>46752</v>
          </cell>
        </row>
        <row r="7199">
          <cell r="A7199" t="str">
            <v>WBM-60088-020</v>
          </cell>
          <cell r="B7199" t="str">
            <v>אשדוד</v>
          </cell>
          <cell r="C7199" t="str">
            <v>אשדוד - סף הגבהה וניקוז ב-2 מסדרי אפס</v>
          </cell>
          <cell r="D7199">
            <v>46326</v>
          </cell>
        </row>
        <row r="7200">
          <cell r="A7200" t="str">
            <v>WBM-60116-004</v>
          </cell>
          <cell r="B7200" t="str">
            <v>אשדוד</v>
          </cell>
          <cell r="C7200" t="str">
            <v>אשדוד - שידרוג גלאים בתחנות משנה ומיתוג</v>
          </cell>
          <cell r="D7200">
            <v>46387</v>
          </cell>
        </row>
        <row r="7201">
          <cell r="A7201" t="str">
            <v>WBM-00885-140</v>
          </cell>
          <cell r="B7201" t="str">
            <v>אשדוד</v>
          </cell>
          <cell r="C7201" t="str">
            <v>אשדוד- החלפת משאבה להידרנטים</v>
          </cell>
          <cell r="D7201">
            <v>46196</v>
          </cell>
        </row>
        <row r="7202">
          <cell r="A7202" t="str">
            <v>WBM-10663-001</v>
          </cell>
          <cell r="B7202" t="str">
            <v>אשדוד</v>
          </cell>
          <cell r="C7202" t="str">
            <v>אשדוד- החלפת מטענים</v>
          </cell>
          <cell r="D7202">
            <v>46418</v>
          </cell>
        </row>
        <row r="7203">
          <cell r="A7203" t="str">
            <v>WBM-60092-042</v>
          </cell>
          <cell r="B7203" t="str">
            <v>אשדוד</v>
          </cell>
          <cell r="C7203" t="str">
            <v>אשדוד - בדיקות/טיפול/פינוי מכלי אש בגז</v>
          </cell>
          <cell r="D7203">
            <v>46387</v>
          </cell>
        </row>
        <row r="7204">
          <cell r="A7204" t="str">
            <v>WBM-40637-017</v>
          </cell>
          <cell r="B7204" t="str">
            <v>אשדוד</v>
          </cell>
          <cell r="C7204" t="str">
            <v>אשדוד-החלפת רושמי הפרעות קיימים מדגם IDM-T3 לרושמים חדשים מדגם IDM+</v>
          </cell>
          <cell r="D7204">
            <v>46660</v>
          </cell>
        </row>
        <row r="7205">
          <cell r="A7205" t="str">
            <v>WBM-80002-049</v>
          </cell>
          <cell r="B7205" t="str">
            <v>אשדוד</v>
          </cell>
          <cell r="C7205" t="str">
            <v>אשדוד- הסבות</v>
          </cell>
          <cell r="D7205">
            <v>46121</v>
          </cell>
        </row>
        <row r="7206">
          <cell r="A7206" t="str">
            <v>WBD-111</v>
          </cell>
          <cell r="B7206" t="str">
            <v>ארעית 9 לחרום 50 מוא</v>
          </cell>
          <cell r="C7206" t="str">
            <v>ארעית 9 לחירום - 50 מו"א</v>
          </cell>
          <cell r="D7206">
            <v>46387</v>
          </cell>
        </row>
        <row r="7207">
          <cell r="A7207" t="str">
            <v>WBD-110</v>
          </cell>
          <cell r="B7207" t="str">
            <v>ארעית 8 לחרום 50 מוא</v>
          </cell>
          <cell r="C7207" t="str">
            <v>ארעית 8 לחירום - 50 מו"א</v>
          </cell>
          <cell r="D7207">
            <v>46387</v>
          </cell>
        </row>
        <row r="7208">
          <cell r="A7208" t="str">
            <v>WBD-109</v>
          </cell>
          <cell r="B7208" t="str">
            <v>ארעית 7 לחרום 50 מוא</v>
          </cell>
          <cell r="C7208" t="str">
            <v>ארעית 7 לחירום - 50 מו"א</v>
          </cell>
          <cell r="D7208">
            <v>46387</v>
          </cell>
        </row>
        <row r="7209">
          <cell r="A7209" t="str">
            <v>WBD-108</v>
          </cell>
          <cell r="B7209" t="str">
            <v>ארעית 6 לחרום</v>
          </cell>
          <cell r="C7209" t="str">
            <v>ארעית 6 לחירום - 30 מו"א</v>
          </cell>
          <cell r="D7209">
            <v>46387</v>
          </cell>
        </row>
        <row r="7210">
          <cell r="A7210" t="str">
            <v>WBD-107</v>
          </cell>
          <cell r="B7210" t="str">
            <v>ארעית 5 לחירום</v>
          </cell>
          <cell r="C7210" t="str">
            <v>ארעית 5 לחירום - 30 מו"א</v>
          </cell>
          <cell r="D7210">
            <v>46387</v>
          </cell>
        </row>
        <row r="7211">
          <cell r="A7211" t="str">
            <v>WBD-106</v>
          </cell>
          <cell r="B7211" t="str">
            <v>ארעית 4 לחרום</v>
          </cell>
          <cell r="C7211" t="str">
            <v>ארעית 4 לחירום - 30 מו"א</v>
          </cell>
          <cell r="D7211">
            <v>46387</v>
          </cell>
        </row>
        <row r="7212">
          <cell r="A7212" t="str">
            <v>WBD-105</v>
          </cell>
          <cell r="B7212" t="str">
            <v>ארעית 3 לחרום</v>
          </cell>
          <cell r="C7212" t="str">
            <v>ארעית 3 לחירום - 30 מו"א</v>
          </cell>
          <cell r="D7212">
            <v>46387</v>
          </cell>
        </row>
        <row r="7213">
          <cell r="A7213" t="str">
            <v>WBD-104</v>
          </cell>
          <cell r="B7213" t="str">
            <v>ארעית 2 לחרום</v>
          </cell>
          <cell r="C7213" t="str">
            <v>ארעית 2 לחירום - 30 מו"א</v>
          </cell>
          <cell r="D7213">
            <v>46387</v>
          </cell>
        </row>
        <row r="7214">
          <cell r="A7214" t="str">
            <v>WBD-122</v>
          </cell>
          <cell r="B7214" t="str">
            <v>ארעית 14 לחרום</v>
          </cell>
          <cell r="C7214" t="str">
            <v>ארעית 14 לחירום 30 מו"א</v>
          </cell>
          <cell r="D7214">
            <v>46022</v>
          </cell>
        </row>
        <row r="7215">
          <cell r="A7215" t="str">
            <v>WBD-116</v>
          </cell>
          <cell r="B7215" t="str">
            <v>ארעית 13 לחרום 50 מו"א</v>
          </cell>
          <cell r="C7215" t="str">
            <v>ארעית 13 לחרום 50 מו"א</v>
          </cell>
          <cell r="D7215">
            <v>46387</v>
          </cell>
        </row>
        <row r="7216">
          <cell r="A7216" t="str">
            <v>WBD-115</v>
          </cell>
          <cell r="B7216" t="str">
            <v>ארעית 12 לחרום 50 מו"א</v>
          </cell>
          <cell r="C7216" t="str">
            <v>ארעית 12 לחרום 50 מו"א</v>
          </cell>
          <cell r="D7216">
            <v>46387</v>
          </cell>
        </row>
        <row r="7217">
          <cell r="A7217" t="str">
            <v>WBD-114</v>
          </cell>
          <cell r="B7217" t="str">
            <v>ארעית 11 לחרום 50 מו"א</v>
          </cell>
          <cell r="C7217" t="str">
            <v>ארעית 11 לחרום 50 מו"א</v>
          </cell>
          <cell r="D7217">
            <v>46387</v>
          </cell>
        </row>
        <row r="7218">
          <cell r="A7218" t="str">
            <v>WBD-113</v>
          </cell>
          <cell r="B7218" t="str">
            <v>ארעית 10 לחרום 50 מו"א</v>
          </cell>
          <cell r="C7218" t="str">
            <v>ארעית 10 לחרום 50 מו"א</v>
          </cell>
          <cell r="D7218">
            <v>46387</v>
          </cell>
        </row>
        <row r="7219">
          <cell r="A7219" t="str">
            <v>WBD-103</v>
          </cell>
          <cell r="B7219" t="str">
            <v>ארעית 1 לחרום</v>
          </cell>
          <cell r="C7219" t="str">
            <v>ארעית 1 לחירום - 30 מו"א</v>
          </cell>
          <cell r="D7219">
            <v>46387</v>
          </cell>
        </row>
        <row r="7220">
          <cell r="A7220">
            <v>9915336</v>
          </cell>
          <cell r="B7220" t="str">
            <v>אר''ן</v>
          </cell>
          <cell r="C7220" t="str">
            <v>אר"ן -מ"ג-קליטת ט"ר בהספק 114.5 מגוו"ט</v>
          </cell>
          <cell r="D7220">
            <v>46295</v>
          </cell>
        </row>
        <row r="7221">
          <cell r="A7221" t="str">
            <v>WBC-094</v>
          </cell>
          <cell r="B7221" t="str">
            <v>אריאל 2</v>
          </cell>
          <cell r="C7221" t="str">
            <v>אריאל 2-הקמת תחמ"ש חיצונית</v>
          </cell>
          <cell r="D7221">
            <v>48059</v>
          </cell>
        </row>
        <row r="7222">
          <cell r="A7222" t="str">
            <v>HIS-060</v>
          </cell>
          <cell r="B7222" t="str">
            <v>אריאל</v>
          </cell>
          <cell r="C7222" t="str">
            <v>אריאל</v>
          </cell>
          <cell r="D7222">
            <v>40908</v>
          </cell>
        </row>
        <row r="7223">
          <cell r="A7223" t="str">
            <v>HIS-194</v>
          </cell>
          <cell r="B7223" t="str">
            <v>אריאל</v>
          </cell>
          <cell r="C7223" t="str">
            <v>אריאל-החלפת שנאי תקול 30 מגוו"א ב-50 מג</v>
          </cell>
          <cell r="D7223">
            <v>43525</v>
          </cell>
        </row>
        <row r="7224">
          <cell r="A7224" t="str">
            <v>WBE-104</v>
          </cell>
          <cell r="B7224" t="str">
            <v>אריאל</v>
          </cell>
          <cell r="C7224" t="str">
            <v>אריאל-הקמת שדה 161 למעלה אפריים</v>
          </cell>
          <cell r="D7224">
            <v>45603</v>
          </cell>
        </row>
        <row r="7225">
          <cell r="A7225" t="str">
            <v>WBM-00250</v>
          </cell>
          <cell r="B7225" t="str">
            <v>אריאל</v>
          </cell>
          <cell r="C7225" t="str">
            <v>אריאל-קליטת קו  מכיוון כפר סבא</v>
          </cell>
          <cell r="D7225">
            <v>44216</v>
          </cell>
        </row>
        <row r="7226">
          <cell r="A7226" t="str">
            <v>WBM-00860</v>
          </cell>
          <cell r="B7226" t="str">
            <v>אריאל</v>
          </cell>
          <cell r="C7226" t="str">
            <v>אריאל-הוקפא-התקנת  5 סלילי כיבוי 36 ק"ו,250 א'</v>
          </cell>
        </row>
        <row r="7227">
          <cell r="A7227" t="str">
            <v>WBM-00248</v>
          </cell>
          <cell r="B7227" t="str">
            <v>אריאל</v>
          </cell>
          <cell r="C7227" t="str">
            <v>אריאל-הוספת 4 מודולים חצוניים 5*3 מגוא"ר</v>
          </cell>
          <cell r="D7227">
            <v>45260</v>
          </cell>
        </row>
        <row r="7228">
          <cell r="A7228" t="str">
            <v>WBM-01258</v>
          </cell>
          <cell r="B7228" t="str">
            <v>אריאל</v>
          </cell>
          <cell r="C7228" t="str">
            <v>אריאל-הסבת 2 תאי מ"ג 36 ק"ו</v>
          </cell>
          <cell r="D7228">
            <v>44012</v>
          </cell>
        </row>
        <row r="7229">
          <cell r="A7229" t="str">
            <v>WBM-60075</v>
          </cell>
          <cell r="B7229" t="str">
            <v>אריאל</v>
          </cell>
          <cell r="C7229" t="str">
            <v>אריאל - עיגון ארונות פיקוד ושנאים</v>
          </cell>
          <cell r="D7229">
            <v>47057</v>
          </cell>
        </row>
        <row r="7230">
          <cell r="A7230" t="str">
            <v>WBM-40044</v>
          </cell>
          <cell r="B7230" t="str">
            <v>אריאל</v>
          </cell>
          <cell r="C7230" t="str">
            <v>אריאל - החלפת הגנות שנאים</v>
          </cell>
          <cell r="D7230">
            <v>46387</v>
          </cell>
        </row>
        <row r="7231">
          <cell r="A7231" t="str">
            <v>WBM-01043</v>
          </cell>
          <cell r="B7231" t="str">
            <v>אריאל</v>
          </cell>
          <cell r="C7231" t="str">
            <v>אריאל-החלפת מפסקים מ"ג והטמנת חיבור מ"ג משנאי 531 למסדר מ"ג.</v>
          </cell>
          <cell r="D7231">
            <v>46203</v>
          </cell>
        </row>
        <row r="7232">
          <cell r="A7232" t="str">
            <v>WBM-40484</v>
          </cell>
          <cell r="B7232" t="str">
            <v>אריאל</v>
          </cell>
          <cell r="C7232" t="str">
            <v>אריאל - התאמת שדה 1 ליכולת 1500 א'</v>
          </cell>
          <cell r="D7232">
            <v>45776</v>
          </cell>
        </row>
        <row r="7233">
          <cell r="A7233" t="str">
            <v>WBM-10289</v>
          </cell>
          <cell r="B7233" t="str">
            <v>אריאל</v>
          </cell>
          <cell r="C7233" t="str">
            <v>אריאל-התאמת תיילים-מהדקים-פורטל' WBO-139</v>
          </cell>
          <cell r="D7233">
            <v>45571</v>
          </cell>
        </row>
        <row r="7234">
          <cell r="A7234" t="str">
            <v>WBM-10229</v>
          </cell>
          <cell r="B7234" t="str">
            <v>אריאל</v>
          </cell>
          <cell r="C7234" t="str">
            <v>אריאל-משיק פ"ת ש5-החלפת הגנות בשדה 3</v>
          </cell>
          <cell r="D7234">
            <v>45229</v>
          </cell>
        </row>
        <row r="7235">
          <cell r="A7235" t="str">
            <v>WBM-10291</v>
          </cell>
          <cell r="B7235" t="str">
            <v>אריאל</v>
          </cell>
          <cell r="C7235" t="str">
            <v>אריאל-התאמת תיילים-מהדקים-פורטלי'WBO-129</v>
          </cell>
          <cell r="D7235">
            <v>45604</v>
          </cell>
        </row>
        <row r="7236">
          <cell r="A7236" t="str">
            <v>WBM-10180</v>
          </cell>
          <cell r="B7236" t="str">
            <v>אריאל</v>
          </cell>
          <cell r="C7236" t="str">
            <v>אריאל -משיק למעלה אפרים. הגנ. (ש' 12,13)</v>
          </cell>
          <cell r="D7236">
            <v>45623</v>
          </cell>
        </row>
        <row r="7237">
          <cell r="A7237" t="str">
            <v>WBM-00868</v>
          </cell>
          <cell r="B7237" t="str">
            <v>אריאל</v>
          </cell>
          <cell r="C7237" t="str">
            <v>אריאל - התקנת מאצרת שמן</v>
          </cell>
          <cell r="D7237">
            <v>44458</v>
          </cell>
        </row>
        <row r="7238">
          <cell r="A7238" t="str">
            <v>WBM-40283</v>
          </cell>
          <cell r="B7238" t="str">
            <v>אריאל</v>
          </cell>
          <cell r="C7238" t="str">
            <v>אריאל-החלפת הגנה לדיפ',ש7 וישום OM71</v>
          </cell>
          <cell r="D7238">
            <v>44313</v>
          </cell>
        </row>
        <row r="7239">
          <cell r="A7239" t="str">
            <v>WBM-01346</v>
          </cell>
          <cell r="B7239" t="str">
            <v>אריאל</v>
          </cell>
          <cell r="C7239" t="str">
            <v>אריאל- החלפת רכזת גילוי וכיבוי אש</v>
          </cell>
          <cell r="D7239">
            <v>44012</v>
          </cell>
        </row>
        <row r="7240">
          <cell r="A7240" t="str">
            <v>WBM-00396</v>
          </cell>
          <cell r="B7240" t="str">
            <v>אריאל</v>
          </cell>
          <cell r="C7240" t="str">
            <v>אריאל-החלפת מגיני ברק מ"ג</v>
          </cell>
          <cell r="D7240">
            <v>43686</v>
          </cell>
        </row>
        <row r="7241">
          <cell r="A7241" t="str">
            <v>WBM-30021</v>
          </cell>
          <cell r="B7241" t="str">
            <v>אריאל</v>
          </cell>
          <cell r="C7241" t="str">
            <v>אריאל - עיבוי מערכת טמ"ס</v>
          </cell>
          <cell r="D7241">
            <v>43615</v>
          </cell>
        </row>
        <row r="7242">
          <cell r="A7242" t="str">
            <v>WBM-00848</v>
          </cell>
          <cell r="B7242" t="str">
            <v>אריאל</v>
          </cell>
          <cell r="C7242" t="str">
            <v>אריאל-הזנת תאורת חירום ז"י</v>
          </cell>
          <cell r="D7242">
            <v>43615</v>
          </cell>
        </row>
        <row r="7243">
          <cell r="A7243" t="str">
            <v>WBM-01208</v>
          </cell>
          <cell r="B7243" t="str">
            <v>אריאל</v>
          </cell>
          <cell r="C7243" t="str">
            <v>אריאל-החלפת רושמי הפרעות INDACTIC</v>
          </cell>
          <cell r="D7243">
            <v>43373</v>
          </cell>
        </row>
        <row r="7244">
          <cell r="A7244" t="str">
            <v>WBM-10086</v>
          </cell>
          <cell r="B7244" t="str">
            <v>אריאל</v>
          </cell>
          <cell r="C7244" t="str">
            <v>אריאל - החלפת שרשראות מבודדים</v>
          </cell>
          <cell r="D7244">
            <v>43250</v>
          </cell>
        </row>
        <row r="7245">
          <cell r="A7245" t="str">
            <v>WBM-00911</v>
          </cell>
          <cell r="B7245" t="str">
            <v>אריאל</v>
          </cell>
          <cell r="C7245" t="str">
            <v>אריאל - החלפת מפסק זרם מ"ג בשדה 109</v>
          </cell>
          <cell r="D7245">
            <v>42051</v>
          </cell>
        </row>
        <row r="7246">
          <cell r="A7246">
            <v>548536</v>
          </cell>
          <cell r="B7246" t="str">
            <v>אריאל</v>
          </cell>
          <cell r="C7246" t="str">
            <v>uu46b-הצעה לפרוייקט חדש-אריאל-מנתקים</v>
          </cell>
          <cell r="D7246">
            <v>42004</v>
          </cell>
        </row>
        <row r="7247">
          <cell r="A7247" t="str">
            <v>WBM-00014</v>
          </cell>
          <cell r="B7247" t="str">
            <v>אריאל</v>
          </cell>
          <cell r="C7247" t="str">
            <v>אריאל - התקנת מערכת טמ"ס</v>
          </cell>
          <cell r="D7247">
            <v>41976</v>
          </cell>
        </row>
        <row r="7248">
          <cell r="A7248" t="str">
            <v>WBG-012-019</v>
          </cell>
          <cell r="B7248" t="str">
            <v>אריאל</v>
          </cell>
          <cell r="C7248" t="str">
            <v>אריאל-הקמת רשת מחשבים תפעולית</v>
          </cell>
          <cell r="D7248">
            <v>41589</v>
          </cell>
        </row>
        <row r="7249">
          <cell r="A7249" t="str">
            <v>WBG-012-025</v>
          </cell>
          <cell r="B7249" t="str">
            <v>אריאל</v>
          </cell>
          <cell r="C7249" t="str">
            <v>אריאל-התאמת מערכת המים לכיבוי אש</v>
          </cell>
          <cell r="D7249">
            <v>41361</v>
          </cell>
        </row>
        <row r="7250">
          <cell r="A7250" t="str">
            <v>WBG-012-004</v>
          </cell>
          <cell r="B7250" t="str">
            <v>אריאל</v>
          </cell>
          <cell r="C7250" t="str">
            <v>אריאל-הוספת סוללת מצברים 220 וולט</v>
          </cell>
          <cell r="D7250">
            <v>41274</v>
          </cell>
        </row>
        <row r="7251">
          <cell r="A7251" t="str">
            <v>WBG-012-004-ST2</v>
          </cell>
          <cell r="B7251" t="str">
            <v>אריאל</v>
          </cell>
          <cell r="C7251" t="str">
            <v>אריאל-התקנת ארון ז"י 48 וולט</v>
          </cell>
          <cell r="D7251">
            <v>41274</v>
          </cell>
        </row>
        <row r="7252">
          <cell r="A7252" t="str">
            <v>WBG-012-021</v>
          </cell>
          <cell r="B7252" t="str">
            <v>אריאל</v>
          </cell>
          <cell r="C7252" t="str">
            <v>אריאל-התקנת תקשורת מנהלתית</v>
          </cell>
          <cell r="D7252">
            <v>41274</v>
          </cell>
        </row>
        <row r="7253">
          <cell r="A7253" t="str">
            <v>WBM-40045</v>
          </cell>
          <cell r="B7253" t="str">
            <v>אריאל</v>
          </cell>
          <cell r="C7253" t="str">
            <v>אריאל-בוטל-הח' 8 מפסקי מ"ג, הח' 27 הגנות</v>
          </cell>
          <cell r="D7253">
            <v>43111</v>
          </cell>
        </row>
        <row r="7254">
          <cell r="A7254" t="str">
            <v>WBM-40046</v>
          </cell>
          <cell r="B7254" t="str">
            <v>אריאל</v>
          </cell>
          <cell r="C7254" t="str">
            <v>אריאל - בוטל-החלפת ה"מ LZ31 שדות 3,7</v>
          </cell>
          <cell r="D7254">
            <v>43111</v>
          </cell>
        </row>
        <row r="7255">
          <cell r="A7255" t="str">
            <v>WBM-00846</v>
          </cell>
          <cell r="B7255" t="str">
            <v>אריאל</v>
          </cell>
          <cell r="C7255" t="str">
            <v>אריאל-בוטל-התקנת ציוד OM עבור מעגל לשכם</v>
          </cell>
          <cell r="D7255">
            <v>42063</v>
          </cell>
        </row>
        <row r="7256">
          <cell r="A7256">
            <v>548520</v>
          </cell>
          <cell r="B7256" t="str">
            <v>אריאל</v>
          </cell>
          <cell r="C7256" t="str">
            <v>אריאל-התקנת מערכת התראה ביטחונית</v>
          </cell>
          <cell r="D7256">
            <v>38867</v>
          </cell>
        </row>
        <row r="7257">
          <cell r="A7257">
            <v>548534</v>
          </cell>
          <cell r="B7257" t="str">
            <v>אריאל</v>
          </cell>
          <cell r="C7257" t="str">
            <v>אריאל-התקנת מאווררים בארונות פיקוד</v>
          </cell>
          <cell r="D7257">
            <v>40311</v>
          </cell>
        </row>
        <row r="7258">
          <cell r="A7258" t="str">
            <v>WBG-012-026</v>
          </cell>
          <cell r="B7258" t="str">
            <v>אריאל</v>
          </cell>
          <cell r="C7258" t="str">
            <v>אריאל-הוספת הגנת מרחק שנייה</v>
          </cell>
          <cell r="D7258">
            <v>42551</v>
          </cell>
        </row>
        <row r="7259">
          <cell r="A7259" t="str">
            <v>WBE-077</v>
          </cell>
          <cell r="B7259" t="str">
            <v>אריאל</v>
          </cell>
          <cell r="C7259" t="str">
            <v>אריאל-החלפת שנאי532 ל-50 מגוו"א</v>
          </cell>
          <cell r="D7259">
            <v>41788</v>
          </cell>
        </row>
        <row r="7260">
          <cell r="A7260" t="str">
            <v>WBM-00249</v>
          </cell>
          <cell r="B7260" t="str">
            <v>אריאל</v>
          </cell>
          <cell r="C7260" t="str">
            <v>אריאל-בוטל-הוספת 3יח' ראקטורים  לס"ק</v>
          </cell>
          <cell r="D7260">
            <v>41249</v>
          </cell>
        </row>
        <row r="7261">
          <cell r="A7261" t="str">
            <v>WBM-00372</v>
          </cell>
          <cell r="B7261" t="str">
            <v>אריאל</v>
          </cell>
          <cell r="C7261" t="str">
            <v>אריאל- יישום השלת עומס לפי מתח</v>
          </cell>
          <cell r="D7261">
            <v>42628</v>
          </cell>
        </row>
        <row r="7262">
          <cell r="A7262" t="str">
            <v>WBM-01448</v>
          </cell>
          <cell r="B7262" t="str">
            <v>אריאל</v>
          </cell>
          <cell r="C7262" t="str">
            <v>אריאל-התקנת 5 מודולים חצוניים 5*3 מגוא"ר ופירוק סוללות לא תקינות</v>
          </cell>
          <cell r="D7262">
            <v>46203</v>
          </cell>
        </row>
        <row r="7263">
          <cell r="A7263" t="str">
            <v>WBM-10502</v>
          </cell>
          <cell r="B7263" t="str">
            <v>אריאל</v>
          </cell>
          <cell r="C7263" t="str">
            <v>אריאל- משיק לתה"ר אלישמע שדה 5, הוספת הגנה דיפרנציאלית בשדה 7</v>
          </cell>
          <cell r="D7263">
            <v>45371</v>
          </cell>
        </row>
        <row r="7264">
          <cell r="A7264" t="str">
            <v>WBE-190</v>
          </cell>
          <cell r="B7264" t="str">
            <v>אריאל</v>
          </cell>
          <cell r="C7264" t="str">
            <v>אריאל – התקנת שנאי חמישי 161/36 ק"ו</v>
          </cell>
          <cell r="D7264">
            <v>46387</v>
          </cell>
        </row>
        <row r="7265">
          <cell r="A7265" t="str">
            <v>WBM-10599</v>
          </cell>
          <cell r="B7265" t="str">
            <v>אריאל</v>
          </cell>
          <cell r="C7265" t="str">
            <v>אריאל - משיק לגזר שדה 17, יישום דרך קשר אופטית בין הגנות (מרחק בלבד) בשדה 13.</v>
          </cell>
          <cell r="D7265">
            <v>45839</v>
          </cell>
        </row>
        <row r="7266">
          <cell r="A7266" t="str">
            <v>WBM-40295-059</v>
          </cell>
          <cell r="B7266" t="str">
            <v>אריאל</v>
          </cell>
          <cell r="C7266" t="str">
            <v>אריאל - החלפת סוללות מצברים</v>
          </cell>
          <cell r="D7266">
            <v>46387</v>
          </cell>
        </row>
        <row r="7267">
          <cell r="A7267" t="str">
            <v>WBM-40479-022</v>
          </cell>
          <cell r="B7267" t="str">
            <v>אריאל</v>
          </cell>
          <cell r="C7267" t="str">
            <v>אריאל- החלפת 2 בקרי טמפ' וגובה שמן בש</v>
          </cell>
          <cell r="D7267">
            <v>47572</v>
          </cell>
        </row>
        <row r="7268">
          <cell r="A7268" t="str">
            <v>WBM-60092-037</v>
          </cell>
          <cell r="B7268" t="str">
            <v>אריאל</v>
          </cell>
          <cell r="C7268" t="str">
            <v>אריאל -בדיקות/טיפול/פינוי מכלי אש בגז</v>
          </cell>
          <cell r="D7268">
            <v>46096</v>
          </cell>
        </row>
        <row r="7269">
          <cell r="A7269" t="str">
            <v>WBM-60130-005</v>
          </cell>
          <cell r="B7269" t="str">
            <v>אריאל</v>
          </cell>
          <cell r="C7269" t="str">
            <v>אריאל - התקנת מפסק פטריה להפסקת מערכת החשמל בחירום</v>
          </cell>
          <cell r="D7269">
            <v>46568</v>
          </cell>
        </row>
        <row r="7270">
          <cell r="A7270" t="str">
            <v>WBM-10647</v>
          </cell>
          <cell r="B7270" t="str">
            <v>אריאל</v>
          </cell>
          <cell r="C7270" t="str">
            <v>אריאל - משיק לגזר שדה 17, התקנת הגנת מרחק בשדה 1 ויישום דרך קשר</v>
          </cell>
          <cell r="D7270">
            <v>46356</v>
          </cell>
        </row>
        <row r="7271">
          <cell r="A7271" t="str">
            <v>WBM-00885-143</v>
          </cell>
          <cell r="B7271" t="str">
            <v>אריאל</v>
          </cell>
          <cell r="C7271" t="str">
            <v>אריאל - החלפת גמל מים</v>
          </cell>
          <cell r="D7271">
            <v>46387</v>
          </cell>
        </row>
        <row r="7272">
          <cell r="A7272" t="str">
            <v>WBM-10708</v>
          </cell>
          <cell r="B7272" t="str">
            <v>אריאל</v>
          </cell>
          <cell r="C7272" t="str">
            <v>אריאל- שדה 7, משיק לכפר סבא שדה 1. יישום דרך קשר אופטית בין הגנות</v>
          </cell>
          <cell r="D7272">
            <v>46326</v>
          </cell>
        </row>
        <row r="7273">
          <cell r="A7273" t="str">
            <v>WBM-10802</v>
          </cell>
          <cell r="B7273" t="str">
            <v>אריאל</v>
          </cell>
          <cell r="C7273" t="str">
            <v>אריאל - משיק לשוהם SDS שדה 1, יישום דרך קשר אופטית בין הגנות בשדה 1</v>
          </cell>
          <cell r="D7273">
            <v>46356</v>
          </cell>
        </row>
        <row r="7274">
          <cell r="A7274" t="str">
            <v>WBC-087</v>
          </cell>
          <cell r="B7274" t="str">
            <v>אפולוניה</v>
          </cell>
          <cell r="C7274" t="str">
            <v>אפולוניה-בוטל-הקמת תחמ"ש פנימית 161/24</v>
          </cell>
          <cell r="D7274">
            <v>41564</v>
          </cell>
        </row>
        <row r="7275">
          <cell r="A7275" t="str">
            <v>HIS-151</v>
          </cell>
          <cell r="B7275" t="str">
            <v>אספקת אויר-פרטית</v>
          </cell>
          <cell r="C7275" t="str">
            <v>אספקת אויר-פרטית</v>
          </cell>
          <cell r="D7275">
            <v>40908</v>
          </cell>
        </row>
        <row r="7276">
          <cell r="A7276" t="str">
            <v>WBM-10191</v>
          </cell>
          <cell r="B7276" t="str">
            <v>אספקת אויר-פרטית</v>
          </cell>
          <cell r="C7276" t="str">
            <v>אספקת אויר-בוטל- משיק לק. גת,הג' מר.+דיפ</v>
          </cell>
          <cell r="D7276">
            <v>44197</v>
          </cell>
        </row>
        <row r="7277">
          <cell r="A7277" t="str">
            <v>WBM-80016</v>
          </cell>
          <cell r="B7277" t="str">
            <v>אספקת אויר-פרטית</v>
          </cell>
          <cell r="C7277" t="str">
            <v>אספקת אויר-ישום תקשורת,תמסורת,סיב אופטי</v>
          </cell>
          <cell r="D7277">
            <v>45011</v>
          </cell>
        </row>
        <row r="7278">
          <cell r="A7278" t="str">
            <v>WBM-80006-001</v>
          </cell>
          <cell r="B7278" t="str">
            <v>אספקת אויר-פרטית</v>
          </cell>
          <cell r="C7278" t="str">
            <v>מרכז טכני -החלפת טכ' מרבבי MP2  לתקשורת</v>
          </cell>
          <cell r="D7278">
            <v>47938</v>
          </cell>
        </row>
        <row r="7279">
          <cell r="A7279" t="str">
            <v>HIS-059</v>
          </cell>
          <cell r="B7279" t="str">
            <v>אנילביץ</v>
          </cell>
          <cell r="C7279" t="str">
            <v>אנילביץ</v>
          </cell>
          <cell r="D7279">
            <v>40908</v>
          </cell>
        </row>
        <row r="7280">
          <cell r="A7280" t="str">
            <v>WBM-01279</v>
          </cell>
          <cell r="B7280" t="str">
            <v>אנילביץ</v>
          </cell>
          <cell r="C7280" t="str">
            <v>אנילביץ - שיפור לוגיקת סלילי כיבוי</v>
          </cell>
          <cell r="D7280">
            <v>44416</v>
          </cell>
        </row>
        <row r="7281">
          <cell r="A7281">
            <v>547622</v>
          </cell>
          <cell r="B7281" t="str">
            <v>אנילביץ</v>
          </cell>
          <cell r="C7281" t="str">
            <v>אנילביץ' - פיילוט לחיבור מחשב SCS</v>
          </cell>
          <cell r="D7281">
            <v>41394</v>
          </cell>
        </row>
        <row r="7282">
          <cell r="A7282">
            <v>547623</v>
          </cell>
          <cell r="B7282" t="str">
            <v>אנילביץ</v>
          </cell>
          <cell r="C7282" t="str">
            <v>אנילביץ-התקנת ממירים ל - 60 וולט</v>
          </cell>
          <cell r="D7282">
            <v>41577</v>
          </cell>
        </row>
        <row r="7283">
          <cell r="A7283" t="str">
            <v>WBG-011-018</v>
          </cell>
          <cell r="B7283" t="str">
            <v>אנילביץ</v>
          </cell>
          <cell r="C7283" t="str">
            <v>אנילביץ-הקמת מערכת טמ"ס</v>
          </cell>
          <cell r="D7283">
            <v>41639</v>
          </cell>
        </row>
        <row r="7284">
          <cell r="A7284" t="str">
            <v>WBM-10027</v>
          </cell>
          <cell r="B7284" t="str">
            <v>אנילביץ</v>
          </cell>
          <cell r="C7284" t="str">
            <v>אנילביץ - התקנת רושם הפרעות</v>
          </cell>
          <cell r="D7284">
            <v>46387</v>
          </cell>
        </row>
        <row r="7285">
          <cell r="A7285" t="str">
            <v>WBG-011-009</v>
          </cell>
          <cell r="B7285" t="str">
            <v>אנילביץ</v>
          </cell>
          <cell r="C7285" t="str">
            <v>אנילביץ-הפרדת אתראת "פליטת מימן ממצברים"</v>
          </cell>
          <cell r="D7285">
            <v>40999</v>
          </cell>
        </row>
        <row r="7286">
          <cell r="A7286" t="str">
            <v>WBG-011-012</v>
          </cell>
          <cell r="B7286" t="str">
            <v>אנילביץ</v>
          </cell>
          <cell r="C7286" t="str">
            <v>אנילביץ-הקמת רשת מחשבים תפעולית</v>
          </cell>
          <cell r="D7286">
            <v>40979</v>
          </cell>
        </row>
        <row r="7287">
          <cell r="A7287" t="str">
            <v>WBG-011-017</v>
          </cell>
          <cell r="B7287" t="str">
            <v>אנילביץ</v>
          </cell>
          <cell r="C7287" t="str">
            <v>אנילביץ-העברת שדות 24 ו-161 ק"ו למע' SCS</v>
          </cell>
          <cell r="D7287">
            <v>40968</v>
          </cell>
        </row>
        <row r="7288">
          <cell r="A7288" t="str">
            <v>WBM-10062</v>
          </cell>
          <cell r="B7288" t="str">
            <v>אנילביץ</v>
          </cell>
          <cell r="C7288" t="str">
            <v>אנילביץ -בוטל- החלפת גשרי דיודות</v>
          </cell>
          <cell r="D7288">
            <v>43769</v>
          </cell>
        </row>
        <row r="7289">
          <cell r="A7289" t="str">
            <v>WBM-40256</v>
          </cell>
          <cell r="B7289" t="str">
            <v>אנילביץ</v>
          </cell>
          <cell r="C7289" t="str">
            <v>אנילביץ'- בוטל-החלפת טרפו גרד לשנאים</v>
          </cell>
          <cell r="D7289">
            <v>43111</v>
          </cell>
        </row>
        <row r="7290">
          <cell r="A7290">
            <v>547624</v>
          </cell>
          <cell r="B7290" t="str">
            <v>אנילביץ</v>
          </cell>
          <cell r="C7290" t="str">
            <v>אנילביץ- החלפת גשרי דיודות</v>
          </cell>
          <cell r="D7290">
            <v>42277</v>
          </cell>
        </row>
        <row r="7291">
          <cell r="A7291">
            <v>547619</v>
          </cell>
          <cell r="B7291" t="str">
            <v>אנילביץ</v>
          </cell>
          <cell r="C7291" t="str">
            <v>אנילביץ-התקנת מאווררים בארונות פיקוד</v>
          </cell>
          <cell r="D7291">
            <v>40311</v>
          </cell>
        </row>
        <row r="7292">
          <cell r="A7292" t="str">
            <v>WBG-011-015</v>
          </cell>
          <cell r="B7292" t="str">
            <v>אנילביץ</v>
          </cell>
          <cell r="C7292" t="str">
            <v>אנילביץ-החלפת רכזת התראה בטחונית</v>
          </cell>
          <cell r="D7292">
            <v>38867</v>
          </cell>
        </row>
        <row r="7293">
          <cell r="A7293" t="str">
            <v>WBM-00772</v>
          </cell>
          <cell r="B7293" t="str">
            <v>אנילביץ</v>
          </cell>
          <cell r="C7293" t="str">
            <v>אנילביץ-סימון רחבת התארגנות לכבאים</v>
          </cell>
          <cell r="D7293">
            <v>41729</v>
          </cell>
        </row>
        <row r="7294">
          <cell r="A7294" t="str">
            <v>WBG-011-004</v>
          </cell>
          <cell r="B7294" t="str">
            <v>אנילביץ</v>
          </cell>
          <cell r="C7294" t="str">
            <v>אנילביץ-התקנת 3 ס"ק,5*2 מגווא"ר כ"א</v>
          </cell>
          <cell r="D7294">
            <v>41125</v>
          </cell>
        </row>
        <row r="7295">
          <cell r="A7295" t="str">
            <v>WBM-40479-034</v>
          </cell>
          <cell r="B7295" t="str">
            <v>אנילביץ</v>
          </cell>
          <cell r="C7295" t="str">
            <v>אנילביץ'- החלפת 2 בקרי טמפ' וגובה שמן בש</v>
          </cell>
          <cell r="D7295">
            <v>48182</v>
          </cell>
        </row>
        <row r="7296">
          <cell r="A7296" t="str">
            <v>WBM-60107-009</v>
          </cell>
          <cell r="B7296" t="str">
            <v>אנילביץ</v>
          </cell>
          <cell r="C7296" t="str">
            <v>אנילביץ - החלפת מנעולים אלק.מגנטיים באלק</v>
          </cell>
          <cell r="D7296">
            <v>45664</v>
          </cell>
        </row>
        <row r="7297">
          <cell r="A7297" t="str">
            <v>WBM-01341-044</v>
          </cell>
          <cell r="B7297" t="str">
            <v>אנילביץ</v>
          </cell>
          <cell r="C7297" t="str">
            <v>אנילביץ -שיפוץ מסדר GIS</v>
          </cell>
          <cell r="D7297">
            <v>47664</v>
          </cell>
        </row>
        <row r="7298">
          <cell r="A7298" t="str">
            <v>WBM-10315-070</v>
          </cell>
          <cell r="B7298" t="str">
            <v>אנילביץ</v>
          </cell>
          <cell r="C7298" t="str">
            <v>אנילביץ - התקנת מזגנים</v>
          </cell>
          <cell r="D7298">
            <v>45838</v>
          </cell>
        </row>
        <row r="7299">
          <cell r="A7299" t="str">
            <v>WBM-60205-002</v>
          </cell>
          <cell r="B7299" t="str">
            <v>אנילביץ</v>
          </cell>
          <cell r="C7299" t="str">
            <v>אנילביץ' - ניטור הצפות</v>
          </cell>
          <cell r="D7299">
            <v>46175</v>
          </cell>
        </row>
        <row r="7300">
          <cell r="A7300" t="str">
            <v>WBM-60092-041</v>
          </cell>
          <cell r="B7300" t="str">
            <v>אנילביץ</v>
          </cell>
          <cell r="C7300" t="str">
            <v>אנילביץ- בדיקות/טיפול/פינוי מכלי אש בגז</v>
          </cell>
          <cell r="D7300">
            <v>46387</v>
          </cell>
        </row>
        <row r="7301">
          <cell r="A7301">
            <v>925395</v>
          </cell>
          <cell r="B7301" t="str">
            <v>אלפי מנשה</v>
          </cell>
          <cell r="C7301" t="str">
            <v>אלפי מנשה- תכנון  תחנה מורידה מתח</v>
          </cell>
          <cell r="D7301">
            <v>39386</v>
          </cell>
        </row>
        <row r="7302">
          <cell r="A7302" t="str">
            <v>WBD-057-ST2</v>
          </cell>
          <cell r="B7302" t="str">
            <v>אלפי מנשה</v>
          </cell>
          <cell r="C7302" t="str">
            <v>אלפי מנשה-פירוק תחמ"ש ניידת</v>
          </cell>
          <cell r="D7302">
            <v>48244</v>
          </cell>
        </row>
        <row r="7303">
          <cell r="A7303" t="str">
            <v>WBD-057</v>
          </cell>
          <cell r="B7303" t="str">
            <v>אלפי מנשה</v>
          </cell>
          <cell r="C7303" t="str">
            <v>אלפי מנשה-הצבת תחמ"ש ניידת</v>
          </cell>
          <cell r="D7303">
            <v>44150</v>
          </cell>
        </row>
        <row r="7304">
          <cell r="A7304" t="str">
            <v>WBM-40479-009</v>
          </cell>
          <cell r="B7304" t="str">
            <v>אלפי מנשה</v>
          </cell>
          <cell r="C7304" t="str">
            <v>אלפי מנשה- החלפת 1 בקר טמפ' וגובה שמן בש</v>
          </cell>
          <cell r="D7304">
            <v>47664</v>
          </cell>
        </row>
        <row r="7305">
          <cell r="A7305" t="str">
            <v>WBM-60116-026</v>
          </cell>
          <cell r="B7305" t="str">
            <v>אלפי מנשה</v>
          </cell>
          <cell r="C7305" t="str">
            <v>ניידת אלפי מנשה - שידרוג גלאים בתחנות מש</v>
          </cell>
          <cell r="D7305">
            <v>46752</v>
          </cell>
        </row>
        <row r="7306">
          <cell r="A7306" t="str">
            <v>WBD-125</v>
          </cell>
          <cell r="B7306" t="str">
            <v>אלפי מנשה</v>
          </cell>
          <cell r="C7306" t="str">
            <v>אלפי מנשה- החלפת ניידת 20 מגוו"א בניידת 30 מגוו"א</v>
          </cell>
          <cell r="D7306">
            <v>46196</v>
          </cell>
        </row>
        <row r="7307">
          <cell r="A7307" t="str">
            <v>HIS-133</v>
          </cell>
          <cell r="B7307" t="str">
            <v>אלעד ניידת</v>
          </cell>
          <cell r="C7307" t="str">
            <v>אלעד ניידת</v>
          </cell>
          <cell r="D7307">
            <v>40908</v>
          </cell>
        </row>
        <row r="7308">
          <cell r="A7308" t="str">
            <v>WBD-028-ST2</v>
          </cell>
          <cell r="B7308" t="str">
            <v>אלעד ניידת</v>
          </cell>
          <cell r="C7308" t="str">
            <v>ניידת-פירוק תחמ"ש ניידותאלעד</v>
          </cell>
          <cell r="D7308">
            <v>46081</v>
          </cell>
        </row>
        <row r="7309">
          <cell r="A7309" t="str">
            <v>WBD-066</v>
          </cell>
          <cell r="B7309" t="str">
            <v>אלעד ניידת</v>
          </cell>
          <cell r="C7309" t="str">
            <v>אלעד 2 ניידת-הצבת  תחמ"ש ניידת שניה</v>
          </cell>
          <cell r="D7309">
            <v>43296</v>
          </cell>
        </row>
        <row r="7310">
          <cell r="A7310" t="str">
            <v>WBM-60116-027</v>
          </cell>
          <cell r="B7310" t="str">
            <v>אלעד ניידת</v>
          </cell>
          <cell r="C7310" t="str">
            <v>ניידת אלעד1- שידרוג גלאים בתחנות משנה ומ</v>
          </cell>
          <cell r="D7310">
            <v>46721</v>
          </cell>
        </row>
        <row r="7311">
          <cell r="A7311" t="str">
            <v>WBM-60116-036</v>
          </cell>
          <cell r="B7311" t="str">
            <v>אלעד ניידת</v>
          </cell>
          <cell r="C7311" t="str">
            <v>ניידת אלעד 2 - שידרוג גלאים בתחנות משנה</v>
          </cell>
          <cell r="D7311">
            <v>46752</v>
          </cell>
        </row>
        <row r="7312">
          <cell r="A7312" t="str">
            <v>WBC-068</v>
          </cell>
          <cell r="B7312" t="str">
            <v>אלעד</v>
          </cell>
          <cell r="C7312" t="str">
            <v>אלעד- הקמת תחמ"ש חיצונית, 161/24 ק"ו</v>
          </cell>
          <cell r="D7312">
            <v>45929</v>
          </cell>
        </row>
        <row r="7313">
          <cell r="A7313" t="str">
            <v>WBM-10110</v>
          </cell>
          <cell r="B7313" t="str">
            <v>אלעד</v>
          </cell>
          <cell r="C7313" t="str">
            <v>אלעד-החלפת תחמ"ש ניידת 1</v>
          </cell>
          <cell r="D7313">
            <v>43948</v>
          </cell>
        </row>
        <row r="7314">
          <cell r="A7314" t="str">
            <v>WBG-138-002</v>
          </cell>
          <cell r="B7314" t="str">
            <v>אלעד</v>
          </cell>
          <cell r="C7314" t="str">
            <v>אלעד ניידת-התקנת מערכת מניה בניידת</v>
          </cell>
          <cell r="D7314">
            <v>40694</v>
          </cell>
        </row>
        <row r="7315">
          <cell r="A7315" t="str">
            <v>WBM-40479-045</v>
          </cell>
          <cell r="B7315" t="str">
            <v>אלעד</v>
          </cell>
          <cell r="C7315" t="str">
            <v>אלעד- החלפת בקר טמפ' וגובה שמן בשנאי</v>
          </cell>
          <cell r="D7315">
            <v>46934</v>
          </cell>
        </row>
        <row r="7316">
          <cell r="A7316" t="str">
            <v>WBM-60116-055</v>
          </cell>
          <cell r="B7316" t="str">
            <v>אלעד</v>
          </cell>
          <cell r="C7316" t="str">
            <v>ניידת אלעד - מערכת גילוי וכיבוי אש אוטומטית CERBERUS</v>
          </cell>
          <cell r="D7316">
            <v>46387</v>
          </cell>
        </row>
        <row r="7317">
          <cell r="A7317" t="str">
            <v>WBE-286</v>
          </cell>
          <cell r="B7317" t="str">
            <v>אלעד</v>
          </cell>
          <cell r="C7317" t="str">
            <v>אלעד-התקנת שנאי שלישי 50 מגוו"א 161/24 ק"ו מס' 523</v>
          </cell>
          <cell r="D7317">
            <v>46752</v>
          </cell>
        </row>
        <row r="7318">
          <cell r="A7318" t="str">
            <v>WBC-049</v>
          </cell>
          <cell r="B7318" t="str">
            <v>אלנבי</v>
          </cell>
          <cell r="C7318" t="str">
            <v>אלנבי(דולפין)-הקמת תחמ"ש פנימית 161/24</v>
          </cell>
          <cell r="D7318">
            <v>49247</v>
          </cell>
        </row>
        <row r="7319">
          <cell r="A7319" t="str">
            <v>WBC-089</v>
          </cell>
          <cell r="B7319" t="str">
            <v>אלמוג</v>
          </cell>
          <cell r="C7319" t="str">
            <v>אלמוג- הקמת תחמ"ש פנימית 161/36 ק"ו</v>
          </cell>
          <cell r="D7319">
            <v>51439</v>
          </cell>
        </row>
        <row r="7320">
          <cell r="A7320" t="str">
            <v>HIS-150</v>
          </cell>
          <cell r="B7320" t="str">
            <v>אליאנס-פרטית</v>
          </cell>
          <cell r="C7320" t="str">
            <v>אליאנס-פרטית</v>
          </cell>
          <cell r="D7320">
            <v>40908</v>
          </cell>
        </row>
        <row r="7321">
          <cell r="A7321">
            <v>900003</v>
          </cell>
          <cell r="B7321" t="str">
            <v>אלון תבור- תחנת כח</v>
          </cell>
          <cell r="C7321" t="str">
            <v>אלון תבור-קליטת ט"ג חדשות GT7,GT6 בהספק</v>
          </cell>
          <cell r="D7321">
            <v>45934</v>
          </cell>
        </row>
        <row r="7322">
          <cell r="A7322" t="str">
            <v>HIS-058</v>
          </cell>
          <cell r="B7322" t="str">
            <v>אלון תבור</v>
          </cell>
          <cell r="C7322" t="str">
            <v>אלון תבור</v>
          </cell>
          <cell r="D7322">
            <v>40908</v>
          </cell>
        </row>
        <row r="7323">
          <cell r="A7323" t="str">
            <v>WBE-124</v>
          </cell>
          <cell r="B7323" t="str">
            <v>אלון תבור</v>
          </cell>
          <cell r="C7323" t="str">
            <v>אלון תבור- התקנת  שנאי שלישי -50 מגוו"א</v>
          </cell>
          <cell r="D7323">
            <v>45361</v>
          </cell>
        </row>
        <row r="7324">
          <cell r="A7324" t="str">
            <v>WDB-04COM16</v>
          </cell>
          <cell r="B7324" t="str">
            <v>אלון תבור</v>
          </cell>
          <cell r="C7324" t="str">
            <v>אלון תבור-הנחת כבל אופטי מכיוון ג.המורה</v>
          </cell>
          <cell r="D7324">
            <v>41779</v>
          </cell>
        </row>
        <row r="7325">
          <cell r="A7325" t="str">
            <v>WBM-10238</v>
          </cell>
          <cell r="B7325" t="str">
            <v>אלון תבור</v>
          </cell>
          <cell r="C7325" t="str">
            <v>אלון תבור-משיק קו-התקנת ציוד הצמדה 18,19</v>
          </cell>
          <cell r="D7325">
            <v>45291</v>
          </cell>
        </row>
        <row r="7326">
          <cell r="A7326" t="str">
            <v>WBM-00356</v>
          </cell>
          <cell r="B7326" t="str">
            <v>אלון תבור</v>
          </cell>
          <cell r="C7326" t="str">
            <v>אלון תבור-העתקת ט"ג  GT1 ו-GT2</v>
          </cell>
          <cell r="D7326">
            <v>45067</v>
          </cell>
        </row>
        <row r="7327">
          <cell r="A7327" t="str">
            <v>WBM-00994</v>
          </cell>
          <cell r="B7327" t="str">
            <v>אלון תבור</v>
          </cell>
          <cell r="C7327" t="str">
            <v>אלון תבור- החלפת סלילי כיבוי ושנאי הארקה עבור שנאים 521, 522</v>
          </cell>
          <cell r="D7327">
            <v>46203</v>
          </cell>
        </row>
        <row r="7328">
          <cell r="A7328" t="str">
            <v>WBM-10372</v>
          </cell>
          <cell r="B7328" t="str">
            <v>אלון תבור</v>
          </cell>
          <cell r="C7328" t="str">
            <v>אלון תבור-הת' תיילים-מהדקים-פורט'wbo-090</v>
          </cell>
          <cell r="D7328">
            <v>47118</v>
          </cell>
        </row>
        <row r="7329">
          <cell r="A7329" t="str">
            <v>WBM-01207</v>
          </cell>
          <cell r="B7329" t="str">
            <v>אלון תבור</v>
          </cell>
          <cell r="C7329" t="str">
            <v>אלון תבור-החלפת רושמי הפרעות INDACTIC</v>
          </cell>
          <cell r="D7329">
            <v>46387</v>
          </cell>
        </row>
        <row r="7330">
          <cell r="A7330" t="str">
            <v>WBM-40279</v>
          </cell>
          <cell r="B7330" t="str">
            <v>אלון תבור</v>
          </cell>
          <cell r="C7330" t="str">
            <v>אלון תבור-שדרוג מער' בקרה ופיקוד מסדרים</v>
          </cell>
          <cell r="D7330">
            <v>46203</v>
          </cell>
        </row>
        <row r="7331">
          <cell r="A7331" t="str">
            <v>WBM-01168</v>
          </cell>
          <cell r="B7331" t="str">
            <v>אלון תבור</v>
          </cell>
          <cell r="C7331" t="str">
            <v>אלון תבור-שדרוג מערכות SCS סוג UNIX-LON</v>
          </cell>
          <cell r="D7331">
            <v>46477</v>
          </cell>
        </row>
        <row r="7332">
          <cell r="A7332" t="str">
            <v>WBM-70028</v>
          </cell>
          <cell r="B7332" t="str">
            <v>אלון תבור</v>
          </cell>
          <cell r="C7332" t="str">
            <v>אלון תבור - התקנת ס"ק עבור שנאי שלישי</v>
          </cell>
          <cell r="D7332">
            <v>46356</v>
          </cell>
        </row>
        <row r="7333">
          <cell r="A7333" t="str">
            <v>WBM-10296</v>
          </cell>
          <cell r="B7333" t="str">
            <v>אלון תבור</v>
          </cell>
          <cell r="C7333" t="str">
            <v>אלון תבור-התא.תיילים-מהד'-פורטלWBO-055</v>
          </cell>
          <cell r="D7333">
            <v>45412</v>
          </cell>
        </row>
        <row r="7334">
          <cell r="A7334" t="str">
            <v>WBM-10198</v>
          </cell>
          <cell r="B7334" t="str">
            <v>אלון תבור</v>
          </cell>
          <cell r="C7334" t="str">
            <v>אלון תבור-משיק, הגנות  לדיפ.ש. 4,5,18,22</v>
          </cell>
          <cell r="D7334">
            <v>46387</v>
          </cell>
        </row>
        <row r="7335">
          <cell r="A7335" t="str">
            <v>WBM-10231</v>
          </cell>
          <cell r="B7335" t="str">
            <v>אלון תבור</v>
          </cell>
          <cell r="C7335" t="str">
            <v>אלון תבור-משיק, הגנות  לדיפ.ש. 6,17,19</v>
          </cell>
          <cell r="D7335">
            <v>45351</v>
          </cell>
        </row>
        <row r="7336">
          <cell r="A7336" t="str">
            <v>WBM-40478</v>
          </cell>
          <cell r="B7336" t="str">
            <v>אלון תבור</v>
          </cell>
          <cell r="C7336" t="str">
            <v>אלון תבור - החלפת הגנת פ"צ וכשל מפסק</v>
          </cell>
          <cell r="D7336">
            <v>44731</v>
          </cell>
        </row>
        <row r="7337">
          <cell r="A7337" t="str">
            <v>WBM-10230</v>
          </cell>
          <cell r="B7337" t="str">
            <v>אלון תבור</v>
          </cell>
          <cell r="C7337" t="str">
            <v>אלון תבור - שיפור מערכת המיזוג</v>
          </cell>
          <cell r="D7337">
            <v>44586</v>
          </cell>
        </row>
        <row r="7338">
          <cell r="A7338" t="str">
            <v>WBM-01413</v>
          </cell>
          <cell r="B7338" t="str">
            <v>אלון תבור</v>
          </cell>
          <cell r="C7338" t="str">
            <v>אלון תבור - עיגון ארונות פיקוד והגנה</v>
          </cell>
          <cell r="D7338">
            <v>44557</v>
          </cell>
        </row>
        <row r="7339">
          <cell r="A7339" t="str">
            <v>0243078</v>
          </cell>
          <cell r="B7339" t="str">
            <v>אלון תבור</v>
          </cell>
          <cell r="C7339" t="str">
            <v>אלון תבור- החלפת מערכת פיקוד</v>
          </cell>
          <cell r="D7339">
            <v>44499</v>
          </cell>
        </row>
        <row r="7340">
          <cell r="A7340" t="str">
            <v>WBG-010-009</v>
          </cell>
          <cell r="B7340" t="str">
            <v>אלון תבור</v>
          </cell>
          <cell r="C7340" t="str">
            <v>אלון תבור-הרחבת רושם הפרעות 161 ק"ו</v>
          </cell>
          <cell r="D7340">
            <v>41149</v>
          </cell>
        </row>
        <row r="7341">
          <cell r="A7341" t="str">
            <v>WBM-01331</v>
          </cell>
          <cell r="B7341" t="str">
            <v>אלון תבור</v>
          </cell>
          <cell r="C7341" t="str">
            <v>אלון תבור -בוטל-החלפת מערכת פיקוד ל-SF6</v>
          </cell>
          <cell r="D7341">
            <v>42948</v>
          </cell>
        </row>
        <row r="7342">
          <cell r="A7342" t="str">
            <v>WBM-40043</v>
          </cell>
          <cell r="B7342" t="str">
            <v>אלון תבור</v>
          </cell>
          <cell r="C7342" t="str">
            <v>אלון תבור- בוטל-החלפת  טרפו גארד</v>
          </cell>
          <cell r="D7342">
            <v>43111</v>
          </cell>
        </row>
        <row r="7343">
          <cell r="A7343" t="str">
            <v>WBM-10075</v>
          </cell>
          <cell r="B7343" t="str">
            <v>אלון תבור</v>
          </cell>
          <cell r="C7343" t="str">
            <v>אלון תבור-בוטל-החלפת גשרי דיודות</v>
          </cell>
          <cell r="D7343">
            <v>43768</v>
          </cell>
        </row>
        <row r="7344">
          <cell r="A7344" t="str">
            <v>WBM-00240</v>
          </cell>
          <cell r="B7344" t="str">
            <v>אלון תבור</v>
          </cell>
          <cell r="C7344" t="str">
            <v>אלון תבור-בוטל-הקמת טבעת 60N OM</v>
          </cell>
          <cell r="D7344">
            <v>41943</v>
          </cell>
        </row>
        <row r="7345">
          <cell r="A7345">
            <v>524923</v>
          </cell>
          <cell r="B7345" t="str">
            <v>אלון תבור</v>
          </cell>
          <cell r="C7345" t="str">
            <v>אלון תבור-החלפת גשר  דיודות</v>
          </cell>
          <cell r="D7345">
            <v>42094</v>
          </cell>
        </row>
        <row r="7346">
          <cell r="A7346" t="str">
            <v>WBM-00392</v>
          </cell>
          <cell r="B7346" t="str">
            <v>אלון תבור</v>
          </cell>
          <cell r="C7346" t="str">
            <v>אלון תבור-בוטל-התקנת מערכת התראה בטחונית</v>
          </cell>
          <cell r="D7346">
            <v>36526</v>
          </cell>
        </row>
        <row r="7347">
          <cell r="A7347" t="str">
            <v>WBM-00393</v>
          </cell>
          <cell r="B7347" t="str">
            <v>אלון תבור</v>
          </cell>
          <cell r="C7347" t="str">
            <v>אלון תבור-בוטל שיפור מערכת הארקת בתחמ"ש</v>
          </cell>
          <cell r="D7347">
            <v>39798</v>
          </cell>
        </row>
        <row r="7348">
          <cell r="A7348" t="str">
            <v>WBM-00394</v>
          </cell>
          <cell r="B7348" t="str">
            <v>אלון תבור</v>
          </cell>
          <cell r="C7348" t="str">
            <v>אלון תבור-בוטל-התקנת מאווררים בארונות פי</v>
          </cell>
          <cell r="D7348">
            <v>40311</v>
          </cell>
        </row>
        <row r="7349">
          <cell r="A7349" t="str">
            <v>WBM-00166</v>
          </cell>
          <cell r="B7349" t="str">
            <v>אלון תבור</v>
          </cell>
          <cell r="C7349" t="str">
            <v>אלון תבור-ביטול קשר בין2טבעות OM במ.ירוק</v>
          </cell>
          <cell r="D7349">
            <v>38928</v>
          </cell>
        </row>
        <row r="7350">
          <cell r="A7350" t="str">
            <v>WBG-010-001-ST2</v>
          </cell>
          <cell r="B7350" t="str">
            <v>אלון תבור</v>
          </cell>
          <cell r="C7350" t="str">
            <v>אלון תבור-ביטול קשר בין 2טבעות OM במ.לבן</v>
          </cell>
          <cell r="D7350">
            <v>38928</v>
          </cell>
        </row>
        <row r="7351">
          <cell r="A7351" t="str">
            <v>WBG-010-009-ST2</v>
          </cell>
          <cell r="B7351" t="str">
            <v>אלון תבור</v>
          </cell>
          <cell r="C7351" t="str">
            <v>אלון תבור-שינויים בחיווט רושם הפרעות</v>
          </cell>
          <cell r="D7351">
            <v>38533</v>
          </cell>
        </row>
        <row r="7352">
          <cell r="A7352" t="str">
            <v>WBM-01128</v>
          </cell>
          <cell r="B7352" t="str">
            <v>אלון תבור</v>
          </cell>
          <cell r="C7352" t="str">
            <v>אלון תבור- החלפת הגנות לגבעת המורה</v>
          </cell>
          <cell r="D7352">
            <v>43558</v>
          </cell>
        </row>
        <row r="7353">
          <cell r="A7353" t="str">
            <v>WBM-10533</v>
          </cell>
          <cell r="B7353" t="str">
            <v>אלון תבור</v>
          </cell>
          <cell r="C7353" t="str">
            <v>אלון תבור- הוספת אוטומטיקת סלילי כיבוי שנאי 521 522</v>
          </cell>
          <cell r="D7353">
            <v>45571</v>
          </cell>
        </row>
        <row r="7354">
          <cell r="A7354" t="str">
            <v>WBM-10566</v>
          </cell>
          <cell r="B7354" t="str">
            <v>אלון תבור</v>
          </cell>
          <cell r="C7354" t="str">
            <v>אלון תבור – קליטת יחידות ייצור חדשות</v>
          </cell>
          <cell r="D7354">
            <v>45777</v>
          </cell>
        </row>
        <row r="7355">
          <cell r="A7355" t="str">
            <v>WBM-10456-026</v>
          </cell>
          <cell r="B7355" t="str">
            <v>אלון תבור</v>
          </cell>
          <cell r="C7355" t="str">
            <v>אלון תבור- הוספת מתמרים ב-2 פ"צ</v>
          </cell>
          <cell r="D7355">
            <v>46752</v>
          </cell>
        </row>
        <row r="7356">
          <cell r="A7356" t="str">
            <v>WBM-40295-037</v>
          </cell>
          <cell r="B7356" t="str">
            <v>אלון תבור</v>
          </cell>
          <cell r="C7356" t="str">
            <v>אלון תבור - החלפת 2 סוללות 510AH</v>
          </cell>
          <cell r="D7356">
            <v>46387</v>
          </cell>
        </row>
        <row r="7357">
          <cell r="A7357" t="str">
            <v>WBM-40479-061</v>
          </cell>
          <cell r="B7357" t="str">
            <v>אלון תבור</v>
          </cell>
          <cell r="C7357" t="str">
            <v>אלון תבור- החלפת 2 בקרי טמפ' וגובה שמן ב</v>
          </cell>
          <cell r="D7357">
            <v>47906</v>
          </cell>
        </row>
        <row r="7358">
          <cell r="A7358" t="str">
            <v>WBM-40521-006</v>
          </cell>
          <cell r="B7358" t="str">
            <v>אלון תבור</v>
          </cell>
          <cell r="C7358" t="str">
            <v>אלון תבור - החלפת שנאי הארקה</v>
          </cell>
          <cell r="D7358">
            <v>45571</v>
          </cell>
        </row>
        <row r="7359">
          <cell r="A7359" t="str">
            <v>WBM-60092-007</v>
          </cell>
          <cell r="B7359" t="str">
            <v>אלון תבור</v>
          </cell>
          <cell r="C7359" t="str">
            <v>אלון תבור- בדיקות/טיפול/פינוי מכלי אש בג</v>
          </cell>
          <cell r="D7359">
            <v>46173</v>
          </cell>
        </row>
        <row r="7360">
          <cell r="A7360" t="str">
            <v>WBM-60118-025</v>
          </cell>
          <cell r="B7360" t="str">
            <v>אלון תבור</v>
          </cell>
          <cell r="C7360" t="str">
            <v>אלון תבור - שיפור מערכת הארקה</v>
          </cell>
          <cell r="D7360">
            <v>47117</v>
          </cell>
        </row>
        <row r="7361">
          <cell r="A7361" t="str">
            <v>WBM-60130-022</v>
          </cell>
          <cell r="B7361" t="str">
            <v>אלון תבור</v>
          </cell>
          <cell r="C7361" t="str">
            <v>אלון תבור - התקנת מפסק פטריה להפסקת מערכת החשמל בחירום</v>
          </cell>
          <cell r="D7361">
            <v>46568</v>
          </cell>
        </row>
        <row r="7362">
          <cell r="A7362" t="str">
            <v>WBM-40623</v>
          </cell>
          <cell r="B7362" t="str">
            <v>אלון תבור</v>
          </cell>
          <cell r="C7362" t="str">
            <v>אלון תבור- החלפת מסדרי מ"ג BEU3 של שנאים 521, 522.</v>
          </cell>
          <cell r="D7362">
            <v>47118</v>
          </cell>
        </row>
        <row r="7363">
          <cell r="A7363" t="str">
            <v>WBM-60116-050</v>
          </cell>
          <cell r="B7363" t="str">
            <v>אלון תבור</v>
          </cell>
          <cell r="C7363" t="str">
            <v>אלון תבור - החלפת מערכת גילוי וכיבוי אש אוטומטית CERBERUS</v>
          </cell>
          <cell r="D7363">
            <v>46387</v>
          </cell>
        </row>
        <row r="7364">
          <cell r="A7364" t="str">
            <v>WBM-00885-155</v>
          </cell>
          <cell r="B7364" t="str">
            <v>אלון תבור</v>
          </cell>
          <cell r="C7364" t="str">
            <v>אלון תבור- הפרדת מערכת המים מתחה"כ + התקנת מונה +גמל מים</v>
          </cell>
          <cell r="D7364">
            <v>46387</v>
          </cell>
        </row>
        <row r="7365">
          <cell r="A7365" t="str">
            <v>WBM-10758</v>
          </cell>
          <cell r="B7365" t="str">
            <v>אלון תבור</v>
          </cell>
          <cell r="C7365" t="str">
            <v>אלון תבור - בוטל - משיק למעלה גלבוע שדה 1,  יישום דרך קשר אופטית זמנית  בין הגנות  בשדה 19</v>
          </cell>
          <cell r="D7365">
            <v>36526</v>
          </cell>
        </row>
        <row r="7366">
          <cell r="A7366" t="str">
            <v>WBM-10315-085</v>
          </cell>
          <cell r="B7366" t="str">
            <v>אלון תבור</v>
          </cell>
          <cell r="C7366" t="str">
            <v>אלון תבור-התקנת מזגנים</v>
          </cell>
          <cell r="D7366">
            <v>46203</v>
          </cell>
        </row>
        <row r="7367">
          <cell r="A7367" t="str">
            <v>HIS-057</v>
          </cell>
          <cell r="B7367" t="str">
            <v>איתן</v>
          </cell>
          <cell r="C7367" t="str">
            <v>איתן</v>
          </cell>
          <cell r="D7367">
            <v>40908</v>
          </cell>
        </row>
        <row r="7368">
          <cell r="A7368" t="str">
            <v>0269281</v>
          </cell>
          <cell r="B7368" t="str">
            <v>איתן</v>
          </cell>
          <cell r="C7368" t="str">
            <v>איתן-התאמת תיילים-מהדקים-פורטלים wbo613</v>
          </cell>
          <cell r="D7368">
            <v>36164</v>
          </cell>
        </row>
        <row r="7369">
          <cell r="A7369" t="str">
            <v>0269301</v>
          </cell>
          <cell r="B7369" t="str">
            <v>איתן</v>
          </cell>
          <cell r="C7369" t="str">
            <v>איתן -התאמת תיילים-מהדקים-פורטליםWBO-483</v>
          </cell>
          <cell r="D7369">
            <v>36164</v>
          </cell>
        </row>
        <row r="7370">
          <cell r="A7370" t="str">
            <v>0212738</v>
          </cell>
          <cell r="B7370" t="str">
            <v>איתן</v>
          </cell>
          <cell r="C7370" t="str">
            <v>uoe6a-איתן עיבוי ושדרוג עמוד השדרה</v>
          </cell>
          <cell r="D7370">
            <v>42369</v>
          </cell>
        </row>
        <row r="7371">
          <cell r="A7371" t="str">
            <v>WBM-80017</v>
          </cell>
          <cell r="B7371" t="str">
            <v>איתן</v>
          </cell>
          <cell r="C7371" t="str">
            <v>איתן-בוטל-הת' תיילים-מהדקים-פורט'wbo-824</v>
          </cell>
          <cell r="D7371">
            <v>44904</v>
          </cell>
        </row>
        <row r="7372">
          <cell r="A7372" t="str">
            <v>WBE-046</v>
          </cell>
          <cell r="B7372" t="str">
            <v>איתן</v>
          </cell>
          <cell r="C7372" t="str">
            <v>איתן-שידרוג מסדר לקליטת קו מבאר שבע</v>
          </cell>
          <cell r="D7372">
            <v>43804</v>
          </cell>
        </row>
        <row r="7373">
          <cell r="A7373" t="str">
            <v>WBE-087-ST4</v>
          </cell>
          <cell r="B7373" t="str">
            <v>איתן</v>
          </cell>
          <cell r="C7373" t="str">
            <v>איתן-התקנת שנאי 524 , 50 מגוו"א - שלב 4</v>
          </cell>
          <cell r="D7373">
            <v>46189</v>
          </cell>
        </row>
        <row r="7374">
          <cell r="A7374" t="str">
            <v>WBE-087</v>
          </cell>
          <cell r="B7374" t="str">
            <v>איתן</v>
          </cell>
          <cell r="C7374" t="str">
            <v>איתן-החל' שנאים ומסדרים-4 שלבים</v>
          </cell>
          <cell r="D7374">
            <v>46477</v>
          </cell>
        </row>
        <row r="7375">
          <cell r="A7375" t="str">
            <v>WBE-087-ST3</v>
          </cell>
          <cell r="B7375" t="str">
            <v>איתן</v>
          </cell>
          <cell r="C7375" t="str">
            <v>איתן-החלפת שנאי 523 ל-50 מגוו"א - שדה 8</v>
          </cell>
          <cell r="D7375">
            <v>46356</v>
          </cell>
        </row>
        <row r="7376">
          <cell r="A7376" t="str">
            <v>WBE-087-ST2</v>
          </cell>
          <cell r="B7376" t="str">
            <v>איתן</v>
          </cell>
          <cell r="C7376" t="str">
            <v>איתן-החלפת שנאי 521 ל-50 מגוו"א - בשדה 4</v>
          </cell>
          <cell r="D7376">
            <v>46477</v>
          </cell>
        </row>
        <row r="7377">
          <cell r="A7377" t="str">
            <v>WBE-087-ST1</v>
          </cell>
          <cell r="B7377" t="str">
            <v>איתן</v>
          </cell>
          <cell r="C7377" t="str">
            <v>איתן-התקנת מסדר מ"ג (פ"צ 4) - שלב 1</v>
          </cell>
          <cell r="D7377">
            <v>45805</v>
          </cell>
        </row>
        <row r="7378">
          <cell r="A7378" t="str">
            <v>WBE-211</v>
          </cell>
          <cell r="B7378" t="str">
            <v>איתן</v>
          </cell>
          <cell r="C7378" t="str">
            <v>איתן-בוטל- החלפת שנאי 523 33 ל- 50 מגו"א</v>
          </cell>
          <cell r="D7378">
            <v>44592</v>
          </cell>
        </row>
        <row r="7379">
          <cell r="A7379" t="str">
            <v>WBE-213</v>
          </cell>
          <cell r="B7379" t="str">
            <v>איתן</v>
          </cell>
          <cell r="C7379" t="str">
            <v>איתן-בוטל-הוספת שנאי 4 161/24 ק"ו , 50</v>
          </cell>
          <cell r="D7379">
            <v>44592</v>
          </cell>
        </row>
        <row r="7380">
          <cell r="A7380" t="str">
            <v>WBG-009-018</v>
          </cell>
          <cell r="B7380" t="str">
            <v>איתן</v>
          </cell>
          <cell r="C7380" t="str">
            <v>איתן-החלפת מפ"ז ומש"ז 161 ק"ו שד' 8,10</v>
          </cell>
          <cell r="D7380">
            <v>41499</v>
          </cell>
        </row>
        <row r="7381">
          <cell r="A7381" t="str">
            <v>WBG-009-015</v>
          </cell>
          <cell r="B7381" t="str">
            <v>איתן</v>
          </cell>
          <cell r="C7381" t="str">
            <v>איתן-החלפת משני זרם בשדות  15, 17</v>
          </cell>
          <cell r="D7381">
            <v>40998</v>
          </cell>
        </row>
        <row r="7382">
          <cell r="A7382" t="str">
            <v>WBM-01019</v>
          </cell>
          <cell r="B7382" t="str">
            <v>איתן</v>
          </cell>
          <cell r="C7382" t="str">
            <v>איתן-בוטל-החלפת משני זרם ומשנק בשדה 7</v>
          </cell>
          <cell r="D7382">
            <v>41249</v>
          </cell>
        </row>
        <row r="7383">
          <cell r="A7383" t="str">
            <v>WBM-40304</v>
          </cell>
          <cell r="B7383" t="str">
            <v>איתן</v>
          </cell>
          <cell r="C7383" t="str">
            <v>איתן-בוטל התאמת ציוד בשדה לצומת כרמיה לאחר שי</v>
          </cell>
          <cell r="D7383">
            <v>43861</v>
          </cell>
        </row>
        <row r="7384">
          <cell r="A7384" t="str">
            <v>WBM-70019</v>
          </cell>
          <cell r="B7384" t="str">
            <v>איתן</v>
          </cell>
          <cell r="C7384" t="str">
            <v>איתן, שדה 14, החלפת משנק (לב"ש)</v>
          </cell>
          <cell r="D7384">
            <v>44507</v>
          </cell>
        </row>
        <row r="7385">
          <cell r="A7385" t="str">
            <v>WBM-70009</v>
          </cell>
          <cell r="B7385" t="str">
            <v>איתן</v>
          </cell>
          <cell r="C7385" t="str">
            <v>איתן-בוטל- שדה 18 הח' מנתק, משנק, מ"ז</v>
          </cell>
          <cell r="D7385">
            <v>43864</v>
          </cell>
        </row>
        <row r="7386">
          <cell r="A7386" t="str">
            <v>WBM-70017</v>
          </cell>
          <cell r="B7386" t="str">
            <v>איתן</v>
          </cell>
          <cell r="C7386" t="str">
            <v>איתן - בוטל-שדה 16,הח. משנק (לב"ש צ ש5 )</v>
          </cell>
          <cell r="D7386">
            <v>43865</v>
          </cell>
        </row>
        <row r="7387">
          <cell r="A7387" t="str">
            <v>WBM-00843</v>
          </cell>
          <cell r="B7387" t="str">
            <v>איתן</v>
          </cell>
          <cell r="C7387" t="str">
            <v>איתן-חיבור  NBPLC עבור מעגל לתרקומיא</v>
          </cell>
          <cell r="D7387">
            <v>44090</v>
          </cell>
        </row>
        <row r="7388">
          <cell r="A7388" t="str">
            <v>WBM-00937</v>
          </cell>
          <cell r="B7388" t="str">
            <v>איתן</v>
          </cell>
          <cell r="C7388" t="str">
            <v>איתן-התקנת הגנה דיפ. ודרכי תקשורת לנבטים</v>
          </cell>
          <cell r="D7388">
            <v>43888</v>
          </cell>
        </row>
        <row r="7389">
          <cell r="A7389" t="str">
            <v>WBM-40211</v>
          </cell>
          <cell r="B7389" t="str">
            <v>איתן</v>
          </cell>
          <cell r="C7389" t="str">
            <v>איתן- החלפת שנאי 523 33 מגו"א לשנאי שקט</v>
          </cell>
          <cell r="D7389">
            <v>43861</v>
          </cell>
        </row>
        <row r="7390">
          <cell r="A7390" t="str">
            <v>WBM-01167</v>
          </cell>
          <cell r="B7390" t="str">
            <v>איתן</v>
          </cell>
          <cell r="C7390" t="str">
            <v>איתן-שדרוג מערכות SCS מסוג  UNIX - LON</v>
          </cell>
          <cell r="D7390">
            <v>43524</v>
          </cell>
        </row>
        <row r="7391">
          <cell r="A7391" t="str">
            <v>WBM-00012</v>
          </cell>
          <cell r="B7391" t="str">
            <v>איתן</v>
          </cell>
          <cell r="C7391" t="str">
            <v>איתן-התקנת עמדת כיבוי אש (גלגלון) עם ברז</v>
          </cell>
          <cell r="D7391">
            <v>43235</v>
          </cell>
        </row>
        <row r="7392">
          <cell r="A7392" t="str">
            <v>WBM-00923</v>
          </cell>
          <cell r="B7392" t="str">
            <v>איתן</v>
          </cell>
          <cell r="C7392" t="str">
            <v>איתן-התקנת קשר בין הגנות מרחק</v>
          </cell>
          <cell r="D7392">
            <v>43156</v>
          </cell>
        </row>
        <row r="7393">
          <cell r="A7393" t="str">
            <v>WBM-01129</v>
          </cell>
          <cell r="B7393" t="str">
            <v>איתן</v>
          </cell>
          <cell r="C7393" t="str">
            <v>איתן-החלפת הגנת  מ"ע  בשדה 19</v>
          </cell>
          <cell r="D7393">
            <v>43054</v>
          </cell>
        </row>
        <row r="7394">
          <cell r="A7394" t="str">
            <v>WBM-00013</v>
          </cell>
          <cell r="B7394" t="str">
            <v>איתן</v>
          </cell>
          <cell r="C7394" t="str">
            <v>איתן-איטום מעברי אש בבנין פיקוד</v>
          </cell>
          <cell r="D7394">
            <v>41820</v>
          </cell>
        </row>
        <row r="7395">
          <cell r="A7395" t="str">
            <v>WBM-00702</v>
          </cell>
          <cell r="B7395" t="str">
            <v>איתן</v>
          </cell>
          <cell r="C7395" t="str">
            <v>איתן-עיגון מתקנים לעמידה בפני רעידת אדמה</v>
          </cell>
          <cell r="D7395">
            <v>41759</v>
          </cell>
        </row>
        <row r="7396">
          <cell r="A7396" t="str">
            <v>WBG-009-016</v>
          </cell>
          <cell r="B7396" t="str">
            <v>איתן</v>
          </cell>
          <cell r="C7396" t="str">
            <v>איתן-התקנת קשר בין הגנות מרחק לחברון</v>
          </cell>
          <cell r="D7396">
            <v>41267</v>
          </cell>
        </row>
        <row r="7397">
          <cell r="A7397" t="str">
            <v>WBG-009-021</v>
          </cell>
          <cell r="B7397" t="str">
            <v>איתן</v>
          </cell>
          <cell r="C7397" t="str">
            <v>איתן-הקמת רשת מחשבים תפעולית</v>
          </cell>
          <cell r="D7397">
            <v>41219</v>
          </cell>
        </row>
        <row r="7398">
          <cell r="A7398" t="str">
            <v>WBG-009-031</v>
          </cell>
          <cell r="B7398" t="str">
            <v>איתן</v>
          </cell>
          <cell r="C7398" t="str">
            <v>איתן-החלפת רושם הפרעות</v>
          </cell>
          <cell r="D7398">
            <v>40978</v>
          </cell>
        </row>
        <row r="7399">
          <cell r="A7399" t="str">
            <v>WBM-40040</v>
          </cell>
          <cell r="B7399" t="str">
            <v>איתן</v>
          </cell>
          <cell r="C7399" t="str">
            <v>איתן -בוטל- החלפת ציוד בשדות  7,9,15,17</v>
          </cell>
          <cell r="D7399">
            <v>44196</v>
          </cell>
        </row>
        <row r="7400">
          <cell r="A7400" t="str">
            <v>WBM-40042</v>
          </cell>
          <cell r="B7400" t="str">
            <v>איתן</v>
          </cell>
          <cell r="C7400" t="str">
            <v>איתן -בוטל- החלפת ציוד בשדות 11 ו 19</v>
          </cell>
          <cell r="D7400">
            <v>44834</v>
          </cell>
        </row>
        <row r="7401">
          <cell r="A7401" t="str">
            <v>WBM-01249</v>
          </cell>
          <cell r="B7401" t="str">
            <v>איתן</v>
          </cell>
          <cell r="C7401" t="str">
            <v>איתן - בוטל - מאצרות שמן קבועות לשנאים</v>
          </cell>
          <cell r="D7401">
            <v>42902</v>
          </cell>
        </row>
        <row r="7402">
          <cell r="A7402" t="str">
            <v>WBM-40041</v>
          </cell>
          <cell r="B7402" t="str">
            <v>איתן</v>
          </cell>
          <cell r="C7402" t="str">
            <v>איתן -בוטל- החלפת ציוד בשדות 3,4,12,18</v>
          </cell>
          <cell r="D7402">
            <v>44561</v>
          </cell>
        </row>
        <row r="7403">
          <cell r="A7403">
            <v>533856</v>
          </cell>
          <cell r="B7403" t="str">
            <v>איתן</v>
          </cell>
          <cell r="C7403" t="str">
            <v>איתן-החלפת גשרי דיודות</v>
          </cell>
          <cell r="D7403">
            <v>41820</v>
          </cell>
        </row>
        <row r="7404">
          <cell r="A7404" t="str">
            <v>WBG-009-034</v>
          </cell>
          <cell r="B7404" t="str">
            <v>איתן</v>
          </cell>
          <cell r="C7404" t="str">
            <v>איתן-התקנת מערכת התראה ביטחונית</v>
          </cell>
          <cell r="D7404">
            <v>39782</v>
          </cell>
        </row>
        <row r="7405">
          <cell r="A7405">
            <v>533854</v>
          </cell>
          <cell r="B7405" t="str">
            <v>איתן</v>
          </cell>
          <cell r="C7405" t="str">
            <v>איתן-הפרדת סוללות מצברים בחדרים נפרדים</v>
          </cell>
          <cell r="D7405">
            <v>40640</v>
          </cell>
        </row>
        <row r="7406">
          <cell r="A7406" t="str">
            <v>WBG-009-016-ST3</v>
          </cell>
          <cell r="B7406" t="str">
            <v>איתן</v>
          </cell>
          <cell r="C7406" t="str">
            <v>איתן-התקנת ציוד קשר הגנות מרחק לב"ש צפון</v>
          </cell>
          <cell r="D7406">
            <v>38959</v>
          </cell>
        </row>
        <row r="7407">
          <cell r="A7407" t="str">
            <v>WBG-009-016-ST4</v>
          </cell>
          <cell r="B7407" t="str">
            <v>איתן</v>
          </cell>
          <cell r="C7407" t="str">
            <v>איתן-התקנת קשר בין הגנות מרחק ללהבים</v>
          </cell>
          <cell r="D7407">
            <v>39629</v>
          </cell>
        </row>
        <row r="7408">
          <cell r="A7408" t="str">
            <v>WBG-009-027</v>
          </cell>
          <cell r="B7408" t="str">
            <v>איתן</v>
          </cell>
          <cell r="C7408" t="str">
            <v>איתן-התקנת מאווררים בארונות פיקוד</v>
          </cell>
          <cell r="D7408">
            <v>40311</v>
          </cell>
        </row>
        <row r="7409">
          <cell r="A7409" t="str">
            <v>WBM-00391</v>
          </cell>
          <cell r="B7409" t="str">
            <v>איתן</v>
          </cell>
          <cell r="C7409" t="str">
            <v>איתן-הזנת תאורת חירום ז"י</v>
          </cell>
          <cell r="D7409">
            <v>46752</v>
          </cell>
        </row>
        <row r="7410">
          <cell r="A7410" t="str">
            <v>WBM-01002</v>
          </cell>
          <cell r="B7410" t="str">
            <v>איתן</v>
          </cell>
          <cell r="C7410" t="str">
            <v>איתן - החלפת הגנת מרחק מדגם LZ31 ליבנה</v>
          </cell>
          <cell r="D7410">
            <v>46477</v>
          </cell>
        </row>
        <row r="7411">
          <cell r="A7411" t="str">
            <v>WBM-40271</v>
          </cell>
          <cell r="B7411" t="str">
            <v>איתן</v>
          </cell>
          <cell r="C7411" t="str">
            <v>איתן - החלפת הגנת פ"צ</v>
          </cell>
          <cell r="D7411">
            <v>46751</v>
          </cell>
        </row>
        <row r="7412">
          <cell r="A7412" t="str">
            <v>WBM-10363</v>
          </cell>
          <cell r="B7412" t="str">
            <v>איתן</v>
          </cell>
          <cell r="C7412" t="str">
            <v>איתן-הת' תיילים-מהדקים-פורט'wbo-824</v>
          </cell>
          <cell r="D7412">
            <v>46873</v>
          </cell>
        </row>
        <row r="7413">
          <cell r="A7413" t="str">
            <v>WBM-10279</v>
          </cell>
          <cell r="B7413" t="str">
            <v>איתן</v>
          </cell>
          <cell r="C7413" t="str">
            <v>איתן-התאמת תיילים-מהדקים-פורטלים WBO-525</v>
          </cell>
          <cell r="D7413">
            <v>46387</v>
          </cell>
        </row>
        <row r="7414">
          <cell r="A7414" t="str">
            <v>WBM-10301</v>
          </cell>
          <cell r="B7414" t="str">
            <v>איתן</v>
          </cell>
          <cell r="C7414" t="str">
            <v>איתן-התאמת תיילים-מהדקים-פורטלים wbo613</v>
          </cell>
          <cell r="D7414">
            <v>46934</v>
          </cell>
        </row>
        <row r="7415">
          <cell r="A7415" t="str">
            <v>WBM-01317</v>
          </cell>
          <cell r="B7415" t="str">
            <v>איתן</v>
          </cell>
          <cell r="C7415" t="str">
            <v>איתן - החלפת הגנת קווים מ"ע</v>
          </cell>
          <cell r="D7415">
            <v>45691</v>
          </cell>
        </row>
        <row r="7416">
          <cell r="A7416" t="str">
            <v>WBM-40241-ST11</v>
          </cell>
          <cell r="B7416" t="str">
            <v>איתן</v>
          </cell>
          <cell r="C7416" t="str">
            <v>איתן -הת.מסדרי161 לז"ק 50 קא-ש 17</v>
          </cell>
          <cell r="D7416">
            <v>46325</v>
          </cell>
        </row>
        <row r="7417">
          <cell r="A7417" t="str">
            <v>WBM-40241</v>
          </cell>
          <cell r="B7417" t="str">
            <v>איתן</v>
          </cell>
          <cell r="C7417" t="str">
            <v>איתן -התאמת מסדר 161 ק"ו לז"ק 50ק"א-רב שלב</v>
          </cell>
          <cell r="D7417">
            <v>46934</v>
          </cell>
        </row>
        <row r="7418">
          <cell r="A7418" t="str">
            <v>WBM-10143</v>
          </cell>
          <cell r="B7418" t="str">
            <v>איתן</v>
          </cell>
          <cell r="C7418" t="str">
            <v>איתן - התקנת מתמרים ב-3 פ"צ</v>
          </cell>
          <cell r="D7418">
            <v>46386</v>
          </cell>
        </row>
        <row r="7419">
          <cell r="A7419" t="str">
            <v>WBM-40241-ST10</v>
          </cell>
          <cell r="B7419" t="str">
            <v>איתן</v>
          </cell>
          <cell r="C7419" t="str">
            <v>איתן -הת.מסדרי161 לז"ק 50 קא-ש 3</v>
          </cell>
          <cell r="D7419">
            <v>46691</v>
          </cell>
        </row>
        <row r="7420">
          <cell r="A7420" t="str">
            <v>WBM-10038</v>
          </cell>
          <cell r="B7420" t="str">
            <v>איתן</v>
          </cell>
          <cell r="C7420" t="str">
            <v>איתן - החלפת שרשראות מבודדים</v>
          </cell>
          <cell r="D7420">
            <v>46203</v>
          </cell>
        </row>
        <row r="7421">
          <cell r="A7421" t="str">
            <v>WBM-40241-ST9</v>
          </cell>
          <cell r="B7421" t="str">
            <v>איתן</v>
          </cell>
          <cell r="C7421" t="str">
            <v>איתן -הת.מסדרי161 ק"ו לז"ק 50 קא-ש7</v>
          </cell>
          <cell r="D7421">
            <v>46568</v>
          </cell>
        </row>
        <row r="7422">
          <cell r="A7422" t="str">
            <v>WBM-10272</v>
          </cell>
          <cell r="B7422" t="str">
            <v>איתן</v>
          </cell>
          <cell r="C7422" t="str">
            <v>איתן-התאמת תיילים-מהדקים-פורטלים WBO577</v>
          </cell>
          <cell r="D7422">
            <v>45638</v>
          </cell>
        </row>
        <row r="7423">
          <cell r="A7423" t="str">
            <v>WBM-40241-ST8</v>
          </cell>
          <cell r="B7423" t="str">
            <v>איתן</v>
          </cell>
          <cell r="C7423" t="str">
            <v>איתן – התאמת מסדר 161 ק"ו לז"ק 50 ק"א – שדה 19</v>
          </cell>
          <cell r="D7423">
            <v>46203</v>
          </cell>
        </row>
        <row r="7424">
          <cell r="A7424" t="str">
            <v>WBM-40241-ST7</v>
          </cell>
          <cell r="B7424" t="str">
            <v>איתן</v>
          </cell>
          <cell r="C7424" t="str">
            <v>איתן -הת.מסדרי161 ק"ו לז"ק 50 קא-ש15</v>
          </cell>
          <cell r="D7424">
            <v>46417</v>
          </cell>
        </row>
        <row r="7425">
          <cell r="A7425" t="str">
            <v>WBM-10329</v>
          </cell>
          <cell r="B7425" t="str">
            <v>איתן</v>
          </cell>
          <cell r="C7425" t="str">
            <v>איתן-משיק ללכיש1,תק.בין הגנות+הגנה דיפ.</v>
          </cell>
          <cell r="D7425">
            <v>45565</v>
          </cell>
        </row>
        <row r="7426">
          <cell r="A7426" t="str">
            <v>WBM-40241-ST1</v>
          </cell>
          <cell r="B7426" t="str">
            <v>איתן</v>
          </cell>
          <cell r="C7426" t="str">
            <v>איתן-שלב 1-איתן- הקמת קורת יציאה וחיזוק ק</v>
          </cell>
          <cell r="D7426">
            <v>46295</v>
          </cell>
        </row>
        <row r="7427">
          <cell r="A7427" t="str">
            <v>WBM-40241-ST2</v>
          </cell>
          <cell r="B7427" t="str">
            <v>איתן</v>
          </cell>
          <cell r="C7427" t="str">
            <v>איתן-התאמת מסדרי 161 ק"ו לז"ק 50 ק"א-ש18</v>
          </cell>
          <cell r="D7427">
            <v>46326</v>
          </cell>
        </row>
        <row r="7428">
          <cell r="A7428" t="str">
            <v>WBM-40241-ST3</v>
          </cell>
          <cell r="B7428" t="str">
            <v>איתן</v>
          </cell>
          <cell r="C7428" t="str">
            <v>איתן-הת. מסדרי 161 ק"ו לז"ק 50 ק"א-ש.11</v>
          </cell>
          <cell r="D7428">
            <v>46387</v>
          </cell>
        </row>
        <row r="7429">
          <cell r="A7429" t="str">
            <v>WBM-40241-ST4</v>
          </cell>
          <cell r="B7429" t="str">
            <v>איתן</v>
          </cell>
          <cell r="C7429" t="str">
            <v>איתן -הת.מסדרי 161 ק"ו לז"ק 50 קא-1,2</v>
          </cell>
          <cell r="D7429">
            <v>46873</v>
          </cell>
        </row>
        <row r="7430">
          <cell r="A7430" t="str">
            <v>WBM-40241-ST5</v>
          </cell>
          <cell r="B7430" t="str">
            <v>איתן</v>
          </cell>
          <cell r="C7430" t="str">
            <v>איתן -הת.מסדרי 161 ק"ו לז"ק 50 קא- ש 10</v>
          </cell>
          <cell r="D7430">
            <v>46934</v>
          </cell>
        </row>
        <row r="7431">
          <cell r="A7431" t="str">
            <v>WBM-40241-ST6</v>
          </cell>
          <cell r="B7431" t="str">
            <v>איתן</v>
          </cell>
          <cell r="C7431" t="str">
            <v>איתן -הת.מסדרי 161 ק"ו לז"ק 50 קא- ש4</v>
          </cell>
          <cell r="D7431">
            <v>46203</v>
          </cell>
        </row>
        <row r="7432">
          <cell r="A7432" t="str">
            <v>WBM-10168</v>
          </cell>
          <cell r="B7432" t="str">
            <v>איתן</v>
          </cell>
          <cell r="C7432" t="str">
            <v>איתן - החלפת הגנת קו לדפ' בשדה 14 ללהבים</v>
          </cell>
          <cell r="D7432">
            <v>44507</v>
          </cell>
        </row>
        <row r="7433">
          <cell r="A7433" t="str">
            <v>WBM-10122</v>
          </cell>
          <cell r="B7433" t="str">
            <v>איתן</v>
          </cell>
          <cell r="C7433" t="str">
            <v>איתן - כיוון אנרגיה להשלת עומס בתדר מ"ג</v>
          </cell>
          <cell r="D7433">
            <v>44021</v>
          </cell>
        </row>
        <row r="7434">
          <cell r="A7434" t="str">
            <v>WBM-01227</v>
          </cell>
          <cell r="B7434" t="str">
            <v>איתן</v>
          </cell>
          <cell r="C7434" t="str">
            <v>איתן-החלפת הגנות בשדה 17 לסוגת</v>
          </cell>
          <cell r="D7434">
            <v>43620</v>
          </cell>
        </row>
        <row r="7435">
          <cell r="A7435" t="str">
            <v>WBM-01110</v>
          </cell>
          <cell r="B7435" t="str">
            <v>איתן</v>
          </cell>
          <cell r="C7435" t="str">
            <v>איתן-בוטל-התקנת  3 מאצרת שמן זמניות</v>
          </cell>
          <cell r="D7435">
            <v>42684</v>
          </cell>
        </row>
        <row r="7436">
          <cell r="A7436" t="str">
            <v>WBM-40006</v>
          </cell>
          <cell r="B7436" t="str">
            <v>איתן</v>
          </cell>
          <cell r="C7436" t="str">
            <v>איתן - שדה 5 -בוטל-החלפת משנה זרם</v>
          </cell>
          <cell r="D7436">
            <v>43707</v>
          </cell>
        </row>
        <row r="7437">
          <cell r="A7437" t="str">
            <v>WBM-10280</v>
          </cell>
          <cell r="B7437" t="str">
            <v>איתן</v>
          </cell>
          <cell r="C7437" t="str">
            <v>איתן -בוטל-התאמת תיילים-מהד'-פור'WBO-483</v>
          </cell>
          <cell r="D7437">
            <v>44593</v>
          </cell>
        </row>
        <row r="7438">
          <cell r="A7438" t="str">
            <v>WBM-40297</v>
          </cell>
          <cell r="B7438" t="str">
            <v>איתן</v>
          </cell>
          <cell r="C7438" t="str">
            <v>איתן- בוטל- החל' שנאי 523 33 מגו"א ב-50</v>
          </cell>
          <cell r="D7438">
            <v>43153</v>
          </cell>
        </row>
        <row r="7439">
          <cell r="A7439" t="str">
            <v>WBM-01343</v>
          </cell>
          <cell r="B7439" t="str">
            <v>איתן</v>
          </cell>
          <cell r="C7439" t="str">
            <v>איתן-בוטל-התאמת מסדר 161 ק"ו לז"ק 50 ק"א</v>
          </cell>
          <cell r="D7439">
            <v>44499</v>
          </cell>
        </row>
        <row r="7440">
          <cell r="A7440" t="str">
            <v>WBE-046-ST2</v>
          </cell>
          <cell r="B7440" t="str">
            <v>איתן</v>
          </cell>
          <cell r="C7440" t="str">
            <v>איתן-הקמת שדה קו 22 ושדרוג שדות</v>
          </cell>
          <cell r="D7440">
            <v>41394</v>
          </cell>
        </row>
        <row r="7441">
          <cell r="A7441" t="str">
            <v>WBM-00245</v>
          </cell>
          <cell r="B7441" t="str">
            <v>איתן</v>
          </cell>
          <cell r="C7441" t="str">
            <v>איתן-בוטל-הקמת שדה 161 ק"ו מס' 22</v>
          </cell>
          <cell r="D7441">
            <v>41090</v>
          </cell>
        </row>
        <row r="7442">
          <cell r="A7442" t="str">
            <v>WBM-10480</v>
          </cell>
          <cell r="B7442" t="str">
            <v>איתן</v>
          </cell>
          <cell r="C7442" t="str">
            <v>איתן- שדה 13, משיק לקרית גת שדה 3, יישום דרך קשר בין הגנות</v>
          </cell>
          <cell r="D7442">
            <v>45229</v>
          </cell>
        </row>
        <row r="7443">
          <cell r="A7443" t="str">
            <v>WBM-40241-ST12</v>
          </cell>
          <cell r="B7443" t="str">
            <v>איתן</v>
          </cell>
          <cell r="C7443" t="str">
            <v>איתן -הת.מסדרי161 לז"ק 50 קא-ש 5</v>
          </cell>
          <cell r="D7443">
            <v>46568</v>
          </cell>
        </row>
        <row r="7444">
          <cell r="A7444" t="str">
            <v>WBM-40241-ST13</v>
          </cell>
          <cell r="B7444" t="str">
            <v>איתן</v>
          </cell>
          <cell r="C7444" t="str">
            <v>איתן -הת.מסדרי161 לז"ק 50 קא-ש 16</v>
          </cell>
          <cell r="D7444">
            <v>46782</v>
          </cell>
        </row>
        <row r="7445">
          <cell r="A7445" t="str">
            <v>WBM-40241-ST14</v>
          </cell>
          <cell r="B7445" t="str">
            <v>איתן</v>
          </cell>
          <cell r="C7445" t="str">
            <v>איתן -הת.מסדרי161 לז"ק 50 קא-ש 14</v>
          </cell>
          <cell r="D7445">
            <v>46782</v>
          </cell>
        </row>
        <row r="7446">
          <cell r="A7446" t="str">
            <v>WBM-40241-ST15</v>
          </cell>
          <cell r="B7446" t="str">
            <v>איתן</v>
          </cell>
          <cell r="C7446" t="str">
            <v>איתן -הת.מסדרי 161 ק"ו לז"ק 50 קא-12</v>
          </cell>
          <cell r="D7446">
            <v>46417</v>
          </cell>
        </row>
        <row r="7447">
          <cell r="A7447" t="str">
            <v>WBM-40241-ST16</v>
          </cell>
          <cell r="B7447" t="str">
            <v>איתן</v>
          </cell>
          <cell r="C7447" t="str">
            <v>איתן -הת.מסדרי 161 ק"ו לז"ק 50 קא- ש8</v>
          </cell>
          <cell r="D7447">
            <v>46387</v>
          </cell>
        </row>
        <row r="7448">
          <cell r="A7448" t="str">
            <v>WBM-40241-ST17</v>
          </cell>
          <cell r="B7448" t="str">
            <v>איתן</v>
          </cell>
          <cell r="C7448" t="str">
            <v>איתן -הת.מסדרי 161 ק"ו לז"ק 50 קא -ש 22</v>
          </cell>
          <cell r="D7448">
            <v>45914</v>
          </cell>
        </row>
        <row r="7449">
          <cell r="A7449" t="str">
            <v>WBM-40241-ST18</v>
          </cell>
          <cell r="B7449" t="str">
            <v>איתן</v>
          </cell>
          <cell r="C7449" t="str">
            <v>איתן -הת.מסדרי161 ק"ו לז"ק 50 קא-ש13</v>
          </cell>
          <cell r="D7449">
            <v>46417</v>
          </cell>
        </row>
        <row r="7450">
          <cell r="A7450" t="str">
            <v>WBM-40241-ST19</v>
          </cell>
          <cell r="B7450" t="str">
            <v>איתן</v>
          </cell>
          <cell r="C7450" t="str">
            <v>איתן -הת.מסדרי161 ק"ו לז"ק 50 קא -ש 21</v>
          </cell>
          <cell r="D7450">
            <v>46203</v>
          </cell>
        </row>
        <row r="7451">
          <cell r="A7451" t="str">
            <v>WBM-40241-ST20</v>
          </cell>
          <cell r="B7451" t="str">
            <v>איתן</v>
          </cell>
          <cell r="C7451" t="str">
            <v>איתן -הת.מסדרי161 ק"ו לז"ק 50 קא-ש 9</v>
          </cell>
          <cell r="D7451">
            <v>46507</v>
          </cell>
        </row>
        <row r="7452">
          <cell r="A7452" t="str">
            <v>WBM-10550</v>
          </cell>
          <cell r="B7452" t="str">
            <v>איתן</v>
          </cell>
          <cell r="C7452" t="str">
            <v>איתן- שדה 16, משיק לבאר שבע צפון שדה 5. פרוק הגנות LZ31,RAZOA,RAAAM</v>
          </cell>
          <cell r="D7452">
            <v>46203</v>
          </cell>
        </row>
        <row r="7453">
          <cell r="A7453" t="str">
            <v>WBM-10568</v>
          </cell>
          <cell r="B7453" t="str">
            <v>איתן</v>
          </cell>
          <cell r="C7453" t="str">
            <v>איתן -משיק לקריית מודיעין שדה 7, יישום דרך קשר אופטית בין הגנות בשדה 22</v>
          </cell>
          <cell r="D7453">
            <v>46387</v>
          </cell>
        </row>
        <row r="7454">
          <cell r="A7454" t="str">
            <v>WBM-00885-075</v>
          </cell>
          <cell r="B7454" t="str">
            <v>איתן</v>
          </cell>
          <cell r="C7454" t="str">
            <v>איתן - תיקון צנרת מיים</v>
          </cell>
          <cell r="D7454">
            <v>45669</v>
          </cell>
        </row>
        <row r="7455">
          <cell r="A7455" t="str">
            <v>WBM-10316-007</v>
          </cell>
          <cell r="B7455" t="str">
            <v>איתן</v>
          </cell>
          <cell r="C7455" t="str">
            <v>איתן-חיבור רושמי הפרעות למתג מנהלת</v>
          </cell>
          <cell r="D7455">
            <v>45607</v>
          </cell>
        </row>
        <row r="7456">
          <cell r="A7456" t="str">
            <v>WBM-10454-002</v>
          </cell>
          <cell r="B7456" t="str">
            <v>איתן</v>
          </cell>
          <cell r="C7456" t="str">
            <v>איתן - הסבת בעת R520 ל- RAD</v>
          </cell>
          <cell r="D7456">
            <v>46568</v>
          </cell>
        </row>
        <row r="7457">
          <cell r="A7457" t="str">
            <v>WBM-40479-005</v>
          </cell>
          <cell r="B7457" t="str">
            <v>איתן</v>
          </cell>
          <cell r="C7457" t="str">
            <v>איתן-החלפת 3 בקרי טמפ' וגובה שמן בשנאי</v>
          </cell>
          <cell r="D7457">
            <v>48121</v>
          </cell>
        </row>
        <row r="7458">
          <cell r="A7458" t="str">
            <v>WBM-60107-006</v>
          </cell>
          <cell r="B7458" t="str">
            <v>איתן</v>
          </cell>
          <cell r="C7458" t="str">
            <v>איתן - החלפת מנעולים אלק.מגנטיים באלק.מכ</v>
          </cell>
          <cell r="D7458">
            <v>45664</v>
          </cell>
        </row>
        <row r="7459">
          <cell r="A7459" t="str">
            <v>WBM-60116-010</v>
          </cell>
          <cell r="B7459" t="str">
            <v>איתן</v>
          </cell>
          <cell r="C7459" t="str">
            <v>איתן - החלפת מערכת גילוי וכיבוי אש כולל רכזת</v>
          </cell>
          <cell r="D7459">
            <v>46387</v>
          </cell>
        </row>
        <row r="7460">
          <cell r="A7460" t="str">
            <v>WBM-10315-072</v>
          </cell>
          <cell r="B7460" t="str">
            <v>איתן</v>
          </cell>
          <cell r="C7460" t="str">
            <v>איתן-התקנת מזגנים</v>
          </cell>
          <cell r="D7460">
            <v>46295</v>
          </cell>
        </row>
        <row r="7461">
          <cell r="A7461" t="str">
            <v>WBM-10746</v>
          </cell>
          <cell r="B7461" t="str">
            <v>איתן</v>
          </cell>
          <cell r="C7461" t="str">
            <v>איתן – שיקום שדות 17,19,21 בעקבות קצר במ"ז בשדה 19</v>
          </cell>
          <cell r="D7461">
            <v>46326</v>
          </cell>
        </row>
        <row r="7462">
          <cell r="A7462" t="str">
            <v>WBE-285</v>
          </cell>
          <cell r="B7462" t="str">
            <v>איתן</v>
          </cell>
          <cell r="C7462" t="str">
            <v>איתן - הקמת שדה מס' 1 במסדר 161 ק"ו. יכולת זרם 2000 א'. משיק ל- WBM-40241.</v>
          </cell>
          <cell r="D7462">
            <v>46173</v>
          </cell>
        </row>
        <row r="7463">
          <cell r="A7463" t="str">
            <v>WBM-10776</v>
          </cell>
          <cell r="B7463" t="str">
            <v>איתן</v>
          </cell>
          <cell r="C7463" t="str">
            <v>איתן - משיק לקרית מודיעין שדה 3, התקנת הגנת מרחק ויישום דרך קשר אופטית בשדה 18</v>
          </cell>
          <cell r="D7463">
            <v>46387</v>
          </cell>
        </row>
        <row r="7464">
          <cell r="A7464" t="str">
            <v>WBM-40637-003</v>
          </cell>
          <cell r="B7464" t="str">
            <v>איתן</v>
          </cell>
          <cell r="C7464" t="str">
            <v>איתן -  החלפת רושמי הפרעות קיימים מדגם IDM-T3 לרושמים חדשים מדגם IDM+</v>
          </cell>
          <cell r="D7464">
            <v>46537</v>
          </cell>
        </row>
        <row r="7465">
          <cell r="A7465" t="str">
            <v>WBM-60131-015</v>
          </cell>
          <cell r="B7465" t="str">
            <v>איתן</v>
          </cell>
          <cell r="C7465" t="str">
            <v>איתן - טיפול באופיין מים</v>
          </cell>
          <cell r="D7465">
            <v>46387</v>
          </cell>
        </row>
        <row r="7466">
          <cell r="A7466" t="str">
            <v>WBM-10819</v>
          </cell>
          <cell r="B7466" t="str">
            <v>איתן</v>
          </cell>
          <cell r="C7466" t="str">
            <v>איתן- משיק לשחר שדה 7- התקנת הגנת מעגל  דיפ' ויישום תקשורת אופטית בשדה 11</v>
          </cell>
          <cell r="D7466">
            <v>46752</v>
          </cell>
        </row>
        <row r="7467">
          <cell r="A7467" t="str">
            <v>WBM-10820</v>
          </cell>
          <cell r="B7467" t="str">
            <v>איתן</v>
          </cell>
          <cell r="C7467" t="str">
            <v>איתן - משיק לשחר ש' 7-התקנת הגנת מרחק ויישום תקשורת אופטית בשדה 11</v>
          </cell>
          <cell r="D7467">
            <v>46752</v>
          </cell>
        </row>
        <row r="7468">
          <cell r="A7468" t="str">
            <v>HIS-149</v>
          </cell>
          <cell r="B7468" t="str">
            <v>אינטל-פרטית</v>
          </cell>
          <cell r="C7468" t="str">
            <v>אינטל-פרטית</v>
          </cell>
          <cell r="D7468">
            <v>40908</v>
          </cell>
        </row>
        <row r="7469">
          <cell r="A7469">
            <v>9915260</v>
          </cell>
          <cell r="B7469" t="str">
            <v>אינטל 2</v>
          </cell>
          <cell r="C7469" t="str">
            <v>אינטל 2-הקמת תחמ"ש פרטית</v>
          </cell>
          <cell r="D7469">
            <v>45287</v>
          </cell>
        </row>
        <row r="7470">
          <cell r="A7470" t="str">
            <v>WBM-10190</v>
          </cell>
          <cell r="B7470" t="str">
            <v>אינטל 2</v>
          </cell>
          <cell r="C7470" t="str">
            <v>אינטל 2 -בוטל- משיק קרית גת-הג.מר.דיפ.ש3</v>
          </cell>
          <cell r="D7470">
            <v>44197</v>
          </cell>
        </row>
        <row r="7471">
          <cell r="A7471" t="str">
            <v>WBM-10356-002</v>
          </cell>
          <cell r="B7471" t="str">
            <v>אינטל 2</v>
          </cell>
          <cell r="C7471" t="str">
            <v>אינטל - בוטל-החלפת ראש כבל של שנאי</v>
          </cell>
        </row>
        <row r="7472">
          <cell r="A7472" t="str">
            <v>HIS-148</v>
          </cell>
          <cell r="B7472" t="str">
            <v>אילת חוף (ק.צ.א.א.) - פרטית</v>
          </cell>
          <cell r="C7472" t="str">
            <v>אילת חוף (ק.צ.א.א.)-פרטית</v>
          </cell>
          <cell r="D7472">
            <v>40908</v>
          </cell>
        </row>
        <row r="7473">
          <cell r="A7473" t="str">
            <v>WBM-40253</v>
          </cell>
          <cell r="B7473" t="str">
            <v>אילת חוף (ק.צ.א.א.) - פרטית</v>
          </cell>
          <cell r="C7473" t="str">
            <v>אילת חוף (ק.צ.א.א.) - החלפת שרשראות מבודדים</v>
          </cell>
          <cell r="D7473">
            <v>46295</v>
          </cell>
        </row>
        <row r="7474">
          <cell r="A7474" t="str">
            <v>WBM-00390</v>
          </cell>
          <cell r="B7474" t="str">
            <v>אילת חוף (ק.צ.א.א.) - פרטית</v>
          </cell>
          <cell r="C7474" t="str">
            <v>אילת חוף (ק.צ.א.א.)-פירוק מתיחות בין פורטלים</v>
          </cell>
          <cell r="D7474">
            <v>46203</v>
          </cell>
        </row>
        <row r="7475">
          <cell r="A7475" t="str">
            <v>WBM-40277</v>
          </cell>
          <cell r="B7475" t="str">
            <v>אילת חוף (ק.צ.א.א.) - פרטית</v>
          </cell>
          <cell r="C7475" t="str">
            <v>אילת חוף - החלפת משנה מתח פ"צ 161 ק"ו</v>
          </cell>
          <cell r="D7475">
            <v>44691</v>
          </cell>
        </row>
        <row r="7476">
          <cell r="A7476" t="str">
            <v>HIS-056</v>
          </cell>
          <cell r="B7476" t="str">
            <v>אילת</v>
          </cell>
          <cell r="C7476" t="str">
            <v>אילת</v>
          </cell>
          <cell r="D7476">
            <v>40908</v>
          </cell>
        </row>
        <row r="7477">
          <cell r="A7477" t="str">
            <v>WBE-129</v>
          </cell>
          <cell r="B7477" t="str">
            <v>אילת</v>
          </cell>
          <cell r="C7477" t="str">
            <v>אילת- התקנת מתקן אגירת אנרגיה + פירוק</v>
          </cell>
          <cell r="D7477">
            <v>46295</v>
          </cell>
        </row>
        <row r="7478">
          <cell r="A7478" t="str">
            <v>WDB-04COM47</v>
          </cell>
          <cell r="B7478" t="str">
            <v>אילת</v>
          </cell>
          <cell r="C7478" t="str">
            <v>אילת-הנחת כבל סיב אופטי  OPGW (שחורת)</v>
          </cell>
          <cell r="D7478">
            <v>43465</v>
          </cell>
        </row>
        <row r="7479">
          <cell r="A7479" t="str">
            <v>WBM-00001</v>
          </cell>
          <cell r="B7479" t="str">
            <v>אילת</v>
          </cell>
          <cell r="C7479" t="str">
            <v>אילת-התאמת שדה מס' 1 לשדה קו</v>
          </cell>
          <cell r="D7479">
            <v>44630</v>
          </cell>
        </row>
        <row r="7480">
          <cell r="A7480" t="str">
            <v>WBM-00388</v>
          </cell>
          <cell r="B7480" t="str">
            <v>אילת</v>
          </cell>
          <cell r="C7480" t="str">
            <v>אילת-הוצאה מניצול של סוללת קבלים מ"ע</v>
          </cell>
          <cell r="D7480">
            <v>44507</v>
          </cell>
        </row>
        <row r="7481">
          <cell r="A7481" t="str">
            <v>WBG-007-015</v>
          </cell>
          <cell r="B7481" t="str">
            <v>אילת</v>
          </cell>
          <cell r="C7481" t="str">
            <v>אילת-השלמה למשנה מתח תלת פאזי בשדות 3,7</v>
          </cell>
          <cell r="D7481">
            <v>41320</v>
          </cell>
        </row>
        <row r="7482">
          <cell r="A7482" t="str">
            <v>WBM-00864</v>
          </cell>
          <cell r="B7482" t="str">
            <v>אילת</v>
          </cell>
          <cell r="C7482" t="str">
            <v>אילת-התקנת 3 סלילי כיבוי 36 ק"ו</v>
          </cell>
          <cell r="D7482">
            <v>46203</v>
          </cell>
        </row>
        <row r="7483">
          <cell r="A7483" t="str">
            <v>WBM-00389</v>
          </cell>
          <cell r="B7483" t="str">
            <v>אילת</v>
          </cell>
          <cell r="C7483" t="str">
            <v>אילת-הזנת תאורת חירום ז"י</v>
          </cell>
          <cell r="D7483">
            <v>46751</v>
          </cell>
        </row>
        <row r="7484">
          <cell r="A7484" t="str">
            <v>WBM-60057</v>
          </cell>
          <cell r="B7484" t="str">
            <v>אילת</v>
          </cell>
          <cell r="C7484" t="str">
            <v>אילת - עיגון ארונות פיקוד ושנאים</v>
          </cell>
          <cell r="D7484">
            <v>45973</v>
          </cell>
        </row>
        <row r="7485">
          <cell r="A7485" t="str">
            <v>WBM-40039</v>
          </cell>
          <cell r="B7485" t="str">
            <v>אילת</v>
          </cell>
          <cell r="C7485" t="str">
            <v>אילת - החלפת מפסקים ומנתקים בשדה 2</v>
          </cell>
          <cell r="D7485">
            <v>46204</v>
          </cell>
        </row>
        <row r="7486">
          <cell r="A7486" t="str">
            <v>WBM-40038</v>
          </cell>
          <cell r="B7486" t="str">
            <v>אילת</v>
          </cell>
          <cell r="C7486" t="str">
            <v>אילת - החלפת ציוד בשדות4 ו 8</v>
          </cell>
          <cell r="D7486">
            <v>46873</v>
          </cell>
        </row>
        <row r="7487">
          <cell r="A7487" t="str">
            <v>WBM-40036</v>
          </cell>
          <cell r="B7487" t="str">
            <v>אילת</v>
          </cell>
          <cell r="C7487" t="str">
            <v>אילת- הח' מנתקים בש' 5,9 החל' LZ31 בש' 9</v>
          </cell>
          <cell r="D7487">
            <v>46386</v>
          </cell>
        </row>
        <row r="7488">
          <cell r="A7488" t="str">
            <v>WBM-10155</v>
          </cell>
          <cell r="B7488" t="str">
            <v>אילת</v>
          </cell>
          <cell r="C7488" t="str">
            <v>אילת - התקנת מתמרים ב-3 פ"צ</v>
          </cell>
          <cell r="D7488">
            <v>46233</v>
          </cell>
        </row>
        <row r="7489">
          <cell r="A7489" t="str">
            <v>WBM-00247</v>
          </cell>
          <cell r="B7489" t="str">
            <v>אילת</v>
          </cell>
          <cell r="C7489" t="str">
            <v>אילת-התקנת קשר בין הגנות מרחק ליוטבתה</v>
          </cell>
          <cell r="D7489">
            <v>44941</v>
          </cell>
        </row>
        <row r="7490">
          <cell r="A7490" t="str">
            <v>WBM-40005</v>
          </cell>
          <cell r="B7490" t="str">
            <v>אילת</v>
          </cell>
          <cell r="C7490" t="str">
            <v>אילת - החלפת הגנת בשדות 3, 7</v>
          </cell>
          <cell r="D7490">
            <v>44620</v>
          </cell>
        </row>
        <row r="7491">
          <cell r="A7491" t="str">
            <v>WBM-10111</v>
          </cell>
          <cell r="B7491" t="str">
            <v>אילת</v>
          </cell>
          <cell r="C7491" t="str">
            <v>אילת-החלפת משני זרם ומשנקים בשדות 3, 7</v>
          </cell>
          <cell r="D7491">
            <v>44619</v>
          </cell>
        </row>
        <row r="7492">
          <cell r="A7492" t="str">
            <v>0243052</v>
          </cell>
          <cell r="B7492" t="str">
            <v>אילת</v>
          </cell>
          <cell r="C7492" t="str">
            <v>אילת - החלפת SCS</v>
          </cell>
          <cell r="D7492">
            <v>44196</v>
          </cell>
        </row>
        <row r="7493">
          <cell r="A7493" t="str">
            <v>WBM-00010</v>
          </cell>
          <cell r="B7493" t="str">
            <v>אילת</v>
          </cell>
          <cell r="C7493" t="str">
            <v>אילת-התאמת מערכת המים לכיבוי אש-מכ"ר</v>
          </cell>
          <cell r="D7493">
            <v>44047</v>
          </cell>
        </row>
        <row r="7494">
          <cell r="A7494" t="str">
            <v>0247557</v>
          </cell>
          <cell r="B7494" t="str">
            <v>אילת</v>
          </cell>
          <cell r="C7494" t="str">
            <v>uoe6a -אילת החלפת גשרי דיודות</v>
          </cell>
          <cell r="D7494">
            <v>43768</v>
          </cell>
        </row>
        <row r="7495">
          <cell r="A7495" t="str">
            <v>WBM-01166</v>
          </cell>
          <cell r="B7495" t="str">
            <v>אילת</v>
          </cell>
          <cell r="C7495" t="str">
            <v>אילת-שדרוג מערכות SCS מסוג  UNIX - LON</v>
          </cell>
          <cell r="D7495">
            <v>43676</v>
          </cell>
        </row>
        <row r="7496">
          <cell r="A7496" t="str">
            <v>WBM-10036</v>
          </cell>
          <cell r="B7496" t="str">
            <v>אילת</v>
          </cell>
          <cell r="C7496" t="str">
            <v>אילת - החלפת שרשראות מבודדים</v>
          </cell>
          <cell r="D7496">
            <v>43556</v>
          </cell>
        </row>
        <row r="7497">
          <cell r="A7497" t="str">
            <v>WBM-01210</v>
          </cell>
          <cell r="B7497" t="str">
            <v>אילת</v>
          </cell>
          <cell r="C7497" t="str">
            <v>אילת-החלפת רושמי הפרעות .INDACTIC</v>
          </cell>
          <cell r="D7497">
            <v>43403</v>
          </cell>
        </row>
        <row r="7498">
          <cell r="A7498" t="str">
            <v>WBG-007-024</v>
          </cell>
          <cell r="B7498" t="str">
            <v>אילת</v>
          </cell>
          <cell r="C7498" t="str">
            <v>אילת-ביטול חיבור חוזר מרחוק בקו לפארן</v>
          </cell>
          <cell r="D7498">
            <v>41059</v>
          </cell>
        </row>
        <row r="7499">
          <cell r="A7499" t="str">
            <v>WBG-007-022</v>
          </cell>
          <cell r="B7499" t="str">
            <v>אילת</v>
          </cell>
          <cell r="C7499" t="str">
            <v>אילת-השלמת סנכרון ט"ג מס' 3</v>
          </cell>
          <cell r="D7499">
            <v>40933</v>
          </cell>
        </row>
        <row r="7500">
          <cell r="A7500" t="str">
            <v>WBM-40037</v>
          </cell>
          <cell r="B7500" t="str">
            <v>אילת</v>
          </cell>
          <cell r="C7500" t="str">
            <v>אילת - בוטל-החלפת טרפו גרד בשדה 10</v>
          </cell>
          <cell r="D7500">
            <v>44074</v>
          </cell>
        </row>
        <row r="7501">
          <cell r="A7501" t="str">
            <v>WBM-01318</v>
          </cell>
          <cell r="B7501" t="str">
            <v>אילת</v>
          </cell>
          <cell r="C7501" t="str">
            <v>אילת -בוטל-החלפת הגנת קווים  מסוג LZ31</v>
          </cell>
          <cell r="D7501">
            <v>42948</v>
          </cell>
        </row>
        <row r="7502">
          <cell r="A7502" t="str">
            <v>WBM-00011</v>
          </cell>
          <cell r="B7502" t="str">
            <v>אילת</v>
          </cell>
          <cell r="C7502" t="str">
            <v>אילת -בוטל- מיגון חדר מצב לשעת חירום</v>
          </cell>
          <cell r="D7502">
            <v>41229</v>
          </cell>
        </row>
        <row r="7503">
          <cell r="A7503" t="str">
            <v>WBM-00327</v>
          </cell>
          <cell r="B7503" t="str">
            <v>אילת</v>
          </cell>
          <cell r="C7503" t="str">
            <v>אילת -בוטל- התקנת מערכת טמ"ס</v>
          </cell>
          <cell r="D7503">
            <v>41881</v>
          </cell>
        </row>
        <row r="7504">
          <cell r="A7504">
            <v>535446</v>
          </cell>
          <cell r="B7504" t="str">
            <v>אילת</v>
          </cell>
          <cell r="C7504" t="str">
            <v>אילת - החלפת גשרי דיודות</v>
          </cell>
          <cell r="D7504">
            <v>42185</v>
          </cell>
        </row>
        <row r="7505">
          <cell r="A7505">
            <v>535426</v>
          </cell>
          <cell r="B7505" t="str">
            <v>אילת</v>
          </cell>
          <cell r="C7505" t="str">
            <v>אילת-בוטל-התקנת מערכת התראה ביטחונית</v>
          </cell>
          <cell r="D7505">
            <v>36526</v>
          </cell>
        </row>
        <row r="7506">
          <cell r="A7506" t="str">
            <v>WBG-007-007-ST2</v>
          </cell>
          <cell r="B7506" t="str">
            <v>אילת</v>
          </cell>
          <cell r="C7506" t="str">
            <v>אילת-התקנת תקשורת מנהלתית</v>
          </cell>
          <cell r="D7506">
            <v>39355</v>
          </cell>
        </row>
        <row r="7507">
          <cell r="A7507" t="str">
            <v>WBM-00930</v>
          </cell>
          <cell r="B7507" t="str">
            <v>אילת</v>
          </cell>
          <cell r="C7507" t="str">
            <v>אילת-בוטל-פירוק הגנת פחת כיוונית</v>
          </cell>
          <cell r="D7507">
            <v>41249</v>
          </cell>
        </row>
        <row r="7508">
          <cell r="A7508" t="str">
            <v>WBG-007-021</v>
          </cell>
          <cell r="B7508" t="str">
            <v>אילת</v>
          </cell>
          <cell r="C7508" t="str">
            <v>אילת-בוטל-התקנת מאווררים בארונות פיקוד</v>
          </cell>
          <cell r="D7508">
            <v>40311</v>
          </cell>
        </row>
        <row r="7509">
          <cell r="A7509" t="str">
            <v>WBM-10460</v>
          </cell>
          <cell r="B7509" t="str">
            <v>אילת</v>
          </cell>
          <cell r="C7509" t="str">
            <v>אילת -משיק לנחל שחורת שדה 5, התקנת הגנה דיפרנציאלית בשדה 7</v>
          </cell>
          <cell r="D7509">
            <v>46356</v>
          </cell>
        </row>
        <row r="7510">
          <cell r="A7510" t="str">
            <v>WBE-267</v>
          </cell>
          <cell r="B7510" t="str">
            <v>אילת</v>
          </cell>
          <cell r="C7510" t="str">
            <v>אילת- מתקן שני- מתקן אגירת אנרגיה בסוללות</v>
          </cell>
          <cell r="D7510">
            <v>46934</v>
          </cell>
        </row>
        <row r="7511">
          <cell r="A7511" t="str">
            <v>WBM-40601</v>
          </cell>
          <cell r="B7511" t="str">
            <v>אילת</v>
          </cell>
          <cell r="C7511" t="str">
            <v>אילת- החלפת 2 מסדרי מג BEU3 פצ 1+2+4</v>
          </cell>
          <cell r="D7511">
            <v>46234</v>
          </cell>
        </row>
        <row r="7512">
          <cell r="A7512" t="str">
            <v>WBM-00884-034</v>
          </cell>
          <cell r="B7512" t="str">
            <v>אילת</v>
          </cell>
          <cell r="C7512" t="str">
            <v>אילת- בוטל-החלפת מערכות כיבוי בגז NAF-S3</v>
          </cell>
        </row>
        <row r="7513">
          <cell r="A7513" t="str">
            <v>WBM-00885-038</v>
          </cell>
          <cell r="B7513" t="str">
            <v>אילת</v>
          </cell>
          <cell r="C7513" t="str">
            <v>אילת - שדרוג תשתיות המים לכיבוי אש</v>
          </cell>
          <cell r="D7513">
            <v>46175</v>
          </cell>
        </row>
        <row r="7514">
          <cell r="A7514" t="str">
            <v>WBM-01431-016</v>
          </cell>
          <cell r="B7514" t="str">
            <v>אילת</v>
          </cell>
          <cell r="C7514" t="str">
            <v>אילת - ממסרי  שנאים 531, 532, 534</v>
          </cell>
          <cell r="D7514">
            <v>45781</v>
          </cell>
        </row>
        <row r="7515">
          <cell r="A7515" t="str">
            <v>WBM-10315-023</v>
          </cell>
          <cell r="B7515" t="str">
            <v>אילת</v>
          </cell>
          <cell r="C7515" t="str">
            <v>אילת-התקנת מזגנים</v>
          </cell>
          <cell r="D7515">
            <v>45565</v>
          </cell>
        </row>
        <row r="7516">
          <cell r="A7516" t="str">
            <v>WBM-10316-058</v>
          </cell>
          <cell r="B7516" t="str">
            <v>אילת</v>
          </cell>
          <cell r="C7516" t="str">
            <v>אילת (עבור נגב)- בוטל - התקנת מחשבים נייחים לרושמ</v>
          </cell>
        </row>
        <row r="7517">
          <cell r="A7517" t="str">
            <v>WBM-20004-003</v>
          </cell>
          <cell r="B7517" t="str">
            <v>אילת</v>
          </cell>
          <cell r="C7517" t="str">
            <v>אילת - התקנת רשת ניסקו והחלפת תאורה</v>
          </cell>
          <cell r="D7517">
            <v>46721</v>
          </cell>
        </row>
        <row r="7518">
          <cell r="A7518" t="str">
            <v>WBM-40479-006</v>
          </cell>
          <cell r="B7518" t="str">
            <v>אילת</v>
          </cell>
          <cell r="C7518" t="str">
            <v>אילת- החלפת 3 בקרי טמפ' וגובה שמן בשנאי</v>
          </cell>
          <cell r="D7518">
            <v>45781</v>
          </cell>
        </row>
        <row r="7519">
          <cell r="A7519" t="str">
            <v>WBM-60088-052</v>
          </cell>
          <cell r="B7519" t="str">
            <v>אילת</v>
          </cell>
          <cell r="C7519" t="str">
            <v>אילת - התקנת תשתית ביוב</v>
          </cell>
          <cell r="D7519">
            <v>45636</v>
          </cell>
        </row>
        <row r="7520">
          <cell r="A7520" t="str">
            <v>WBM-60092-028</v>
          </cell>
          <cell r="B7520" t="str">
            <v>אילת</v>
          </cell>
          <cell r="C7520" t="str">
            <v>אילת - בדיקות/טיפול/פינוי מכלי אש בגז</v>
          </cell>
          <cell r="D7520">
            <v>46386</v>
          </cell>
        </row>
        <row r="7521">
          <cell r="A7521" t="str">
            <v>WBM-60116-002</v>
          </cell>
          <cell r="B7521" t="str">
            <v>אילת</v>
          </cell>
          <cell r="C7521" t="str">
            <v>אילת - החלפת מערכת גילוי וכיבוי אש כולל רכזת</v>
          </cell>
          <cell r="D7521">
            <v>46387</v>
          </cell>
        </row>
        <row r="7522">
          <cell r="A7522" t="str">
            <v>WBM-60205-029</v>
          </cell>
          <cell r="B7522" t="str">
            <v>אילת</v>
          </cell>
          <cell r="C7522" t="str">
            <v>אילת - ניטור הצפות</v>
          </cell>
          <cell r="D7522">
            <v>46175</v>
          </cell>
        </row>
        <row r="7523">
          <cell r="A7523" t="str">
            <v>WBM-10743</v>
          </cell>
          <cell r="B7523" t="str">
            <v>אילת</v>
          </cell>
          <cell r="C7523" t="str">
            <v>אילת- משיק יוטבתה שדה 3,   יישום דרך קשר אופטית בין הגנות  בשדה 3</v>
          </cell>
          <cell r="D7523">
            <v>46295</v>
          </cell>
        </row>
        <row r="7524">
          <cell r="A7524" t="str">
            <v>WBM-00885-159</v>
          </cell>
          <cell r="B7524" t="str">
            <v>אילת</v>
          </cell>
          <cell r="C7524" t="str">
            <v>אילת- החלפת מזח בתחמ"ש</v>
          </cell>
          <cell r="D7524">
            <v>46175</v>
          </cell>
        </row>
        <row r="7525">
          <cell r="A7525" t="str">
            <v>WBM-60212</v>
          </cell>
          <cell r="B7525" t="str">
            <v>אילת</v>
          </cell>
          <cell r="C7525" t="str">
            <v>אילת – התקנת מיכל מים לשתייה</v>
          </cell>
          <cell r="D7525">
            <v>46203</v>
          </cell>
        </row>
        <row r="7526">
          <cell r="A7526" t="str">
            <v>WCQ-9-00-01206</v>
          </cell>
          <cell r="B7526" t="str">
            <v>איילון 2903</v>
          </cell>
          <cell r="C7526" t="str">
            <v>יציאות מתחמ"ש אבנת</v>
          </cell>
          <cell r="D7526">
            <v>44834</v>
          </cell>
        </row>
        <row r="7527">
          <cell r="A7527" t="str">
            <v>WCQ-9-00-01207</v>
          </cell>
          <cell r="B7527" t="str">
            <v>איילון 2903</v>
          </cell>
          <cell r="C7527" t="str">
            <v>יציאות מתחמש גזר</v>
          </cell>
          <cell r="D7527">
            <v>47118</v>
          </cell>
        </row>
        <row r="7528">
          <cell r="A7528" t="str">
            <v>WCQ-9-00-01303</v>
          </cell>
          <cell r="B7528" t="str">
            <v>איילון 2903</v>
          </cell>
          <cell r="C7528" t="str">
            <v>יציאות מתחמ"ש מודיעין</v>
          </cell>
          <cell r="D7528">
            <v>45230</v>
          </cell>
        </row>
        <row r="7529">
          <cell r="A7529" t="str">
            <v>WCQ-9-00-01304</v>
          </cell>
          <cell r="B7529" t="str">
            <v>איילון 2903</v>
          </cell>
          <cell r="C7529" t="str">
            <v>יציאות מתחמ"ש שוהם- הפרויקט הסתיים</v>
          </cell>
          <cell r="D7529">
            <v>45838</v>
          </cell>
        </row>
        <row r="7530">
          <cell r="A7530" t="str">
            <v>WCS-9-00-01191</v>
          </cell>
          <cell r="B7530" t="str">
            <v>איילון 2903</v>
          </cell>
          <cell r="C7530" t="str">
            <v>חידוש אמינות; מ"ב איילון</v>
          </cell>
          <cell r="D7530">
            <v>49655</v>
          </cell>
        </row>
        <row r="7531">
          <cell r="A7531" t="str">
            <v>WCT-9-00-01193</v>
          </cell>
          <cell r="B7531" t="str">
            <v>איילון 2903</v>
          </cell>
          <cell r="C7531" t="str">
            <v>בטיחות - סילוק מפגעים; מ"ב איילון</v>
          </cell>
          <cell r="D7531">
            <v>48579</v>
          </cell>
        </row>
        <row r="7532">
          <cell r="A7532" t="str">
            <v>WHP-9-00-01211</v>
          </cell>
          <cell r="B7532" t="str">
            <v>איילון 2903</v>
          </cell>
          <cell r="C7532" t="str">
            <v>ייצור מבוזר איילון</v>
          </cell>
          <cell r="D7532">
            <v>49673</v>
          </cell>
        </row>
        <row r="7533">
          <cell r="A7533" t="str">
            <v>WHP-9-00-01242</v>
          </cell>
          <cell r="B7533" t="str">
            <v>איילון 2903</v>
          </cell>
          <cell r="C7533" t="str">
            <v>אספקה וחיבור חשמל לרכב חשמלי איילון</v>
          </cell>
          <cell r="D7533">
            <v>49310</v>
          </cell>
        </row>
        <row r="7534">
          <cell r="A7534" t="str">
            <v>WHP-9-00-01259</v>
          </cell>
          <cell r="B7534" t="str">
            <v>איילון 2903</v>
          </cell>
          <cell r="C7534" t="str">
            <v>רכבת קלה - סגול - מ"ב אילון</v>
          </cell>
          <cell r="D7534">
            <v>45657</v>
          </cell>
        </row>
        <row r="7535">
          <cell r="A7535" t="str">
            <v>WHU-9-00-01291</v>
          </cell>
          <cell r="B7535" t="str">
            <v>איילון 2903</v>
          </cell>
          <cell r="C7535" t="str">
            <v>מסילה מזרחית - רכבת ישראל</v>
          </cell>
          <cell r="D7535">
            <v>46387</v>
          </cell>
        </row>
        <row r="7536">
          <cell r="A7536" t="str">
            <v>WHP-9-00-01340</v>
          </cell>
          <cell r="B7536" t="str">
            <v>איילון 2903</v>
          </cell>
          <cell r="C7536" t="str">
            <v>אספקה וחיבור חשמל לכפר ברא</v>
          </cell>
          <cell r="D7536">
            <v>47118</v>
          </cell>
        </row>
        <row r="7537">
          <cell r="A7537" t="str">
            <v>WHP-9-00-01339</v>
          </cell>
          <cell r="B7537" t="str">
            <v>איילון 2903</v>
          </cell>
          <cell r="C7537" t="str">
            <v>אספקה וחיבור חשמל  לשכונות באלעד</v>
          </cell>
          <cell r="D7537">
            <v>47848</v>
          </cell>
        </row>
        <row r="7538">
          <cell r="A7538" t="str">
            <v>WHP-9-00-01208</v>
          </cell>
          <cell r="B7538" t="str">
            <v>איילון 2903</v>
          </cell>
          <cell r="C7538" t="str">
            <v>אספקת חשמל לראש העין מזרח - ראש העין</v>
          </cell>
          <cell r="D7538">
            <v>47483</v>
          </cell>
        </row>
        <row r="7539">
          <cell r="A7539" t="str">
            <v>WCQ-9-00-01307</v>
          </cell>
          <cell r="B7539" t="str">
            <v>איילון 2903</v>
          </cell>
          <cell r="C7539" t="str">
            <v>יציאות מתחמ"ש אלעד</v>
          </cell>
          <cell r="D7539">
            <v>46934</v>
          </cell>
        </row>
        <row r="7540">
          <cell r="A7540" t="str">
            <v>WCQ-9-00-01308</v>
          </cell>
          <cell r="B7540" t="str">
            <v>איילון 2903</v>
          </cell>
          <cell r="C7540" t="str">
            <v>יציאות מתחמ"ש קרית אריה</v>
          </cell>
          <cell r="D7540">
            <v>46387</v>
          </cell>
        </row>
        <row r="7541">
          <cell r="A7541" t="str">
            <v>WCQ-9-00-01321</v>
          </cell>
          <cell r="B7541" t="str">
            <v>איילון 2903</v>
          </cell>
          <cell r="C7541" t="str">
            <v>יציאות מתחמ"ש סתריה</v>
          </cell>
          <cell r="D7541">
            <v>46568</v>
          </cell>
        </row>
        <row r="7542">
          <cell r="A7542" t="str">
            <v>WHP-9-00-01366</v>
          </cell>
          <cell r="B7542" t="str">
            <v>איילון 2903</v>
          </cell>
          <cell r="C7542" t="str">
            <v>אספקה וחיבור חשמל לשכונות בכפר קאסם</v>
          </cell>
          <cell r="D7542">
            <v>46752</v>
          </cell>
        </row>
        <row r="7543">
          <cell r="A7543" t="str">
            <v>WCQ-9-00-01386</v>
          </cell>
          <cell r="B7543" t="str">
            <v>איילון 2903</v>
          </cell>
          <cell r="C7543" t="str">
            <v>יציאות מתחמ"ש בארות יצחק</v>
          </cell>
          <cell r="D7543">
            <v>47299</v>
          </cell>
        </row>
        <row r="7544">
          <cell r="A7544" t="str">
            <v>WHP-9-00-01426</v>
          </cell>
          <cell r="B7544" t="str">
            <v>איילון 2903</v>
          </cell>
          <cell r="C7544" t="str">
            <v>אספקה וחיבור חשמל לשכונות בעיר יהוד- לא בשימוש</v>
          </cell>
          <cell r="D7544">
            <v>47848</v>
          </cell>
        </row>
        <row r="7545">
          <cell r="A7545" t="str">
            <v>WHP-9-00-01425</v>
          </cell>
          <cell r="B7545" t="str">
            <v>איילון 2903</v>
          </cell>
          <cell r="C7545" t="str">
            <v>אספקה וחיבור חשמל לשכונות בעיר פתח תקווה</v>
          </cell>
          <cell r="D7545">
            <v>47848</v>
          </cell>
        </row>
        <row r="7546">
          <cell r="A7546" t="str">
            <v>WCS-9-00-01331</v>
          </cell>
          <cell r="B7546" t="str">
            <v>איילון 2903</v>
          </cell>
          <cell r="C7546" t="str">
            <v>מיגון רכיבי רשת להגנה על ציפורים-איילון</v>
          </cell>
          <cell r="D7546">
            <v>47848</v>
          </cell>
        </row>
        <row r="7547">
          <cell r="A7547" t="str">
            <v>WHP-9-00-01338</v>
          </cell>
          <cell r="B7547" t="str">
            <v>איילון 2903</v>
          </cell>
          <cell r="C7547" t="str">
            <v>אספקה וחיבור חשמל לשכונות בג'לג'וליה</v>
          </cell>
          <cell r="D7547">
            <v>47848</v>
          </cell>
        </row>
        <row r="7548">
          <cell r="A7548" t="str">
            <v>WHP-9-00-01348</v>
          </cell>
          <cell r="B7548" t="str">
            <v>איילון 2903</v>
          </cell>
          <cell r="C7548" t="str">
            <v>אספקה וחיבור חשמל למתחם מוהליבר, יהוד</v>
          </cell>
          <cell r="D7548">
            <v>47118</v>
          </cell>
        </row>
        <row r="7549">
          <cell r="A7549" t="str">
            <v>WHP-9-00-01375</v>
          </cell>
          <cell r="B7549" t="str">
            <v>איילון 2903</v>
          </cell>
          <cell r="C7549" t="str">
            <v>אספקת חשמל לשכונת סירקין</v>
          </cell>
          <cell r="D7549">
            <v>49674</v>
          </cell>
        </row>
        <row r="7550">
          <cell r="A7550" t="str">
            <v>WCQ-9-00-01376</v>
          </cell>
          <cell r="B7550" t="str">
            <v>איילון 2903</v>
          </cell>
          <cell r="C7550" t="str">
            <v>יציאות מתחמ"ש ראש העין</v>
          </cell>
          <cell r="D7550">
            <v>47118</v>
          </cell>
        </row>
        <row r="7551">
          <cell r="A7551" t="str">
            <v>WHP-9-00-01377</v>
          </cell>
          <cell r="B7551" t="str">
            <v>איילון 2903</v>
          </cell>
          <cell r="C7551" t="str">
            <v>כביש 46 (צומת הטייסים עד כביש 6)</v>
          </cell>
          <cell r="D7551">
            <v>47848</v>
          </cell>
        </row>
        <row r="7552">
          <cell r="A7552" t="str">
            <v>WCQ-9-00-01378</v>
          </cell>
          <cell r="B7552" t="str">
            <v>איילון 2903</v>
          </cell>
          <cell r="C7552" t="str">
            <v>יציאות מתחמ"ש גנים</v>
          </cell>
          <cell r="D7552">
            <v>47118</v>
          </cell>
        </row>
        <row r="7553">
          <cell r="A7553" t="str">
            <v>WCS-9-00-01402</v>
          </cell>
          <cell r="B7553" t="str">
            <v>איילון 2903</v>
          </cell>
          <cell r="C7553" t="str">
            <v>איילון - אמינות תוספתי</v>
          </cell>
          <cell r="D7553">
            <v>48579</v>
          </cell>
        </row>
        <row r="7554">
          <cell r="A7554" t="str">
            <v>WCU-9-00-01407</v>
          </cell>
          <cell r="B7554" t="str">
            <v>איילון 2903</v>
          </cell>
          <cell r="C7554" t="str">
            <v>מטרו M1 - מרחב איילון</v>
          </cell>
          <cell r="D7554">
            <v>49309</v>
          </cell>
        </row>
        <row r="7555">
          <cell r="A7555" t="str">
            <v>WCS-9-00-01411</v>
          </cell>
          <cell r="B7555" t="str">
            <v>איילון 2903</v>
          </cell>
          <cell r="C7555" t="str">
            <v>איילון - אמינות חידוש</v>
          </cell>
          <cell r="D7555">
            <v>48579</v>
          </cell>
        </row>
        <row r="7556">
          <cell r="A7556" t="str">
            <v>WCS-9-00-01412</v>
          </cell>
          <cell r="B7556" t="str">
            <v>איילון 2903</v>
          </cell>
          <cell r="C7556" t="str">
            <v>איילון - אמינות חידוש</v>
          </cell>
          <cell r="D7556">
            <v>49674</v>
          </cell>
        </row>
        <row r="7557">
          <cell r="A7557" t="str">
            <v>WHP-9-00-01419</v>
          </cell>
          <cell r="B7557" t="str">
            <v>איילון 2903</v>
          </cell>
          <cell r="C7557" t="str">
            <v>אספקת חשמל למתחם הס גולברג- לא בשימוש</v>
          </cell>
          <cell r="D7557">
            <v>47848</v>
          </cell>
        </row>
        <row r="7558">
          <cell r="A7558" t="str">
            <v>WHP-9-00-01312</v>
          </cell>
          <cell r="B7558" t="str">
            <v>איילון 2903</v>
          </cell>
          <cell r="C7558" t="str">
            <v>אספקה וחיבור חשמל לשכונות בעיר רמלה</v>
          </cell>
          <cell r="D7558">
            <v>49494</v>
          </cell>
        </row>
        <row r="7559">
          <cell r="A7559" t="str">
            <v>WHP-9-00-01205</v>
          </cell>
          <cell r="B7559" t="str">
            <v>איילון 2903</v>
          </cell>
          <cell r="C7559" t="str">
            <v>אספקת חשמל לשכונת בן שמן</v>
          </cell>
          <cell r="D7559">
            <v>46751</v>
          </cell>
        </row>
        <row r="7560">
          <cell r="A7560" t="str">
            <v>WHP-9-00-01270</v>
          </cell>
          <cell r="B7560" t="str">
            <v>איילון 2903</v>
          </cell>
          <cell r="C7560" t="str">
            <v>אספקת חשמל לשכונת ניר צבי</v>
          </cell>
          <cell r="D7560">
            <v>47847</v>
          </cell>
        </row>
        <row r="7561">
          <cell r="A7561" t="str">
            <v>WHP-9-00-01282</v>
          </cell>
          <cell r="B7561" t="str">
            <v>איילון 2903</v>
          </cell>
          <cell r="C7561" t="str">
            <v>מהיר לעיר - קו חום</v>
          </cell>
          <cell r="D7561">
            <v>47118</v>
          </cell>
        </row>
        <row r="7562">
          <cell r="A7562" t="str">
            <v>WHP-9-00-01288</v>
          </cell>
          <cell r="B7562" t="str">
            <v>איילון 2903</v>
          </cell>
          <cell r="C7562" t="str">
            <v>אספקת חשמל לשכונת רמת-סיב</v>
          </cell>
          <cell r="D7562">
            <v>46752</v>
          </cell>
        </row>
        <row r="7563">
          <cell r="A7563" t="str">
            <v>WHP-9-00-01266</v>
          </cell>
          <cell r="B7563" t="str">
            <v>איילון 2903</v>
          </cell>
          <cell r="C7563" t="str">
            <v>אספקת חשמל לשכונה כ"א שוהם - הסתיים</v>
          </cell>
          <cell r="D7563">
            <v>45838</v>
          </cell>
        </row>
        <row r="7564">
          <cell r="A7564" t="str">
            <v>WHP-9-00-01204</v>
          </cell>
          <cell r="B7564" t="str">
            <v>איילון 2903</v>
          </cell>
          <cell r="C7564" t="str">
            <v>אספקת חשמל לשכונת גני איילון</v>
          </cell>
          <cell r="D7564">
            <v>46388</v>
          </cell>
        </row>
        <row r="7565">
          <cell r="A7565" t="str">
            <v>WHP-9-00-01238</v>
          </cell>
          <cell r="B7565" t="str">
            <v>איילון 2903</v>
          </cell>
          <cell r="C7565" t="str">
            <v>אספקה וחיבור חשמל לשכונת נאות שמיר</v>
          </cell>
          <cell r="D7565">
            <v>46203</v>
          </cell>
        </row>
        <row r="7566">
          <cell r="A7566" t="str">
            <v>WHP-9-00-01281</v>
          </cell>
          <cell r="B7566" t="str">
            <v>איילון 2903</v>
          </cell>
          <cell r="C7566" t="str">
            <v>אספקת חשמל לשכונת גני יהודה</v>
          </cell>
          <cell r="D7566">
            <v>47482</v>
          </cell>
        </row>
        <row r="7567">
          <cell r="A7567" t="str">
            <v>WHP-9-00-01209</v>
          </cell>
          <cell r="B7567" t="str">
            <v>איילון 2903</v>
          </cell>
          <cell r="C7567" t="str">
            <v>אספקת חשמל לשכונות בעיר מודיעין (כולל מורשת)</v>
          </cell>
          <cell r="D7567">
            <v>46660</v>
          </cell>
        </row>
        <row r="7568">
          <cell r="A7568" t="str">
            <v>WHP-9-00-01447</v>
          </cell>
          <cell r="B7568" t="str">
            <v>איילון 2903</v>
          </cell>
          <cell r="C7568" t="str">
            <v>אספקה לש. בעיר לוד</v>
          </cell>
          <cell r="D7568">
            <v>49674</v>
          </cell>
        </row>
        <row r="7569">
          <cell r="A7569" t="str">
            <v>WCQ-9-00-01448</v>
          </cell>
          <cell r="B7569" t="str">
            <v>איילון 2903</v>
          </cell>
          <cell r="C7569" t="str">
            <v>יציאות מתחמ"ש פתח תקווה</v>
          </cell>
          <cell r="D7569">
            <v>46568</v>
          </cell>
        </row>
        <row r="7570">
          <cell r="A7570" t="str">
            <v>WCQ-9-00-01449</v>
          </cell>
          <cell r="B7570" t="str">
            <v>איילון 2903</v>
          </cell>
          <cell r="C7570" t="str">
            <v>יציאות מתחמ"ש רעות</v>
          </cell>
          <cell r="D7570">
            <v>47118</v>
          </cell>
        </row>
        <row r="7571">
          <cell r="A7571" t="str">
            <v>WCQ-9-00-01460</v>
          </cell>
          <cell r="B7571" t="str">
            <v>איילון 2903</v>
          </cell>
          <cell r="C7571" t="str">
            <v>יציאות מתחמ"ש לוד</v>
          </cell>
          <cell r="D7571">
            <v>47118</v>
          </cell>
        </row>
        <row r="7572">
          <cell r="A7572" t="str">
            <v>WCQ-9-00-01481</v>
          </cell>
          <cell r="B7572" t="str">
            <v>איילון 2903</v>
          </cell>
          <cell r="C7572" t="str">
            <v>יציאות מתחמ"ש טרומן</v>
          </cell>
          <cell r="D7572">
            <v>46935</v>
          </cell>
        </row>
        <row r="7573">
          <cell r="A7573" t="str">
            <v>WHP-9-00-01484</v>
          </cell>
          <cell r="B7573" t="str">
            <v>איילון 2903</v>
          </cell>
          <cell r="C7573" t="str">
            <v>מטרו M2 - מרחב איילון</v>
          </cell>
          <cell r="D7573">
            <v>49309</v>
          </cell>
        </row>
        <row r="7574">
          <cell r="A7574" t="str">
            <v>WHP-9-00-01485</v>
          </cell>
          <cell r="B7574" t="str">
            <v>איילון 2903</v>
          </cell>
          <cell r="C7574" t="str">
            <v>מטרו M3 - מרחב איילון</v>
          </cell>
          <cell r="D7574">
            <v>49309</v>
          </cell>
        </row>
        <row r="7575">
          <cell r="A7575" t="str">
            <v>WHP-9-00-99006</v>
          </cell>
          <cell r="B7575" t="str">
            <v>איילון 2903</v>
          </cell>
          <cell r="C7575" t="str">
            <v>מטרו M1 - מרחב איילון</v>
          </cell>
          <cell r="D7575">
            <v>48579</v>
          </cell>
        </row>
        <row r="7576">
          <cell r="A7576" t="str">
            <v>WHP-9-00-99007</v>
          </cell>
          <cell r="B7576" t="str">
            <v>איילון 2903</v>
          </cell>
          <cell r="C7576" t="str">
            <v>מטרו M2 - מרחב איילון</v>
          </cell>
          <cell r="D7576">
            <v>48579</v>
          </cell>
        </row>
        <row r="7577">
          <cell r="A7577" t="str">
            <v>WHP-9-00-99008</v>
          </cell>
          <cell r="B7577" t="str">
            <v>איילון 2903</v>
          </cell>
          <cell r="C7577" t="str">
            <v>מטרו M3 - מרחב איילון</v>
          </cell>
          <cell r="D7577">
            <v>48579</v>
          </cell>
        </row>
        <row r="7578">
          <cell r="A7578" t="str">
            <v>WHP-9-00-01507</v>
          </cell>
          <cell r="B7578" t="str">
            <v>איילון 2903</v>
          </cell>
          <cell r="C7578" t="str">
            <v>הגרלה ייצור מבוזר איילון- לא בשימוש</v>
          </cell>
          <cell r="D7578">
            <v>46752</v>
          </cell>
        </row>
        <row r="7579">
          <cell r="A7579" t="str">
            <v>WCU-9-00-01513</v>
          </cell>
          <cell r="B7579" t="str">
            <v>איילון 2903</v>
          </cell>
          <cell r="C7579" t="str">
            <v>עוקף לוד רכבת ישראל</v>
          </cell>
          <cell r="D7579">
            <v>47118</v>
          </cell>
        </row>
        <row r="7580">
          <cell r="A7580" t="str">
            <v>WCQ-9-00-01532</v>
          </cell>
          <cell r="B7580" t="str">
            <v>איילון 2903</v>
          </cell>
          <cell r="C7580" t="str">
            <v>יציאות מתחמ"ש שוהם</v>
          </cell>
          <cell r="D7580">
            <v>46752</v>
          </cell>
        </row>
        <row r="7581">
          <cell r="A7581" t="str">
            <v>W1P-9-00-01539</v>
          </cell>
          <cell r="B7581" t="str">
            <v>איילון 2903</v>
          </cell>
          <cell r="C7581" t="str">
            <v>אספקה וחיבור חשמל לפארק תעשיות מכבים</v>
          </cell>
          <cell r="D7581">
            <v>47848</v>
          </cell>
        </row>
        <row r="7582">
          <cell r="A7582" t="str">
            <v>WHP-9-00-01540</v>
          </cell>
          <cell r="B7582" t="str">
            <v>איילון 2903</v>
          </cell>
          <cell r="C7582" t="str">
            <v>אספקה וחיבור חשמל לפארק תעשיות מכבים</v>
          </cell>
          <cell r="D7582">
            <v>47848</v>
          </cell>
        </row>
        <row r="7583">
          <cell r="A7583" t="str">
            <v>WHP-9-00-01555</v>
          </cell>
          <cell r="B7583" t="str">
            <v>איילון 2903</v>
          </cell>
          <cell r="C7583" t="str">
            <v>אספקה וחיבור חשמל לשכונת נאות עובדיה רמלה</v>
          </cell>
          <cell r="D7583">
            <v>48213</v>
          </cell>
        </row>
        <row r="7584">
          <cell r="A7584" t="str">
            <v>WCS-9-00-01561</v>
          </cell>
          <cell r="B7584" t="str">
            <v>איילון 2903</v>
          </cell>
          <cell r="C7584" t="str">
            <v>החלפת מופות מ"ג - מרחב איילון</v>
          </cell>
          <cell r="D7584">
            <v>49674</v>
          </cell>
        </row>
        <row r="7585">
          <cell r="A7585" t="str">
            <v>WHP-9-00-01566</v>
          </cell>
          <cell r="B7585" t="str">
            <v>איילון 2903</v>
          </cell>
          <cell r="C7585" t="str">
            <v>אספקה וחיבור חשמל לשכונת לב הבקעה, גני תקווה</v>
          </cell>
          <cell r="D7585">
            <v>48579</v>
          </cell>
        </row>
        <row r="7586">
          <cell r="A7586" t="str">
            <v>WHP-9-00-01568</v>
          </cell>
          <cell r="B7586" t="str">
            <v>איילון 2903</v>
          </cell>
          <cell r="C7586" t="str">
            <v>אספקה וחיבור חשמל לשכונת בן גוריון, רמלה</v>
          </cell>
          <cell r="D7586">
            <v>47664</v>
          </cell>
        </row>
        <row r="7587">
          <cell r="B7587" t="str">
            <v>איילון 2903</v>
          </cell>
          <cell r="C7587" t="str">
            <v>אספקה וחיבור חשמל לשכונות בהוד השרון</v>
          </cell>
          <cell r="D7587">
            <v>48213</v>
          </cell>
        </row>
        <row r="7588">
          <cell r="A7588" t="str">
            <v>WHP-9-00-01588</v>
          </cell>
          <cell r="B7588" t="str">
            <v>איילון 2903</v>
          </cell>
          <cell r="C7588" t="str">
            <v>שיפור שאינו תמריצים; איילון</v>
          </cell>
          <cell r="D7588">
            <v>49918</v>
          </cell>
        </row>
        <row r="7589">
          <cell r="A7589" t="str">
            <v>WHP-9-00-01590</v>
          </cell>
          <cell r="B7589" t="str">
            <v>איילון 2903</v>
          </cell>
          <cell r="C7589" t="str">
            <v>אספקה וחיבור חשמל לשכונות בעיר מודיעין עילית</v>
          </cell>
          <cell r="D7589">
            <v>48213</v>
          </cell>
        </row>
        <row r="7590">
          <cell r="A7590" t="str">
            <v>0212734</v>
          </cell>
          <cell r="B7590" t="str">
            <v>איילון</v>
          </cell>
          <cell r="C7590" t="str">
            <v>uoe6a-איילון-עיבוי ושדרוג עמוד השדרה</v>
          </cell>
          <cell r="D7590">
            <v>42338</v>
          </cell>
        </row>
        <row r="7591">
          <cell r="A7591" t="str">
            <v>WBE-102-ST1</v>
          </cell>
          <cell r="B7591" t="str">
            <v>איילון</v>
          </cell>
          <cell r="C7591" t="str">
            <v>איילון-התקנת 3 שנאים 75  מגוו"א כ"א</v>
          </cell>
          <cell r="D7591">
            <v>44269</v>
          </cell>
        </row>
        <row r="7592">
          <cell r="A7592" t="str">
            <v>WBE-102</v>
          </cell>
          <cell r="B7592" t="str">
            <v>איילון</v>
          </cell>
          <cell r="C7592" t="str">
            <v>איילון-התקנת 3 שנאים 75 מגוו"א -2 שלבים</v>
          </cell>
          <cell r="D7592">
            <v>44269</v>
          </cell>
        </row>
        <row r="7593">
          <cell r="A7593" t="str">
            <v>WBE-102-ST2</v>
          </cell>
          <cell r="B7593" t="str">
            <v>איילון</v>
          </cell>
          <cell r="C7593" t="str">
            <v>איילון-בוטל-החלפת שנאי 50 ב- 75 מגוו"א</v>
          </cell>
          <cell r="D7593">
            <v>43665</v>
          </cell>
        </row>
        <row r="7594">
          <cell r="A7594" t="str">
            <v>WBM-00903</v>
          </cell>
          <cell r="B7594" t="str">
            <v>איילון</v>
          </cell>
          <cell r="C7594" t="str">
            <v>איילון-הוקפא -התקנת  4 סוללות קבלים מודולריות חיצוניות 24 ק"ו, 5*3 מגווא"ר כ"א.</v>
          </cell>
          <cell r="D7594">
            <v>55153</v>
          </cell>
        </row>
        <row r="7595">
          <cell r="A7595" t="str">
            <v>WBM-10216</v>
          </cell>
          <cell r="B7595" t="str">
            <v>איילון</v>
          </cell>
          <cell r="C7595" t="str">
            <v>איילון-התאמת הירידות מתיילי-משיק WBN-425</v>
          </cell>
          <cell r="D7595">
            <v>47848</v>
          </cell>
        </row>
        <row r="7596">
          <cell r="A7596" t="str">
            <v>WBM-60122</v>
          </cell>
          <cell r="B7596" t="str">
            <v>איילון</v>
          </cell>
          <cell r="C7596" t="str">
            <v>איילון - החלפת ארונות פיקוד משאבת כיבוי</v>
          </cell>
          <cell r="D7596">
            <v>45138</v>
          </cell>
        </row>
        <row r="7597">
          <cell r="A7597" t="str">
            <v>WBM-10245</v>
          </cell>
          <cell r="B7597" t="str">
            <v>איילון</v>
          </cell>
          <cell r="C7597" t="str">
            <v>איילון - משיק לעתידים, החלפת הג.דיפ.ש2</v>
          </cell>
          <cell r="D7597">
            <v>44622</v>
          </cell>
        </row>
        <row r="7598">
          <cell r="A7598" t="str">
            <v>WBM-60040</v>
          </cell>
          <cell r="B7598" t="str">
            <v>איילון</v>
          </cell>
          <cell r="C7598" t="str">
            <v>איילון - שדרוג מערכת גילוי וכיבוי אש</v>
          </cell>
          <cell r="D7598">
            <v>44377</v>
          </cell>
        </row>
        <row r="7599">
          <cell r="A7599" t="str">
            <v>WBM-40300</v>
          </cell>
          <cell r="B7599" t="str">
            <v>איילון</v>
          </cell>
          <cell r="C7599" t="str">
            <v>איילון - החלפת 288 יחידות קבלים 220 MV</v>
          </cell>
          <cell r="D7599">
            <v>44347</v>
          </cell>
        </row>
        <row r="7600">
          <cell r="A7600" t="str">
            <v>WBM-01297</v>
          </cell>
          <cell r="B7600" t="str">
            <v>איילון</v>
          </cell>
          <cell r="C7600" t="str">
            <v>איילון -ישום קשר בין הגנות לבארות יצחק</v>
          </cell>
          <cell r="D7600">
            <v>43534</v>
          </cell>
        </row>
        <row r="7601">
          <cell r="A7601" t="str">
            <v>WBM-01085</v>
          </cell>
          <cell r="B7601" t="str">
            <v>איילון</v>
          </cell>
          <cell r="C7601" t="str">
            <v>איילון-הקמת מערכת טמ"ס</v>
          </cell>
          <cell r="D7601">
            <v>43069</v>
          </cell>
        </row>
        <row r="7602">
          <cell r="A7602" t="str">
            <v>WBM-01371</v>
          </cell>
          <cell r="B7602" t="str">
            <v>איילון</v>
          </cell>
          <cell r="C7602" t="str">
            <v>איילון-בוטל-מיגון מתקנים פיזי</v>
          </cell>
          <cell r="D7602">
            <v>43129</v>
          </cell>
        </row>
        <row r="7603">
          <cell r="A7603" t="str">
            <v>WBJ-001</v>
          </cell>
          <cell r="B7603" t="str">
            <v>איילון</v>
          </cell>
          <cell r="C7603" t="str">
            <v>איילון- הקמת תחמ"ג-3 שלבים</v>
          </cell>
          <cell r="D7603">
            <v>43006</v>
          </cell>
        </row>
        <row r="7604">
          <cell r="A7604" t="str">
            <v>WBJ-001-ST1</v>
          </cell>
          <cell r="B7604" t="str">
            <v>איילון</v>
          </cell>
          <cell r="C7604" t="str">
            <v>איילון-הקמת תחמ"ג 400/161, 650*2 מגוו"א</v>
          </cell>
          <cell r="D7604">
            <v>42180</v>
          </cell>
        </row>
        <row r="7605">
          <cell r="A7605" t="str">
            <v>WBM-00246</v>
          </cell>
          <cell r="B7605" t="str">
            <v>איילון</v>
          </cell>
          <cell r="C7605" t="str">
            <v>איילון-התקנת ס"ק 161 ק"ו 220 מגווא"ר</v>
          </cell>
          <cell r="D7605">
            <v>43332</v>
          </cell>
        </row>
        <row r="7606">
          <cell r="A7606" t="str">
            <v>WBM-01056</v>
          </cell>
          <cell r="B7606" t="str">
            <v>איילון</v>
          </cell>
          <cell r="C7606" t="str">
            <v>איילון-ישום קשר בין הגנות לת.הולץ ולקריה</v>
          </cell>
          <cell r="D7606">
            <v>43153</v>
          </cell>
        </row>
        <row r="7607">
          <cell r="A7607" t="str">
            <v>WBJ-001-ST03</v>
          </cell>
          <cell r="B7607" t="str">
            <v>איילון</v>
          </cell>
          <cell r="C7607" t="str">
            <v>איילון-הפעלת שנאי קישור שלישי תלת פאזי</v>
          </cell>
          <cell r="D7607">
            <v>42339</v>
          </cell>
        </row>
        <row r="7608">
          <cell r="A7608" t="str">
            <v>WBM-10535</v>
          </cell>
          <cell r="B7608" t="str">
            <v>איילון</v>
          </cell>
          <cell r="C7608" t="str">
            <v>איילון - מדידה והחלפת צנרת GIS במסדר 400 ק"ו  ל 3 אוטו שנאים</v>
          </cell>
          <cell r="D7608">
            <v>47664</v>
          </cell>
        </row>
        <row r="7609">
          <cell r="A7609" t="str">
            <v>WBM-00885-078</v>
          </cell>
          <cell r="B7609" t="str">
            <v>איילון</v>
          </cell>
          <cell r="C7609" t="str">
            <v>איילון - שדרוג מערכת המים לכיבוי אש</v>
          </cell>
          <cell r="D7609">
            <v>46386</v>
          </cell>
        </row>
        <row r="7610">
          <cell r="A7610" t="str">
            <v>WBM-01431-013</v>
          </cell>
          <cell r="B7610" t="str">
            <v>איילון</v>
          </cell>
          <cell r="C7610" t="str">
            <v>איילון 400 ק"ו - ממסרשנאים 451, 452, 453</v>
          </cell>
          <cell r="D7610">
            <v>46721</v>
          </cell>
        </row>
        <row r="7611">
          <cell r="A7611" t="str">
            <v>WBM-01431-014</v>
          </cell>
          <cell r="B7611" t="str">
            <v>איילון</v>
          </cell>
          <cell r="C7611" t="str">
            <v>איילון 161 ק"ו - ממסרשנאים 521, 522, 523</v>
          </cell>
          <cell r="D7611">
            <v>46721</v>
          </cell>
        </row>
        <row r="7612">
          <cell r="A7612" t="str">
            <v>WBM-20004-026</v>
          </cell>
          <cell r="B7612" t="str">
            <v>איילון</v>
          </cell>
          <cell r="C7612" t="str">
            <v>מדידות לאוטושנאים 452 + 453</v>
          </cell>
          <cell r="D7612">
            <v>45621</v>
          </cell>
        </row>
        <row r="7613">
          <cell r="A7613" t="str">
            <v>WBM-40521-010</v>
          </cell>
          <cell r="B7613" t="str">
            <v>איילון</v>
          </cell>
          <cell r="C7613" t="str">
            <v>אילון - החלפת 4 שנאי הארקה</v>
          </cell>
          <cell r="D7613">
            <v>46721</v>
          </cell>
        </row>
        <row r="7614">
          <cell r="A7614" t="str">
            <v>WBM-00350-056</v>
          </cell>
          <cell r="B7614" t="str">
            <v>איילון</v>
          </cell>
          <cell r="C7614" t="str">
            <v>איילון תיקון 2 מכשירים  TRANSFIX, תוצרת GE</v>
          </cell>
          <cell r="D7614">
            <v>46022</v>
          </cell>
        </row>
        <row r="7615">
          <cell r="A7615" t="str">
            <v>WBM-60118-037</v>
          </cell>
          <cell r="B7615" t="str">
            <v>איילון</v>
          </cell>
          <cell r="C7615" t="str">
            <v>איילון - שיפור מערכת הארקה</v>
          </cell>
          <cell r="D7615">
            <v>46196</v>
          </cell>
        </row>
        <row r="7616">
          <cell r="A7616" t="str">
            <v>WBM-00350-055</v>
          </cell>
          <cell r="B7616" t="str">
            <v>איילון</v>
          </cell>
          <cell r="C7616" t="str">
            <v>איילון - החלפת שנאי הארקה</v>
          </cell>
          <cell r="D7616">
            <v>45621</v>
          </cell>
        </row>
        <row r="7617">
          <cell r="A7617" t="str">
            <v>WBM-10664</v>
          </cell>
          <cell r="B7617" t="str">
            <v>איילון</v>
          </cell>
          <cell r="C7617" t="str">
            <v>איילון- החלפת יחידה מרכזית תקולה בהגנת P740 קיימת</v>
          </cell>
          <cell r="D7617">
            <v>45671</v>
          </cell>
        </row>
        <row r="7618">
          <cell r="A7618" t="str">
            <v>WBE-290</v>
          </cell>
          <cell r="B7618" t="str">
            <v>איילון</v>
          </cell>
          <cell r="C7618" t="str">
            <v>איילון- התקנת שנאי רביעי 75 מגוו"א 161/24 ק"ו</v>
          </cell>
          <cell r="D7618">
            <v>46387</v>
          </cell>
        </row>
        <row r="7619">
          <cell r="A7619" t="str">
            <v>WBM-70057</v>
          </cell>
          <cell r="B7619" t="str">
            <v>איילון</v>
          </cell>
          <cell r="C7619" t="str">
            <v>איילון – התאמת שדה 9 ליכולת ז"ק 50 ק"א - פירוק משנק</v>
          </cell>
          <cell r="D7619">
            <v>46538</v>
          </cell>
        </row>
        <row r="7620">
          <cell r="A7620" t="str">
            <v>HIS-132</v>
          </cell>
          <cell r="B7620" t="str">
            <v>אייל 1,2 (ניידות)</v>
          </cell>
          <cell r="C7620" t="str">
            <v>אייל 1,2 (ניידות)</v>
          </cell>
          <cell r="D7620">
            <v>40908</v>
          </cell>
        </row>
        <row r="7621">
          <cell r="A7621">
            <v>539808</v>
          </cell>
          <cell r="B7621" t="str">
            <v>אייל 1,2 (ניידות)</v>
          </cell>
          <cell r="C7621" t="str">
            <v>אייל 1,2 (ניידות)-התקנת מע.מניה באייל 1</v>
          </cell>
          <cell r="D7621">
            <v>40786</v>
          </cell>
        </row>
        <row r="7622">
          <cell r="A7622" t="str">
            <v>WBM-00008</v>
          </cell>
          <cell r="B7622" t="str">
            <v>אייל 1,2 (ניידות)</v>
          </cell>
          <cell r="C7622" t="str">
            <v>אייל 1,2-בוטל- התקנת בטול ח"ח באייל 2</v>
          </cell>
          <cell r="D7622">
            <v>40605</v>
          </cell>
        </row>
        <row r="7623">
          <cell r="A7623" t="str">
            <v>WBG-149-001</v>
          </cell>
          <cell r="B7623" t="str">
            <v>אייל 1,2 (ניידות)</v>
          </cell>
          <cell r="C7623" t="str">
            <v>אייל 1,2 (ניידות)-התקנת מע.מניה באייל 2</v>
          </cell>
          <cell r="D7623">
            <v>40786</v>
          </cell>
        </row>
        <row r="7624">
          <cell r="A7624" t="str">
            <v>WBD-024</v>
          </cell>
          <cell r="B7624" t="str">
            <v>אייל 1,2 (ניידות)</v>
          </cell>
          <cell r="C7624" t="str">
            <v>אייל 1,2 (ניידות)-פירוק ניידות אייל 1,2.</v>
          </cell>
          <cell r="D7624">
            <v>43810</v>
          </cell>
        </row>
        <row r="7625">
          <cell r="A7625" t="str">
            <v>WBD-024-ST2</v>
          </cell>
          <cell r="B7625" t="str">
            <v>אייל 1,2 (ניידות)</v>
          </cell>
          <cell r="C7625" t="str">
            <v>אייל 1,2 (ניידות)-העברת נ.אייל 2-מוקפא</v>
          </cell>
          <cell r="D7625">
            <v>40277</v>
          </cell>
        </row>
        <row r="7626">
          <cell r="A7626" t="str">
            <v>WBE-090</v>
          </cell>
          <cell r="B7626" t="str">
            <v>אייל</v>
          </cell>
          <cell r="C7626" t="str">
            <v>אייל-התקנת שנאי שלישי  50 מגוו"א</v>
          </cell>
          <cell r="D7626">
            <v>43798</v>
          </cell>
        </row>
        <row r="7627">
          <cell r="A7627" t="str">
            <v>WBM-01132</v>
          </cell>
          <cell r="B7627" t="str">
            <v>אייל</v>
          </cell>
          <cell r="C7627" t="str">
            <v>אייל-התקנת 3 סוללות קבלים מודולריות</v>
          </cell>
          <cell r="D7627">
            <v>46842</v>
          </cell>
        </row>
        <row r="7628">
          <cell r="A7628" t="str">
            <v>WBM-10117</v>
          </cell>
          <cell r="B7628" t="str">
            <v>אייל</v>
          </cell>
          <cell r="C7628" t="str">
            <v>אייל - שדרוג של מערכת SCS</v>
          </cell>
          <cell r="D7628">
            <v>46568</v>
          </cell>
        </row>
        <row r="7629">
          <cell r="A7629" t="str">
            <v>WBM-60097</v>
          </cell>
          <cell r="B7629" t="str">
            <v>אייל</v>
          </cell>
          <cell r="C7629" t="str">
            <v>אייל- משטר עבודה של מפוחים להוצאת עשן</v>
          </cell>
          <cell r="D7629">
            <v>46842</v>
          </cell>
        </row>
        <row r="7630">
          <cell r="A7630" t="str">
            <v>WBM-10181</v>
          </cell>
          <cell r="B7630" t="str">
            <v>אייל</v>
          </cell>
          <cell r="C7630" t="str">
            <v>אייל - משיק לתנובות. תקש.בין הגנות-שדה 3</v>
          </cell>
          <cell r="D7630">
            <v>45168</v>
          </cell>
        </row>
        <row r="7631">
          <cell r="A7631" t="str">
            <v>WBC-035</v>
          </cell>
          <cell r="B7631" t="str">
            <v>אייל</v>
          </cell>
          <cell r="C7631" t="str">
            <v>אייל - הקמת תחמ"ש חיצונית 161/24 ק"ו</v>
          </cell>
          <cell r="D7631">
            <v>43798</v>
          </cell>
        </row>
        <row r="7632">
          <cell r="A7632" t="str">
            <v>wbm-10496</v>
          </cell>
          <cell r="B7632" t="str">
            <v>אייל</v>
          </cell>
          <cell r="C7632" t="str">
            <v>אייל -משיק לכפר סבא שדה 7, יישום דרך קשר בין הגנות בשדה 7</v>
          </cell>
          <cell r="D7632">
            <v>45371</v>
          </cell>
        </row>
        <row r="7633">
          <cell r="A7633" t="str">
            <v>WBM-00885-077</v>
          </cell>
          <cell r="B7633" t="str">
            <v>אייל</v>
          </cell>
          <cell r="C7633" t="str">
            <v>אייל - חיבור מערכת מים לתחמש</v>
          </cell>
          <cell r="D7633">
            <v>46721</v>
          </cell>
        </row>
        <row r="7634">
          <cell r="A7634" t="str">
            <v>WBM-10597-003</v>
          </cell>
          <cell r="B7634" t="str">
            <v>אייל</v>
          </cell>
          <cell r="C7634" t="str">
            <v>אייל  - משיק לתנובות שדה 3, פיילוט יישום תקשורת הגנות בשדה 3</v>
          </cell>
          <cell r="D7634">
            <v>46181</v>
          </cell>
        </row>
        <row r="7635">
          <cell r="A7635" t="str">
            <v>WBM-40521-008</v>
          </cell>
          <cell r="B7635" t="str">
            <v>אייל</v>
          </cell>
          <cell r="C7635" t="str">
            <v>אייל ניר אליהו - החלפת 3 שנאי הארקה</v>
          </cell>
          <cell r="D7635">
            <v>46721</v>
          </cell>
        </row>
        <row r="7636">
          <cell r="A7636" t="str">
            <v>WBM-10710</v>
          </cell>
          <cell r="B7636" t="str">
            <v>אייל</v>
          </cell>
          <cell r="C7636" t="str">
            <v>אייל- שדה 7, משיק לכפר סבא שדה 3. יישום דרך קשר אופטית בין הגנות</v>
          </cell>
          <cell r="D7636">
            <v>46387</v>
          </cell>
        </row>
        <row r="7637">
          <cell r="A7637" t="str">
            <v>WBE-177</v>
          </cell>
          <cell r="B7637" t="str">
            <v>אורים תחמ"ש</v>
          </cell>
          <cell r="C7637" t="str">
            <v>אורים -חח"י-הוספת 2 שנאים 50 מגוו"א</v>
          </cell>
          <cell r="D7637">
            <v>46934</v>
          </cell>
        </row>
        <row r="7638">
          <cell r="A7638">
            <v>900009</v>
          </cell>
          <cell r="B7638" t="str">
            <v>אורים</v>
          </cell>
          <cell r="C7638" t="str">
            <v>אורים-קליטת תח"כ בהספק של 60 מגוו"ט.</v>
          </cell>
          <cell r="D7638">
            <v>46660</v>
          </cell>
        </row>
        <row r="7639">
          <cell r="A7639" t="str">
            <v>WBE-298</v>
          </cell>
          <cell r="B7639" t="str">
            <v>אורות רבין</v>
          </cell>
          <cell r="C7639" t="str">
            <v>אורות רבין-החלפת ציוד בשדה התנעה שחורה, לצורך התאמה לז"ק 50 ק"א.</v>
          </cell>
          <cell r="D7639">
            <v>46446</v>
          </cell>
        </row>
        <row r="7640">
          <cell r="A7640" t="str">
            <v>WBE-299</v>
          </cell>
          <cell r="B7640" t="str">
            <v>אורות רבין</v>
          </cell>
          <cell r="C7640" t="str">
            <v>אורות רבין-החלפת מפסק ומנתק בשדה יחידה 4, לצורך התאמה לז"ק 50 ק"א.</v>
          </cell>
          <cell r="D7640">
            <v>46507</v>
          </cell>
        </row>
        <row r="7641">
          <cell r="A7641" t="str">
            <v>WBE-300</v>
          </cell>
          <cell r="B7641" t="str">
            <v>אורות רבין</v>
          </cell>
          <cell r="C7641" t="str">
            <v>אורות רבין-החלפת מנתק בשדה יחידה 2, לצורך התאמה לז"ק 50 ק"א.</v>
          </cell>
          <cell r="D7641">
            <v>46537</v>
          </cell>
        </row>
        <row r="7642">
          <cell r="A7642" t="str">
            <v>WBE-301</v>
          </cell>
          <cell r="B7642" t="str">
            <v>אורות רבין</v>
          </cell>
          <cell r="C7642" t="str">
            <v>אורות רבין-החלפת מפסק ומנתק בשדה יחידה 1, לצורך התאמה לז"ק 50 ק"א</v>
          </cell>
          <cell r="D7642">
            <v>46598</v>
          </cell>
        </row>
        <row r="7643">
          <cell r="A7643" t="str">
            <v>HIS-147</v>
          </cell>
          <cell r="B7643" t="str">
            <v>אורון-פרטית</v>
          </cell>
          <cell r="C7643" t="str">
            <v>אורון-פרטית</v>
          </cell>
          <cell r="D7643">
            <v>40908</v>
          </cell>
        </row>
        <row r="7644">
          <cell r="A7644" t="str">
            <v>HIS-055</v>
          </cell>
          <cell r="B7644" t="str">
            <v>אור יהודה</v>
          </cell>
          <cell r="C7644" t="str">
            <v>אור יהודה</v>
          </cell>
          <cell r="D7644">
            <v>40908</v>
          </cell>
        </row>
        <row r="7645">
          <cell r="A7645" t="str">
            <v>WBM-00241</v>
          </cell>
          <cell r="B7645" t="str">
            <v>אור יהודה</v>
          </cell>
          <cell r="C7645" t="str">
            <v>אור יהודה-התקנת ס"ק לשנאי 522. 5*1 מגואר</v>
          </cell>
          <cell r="D7645">
            <v>46203</v>
          </cell>
        </row>
        <row r="7646">
          <cell r="A7646" t="str">
            <v>WBM-01275</v>
          </cell>
          <cell r="B7646" t="str">
            <v>אור יהודה</v>
          </cell>
          <cell r="C7646" t="str">
            <v>אור יהודה- שיפור לוגיקת סליל כיבוי ב-3 ש</v>
          </cell>
          <cell r="D7646">
            <v>44273</v>
          </cell>
        </row>
        <row r="7647">
          <cell r="A7647" t="str">
            <v>WBM-00386</v>
          </cell>
          <cell r="B7647" t="str">
            <v>אור יהודה</v>
          </cell>
          <cell r="C7647" t="str">
            <v>אור יהודה-הזנת תאורת חירום ז"י באמ.ממיר.</v>
          </cell>
          <cell r="D7647">
            <v>46056</v>
          </cell>
        </row>
        <row r="7648">
          <cell r="A7648" t="str">
            <v>WBM-00007</v>
          </cell>
          <cell r="B7648" t="str">
            <v>אור יהודה</v>
          </cell>
          <cell r="C7648" t="str">
            <v>בוטל- אור יהודה - התקנת מערכת טמ"ס</v>
          </cell>
          <cell r="D7648">
            <v>43831</v>
          </cell>
        </row>
        <row r="7649">
          <cell r="A7649" t="str">
            <v>WBM-40034</v>
          </cell>
          <cell r="B7649" t="str">
            <v>אור יהודה</v>
          </cell>
          <cell r="C7649" t="str">
            <v>אור יהודה-בוטל - החלפת הגנות מ"ג 7SJ512</v>
          </cell>
          <cell r="D7649">
            <v>43861</v>
          </cell>
        </row>
        <row r="7650">
          <cell r="A7650" t="str">
            <v>WBM-10002</v>
          </cell>
          <cell r="B7650" t="str">
            <v>אור יהודה</v>
          </cell>
          <cell r="C7650" t="str">
            <v>אור יהודה  -התקנת רושם הפרעות 161 ק"ו</v>
          </cell>
          <cell r="D7650">
            <v>46752</v>
          </cell>
        </row>
        <row r="7651">
          <cell r="A7651" t="str">
            <v>WBM-00387</v>
          </cell>
          <cell r="B7651" t="str">
            <v>אור יהודה</v>
          </cell>
          <cell r="C7651" t="str">
            <v>אור יהודה-הוספת הגנה דיפרנציאלית בשדה 33</v>
          </cell>
          <cell r="D7651">
            <v>43830</v>
          </cell>
        </row>
        <row r="7652">
          <cell r="A7652" t="str">
            <v>WBM-00655</v>
          </cell>
          <cell r="B7652" t="str">
            <v>אור יהודה</v>
          </cell>
          <cell r="C7652" t="str">
            <v>אור יהודה - קשר בין הגנות לאיילון</v>
          </cell>
          <cell r="D7652">
            <v>42365</v>
          </cell>
        </row>
        <row r="7653">
          <cell r="A7653" t="str">
            <v>WBG-006-010</v>
          </cell>
          <cell r="B7653" t="str">
            <v>אור יהודה</v>
          </cell>
          <cell r="C7653" t="str">
            <v>אור יהודה-הקמת רשת מחשבים תפעולית</v>
          </cell>
          <cell r="D7653">
            <v>41227</v>
          </cell>
        </row>
        <row r="7654">
          <cell r="A7654" t="str">
            <v>WBG-006-009</v>
          </cell>
          <cell r="B7654" t="str">
            <v>אור יהודה</v>
          </cell>
          <cell r="C7654" t="str">
            <v>אור יהודה-התקנת 2 ממירים 220/60 וולט</v>
          </cell>
          <cell r="D7654">
            <v>41029</v>
          </cell>
        </row>
        <row r="7655">
          <cell r="A7655" t="str">
            <v>WBM-40035</v>
          </cell>
          <cell r="B7655" t="str">
            <v>אור יהודה</v>
          </cell>
          <cell r="C7655" t="str">
            <v>אור יהודה - בוטל-החלפת טרפוגרד בשנאים</v>
          </cell>
          <cell r="D7655">
            <v>43982</v>
          </cell>
        </row>
        <row r="7656">
          <cell r="A7656" t="str">
            <v>WBG-006-014</v>
          </cell>
          <cell r="B7656" t="str">
            <v>אור יהודה</v>
          </cell>
          <cell r="C7656" t="str">
            <v>אור יהודה-שדרוג הגנת מרחק-ויקטוריה</v>
          </cell>
          <cell r="D7656">
            <v>40512</v>
          </cell>
        </row>
        <row r="7657">
          <cell r="A7657" t="str">
            <v>WBG-006-015</v>
          </cell>
          <cell r="B7657" t="str">
            <v>אור יהודה</v>
          </cell>
          <cell r="C7657" t="str">
            <v>אור יהודה-התקנת מאווררים בארונות פיקוד</v>
          </cell>
          <cell r="D7657">
            <v>40311</v>
          </cell>
        </row>
        <row r="7658">
          <cell r="A7658" t="str">
            <v>WBM-00006</v>
          </cell>
          <cell r="B7658" t="str">
            <v>אור יהודה</v>
          </cell>
          <cell r="C7658" t="str">
            <v>אור יהודה-פת.בעיית חיבור לא מבוקר-בוטל</v>
          </cell>
          <cell r="D7658">
            <v>40714</v>
          </cell>
        </row>
        <row r="7659">
          <cell r="A7659" t="str">
            <v>WBE-021</v>
          </cell>
          <cell r="B7659" t="str">
            <v>אור יהודה</v>
          </cell>
          <cell r="C7659" t="str">
            <v>אור יהודה-התקנת שנאי שלישי, 50 מגוו"א.</v>
          </cell>
          <cell r="D7659">
            <v>43279</v>
          </cell>
        </row>
        <row r="7660">
          <cell r="A7660" t="str">
            <v>WBM-00241-ST1</v>
          </cell>
          <cell r="B7660" t="str">
            <v>אור יהודה</v>
          </cell>
          <cell r="C7660" t="str">
            <v>אור יהודה-הוספת 2ס"ק 6כ"א (523,524)</v>
          </cell>
          <cell r="D7660">
            <v>41812</v>
          </cell>
        </row>
        <row r="7661">
          <cell r="A7661" t="str">
            <v>WBM-00242</v>
          </cell>
          <cell r="B7661" t="str">
            <v>אור יהודה</v>
          </cell>
          <cell r="C7661" t="str">
            <v>אור יהודה-שדרוג הגנת מרחק-ויקטוריה</v>
          </cell>
          <cell r="D7661">
            <v>42702</v>
          </cell>
        </row>
        <row r="7662">
          <cell r="A7662" t="str">
            <v>WBE-188</v>
          </cell>
          <cell r="B7662" t="str">
            <v>אור יהודה</v>
          </cell>
          <cell r="C7662" t="str">
            <v>אור יהודה -התקנת שנאי רביעי 161/24 ק"ו, 50 מגוו"א וסוללת קבלים</v>
          </cell>
          <cell r="D7662">
            <v>46752</v>
          </cell>
        </row>
        <row r="7663">
          <cell r="A7663" t="str">
            <v>WBM-10562</v>
          </cell>
          <cell r="B7663" t="str">
            <v>אור יהודה</v>
          </cell>
          <cell r="C7663" t="str">
            <v>אור יהודה- הוספת 10 תאי יציאה מ"ג- 2 שלבים</v>
          </cell>
          <cell r="D7663">
            <v>46568</v>
          </cell>
        </row>
        <row r="7664">
          <cell r="A7664" t="str">
            <v>WBM-10562-ST1</v>
          </cell>
          <cell r="B7664" t="str">
            <v>אור יהודה</v>
          </cell>
          <cell r="C7664" t="str">
            <v>אור יהודה-התקנת מסדר מ"ג חדש, פ"צ מס' 1 עבור שנאי 521 עתידי.</v>
          </cell>
          <cell r="D7664">
            <v>46326</v>
          </cell>
        </row>
        <row r="7665">
          <cell r="A7665" t="str">
            <v>WBM-10562-ST2</v>
          </cell>
          <cell r="B7665" t="str">
            <v>אור יהודה</v>
          </cell>
          <cell r="C7665" t="str">
            <v>אור יהודה-אור יהודה- החלפת מסדר מ"ג פ"צ מס' 2.</v>
          </cell>
          <cell r="D7665">
            <v>46568</v>
          </cell>
        </row>
        <row r="7666">
          <cell r="A7666" t="str">
            <v>WBM-10558</v>
          </cell>
          <cell r="B7666" t="str">
            <v>אור יהודה</v>
          </cell>
          <cell r="C7666" t="str">
            <v>אור יהודה-הוספת הגנת פ"צ וכשל מפסק משיק ל- WBE-188</v>
          </cell>
          <cell r="D7666">
            <v>46752</v>
          </cell>
        </row>
        <row r="7667">
          <cell r="A7667" t="str">
            <v>WBM-10559</v>
          </cell>
          <cell r="B7667" t="str">
            <v>אור יהודה</v>
          </cell>
          <cell r="C7667" t="str">
            <v>אור יהודה-החלפת מסדרי מ"ג מסוג BEU3, פסי צבירה 3, 4</v>
          </cell>
          <cell r="D7667">
            <v>46934</v>
          </cell>
        </row>
        <row r="7668">
          <cell r="A7668" t="str">
            <v>WBM-10315-024</v>
          </cell>
          <cell r="B7668" t="str">
            <v>אור יהודה</v>
          </cell>
          <cell r="C7668" t="str">
            <v>אור יהודה - החלפת מזגנים</v>
          </cell>
          <cell r="D7668">
            <v>45579</v>
          </cell>
        </row>
        <row r="7669">
          <cell r="A7669" t="str">
            <v>WBM-40479-033</v>
          </cell>
          <cell r="B7669" t="str">
            <v>אור יהודה</v>
          </cell>
          <cell r="C7669" t="str">
            <v>אור יהודה- החלפת 2 בקרי טמפ' וגובה שמן ב</v>
          </cell>
          <cell r="D7669">
            <v>46843</v>
          </cell>
        </row>
        <row r="7670">
          <cell r="A7670" t="str">
            <v>WBM-60107-028</v>
          </cell>
          <cell r="B7670" t="str">
            <v>אור יהודה</v>
          </cell>
          <cell r="C7670" t="str">
            <v>אור יהודה - החלפת מנעולים אלק.מגנטיים בא</v>
          </cell>
          <cell r="D7670">
            <v>45657</v>
          </cell>
        </row>
        <row r="7671">
          <cell r="A7671" t="str">
            <v>WBM-00885-125</v>
          </cell>
          <cell r="B7671" t="str">
            <v>אור יהודה</v>
          </cell>
          <cell r="C7671" t="str">
            <v>אור יהודה - בדיקת אופיין מים באתר</v>
          </cell>
          <cell r="D7671">
            <v>45595</v>
          </cell>
        </row>
        <row r="7672">
          <cell r="A7672" t="str">
            <v>WBM-00885-137</v>
          </cell>
          <cell r="B7672" t="str">
            <v>אור יהודה</v>
          </cell>
          <cell r="C7672" t="str">
            <v>אור יהודה - גמל מים ומשאבת כיבוי אש</v>
          </cell>
          <cell r="D7672">
            <v>46387</v>
          </cell>
        </row>
        <row r="7673">
          <cell r="A7673" t="str">
            <v>WBM-10663-002</v>
          </cell>
          <cell r="B7673" t="str">
            <v>אור יהודה</v>
          </cell>
          <cell r="C7673" t="str">
            <v>אור יהודה- החלפת מטענים</v>
          </cell>
          <cell r="D7673">
            <v>46022</v>
          </cell>
        </row>
        <row r="7674">
          <cell r="A7674" t="str">
            <v>WBM-60130-078</v>
          </cell>
          <cell r="B7674" t="str">
            <v>אור יהודה</v>
          </cell>
          <cell r="C7674" t="str">
            <v>אור יהודה - התקנת מפסק פטריה להפסקת מערכת החשמל בחירום</v>
          </cell>
          <cell r="D7674">
            <v>46538</v>
          </cell>
        </row>
        <row r="7675">
          <cell r="A7675" t="str">
            <v>WBM-01063-007</v>
          </cell>
          <cell r="B7675" t="str">
            <v>אור יהודה</v>
          </cell>
          <cell r="C7675" t="str">
            <v>תחמ"ש אור יהודה - שיפוץ בניין פיקוד</v>
          </cell>
          <cell r="D7675">
            <v>46202</v>
          </cell>
        </row>
        <row r="7676">
          <cell r="A7676" t="str">
            <v>WBM-60205-005</v>
          </cell>
          <cell r="B7676" t="str">
            <v>אור יהודה</v>
          </cell>
          <cell r="C7676" t="str">
            <v>אור יהודה - ניטור הצפות</v>
          </cell>
          <cell r="D7676">
            <v>46175</v>
          </cell>
        </row>
        <row r="7677">
          <cell r="A7677" t="str">
            <v>WBC-135</v>
          </cell>
          <cell r="B7677" t="str">
            <v>אופקים 2</v>
          </cell>
          <cell r="C7677" t="str">
            <v>אופקים 2-תכנון הקמת תחמ"ש חיצונית 161/24 ק"ו</v>
          </cell>
          <cell r="D7677">
            <v>48944</v>
          </cell>
        </row>
        <row r="7678">
          <cell r="A7678" t="str">
            <v>WBD-130</v>
          </cell>
          <cell r="B7678" t="str">
            <v>אופקים 2</v>
          </cell>
          <cell r="C7678" t="str">
            <v>אופקים 2- תכנון הצבת ניידת</v>
          </cell>
          <cell r="D7678">
            <v>46387</v>
          </cell>
        </row>
        <row r="7679">
          <cell r="A7679" t="str">
            <v>HIS-054</v>
          </cell>
          <cell r="B7679" t="str">
            <v>אופקים</v>
          </cell>
          <cell r="C7679" t="str">
            <v>אופקים</v>
          </cell>
          <cell r="D7679">
            <v>40908</v>
          </cell>
        </row>
        <row r="7680">
          <cell r="A7680" t="str">
            <v>WBM-80018</v>
          </cell>
          <cell r="B7680" t="str">
            <v>אופקים</v>
          </cell>
          <cell r="C7680" t="str">
            <v>אופקים-בוטל-הת' תיליםמהדקים-פורט'wbo-827</v>
          </cell>
          <cell r="D7680">
            <v>44904</v>
          </cell>
        </row>
        <row r="7681">
          <cell r="A7681" t="str">
            <v>WBE-210</v>
          </cell>
          <cell r="B7681" t="str">
            <v>אופקים</v>
          </cell>
          <cell r="C7681" t="str">
            <v>אופקים-הוספת שנאי רביעי ( 524) 50 מגוו"א</v>
          </cell>
          <cell r="D7681">
            <v>47118</v>
          </cell>
        </row>
        <row r="7682">
          <cell r="A7682" t="str">
            <v>WBE-237</v>
          </cell>
          <cell r="B7682" t="str">
            <v>אופקים</v>
          </cell>
          <cell r="C7682" t="str">
            <v>אופקים-הקמת שדה קו 161 ק"ו חדש (מס' 1) והתאמת השדות הקיימים (1,9) (לבשור) ל-3000 א' והתאמת מקשר ליכולת 3000 א'., משיק לwbe-830</v>
          </cell>
          <cell r="D7682">
            <v>47664</v>
          </cell>
        </row>
        <row r="7683">
          <cell r="A7683" t="str">
            <v>WBE-244</v>
          </cell>
          <cell r="B7683" t="str">
            <v>אופקים</v>
          </cell>
          <cell r="C7683" t="str">
            <v>אופקים - עע"א - התקנת שנאי 45 מו"א לרכבת</v>
          </cell>
          <cell r="D7683">
            <v>46387</v>
          </cell>
        </row>
        <row r="7684">
          <cell r="A7684" t="str">
            <v>WBE-112</v>
          </cell>
          <cell r="B7684" t="str">
            <v>אופקים</v>
          </cell>
          <cell r="C7684" t="str">
            <v>אופקים - הוספת שנאי שלישי 50 מגוו"א</v>
          </cell>
          <cell r="D7684">
            <v>44763</v>
          </cell>
        </row>
        <row r="7685">
          <cell r="A7685" t="str">
            <v>WBE-130</v>
          </cell>
          <cell r="B7685" t="str">
            <v>אופקים</v>
          </cell>
          <cell r="C7685" t="str">
            <v>אופקים -בוטל- התקנת מתקן אגירת אנרגיה</v>
          </cell>
        </row>
        <row r="7686">
          <cell r="A7686" t="str">
            <v>WDB-04COM46</v>
          </cell>
          <cell r="B7686" t="str">
            <v>אופקים</v>
          </cell>
          <cell r="C7686" t="str">
            <v>אופקים-הנחת כבל סיב אופטי מכיוון בשור</v>
          </cell>
          <cell r="D7686">
            <v>43829</v>
          </cell>
        </row>
        <row r="7687">
          <cell r="A7687" t="str">
            <v>WBM-40303</v>
          </cell>
          <cell r="B7687" t="str">
            <v>אופקים</v>
          </cell>
          <cell r="C7687" t="str">
            <v>אופקים-התאמת שדה 7 (לב"ש מערב) ליכולת של 2000 א'</v>
          </cell>
          <cell r="D7687">
            <v>46934</v>
          </cell>
        </row>
        <row r="7688">
          <cell r="A7688" t="str">
            <v>WBM-00385</v>
          </cell>
          <cell r="B7688" t="str">
            <v>אופקים</v>
          </cell>
          <cell r="C7688" t="str">
            <v>אופקים-הזנת תאורת חירום ז"י</v>
          </cell>
          <cell r="D7688">
            <v>46751</v>
          </cell>
        </row>
        <row r="7689">
          <cell r="A7689" t="str">
            <v>WBM-40003</v>
          </cell>
          <cell r="B7689" t="str">
            <v>אופקים</v>
          </cell>
          <cell r="C7689" t="str">
            <v>אופקים-החלפת ה.מרחק LZ31 בשדות 3,7,9</v>
          </cell>
          <cell r="D7689">
            <v>46203</v>
          </cell>
        </row>
        <row r="7690">
          <cell r="A7690" t="str">
            <v>WBM-10374</v>
          </cell>
          <cell r="B7690" t="str">
            <v>אופקים</v>
          </cell>
          <cell r="C7690" t="str">
            <v>אופקים-הת' תיילים-מהדקים-פורט' WBO-833-ST3</v>
          </cell>
          <cell r="D7690">
            <v>47299</v>
          </cell>
        </row>
        <row r="7691">
          <cell r="A7691" t="str">
            <v>WBM-10364</v>
          </cell>
          <cell r="B7691" t="str">
            <v>אופקים</v>
          </cell>
          <cell r="C7691" t="str">
            <v>אופקים-הת' תיילים-מהדקים-פורט'wbo-827</v>
          </cell>
          <cell r="D7691">
            <v>46934</v>
          </cell>
        </row>
        <row r="7692">
          <cell r="A7692" t="str">
            <v>WBM-70033</v>
          </cell>
          <cell r="B7692" t="str">
            <v>אופקים</v>
          </cell>
          <cell r="C7692" t="str">
            <v>אופקים- התקנת סוללת קבלים מ"ג לשנאי שליש</v>
          </cell>
          <cell r="D7692">
            <v>46568</v>
          </cell>
        </row>
        <row r="7693">
          <cell r="A7693" t="str">
            <v>WBM-10327</v>
          </cell>
          <cell r="B7693" t="str">
            <v>אופקים</v>
          </cell>
          <cell r="C7693" t="str">
            <v>אופקים -משיק יכיני-יישום תקשורת בין הגנ3</v>
          </cell>
          <cell r="D7693">
            <v>45839</v>
          </cell>
        </row>
        <row r="7694">
          <cell r="A7694" t="str">
            <v>WBM-40004</v>
          </cell>
          <cell r="B7694" t="str">
            <v>אופקים</v>
          </cell>
          <cell r="C7694" t="str">
            <v>אופקים - החלפת מערכת SCS</v>
          </cell>
          <cell r="D7694">
            <v>44763</v>
          </cell>
        </row>
        <row r="7695">
          <cell r="A7695" t="str">
            <v>WBM-10138</v>
          </cell>
          <cell r="B7695" t="str">
            <v>אופקים</v>
          </cell>
          <cell r="C7695" t="str">
            <v>אופקים - התקנת מתמרים ב-2 פ"צ</v>
          </cell>
          <cell r="D7695">
            <v>44608</v>
          </cell>
        </row>
        <row r="7696">
          <cell r="A7696" t="str">
            <v>WBG-005-005</v>
          </cell>
          <cell r="B7696" t="str">
            <v>אופקים</v>
          </cell>
          <cell r="C7696" t="str">
            <v>אופקים-החלפת מערכת גילוי וכיבוי אש</v>
          </cell>
          <cell r="D7696">
            <v>41267</v>
          </cell>
        </row>
        <row r="7697">
          <cell r="A7697" t="str">
            <v>WBG-005-013</v>
          </cell>
          <cell r="B7697" t="str">
            <v>אופקים</v>
          </cell>
          <cell r="C7697" t="str">
            <v>אופקים-הקמת רשת מחשבים תפעולית</v>
          </cell>
          <cell r="D7697">
            <v>41090</v>
          </cell>
        </row>
        <row r="7698">
          <cell r="A7698" t="str">
            <v>WBM-40001</v>
          </cell>
          <cell r="B7698" t="str">
            <v>אופקים</v>
          </cell>
          <cell r="C7698" t="str">
            <v>אופקים- בוטל-החלפת טרפוגרד בשנאי 522</v>
          </cell>
          <cell r="D7698">
            <v>43830</v>
          </cell>
        </row>
        <row r="7699">
          <cell r="A7699" t="str">
            <v>WBM-40002</v>
          </cell>
          <cell r="B7699" t="str">
            <v>אופקים</v>
          </cell>
          <cell r="C7699" t="str">
            <v>אופקים - בוטל-החלפת רושם הפרעות</v>
          </cell>
          <cell r="D7699">
            <v>43467</v>
          </cell>
        </row>
        <row r="7700">
          <cell r="A7700" t="str">
            <v>WBM-10352</v>
          </cell>
          <cell r="B7700" t="str">
            <v>אופקים</v>
          </cell>
          <cell r="C7700" t="str">
            <v>אופקים- בוטל-תקשורת אופטית בין הגנות ש3</v>
          </cell>
          <cell r="D7700">
            <v>44826</v>
          </cell>
        </row>
        <row r="7701">
          <cell r="A7701" t="str">
            <v>WBM-01300</v>
          </cell>
          <cell r="B7701" t="str">
            <v>אופקים</v>
          </cell>
          <cell r="C7701" t="str">
            <v>אופקים -בוטל- שדרוג מערכת SCS</v>
          </cell>
          <cell r="D7701">
            <v>42948</v>
          </cell>
        </row>
        <row r="7702">
          <cell r="A7702" t="str">
            <v>WBM-01319</v>
          </cell>
          <cell r="B7702" t="str">
            <v>אופקים</v>
          </cell>
          <cell r="C7702" t="str">
            <v>אופקים-שולב-החלפת הגנת קווים מ"ע LZ31</v>
          </cell>
          <cell r="D7702">
            <v>43312</v>
          </cell>
        </row>
        <row r="7703">
          <cell r="A7703">
            <v>533618</v>
          </cell>
          <cell r="B7703" t="str">
            <v>אופקים</v>
          </cell>
          <cell r="C7703" t="str">
            <v>אופקים-החלפת רכזת התראה ביטחונית</v>
          </cell>
          <cell r="D7703">
            <v>38837</v>
          </cell>
        </row>
        <row r="7704">
          <cell r="A7704" t="str">
            <v>WBM-00648</v>
          </cell>
          <cell r="B7704" t="str">
            <v>אופקים</v>
          </cell>
          <cell r="C7704" t="str">
            <v>אופקים-בוטל-התקנת הגנת מרחק שנייה  3,7,9</v>
          </cell>
          <cell r="D7704">
            <v>40207</v>
          </cell>
        </row>
        <row r="7705">
          <cell r="A7705" t="str">
            <v>WBG-005-012</v>
          </cell>
          <cell r="B7705" t="str">
            <v>אופקים</v>
          </cell>
          <cell r="C7705" t="str">
            <v>אופקים-החלפת מ.ברק מ"ג שנאים 521, 522</v>
          </cell>
          <cell r="D7705">
            <v>39263</v>
          </cell>
        </row>
        <row r="7706">
          <cell r="A7706" t="str">
            <v>WBG-005-016</v>
          </cell>
          <cell r="B7706" t="str">
            <v>אופקים</v>
          </cell>
          <cell r="C7706" t="str">
            <v>אופקים-התקנת מאווררים בארונות פיקוד</v>
          </cell>
          <cell r="D7706">
            <v>40311</v>
          </cell>
        </row>
        <row r="7707">
          <cell r="A7707" t="str">
            <v>WBG-009-026-ST2</v>
          </cell>
          <cell r="B7707" t="str">
            <v>אופקים</v>
          </cell>
          <cell r="C7707" t="str">
            <v>אופקים-החלפת הממסר להשלת עומס לפי תדר</v>
          </cell>
          <cell r="D7707">
            <v>40420</v>
          </cell>
        </row>
        <row r="7708">
          <cell r="A7708" t="str">
            <v>WBE-047-ST2</v>
          </cell>
          <cell r="B7708" t="str">
            <v>אופקים</v>
          </cell>
          <cell r="C7708" t="str">
            <v>אופקים-החלפת שנאי שני 161/24 ק"ו</v>
          </cell>
          <cell r="D7708">
            <v>41491</v>
          </cell>
        </row>
        <row r="7709">
          <cell r="A7709" t="str">
            <v>WBE-047</v>
          </cell>
          <cell r="B7709" t="str">
            <v>אופקים</v>
          </cell>
          <cell r="C7709" t="str">
            <v>אופקים-החלפת שנאי ראשון 161/24 ק"ו.</v>
          </cell>
          <cell r="D7709">
            <v>41431</v>
          </cell>
        </row>
        <row r="7710">
          <cell r="A7710" t="str">
            <v>WBM-01072</v>
          </cell>
          <cell r="B7710" t="str">
            <v>אופקים</v>
          </cell>
          <cell r="C7710" t="str">
            <v>אופקים-החלפה ההגנות הקיימות בשדה 9</v>
          </cell>
          <cell r="D7710">
            <v>43342</v>
          </cell>
        </row>
        <row r="7711">
          <cell r="A7711" t="str">
            <v>WBG-005-018</v>
          </cell>
          <cell r="B7711" t="str">
            <v>אופקים</v>
          </cell>
          <cell r="C7711" t="str">
            <v>אופקים-החלפת הממסר להשלת עומס לפי תדר</v>
          </cell>
          <cell r="D7711">
            <v>41317</v>
          </cell>
        </row>
        <row r="7712">
          <cell r="A7712" t="str">
            <v>WBM-40522</v>
          </cell>
          <cell r="B7712" t="str">
            <v>אופקים</v>
          </cell>
          <cell r="C7712" t="str">
            <v>אופקים- משיק wbo-833, התאמת שדה 3 (ליכיני) ליכולת 2000 א'</v>
          </cell>
          <cell r="D7712">
            <v>47299</v>
          </cell>
        </row>
        <row r="7713">
          <cell r="A7713" t="str">
            <v>WBM-10316-006</v>
          </cell>
          <cell r="B7713" t="str">
            <v>אופקים</v>
          </cell>
          <cell r="C7713" t="str">
            <v>אופקים --חבור רושמי הפרעות  למתג מנהלת</v>
          </cell>
          <cell r="D7713">
            <v>45607</v>
          </cell>
        </row>
        <row r="7714">
          <cell r="A7714" t="str">
            <v>WBM-40295-058</v>
          </cell>
          <cell r="B7714" t="str">
            <v>אופקים</v>
          </cell>
          <cell r="C7714" t="str">
            <v>אופקים -  החלפת סוללות מצברים</v>
          </cell>
          <cell r="D7714">
            <v>46721</v>
          </cell>
        </row>
        <row r="7715">
          <cell r="A7715" t="str">
            <v>WBM-40479-024</v>
          </cell>
          <cell r="B7715" t="str">
            <v>אופקים</v>
          </cell>
          <cell r="C7715" t="str">
            <v>אופקים- החלפת 2 בקרי טמפ וגובה שמן בשנאי</v>
          </cell>
          <cell r="D7715">
            <v>47391</v>
          </cell>
        </row>
        <row r="7716">
          <cell r="A7716" t="str">
            <v>WBM-40521-021</v>
          </cell>
          <cell r="B7716" t="str">
            <v>אופקים</v>
          </cell>
          <cell r="C7716" t="str">
            <v>אופקים - החלפת שנאי הארקה</v>
          </cell>
          <cell r="D7716">
            <v>46721</v>
          </cell>
        </row>
        <row r="7717">
          <cell r="A7717" t="str">
            <v>WBM-60092-027</v>
          </cell>
          <cell r="B7717" t="str">
            <v>אופקים</v>
          </cell>
          <cell r="C7717" t="str">
            <v>אופקים - בדיקות/טיפול/פינוי מכלי אש בגז</v>
          </cell>
          <cell r="D7717">
            <v>46154</v>
          </cell>
        </row>
        <row r="7718">
          <cell r="A7718" t="str">
            <v>WBM-60130-016</v>
          </cell>
          <cell r="B7718" t="str">
            <v>אופקים</v>
          </cell>
          <cell r="C7718" t="str">
            <v>אופקים - התקנת מפסק פטריה להפסקת מערכת החשמל בחירום</v>
          </cell>
          <cell r="D7718">
            <v>46568</v>
          </cell>
        </row>
        <row r="7719">
          <cell r="A7719" t="str">
            <v>WBM-10642</v>
          </cell>
          <cell r="B7719" t="str">
            <v>אופקים</v>
          </cell>
          <cell r="C7719" t="str">
            <v>אופקים -התאמת תיילים- מהדקים- פורטל WBO-830</v>
          </cell>
          <cell r="D7719">
            <v>48029</v>
          </cell>
        </row>
        <row r="7720">
          <cell r="A7720" t="str">
            <v>WBM-10315-075</v>
          </cell>
          <cell r="B7720" t="str">
            <v>אופקים</v>
          </cell>
          <cell r="C7720" t="str">
            <v>אופקים-התקנת מזגנים</v>
          </cell>
          <cell r="D7720">
            <v>46295</v>
          </cell>
        </row>
        <row r="7721">
          <cell r="A7721" t="str">
            <v>WBM-10597-006</v>
          </cell>
          <cell r="B7721" t="str">
            <v>אופקים</v>
          </cell>
          <cell r="C7721" t="str">
            <v>אופקים - משיק בשור שדה 7,פיילוט יישום תקשורת הגנות בשדה 9</v>
          </cell>
          <cell r="D7721">
            <v>46295</v>
          </cell>
        </row>
        <row r="7722">
          <cell r="A7722" t="str">
            <v>WBE-237-ST1</v>
          </cell>
          <cell r="B7722" t="str">
            <v>אופקים</v>
          </cell>
          <cell r="C7722" t="str">
            <v>אופקים-הקמת שדה קו 161 ק"ו (מס' 1)</v>
          </cell>
          <cell r="D7722">
            <v>46752</v>
          </cell>
        </row>
        <row r="7723">
          <cell r="A7723" t="str">
            <v>WBE-237-ST2</v>
          </cell>
          <cell r="B7723" t="str">
            <v>אופקים</v>
          </cell>
          <cell r="C7723" t="str">
            <v>אופקים-התאמת שדה 9 ומקשר ל- 3000 א'</v>
          </cell>
          <cell r="D7723">
            <v>47664</v>
          </cell>
        </row>
        <row r="7724">
          <cell r="A7724" t="str">
            <v>WBM-60205-026</v>
          </cell>
          <cell r="B7724" t="str">
            <v>אופקים</v>
          </cell>
          <cell r="C7724" t="str">
            <v>אופקים - ניטור הצפות</v>
          </cell>
          <cell r="D7724">
            <v>46162</v>
          </cell>
        </row>
        <row r="7725">
          <cell r="A7725" t="str">
            <v>WBM-10787</v>
          </cell>
          <cell r="B7725" t="str">
            <v>אופקים</v>
          </cell>
          <cell r="C7725" t="str">
            <v>אופקים – משיק לאורים שדה 3, יישום 2 דרכי קשר בין הגנות לפחות אחת מהן אופטית בשדה 9</v>
          </cell>
          <cell r="D7725">
            <v>46568</v>
          </cell>
        </row>
        <row r="7726">
          <cell r="A7726" t="str">
            <v>WBM-40637-007</v>
          </cell>
          <cell r="B7726" t="str">
            <v>אופקים</v>
          </cell>
          <cell r="C7726" t="str">
            <v>אופקים -  החלפת רושמי הפרעות קיימים מדגם IDM-T3 לרושמים חדשים מדגם IDM+</v>
          </cell>
          <cell r="D7726">
            <v>46965</v>
          </cell>
        </row>
        <row r="7727">
          <cell r="A7727" t="str">
            <v>WBC-024</v>
          </cell>
          <cell r="B7727" t="str">
            <v>אוניברסיטת תל אביב</v>
          </cell>
          <cell r="C7727" t="str">
            <v>אוניברסיטת תל אביב-הקמת תחמ"ש פנימית 161/24 ק"ו</v>
          </cell>
          <cell r="D7727">
            <v>46233</v>
          </cell>
        </row>
        <row r="7728">
          <cell r="A7728" t="str">
            <v>WBM-00726</v>
          </cell>
          <cell r="B7728" t="str">
            <v>אוניברסיטת תל אביב</v>
          </cell>
          <cell r="C7728" t="str">
            <v>אוניברסיטת תל אביב-בוטל-התקנת 4 ס"ק  5*2</v>
          </cell>
          <cell r="D7728">
            <v>41249</v>
          </cell>
        </row>
        <row r="7729">
          <cell r="A7729" t="str">
            <v>WBM-80026-002</v>
          </cell>
          <cell r="B7729" t="str">
            <v>אוניברסיטת תל אביב</v>
          </cell>
          <cell r="C7729" t="str">
            <v>אוניברסיטה - התקנת מתג מדגם JL663A - Aruba 6300M 48G 4SFP56 Swch</v>
          </cell>
          <cell r="D7729">
            <v>46198</v>
          </cell>
        </row>
        <row r="7730">
          <cell r="A7730" t="str">
            <v>WBE-318</v>
          </cell>
          <cell r="B7730" t="str">
            <v>אוניברסיטת תל אביב</v>
          </cell>
          <cell r="C7730" t="str">
            <v>אוניברסיטת תל אביב- בוטל - הוספת מסדר מ"ג שלישי</v>
          </cell>
        </row>
        <row r="7731">
          <cell r="A7731" t="str">
            <v>HIS-053</v>
          </cell>
          <cell r="B7731" t="str">
            <v>אונו</v>
          </cell>
          <cell r="C7731" t="str">
            <v>אונו</v>
          </cell>
          <cell r="D7731">
            <v>40908</v>
          </cell>
        </row>
        <row r="7732">
          <cell r="A7732" t="str">
            <v>WBE-083</v>
          </cell>
          <cell r="B7732" t="str">
            <v>אונו</v>
          </cell>
          <cell r="C7732" t="str">
            <v>אונו-בוטל-החלפת 4 שנאים 50 ל-76 מגוו"א-</v>
          </cell>
          <cell r="D7732">
            <v>42060</v>
          </cell>
        </row>
        <row r="7733">
          <cell r="A7733" t="str">
            <v>WBE-083-ST1</v>
          </cell>
          <cell r="B7733" t="str">
            <v>אונו</v>
          </cell>
          <cell r="C7733" t="str">
            <v>אונו-בוטל-החלפת שנאי ראשון 50 ב-76 מגו"א</v>
          </cell>
          <cell r="D7733">
            <v>40904</v>
          </cell>
        </row>
        <row r="7734">
          <cell r="A7734" t="str">
            <v>WBE-083-ST2</v>
          </cell>
          <cell r="B7734" t="str">
            <v>אונו</v>
          </cell>
          <cell r="C7734" t="str">
            <v>אונו-בוטל-החלפת שנאי שני 50  ל-76 מג"א</v>
          </cell>
          <cell r="D7734">
            <v>40904</v>
          </cell>
        </row>
        <row r="7735">
          <cell r="A7735" t="str">
            <v>WBE-083-ST3</v>
          </cell>
          <cell r="B7735" t="str">
            <v>אונו</v>
          </cell>
          <cell r="C7735" t="str">
            <v>אונו-בוטל-החלפת שנאי שלישי 50  ל- 76 מגו</v>
          </cell>
          <cell r="D7735">
            <v>40904</v>
          </cell>
        </row>
        <row r="7736">
          <cell r="A7736" t="str">
            <v>WBE-083-ST4</v>
          </cell>
          <cell r="B7736" t="str">
            <v>אונו</v>
          </cell>
          <cell r="C7736" t="str">
            <v>אונו-בוטל-החלפת שנאי רביעי 50 ל-76 מגו"א</v>
          </cell>
          <cell r="D7736">
            <v>40904</v>
          </cell>
        </row>
        <row r="7737">
          <cell r="A7737" t="str">
            <v>WBG-004-015</v>
          </cell>
          <cell r="B7737" t="str">
            <v>אונו</v>
          </cell>
          <cell r="C7737" t="str">
            <v>אונו-הקמת מערכת טמ"ס</v>
          </cell>
          <cell r="D7737">
            <v>41517</v>
          </cell>
        </row>
        <row r="7738">
          <cell r="A7738" t="str">
            <v>WBM-01273</v>
          </cell>
          <cell r="B7738" t="str">
            <v>אונו</v>
          </cell>
          <cell r="C7738" t="str">
            <v>אונו - שיפור לוגיקת סליל כיבוי ב-4 שנאים</v>
          </cell>
          <cell r="D7738">
            <v>44008</v>
          </cell>
        </row>
        <row r="7739">
          <cell r="A7739" t="str">
            <v>WBM-00727</v>
          </cell>
          <cell r="B7739" t="str">
            <v>אונו</v>
          </cell>
          <cell r="C7739" t="str">
            <v>אונו-בוטל-התקנת 4 ס"ק ,5*3 מגווא"ר כ"א</v>
          </cell>
          <cell r="D7739">
            <v>40904</v>
          </cell>
        </row>
        <row r="7740">
          <cell r="A7740" t="str">
            <v>WBM-10095</v>
          </cell>
          <cell r="B7740" t="str">
            <v>אונו</v>
          </cell>
          <cell r="C7740" t="str">
            <v>אונו - בוטל-התקנת מערכת ממירים ז"י</v>
          </cell>
          <cell r="D7740">
            <v>43555</v>
          </cell>
        </row>
        <row r="7741">
          <cell r="A7741" t="str">
            <v>WBM-40033</v>
          </cell>
          <cell r="B7741" t="str">
            <v>אונו</v>
          </cell>
          <cell r="C7741" t="str">
            <v>אונו - החלפת 47 הגנות מ"ג</v>
          </cell>
          <cell r="D7741">
            <v>46568</v>
          </cell>
        </row>
        <row r="7742">
          <cell r="A7742" t="str">
            <v>WBM-10179</v>
          </cell>
          <cell r="B7742" t="str">
            <v>אונו</v>
          </cell>
          <cell r="C7742" t="str">
            <v>אונו - משיק לגבעתיים. הג.דיפ.ותק' ש4</v>
          </cell>
          <cell r="D7742">
            <v>45496</v>
          </cell>
        </row>
        <row r="7743">
          <cell r="A7743" t="str">
            <v>WBM-10302</v>
          </cell>
          <cell r="B7743" t="str">
            <v>אונו</v>
          </cell>
          <cell r="C7743" t="str">
            <v>אונו - הוספת סקצית מתח גבוה (מכולה) חדשה</v>
          </cell>
          <cell r="D7743">
            <v>45371</v>
          </cell>
        </row>
        <row r="7744">
          <cell r="A7744" t="str">
            <v>0243081</v>
          </cell>
          <cell r="B7744" t="str">
            <v>אונו</v>
          </cell>
          <cell r="C7744" t="str">
            <v>אונו - חלפת סוללת מצברים</v>
          </cell>
          <cell r="D7744">
            <v>43615</v>
          </cell>
        </row>
        <row r="7745">
          <cell r="A7745" t="str">
            <v>WBG-004-003</v>
          </cell>
          <cell r="B7745" t="str">
            <v>אונו</v>
          </cell>
          <cell r="C7745" t="str">
            <v>אונו-התקנת רושם הפרעות</v>
          </cell>
          <cell r="D7745">
            <v>41364</v>
          </cell>
        </row>
        <row r="7746">
          <cell r="A7746" t="str">
            <v>WBG-004-009</v>
          </cell>
          <cell r="B7746" t="str">
            <v>אונו</v>
          </cell>
          <cell r="C7746" t="str">
            <v>אונו-הקמת רשת מחשבים תפעולית</v>
          </cell>
          <cell r="D7746">
            <v>40979</v>
          </cell>
        </row>
        <row r="7747">
          <cell r="A7747" t="str">
            <v>WBG-004-013</v>
          </cell>
          <cell r="B7747" t="str">
            <v>אונו</v>
          </cell>
          <cell r="C7747" t="str">
            <v>אונו-פתרון בעית חיבור לא מבוקר של ממסרים</v>
          </cell>
          <cell r="D7747">
            <v>40959</v>
          </cell>
        </row>
        <row r="7748">
          <cell r="A7748" t="str">
            <v>WBM-60034</v>
          </cell>
          <cell r="B7748" t="str">
            <v>אונו</v>
          </cell>
          <cell r="C7748" t="str">
            <v>אונו -בוטל-שדרוג מערכות סרברוס לגילוי אש</v>
          </cell>
          <cell r="D7748">
            <v>43864</v>
          </cell>
        </row>
        <row r="7749">
          <cell r="A7749" t="str">
            <v>WBG-004-004</v>
          </cell>
          <cell r="B7749" t="str">
            <v>אונו</v>
          </cell>
          <cell r="C7749" t="str">
            <v>אונו-החלפת רכזת התראה בטחונית</v>
          </cell>
          <cell r="D7749">
            <v>38837</v>
          </cell>
        </row>
        <row r="7750">
          <cell r="A7750" t="str">
            <v>WBG-004-012</v>
          </cell>
          <cell r="B7750" t="str">
            <v>אונו</v>
          </cell>
          <cell r="C7750" t="str">
            <v>אונו-התקנת מאווררים בארונות פיקוד</v>
          </cell>
          <cell r="D7750">
            <v>40311</v>
          </cell>
        </row>
        <row r="7751">
          <cell r="A7751" t="str">
            <v>WBM-00885-118</v>
          </cell>
          <cell r="B7751" t="str">
            <v>אונו</v>
          </cell>
          <cell r="C7751" t="str">
            <v>אונו - תיקון מערכת מיים</v>
          </cell>
          <cell r="D7751">
            <v>45666</v>
          </cell>
        </row>
        <row r="7752">
          <cell r="A7752" t="str">
            <v>WBM-01341-042</v>
          </cell>
          <cell r="B7752" t="str">
            <v>אונו</v>
          </cell>
          <cell r="C7752" t="str">
            <v>אונו - שיפוץ מסדר GIS</v>
          </cell>
          <cell r="D7752">
            <v>47453</v>
          </cell>
        </row>
        <row r="7753">
          <cell r="A7753" t="str">
            <v>WBM-40479-032</v>
          </cell>
          <cell r="B7753" t="str">
            <v>אונו</v>
          </cell>
          <cell r="C7753" t="str">
            <v>אונו-החלפת 4 בקרי טמפ' וגובה שמן בשנאי</v>
          </cell>
          <cell r="D7753">
            <v>48182</v>
          </cell>
        </row>
        <row r="7754">
          <cell r="A7754" t="str">
            <v>WBM-60008-067</v>
          </cell>
          <cell r="B7754" t="str">
            <v>אונו</v>
          </cell>
          <cell r="C7754" t="str">
            <v>אונו - מערכת בקרה, טמ"ס וגדר אלקטרונית</v>
          </cell>
          <cell r="D7754">
            <v>46752</v>
          </cell>
        </row>
        <row r="7755">
          <cell r="A7755" t="str">
            <v>WBM-60092-012</v>
          </cell>
          <cell r="B7755" t="str">
            <v>אונו</v>
          </cell>
          <cell r="C7755" t="str">
            <v>אונו- בדיקות/טיפול/פינוי מכלי אש בגז</v>
          </cell>
          <cell r="D7755">
            <v>46387</v>
          </cell>
        </row>
        <row r="7756">
          <cell r="A7756" t="str">
            <v>WBM-60130-064</v>
          </cell>
          <cell r="B7756" t="str">
            <v>אונו</v>
          </cell>
          <cell r="C7756" t="str">
            <v>אונו - התקנת מפסק פטריה להפסקת מערכת החשמל בחירום</v>
          </cell>
          <cell r="D7756">
            <v>46568</v>
          </cell>
        </row>
        <row r="7757">
          <cell r="A7757" t="str">
            <v>WBM-10315-071</v>
          </cell>
          <cell r="B7757" t="str">
            <v>אונו</v>
          </cell>
          <cell r="C7757" t="str">
            <v>אונו - החלפת מזגנים</v>
          </cell>
          <cell r="D7757">
            <v>45900</v>
          </cell>
        </row>
        <row r="7758">
          <cell r="A7758" t="str">
            <v>WBM-01063-009</v>
          </cell>
          <cell r="B7758" t="str">
            <v>אונו</v>
          </cell>
          <cell r="C7758" t="str">
            <v>אונו- פינוי תחנה ישנה ומסירתה למנר"א</v>
          </cell>
          <cell r="D7758">
            <v>46202</v>
          </cell>
        </row>
        <row r="7759">
          <cell r="A7759" t="str">
            <v>WBM-60116-042</v>
          </cell>
          <cell r="B7759" t="str">
            <v>אונו</v>
          </cell>
          <cell r="C7759" t="str">
            <v>אונו - החלפת מערכת גילוי וכיבוי אש אוטומטית כולל רכזת</v>
          </cell>
          <cell r="D7759">
            <v>46387</v>
          </cell>
        </row>
        <row r="7760">
          <cell r="A7760" t="str">
            <v>WBM-40295-088</v>
          </cell>
          <cell r="B7760" t="str">
            <v>אונו</v>
          </cell>
          <cell r="C7760" t="str">
            <v>קרית אונו- החלפת  סוללה אחת DC-1</v>
          </cell>
          <cell r="D7760">
            <v>46184</v>
          </cell>
        </row>
        <row r="7761">
          <cell r="A7761" t="str">
            <v>WBM-40637-034</v>
          </cell>
          <cell r="B7761" t="str">
            <v>אונו</v>
          </cell>
          <cell r="C7761" t="str">
            <v>אונו-החלפת רושמי הפרעות קיימים מדגם IDM-T3 לרושמים חדשים מדגם IDM+</v>
          </cell>
          <cell r="D7761">
            <v>47238</v>
          </cell>
        </row>
        <row r="7762">
          <cell r="A7762" t="str">
            <v>WBC-124</v>
          </cell>
          <cell r="B7762" t="str">
            <v>אום אל-פאחם</v>
          </cell>
          <cell r="C7762" t="str">
            <v>אום אל-פאחם-הקמת תחמ"ש חיצונית 161/24 ק"ו</v>
          </cell>
          <cell r="D7762">
            <v>47847</v>
          </cell>
        </row>
        <row r="7763">
          <cell r="A7763">
            <v>900049</v>
          </cell>
          <cell r="B7763" t="str">
            <v>או.פי.סי רמת בקע</v>
          </cell>
          <cell r="C7763" t="str">
            <v>או.פי.סי רמת בקע - קליטת מתקן PV ואגירה בגודל חיבור 972 מגוו"ט</v>
          </cell>
          <cell r="D7763">
            <v>47848</v>
          </cell>
        </row>
        <row r="7764">
          <cell r="A7764" t="str">
            <v>HIS-052</v>
          </cell>
          <cell r="B7764" t="str">
            <v>אדמירליטי</v>
          </cell>
          <cell r="C7764" t="str">
            <v>אדמירליטי</v>
          </cell>
          <cell r="D7764">
            <v>40908</v>
          </cell>
        </row>
        <row r="7765">
          <cell r="A7765" t="str">
            <v>WBM-01271</v>
          </cell>
          <cell r="B7765" t="str">
            <v>אדמירליטי</v>
          </cell>
          <cell r="C7765" t="str">
            <v>אדמירלטי -שיפור אוטומטיקת ס.כיבוי 2 שנאי</v>
          </cell>
          <cell r="D7765">
            <v>44160</v>
          </cell>
        </row>
        <row r="7766">
          <cell r="A7766" t="str">
            <v>WBM-00383</v>
          </cell>
          <cell r="B7766" t="str">
            <v>אדמירליטי</v>
          </cell>
          <cell r="C7766" t="str">
            <v>אדמירליטי-הזנת תאורת חירום ז"י</v>
          </cell>
          <cell r="D7766">
            <v>46752</v>
          </cell>
        </row>
        <row r="7767">
          <cell r="A7767" t="str">
            <v>WBM-60065</v>
          </cell>
          <cell r="B7767" t="str">
            <v>אדמירליטי</v>
          </cell>
          <cell r="C7767" t="str">
            <v>אדמירלטי - עיגון ארונות פיקוד ושנאים</v>
          </cell>
          <cell r="D7767">
            <v>46933</v>
          </cell>
        </row>
        <row r="7768">
          <cell r="A7768" t="str">
            <v>WBM-40020</v>
          </cell>
          <cell r="B7768" t="str">
            <v>אדמירליטי</v>
          </cell>
          <cell r="C7768" t="str">
            <v>אדמירליטי -החלפת 21 הגנות מ"ג 7SJ512</v>
          </cell>
          <cell r="D7768">
            <v>46568</v>
          </cell>
        </row>
        <row r="7769">
          <cell r="A7769" t="str">
            <v>WBM-10425</v>
          </cell>
          <cell r="B7769" t="str">
            <v>אדמירליטי</v>
          </cell>
          <cell r="C7769" t="str">
            <v>אדמירליטי -משיק תה"ר הקיטור,ש7,החלפת הגנה</v>
          </cell>
          <cell r="D7769">
            <v>46721</v>
          </cell>
        </row>
        <row r="7770">
          <cell r="A7770" t="str">
            <v>WBM-60120</v>
          </cell>
          <cell r="B7770" t="str">
            <v>אדמירליטי</v>
          </cell>
          <cell r="C7770" t="str">
            <v>אדמירליטי -החלפת לוח חשמל למשאבת כיבוי</v>
          </cell>
          <cell r="D7770">
            <v>45656</v>
          </cell>
        </row>
        <row r="7771">
          <cell r="A7771" t="str">
            <v>WBM-60114</v>
          </cell>
          <cell r="B7771" t="str">
            <v>אדמירליטי</v>
          </cell>
          <cell r="C7771" t="str">
            <v>אדמירליטי - יישום טכנו.הארקות ומגני ברק</v>
          </cell>
          <cell r="D7771">
            <v>46477</v>
          </cell>
        </row>
        <row r="7772">
          <cell r="A7772" t="str">
            <v>WBM-01379</v>
          </cell>
          <cell r="B7772" t="str">
            <v>אדמירליטי</v>
          </cell>
          <cell r="C7772" t="str">
            <v>אדמירליטי שדה 9-החלפת ההגנה דיפריאלית</v>
          </cell>
          <cell r="D7772">
            <v>43807</v>
          </cell>
        </row>
        <row r="7773">
          <cell r="A7773" t="str">
            <v>WBM-00004</v>
          </cell>
          <cell r="B7773" t="str">
            <v>אדמירליטי</v>
          </cell>
          <cell r="C7773" t="str">
            <v>אדמירליטי-שדרוג ארון ממירים 220/60 וולט</v>
          </cell>
          <cell r="D7773">
            <v>41669</v>
          </cell>
        </row>
        <row r="7774">
          <cell r="A7774" t="str">
            <v>WBM-40023</v>
          </cell>
          <cell r="B7774" t="str">
            <v>אדמירליטי</v>
          </cell>
          <cell r="C7774" t="str">
            <v>אדמירליטי-בוטל- החלפת טרפוגרד בשדות 8,10</v>
          </cell>
          <cell r="D7774">
            <v>44104</v>
          </cell>
        </row>
        <row r="7775">
          <cell r="A7775" t="str">
            <v>WBM-00005</v>
          </cell>
          <cell r="B7775" t="str">
            <v>אדמירליטי</v>
          </cell>
          <cell r="C7775" t="str">
            <v>אדמירליטי - בוטל- התקנת מערכת טמ"ס</v>
          </cell>
          <cell r="D7775">
            <v>41728</v>
          </cell>
        </row>
        <row r="7776">
          <cell r="A7776">
            <v>525707</v>
          </cell>
          <cell r="B7776" t="str">
            <v>אדמירליטי</v>
          </cell>
          <cell r="C7776" t="str">
            <v>אדמירליטי-החלפת רכזת התראה בטחונית</v>
          </cell>
          <cell r="D7776">
            <v>38837</v>
          </cell>
        </row>
        <row r="7777">
          <cell r="A7777" t="str">
            <v>WBM-00384</v>
          </cell>
          <cell r="B7777" t="str">
            <v>אדמירליטי</v>
          </cell>
          <cell r="C7777" t="str">
            <v>אדמירליטי-בוטל שיפור מערכת הארקה בתחמ"ש</v>
          </cell>
          <cell r="D7777">
            <v>39798</v>
          </cell>
        </row>
        <row r="7778">
          <cell r="A7778" t="str">
            <v>WBG-003-013</v>
          </cell>
          <cell r="B7778" t="str">
            <v>אדמירליטי</v>
          </cell>
          <cell r="C7778" t="str">
            <v>אדמירליטי-התקנת מאווררים בארונות פיקוד</v>
          </cell>
          <cell r="D7778">
            <v>40311</v>
          </cell>
        </row>
        <row r="7779">
          <cell r="A7779" t="str">
            <v>WBG-003-014</v>
          </cell>
          <cell r="B7779" t="str">
            <v>אדמירליטי</v>
          </cell>
          <cell r="C7779" t="str">
            <v>אדמירליטי-הקמת טבעת om 40</v>
          </cell>
          <cell r="D7779">
            <v>40340</v>
          </cell>
        </row>
        <row r="7780">
          <cell r="A7780" t="str">
            <v>WBM-00995</v>
          </cell>
          <cell r="B7780" t="str">
            <v>אדמירליטי</v>
          </cell>
          <cell r="C7780" t="str">
            <v>אדמירליטי-בוטל-התקנת סליל כיבוי ,300 א'</v>
          </cell>
          <cell r="D7780">
            <v>42165</v>
          </cell>
        </row>
        <row r="7781">
          <cell r="A7781" t="str">
            <v>WBE-197</v>
          </cell>
          <cell r="B7781" t="str">
            <v>אדמירליטי</v>
          </cell>
          <cell r="C7781" t="str">
            <v>אדמירליטי -התקנת שנאי שלישי 161/24 ק"ו, 50 מגוו"א בשדה מס' 4</v>
          </cell>
          <cell r="D7781">
            <v>46752</v>
          </cell>
        </row>
        <row r="7782">
          <cell r="A7782" t="str">
            <v>WBM-00884-024</v>
          </cell>
          <cell r="B7782" t="str">
            <v>אדמירליטי</v>
          </cell>
          <cell r="C7782" t="str">
            <v>אדמרליטי - החלפת רכזת גילוי אש</v>
          </cell>
          <cell r="D7782">
            <v>46386</v>
          </cell>
        </row>
        <row r="7783">
          <cell r="A7783" t="str">
            <v>WBM-20004-013</v>
          </cell>
          <cell r="B7783" t="str">
            <v>אדמירליטי</v>
          </cell>
          <cell r="C7783" t="str">
            <v>אדמירליטי -שיפור מערכת תאורה</v>
          </cell>
          <cell r="D7783">
            <v>46721</v>
          </cell>
        </row>
        <row r="7784">
          <cell r="A7784" t="str">
            <v>WBM-40479-060</v>
          </cell>
          <cell r="B7784" t="str">
            <v>אדמירליטי</v>
          </cell>
          <cell r="C7784" t="str">
            <v>אדמירליטי- החלפת 2 בקרי טמפ' וגובה שמן ב</v>
          </cell>
          <cell r="D7784">
            <v>47815</v>
          </cell>
        </row>
        <row r="7785">
          <cell r="A7785" t="str">
            <v>WBM-60088-046</v>
          </cell>
          <cell r="B7785" t="str">
            <v>אדמירליטי</v>
          </cell>
          <cell r="C7785" t="str">
            <v>אדמירלטי - סף הגבהה וניקוז ב-2 מסדרי אפס</v>
          </cell>
          <cell r="D7785">
            <v>46173</v>
          </cell>
        </row>
        <row r="7786">
          <cell r="A7786" t="str">
            <v>WBM-60116-031</v>
          </cell>
          <cell r="B7786" t="str">
            <v>אדמירליטי</v>
          </cell>
          <cell r="C7786" t="str">
            <v>אדמירליטי- בוטל שידרוג גלאים בתחנות משנה ומיתו</v>
          </cell>
        </row>
        <row r="7787">
          <cell r="A7787" t="str">
            <v>WBM-60118-008</v>
          </cell>
          <cell r="B7787" t="str">
            <v>אדמירליטי</v>
          </cell>
          <cell r="C7787" t="str">
            <v>אדמירליטי -- שיפור מערכת הארקה</v>
          </cell>
          <cell r="D7787">
            <v>46721</v>
          </cell>
        </row>
        <row r="7788">
          <cell r="A7788" t="str">
            <v>WBM-60130-021</v>
          </cell>
          <cell r="B7788" t="str">
            <v>אדמירליטי</v>
          </cell>
          <cell r="C7788" t="str">
            <v>אדמירליטי - התקנת מפסק פטריה להפסקת מערכת החשמל בחירום</v>
          </cell>
          <cell r="D7788">
            <v>46568</v>
          </cell>
        </row>
        <row r="7789">
          <cell r="A7789" t="str">
            <v>WBM-10604-004</v>
          </cell>
          <cell r="B7789" t="str">
            <v>אדמירליטי</v>
          </cell>
          <cell r="C7789" t="str">
            <v>אדמירליטי - מוכנות וכשירות דיזל גנרטורים</v>
          </cell>
          <cell r="D7789">
            <v>45644</v>
          </cell>
        </row>
        <row r="7790">
          <cell r="A7790" t="str">
            <v>WBM-60205-047</v>
          </cell>
          <cell r="B7790" t="str">
            <v>אדמירליטי</v>
          </cell>
          <cell r="C7790" t="str">
            <v>אדמירלטי - ניטור הצפות</v>
          </cell>
          <cell r="D7790">
            <v>46175</v>
          </cell>
        </row>
        <row r="7791">
          <cell r="A7791" t="str">
            <v>WBM-60092-059</v>
          </cell>
          <cell r="B7791" t="str">
            <v>אדמירליטי</v>
          </cell>
          <cell r="C7791" t="str">
            <v>אדמירליטי- בדיקות/טיפול/פינוי מכלי אש בגז</v>
          </cell>
          <cell r="D7791">
            <v>46022</v>
          </cell>
        </row>
        <row r="7792">
          <cell r="A7792" t="str">
            <v>WBM-40637-041</v>
          </cell>
          <cell r="B7792" t="str">
            <v>אדמירליטי</v>
          </cell>
          <cell r="C7792" t="str">
            <v>אדמירליטי-החלפת רושמי הפרעות קיימים מדגם IDM-T3 לרושמים חדשים מדגם IDM+</v>
          </cell>
          <cell r="D7792">
            <v>46418</v>
          </cell>
        </row>
        <row r="7793">
          <cell r="A7793" t="str">
            <v>WBM-10810</v>
          </cell>
          <cell r="B7793" t="str">
            <v>אדמירליטי</v>
          </cell>
          <cell r="C7793" t="str">
            <v>אדמירליטי - התקנת הגנת פ"צ וכשל מפסק (BFP)</v>
          </cell>
          <cell r="D7793">
            <v>47483</v>
          </cell>
        </row>
        <row r="7794">
          <cell r="A7794" t="str">
            <v>HIS-051</v>
          </cell>
          <cell r="B7794" t="str">
            <v>אבנת</v>
          </cell>
          <cell r="C7794" t="str">
            <v>אבנת</v>
          </cell>
          <cell r="D7794">
            <v>40908</v>
          </cell>
        </row>
        <row r="7795">
          <cell r="A7795" t="str">
            <v>WBE-064</v>
          </cell>
          <cell r="B7795" t="str">
            <v>אבנת</v>
          </cell>
          <cell r="C7795" t="str">
            <v>אבנת-התקנת שנאי רביעי 50 מגוו"א.</v>
          </cell>
          <cell r="D7795">
            <v>44826</v>
          </cell>
        </row>
        <row r="7796">
          <cell r="A7796" t="str">
            <v>WBM-70035</v>
          </cell>
          <cell r="B7796" t="str">
            <v>אבנת</v>
          </cell>
          <cell r="C7796" t="str">
            <v>אבנת-התקנת  סוללת קבלים 2*5 מגוו</v>
          </cell>
          <cell r="D7796">
            <v>46660</v>
          </cell>
        </row>
        <row r="7797">
          <cell r="A7797" t="str">
            <v>WBM-01290</v>
          </cell>
          <cell r="B7797" t="str">
            <v>אבנת</v>
          </cell>
          <cell r="C7797" t="str">
            <v>אבנת - החלפת סליל כיבוי בנגד ראשוני</v>
          </cell>
          <cell r="D7797">
            <v>44013</v>
          </cell>
        </row>
        <row r="7798">
          <cell r="A7798" t="str">
            <v>WBG-002-003</v>
          </cell>
          <cell r="B7798" t="str">
            <v>אבנת</v>
          </cell>
          <cell r="C7798" t="str">
            <v>אבנת-התקנת תקשורת מנהלתית</v>
          </cell>
          <cell r="D7798">
            <v>41120</v>
          </cell>
        </row>
        <row r="7799">
          <cell r="A7799" t="str">
            <v>WBG-002-008</v>
          </cell>
          <cell r="B7799" t="str">
            <v>אבנת</v>
          </cell>
          <cell r="C7799" t="str">
            <v>אבנת-התקנת מתזי מים</v>
          </cell>
          <cell r="D7799">
            <v>41120</v>
          </cell>
        </row>
        <row r="7800">
          <cell r="A7800" t="str">
            <v>WBG-002-012</v>
          </cell>
          <cell r="B7800" t="str">
            <v>אבנת</v>
          </cell>
          <cell r="C7800" t="str">
            <v>אבנת-הקמת רשת מחשבים תפעולית</v>
          </cell>
          <cell r="D7800">
            <v>41090</v>
          </cell>
        </row>
        <row r="7801">
          <cell r="A7801" t="str">
            <v>WBG-002-010</v>
          </cell>
          <cell r="B7801" t="str">
            <v>אבנת</v>
          </cell>
          <cell r="C7801" t="str">
            <v>אבנת-הפרדת אתראת "פליטת מימן ממצברים"</v>
          </cell>
          <cell r="D7801">
            <v>41072</v>
          </cell>
        </row>
        <row r="7802">
          <cell r="A7802" t="str">
            <v>WBG-002-011</v>
          </cell>
          <cell r="B7802" t="str">
            <v>אבנת</v>
          </cell>
          <cell r="C7802" t="str">
            <v>אבנת-התקנת ארון ז"י 48 וולט הכולל חלוקה</v>
          </cell>
          <cell r="D7802">
            <v>41072</v>
          </cell>
        </row>
        <row r="7803">
          <cell r="A7803" t="str">
            <v>WBG-002-011-ST2</v>
          </cell>
          <cell r="B7803" t="str">
            <v>אבנת</v>
          </cell>
          <cell r="C7803" t="str">
            <v>אבנת-התקנת 2 ממירים 220/60 וולט</v>
          </cell>
          <cell r="D7803">
            <v>41029</v>
          </cell>
        </row>
        <row r="7804">
          <cell r="A7804" t="str">
            <v>WBG-002-005</v>
          </cell>
          <cell r="B7804" t="str">
            <v>אבנת</v>
          </cell>
          <cell r="C7804" t="str">
            <v>אבנת-החלפת רכזת התראה בטחונית</v>
          </cell>
          <cell r="D7804">
            <v>38837</v>
          </cell>
        </row>
        <row r="7805">
          <cell r="A7805" t="str">
            <v>WBG-002-014</v>
          </cell>
          <cell r="B7805" t="str">
            <v>אבנת</v>
          </cell>
          <cell r="C7805" t="str">
            <v>אבנת-התקנת מאווררים בארונות פיקוד</v>
          </cell>
          <cell r="D7805">
            <v>40311</v>
          </cell>
        </row>
        <row r="7806">
          <cell r="A7806" t="str">
            <v>WBM-60099</v>
          </cell>
          <cell r="B7806" t="str">
            <v>אבנת</v>
          </cell>
          <cell r="C7806" t="str">
            <v>אבנת - החלפת "גמל מים" בכניסה לתחנה</v>
          </cell>
          <cell r="D7806">
            <v>45176</v>
          </cell>
        </row>
        <row r="7807">
          <cell r="A7807" t="str">
            <v>WBM-10001</v>
          </cell>
          <cell r="B7807" t="str">
            <v>אבנת</v>
          </cell>
          <cell r="C7807" t="str">
            <v>אבנת - התקנת רושם הפרעות</v>
          </cell>
          <cell r="D7807">
            <v>46568</v>
          </cell>
        </row>
        <row r="7808">
          <cell r="A7808" t="str">
            <v>WBM-10444</v>
          </cell>
          <cell r="B7808" t="str">
            <v>אבנת</v>
          </cell>
          <cell r="C7808" t="str">
            <v>אבנת-משיק לאלעד 7,החלפת הגנות.ש9</v>
          </cell>
          <cell r="D7808">
            <v>45509</v>
          </cell>
        </row>
        <row r="7809">
          <cell r="A7809" t="str">
            <v>WBM-10131</v>
          </cell>
          <cell r="B7809" t="str">
            <v>אבנת</v>
          </cell>
          <cell r="C7809" t="str">
            <v>אבנת - הוספת מדידת מתח משולש פתוח לפקוח</v>
          </cell>
          <cell r="D7809">
            <v>44959</v>
          </cell>
        </row>
        <row r="7810">
          <cell r="A7810" t="str">
            <v>WBM-40030</v>
          </cell>
          <cell r="B7810" t="str">
            <v>אבנת</v>
          </cell>
          <cell r="C7810" t="str">
            <v>אבנת-החלפת מע' SCS</v>
          </cell>
          <cell r="D7810">
            <v>44926</v>
          </cell>
        </row>
        <row r="7811">
          <cell r="A7811" t="str">
            <v>WBM-60076</v>
          </cell>
          <cell r="B7811" t="str">
            <v>אבנת</v>
          </cell>
          <cell r="C7811" t="str">
            <v>אבנת - החלפת שער לשער גלילה חשמלי Y5</v>
          </cell>
          <cell r="D7811">
            <v>44270</v>
          </cell>
        </row>
        <row r="7812">
          <cell r="A7812" t="str">
            <v>WBG-002-015</v>
          </cell>
          <cell r="B7812" t="str">
            <v>אבנת</v>
          </cell>
          <cell r="C7812" t="str">
            <v>אבנת-ביטול B-t-B</v>
          </cell>
          <cell r="D7812">
            <v>41363</v>
          </cell>
        </row>
        <row r="7813">
          <cell r="A7813" t="str">
            <v>WBM-40032</v>
          </cell>
          <cell r="B7813" t="str">
            <v>אבנת</v>
          </cell>
          <cell r="C7813" t="str">
            <v>אבנת- בוטל-החלפת טרפו גרד בשנאים</v>
          </cell>
          <cell r="D7813">
            <v>44042</v>
          </cell>
        </row>
        <row r="7814">
          <cell r="A7814" t="str">
            <v>WBM-00365</v>
          </cell>
          <cell r="B7814" t="str">
            <v>אבנת</v>
          </cell>
          <cell r="C7814" t="str">
            <v>אבנת-יישום השלת עומס לפי זרם שדה 9</v>
          </cell>
          <cell r="D7814">
            <v>42702</v>
          </cell>
        </row>
        <row r="7815">
          <cell r="A7815" t="str">
            <v>WBM-40604</v>
          </cell>
          <cell r="B7815" t="str">
            <v>אבנת</v>
          </cell>
          <cell r="C7815" t="str">
            <v>אבנת - החלפת 2 מסדרי מ"ג 24 ק"ו</v>
          </cell>
          <cell r="D7815">
            <v>46752</v>
          </cell>
        </row>
        <row r="7816">
          <cell r="A7816" t="str">
            <v>WBM-00884-035</v>
          </cell>
          <cell r="B7816" t="str">
            <v>אבנת</v>
          </cell>
          <cell r="C7816" t="str">
            <v>אבנת- החלפת מערכות כיבוי בגז NAF-S3</v>
          </cell>
          <cell r="D7816">
            <v>46568</v>
          </cell>
        </row>
        <row r="7817">
          <cell r="A7817" t="str">
            <v>WBM-10315-040</v>
          </cell>
          <cell r="B7817" t="str">
            <v>אבנת</v>
          </cell>
          <cell r="C7817" t="str">
            <v>אבנת - התקנת מזגנים</v>
          </cell>
          <cell r="D7817">
            <v>45477</v>
          </cell>
        </row>
        <row r="7818">
          <cell r="A7818" t="str">
            <v>WBM-40479-012</v>
          </cell>
          <cell r="B7818" t="str">
            <v>אבנת</v>
          </cell>
          <cell r="C7818" t="str">
            <v>אבנת- החלפת 3 בקרי טמפ' וגובה שמן בשנאי</v>
          </cell>
          <cell r="D7818">
            <v>47817</v>
          </cell>
        </row>
        <row r="7819">
          <cell r="A7819" t="str">
            <v>WBM-60008-082</v>
          </cell>
          <cell r="B7819" t="str">
            <v>אבנת</v>
          </cell>
          <cell r="C7819" t="str">
            <v>אבנת - מערכת בקרה, טמ"ס וגדר אלקטרונית</v>
          </cell>
          <cell r="D7819">
            <v>46568</v>
          </cell>
        </row>
        <row r="7820">
          <cell r="A7820" t="str">
            <v>WBM-60092-014</v>
          </cell>
          <cell r="B7820" t="str">
            <v>אבנת</v>
          </cell>
          <cell r="C7820" t="str">
            <v>אבנת - בדיקות/טיפול/פינוי מכלי אש בגז</v>
          </cell>
          <cell r="D7820">
            <v>46387</v>
          </cell>
        </row>
        <row r="7821">
          <cell r="A7821" t="str">
            <v>WBM-60100-010</v>
          </cell>
          <cell r="B7821" t="str">
            <v>אבנת</v>
          </cell>
          <cell r="C7821" t="str">
            <v>אבנת - החלפת ברזי זרימה של מע' כבוי במ</v>
          </cell>
          <cell r="D7821">
            <v>45540</v>
          </cell>
        </row>
        <row r="7822">
          <cell r="A7822" t="str">
            <v>WBM-10680</v>
          </cell>
          <cell r="B7822" t="str">
            <v>אבנת</v>
          </cell>
          <cell r="C7822" t="str">
            <v>אבנת – חיבור מסדרי אפס של שנאים 523, 524 בצורה ישירה לשנאים.</v>
          </cell>
          <cell r="D7822">
            <v>47118</v>
          </cell>
        </row>
        <row r="7823">
          <cell r="A7823" t="str">
            <v>WBM-10456-039</v>
          </cell>
          <cell r="B7823" t="str">
            <v>אבנת</v>
          </cell>
          <cell r="C7823" t="str">
            <v>אבנת- התקנת מתמרים</v>
          </cell>
          <cell r="D7823">
            <v>46752</v>
          </cell>
        </row>
        <row r="7824">
          <cell r="A7824" t="str">
            <v>WBM-60205-016</v>
          </cell>
          <cell r="B7824" t="str">
            <v>אבנת</v>
          </cell>
          <cell r="C7824" t="str">
            <v>אבנת - ניטור הצפות</v>
          </cell>
          <cell r="D7824">
            <v>46175</v>
          </cell>
        </row>
        <row r="7825">
          <cell r="A7825" t="str">
            <v>WBM-01161</v>
          </cell>
          <cell r="B7825" t="str">
            <v>אבני חפץ</v>
          </cell>
          <cell r="C7825" t="str">
            <v>אבני חפץ-בוטל-הקמת תחנה מורידה מתח</v>
          </cell>
        </row>
        <row r="7826">
          <cell r="A7826" t="str">
            <v>WBE-147</v>
          </cell>
          <cell r="B7826" t="str">
            <v>אבן ספיר</v>
          </cell>
          <cell r="C7826" t="str">
            <v>אבן ספיר-החלפת 2 שנאי 33 ב- 50 מגוו"א</v>
          </cell>
          <cell r="D7826">
            <v>44728</v>
          </cell>
        </row>
        <row r="7827">
          <cell r="A7827" t="str">
            <v>WBE-147-ST2</v>
          </cell>
          <cell r="B7827" t="str">
            <v>אבן ספיר</v>
          </cell>
          <cell r="C7827" t="str">
            <v>אבן ספיר-החלפת  שנאי 522 33 ב- 50 מגוו"א</v>
          </cell>
          <cell r="D7827">
            <v>44728</v>
          </cell>
        </row>
        <row r="7828">
          <cell r="A7828" t="str">
            <v>WBE-147-ST1</v>
          </cell>
          <cell r="B7828" t="str">
            <v>אבן ספיר</v>
          </cell>
          <cell r="C7828" t="str">
            <v>אבן ספיר-החלפת  שנאי 33 ב- 50 מגוו"א</v>
          </cell>
          <cell r="D7828">
            <v>44524</v>
          </cell>
        </row>
        <row r="7829">
          <cell r="A7829" t="str">
            <v>WBK-014</v>
          </cell>
          <cell r="B7829" t="str">
            <v>אבן ספיר</v>
          </cell>
          <cell r="C7829" t="str">
            <v>אבן ספיר-הרחבת תחמ"ג וחיבור שנאי קישור שלישי 453</v>
          </cell>
          <cell r="D7829">
            <v>46934</v>
          </cell>
        </row>
        <row r="7830">
          <cell r="A7830" t="str">
            <v>HIS-050</v>
          </cell>
          <cell r="B7830" t="str">
            <v>אבן ספיר</v>
          </cell>
          <cell r="C7830" t="str">
            <v>אבן ספיר</v>
          </cell>
          <cell r="D7830">
            <v>40908</v>
          </cell>
        </row>
        <row r="7831">
          <cell r="A7831" t="str">
            <v>WDA-1-02-45-05</v>
          </cell>
          <cell r="B7831" t="str">
            <v>אבן ספיר</v>
          </cell>
          <cell r="C7831" t="str">
            <v>אבן ספיר 22-החלפת יחידת קצה בחדר פיקוד</v>
          </cell>
          <cell r="D7831">
            <v>43768</v>
          </cell>
        </row>
        <row r="7832">
          <cell r="A7832" t="str">
            <v>WDA-1-02-45-01</v>
          </cell>
          <cell r="B7832" t="str">
            <v>אבן ספיר</v>
          </cell>
          <cell r="C7832" t="str">
            <v>אבן ספיר 400 -החלפת יחידת קצה של פיקוח א</v>
          </cell>
          <cell r="D7832">
            <v>43373</v>
          </cell>
        </row>
        <row r="7833">
          <cell r="A7833" t="str">
            <v>WDA-1-02-45-04</v>
          </cell>
          <cell r="B7833" t="str">
            <v>אבן ספיר</v>
          </cell>
          <cell r="C7833" t="str">
            <v>אבן ספיר 161-החלפת יחידת קצה של פיקוח אר</v>
          </cell>
          <cell r="D7833">
            <v>43373</v>
          </cell>
        </row>
        <row r="7834">
          <cell r="A7834" t="str">
            <v>WEB-04</v>
          </cell>
          <cell r="B7834" t="str">
            <v>אבן ספיר</v>
          </cell>
          <cell r="C7834" t="str">
            <v>אבן ספיר-התקנת הגנה דיפרנציאלית</v>
          </cell>
          <cell r="D7834">
            <v>38260</v>
          </cell>
        </row>
        <row r="7835">
          <cell r="A7835" t="str">
            <v>WBM-00188</v>
          </cell>
          <cell r="B7835" t="str">
            <v>אבן ספיר</v>
          </cell>
          <cell r="C7835" t="str">
            <v>אבן ספיר-הוצאה מניצול של ש"ק 161/115 ק"ו</v>
          </cell>
          <cell r="D7835">
            <v>42733</v>
          </cell>
        </row>
        <row r="7836">
          <cell r="A7836" t="str">
            <v>WBM-70034</v>
          </cell>
          <cell r="B7836" t="str">
            <v>אבן ספיר</v>
          </cell>
          <cell r="C7836" t="str">
            <v>אבן ספיר-החלפת 2 סוללות קבלים 2*5 מגווא"ר</v>
          </cell>
          <cell r="D7836">
            <v>46295</v>
          </cell>
        </row>
        <row r="7837">
          <cell r="A7837" t="str">
            <v>WBM-01322</v>
          </cell>
          <cell r="B7837" t="str">
            <v>אבן ספיר</v>
          </cell>
          <cell r="C7837" t="str">
            <v>אבן ספיר-הוספת הגנות פ"צ וכשל המפסק</v>
          </cell>
          <cell r="D7837">
            <v>46933</v>
          </cell>
        </row>
        <row r="7838">
          <cell r="A7838" t="str">
            <v>WBM-00997</v>
          </cell>
          <cell r="B7838" t="str">
            <v>אבן ספיר</v>
          </cell>
          <cell r="C7838" t="str">
            <v>אבן ספיר -פירוק ממסרים והתקנת הגנה דיפרנציאלית בשדה 22</v>
          </cell>
          <cell r="D7838">
            <v>48212</v>
          </cell>
        </row>
        <row r="7839">
          <cell r="A7839" t="str">
            <v>WBM-01320</v>
          </cell>
          <cell r="B7839" t="str">
            <v>אבן ספיר</v>
          </cell>
          <cell r="C7839" t="str">
            <v>אבן ספיר - החלפת הגנת קווים מסוג LZ31</v>
          </cell>
          <cell r="D7839">
            <v>46386</v>
          </cell>
        </row>
        <row r="7840">
          <cell r="A7840" t="str">
            <v>WBM-01301</v>
          </cell>
          <cell r="B7840" t="str">
            <v>אבן ספיר</v>
          </cell>
          <cell r="C7840" t="str">
            <v>אבן ספיר - שדרוג מערכת SCS</v>
          </cell>
          <cell r="D7840">
            <v>46142</v>
          </cell>
        </row>
        <row r="7841">
          <cell r="A7841" t="str">
            <v>WBM-20008</v>
          </cell>
          <cell r="B7841" t="str">
            <v>אבן ספיר</v>
          </cell>
          <cell r="C7841" t="str">
            <v>אבן ספיר - שדרוג והחלפת מערכת ניטור מימן</v>
          </cell>
          <cell r="D7841">
            <v>45641</v>
          </cell>
        </row>
        <row r="7842">
          <cell r="A7842" t="str">
            <v>WBM-10288</v>
          </cell>
          <cell r="B7842" t="str">
            <v>אבן ספיר</v>
          </cell>
          <cell r="C7842" t="str">
            <v>אבן ספיר-בוטל-התאמת תייל'-מהדקים-פורט'WBO-147</v>
          </cell>
        </row>
        <row r="7843">
          <cell r="A7843" t="str">
            <v>WBM-10354</v>
          </cell>
          <cell r="B7843" t="str">
            <v>אבן ספיר</v>
          </cell>
          <cell r="C7843" t="str">
            <v>אבן ספיר-משיק wbo-147-התאמת שדות 21,22 ל 1600</v>
          </cell>
          <cell r="D7843">
            <v>46567</v>
          </cell>
        </row>
        <row r="7844">
          <cell r="A7844" t="str">
            <v>WBM-01330</v>
          </cell>
          <cell r="B7844" t="str">
            <v>אבן ספיר</v>
          </cell>
          <cell r="C7844" t="str">
            <v>אבן ספיר- החלפת ממסרי TRAFO GUARD</v>
          </cell>
          <cell r="D7844">
            <v>46417</v>
          </cell>
        </row>
        <row r="7845">
          <cell r="A7845" t="str">
            <v>WBM-01423</v>
          </cell>
          <cell r="B7845" t="str">
            <v>אבן ספיר</v>
          </cell>
          <cell r="C7845" t="str">
            <v>אבן ספיר-הח' ממסר למרחק להשלת עומס בזרם</v>
          </cell>
          <cell r="D7845">
            <v>45229</v>
          </cell>
        </row>
        <row r="7846">
          <cell r="A7846" t="str">
            <v>WBM-10389</v>
          </cell>
          <cell r="B7846" t="str">
            <v>אבן ספיר</v>
          </cell>
          <cell r="C7846" t="str">
            <v>אבן ספיר 400 - משיק-תקשורת בין הגנות שB4</v>
          </cell>
          <cell r="D7846">
            <v>45371</v>
          </cell>
        </row>
        <row r="7847">
          <cell r="A7847" t="str">
            <v>WBM-00838</v>
          </cell>
          <cell r="B7847" t="str">
            <v>אבן ספיר</v>
          </cell>
          <cell r="C7847" t="str">
            <v>אבן ספיר-הסדרת צומת כניסה לתחמ"ש</v>
          </cell>
          <cell r="D7847">
            <v>46177</v>
          </cell>
        </row>
        <row r="7848">
          <cell r="A7848" t="str">
            <v>WBM-00164</v>
          </cell>
          <cell r="B7848" t="str">
            <v>אבן ספיר</v>
          </cell>
          <cell r="C7848" t="str">
            <v>אבן ספיר- בוטל - התקנת מערכת רה-סינכרון</v>
          </cell>
        </row>
        <row r="7849">
          <cell r="A7849" t="str">
            <v>WBM-00186</v>
          </cell>
          <cell r="B7849" t="str">
            <v>אבן ספיר</v>
          </cell>
          <cell r="C7849" t="str">
            <v>אבן ספיר-החלפת בקר המפעיל את הזנת א.הבית</v>
          </cell>
          <cell r="D7849">
            <v>44895</v>
          </cell>
        </row>
        <row r="7850">
          <cell r="A7850" t="str">
            <v>WBM-10184</v>
          </cell>
          <cell r="B7850" t="str">
            <v>אבן ספיר</v>
          </cell>
          <cell r="C7850" t="str">
            <v>אבן ספיר -משיק לבית שמש.הג' לדיפ+תק'(ש3)</v>
          </cell>
          <cell r="D7850">
            <v>44745</v>
          </cell>
        </row>
        <row r="7851">
          <cell r="A7851" t="str">
            <v>WBM-01384</v>
          </cell>
          <cell r="B7851" t="str">
            <v>אבן ספיר</v>
          </cell>
          <cell r="C7851" t="str">
            <v>אבן ספיר-התקנת הגנה דיפרנציאלית שד' 11</v>
          </cell>
          <cell r="D7851">
            <v>44706</v>
          </cell>
        </row>
        <row r="7852">
          <cell r="A7852" t="str">
            <v>WBM-01060</v>
          </cell>
          <cell r="B7852" t="str">
            <v>אבן ספיר</v>
          </cell>
          <cell r="C7852" t="str">
            <v>אבן ספיר-החלפת הג. מרחק  להג.דיפרנצי, 26</v>
          </cell>
          <cell r="D7852">
            <v>44321</v>
          </cell>
        </row>
        <row r="7853">
          <cell r="A7853" t="str">
            <v>WBM-01403</v>
          </cell>
          <cell r="B7853" t="str">
            <v>אבן ספיר</v>
          </cell>
          <cell r="C7853" t="str">
            <v>אבן ספיר - עיגון 6 אוטו-שנאים חד פאזיים</v>
          </cell>
          <cell r="D7853">
            <v>44213</v>
          </cell>
        </row>
        <row r="7854">
          <cell r="A7854" t="str">
            <v>WBM-01405</v>
          </cell>
          <cell r="B7854" t="str">
            <v>אבן ספיר</v>
          </cell>
          <cell r="C7854" t="str">
            <v>אבן ספיר - עיגון ארונות פיקוד והגנה</v>
          </cell>
          <cell r="D7854">
            <v>44213</v>
          </cell>
        </row>
        <row r="7855">
          <cell r="A7855" t="str">
            <v>WBM-01183</v>
          </cell>
          <cell r="B7855" t="str">
            <v>אבן ספיר</v>
          </cell>
          <cell r="C7855" t="str">
            <v>אבן ספיר-החלפת הגנת שנאי DT92</v>
          </cell>
          <cell r="D7855">
            <v>43741</v>
          </cell>
        </row>
        <row r="7856">
          <cell r="A7856" t="str">
            <v>WBM-01294</v>
          </cell>
          <cell r="B7856" t="str">
            <v>אבן ספיר</v>
          </cell>
          <cell r="C7856" t="str">
            <v>אבן ספיר-החלפת רושם הפרעות 161 ק"ו</v>
          </cell>
          <cell r="D7856">
            <v>43720</v>
          </cell>
        </row>
        <row r="7857">
          <cell r="A7857" t="str">
            <v>WBM-01328</v>
          </cell>
          <cell r="B7857" t="str">
            <v>אבן ספיר</v>
          </cell>
          <cell r="C7857" t="str">
            <v>אבן ספיר -החלפת רושם הפרעות 400 ק"ו</v>
          </cell>
          <cell r="D7857">
            <v>43720</v>
          </cell>
        </row>
        <row r="7858">
          <cell r="A7858" t="str">
            <v>WBM-60004</v>
          </cell>
          <cell r="B7858" t="str">
            <v>אבן ספיר</v>
          </cell>
          <cell r="C7858" t="str">
            <v>אבן ספיר-שדרוג מערכת כיבוי אש היקפית</v>
          </cell>
          <cell r="D7858">
            <v>43649</v>
          </cell>
        </row>
        <row r="7859">
          <cell r="A7859" t="str">
            <v>WBM-60007</v>
          </cell>
          <cell r="B7859" t="str">
            <v>אבן ספיר</v>
          </cell>
          <cell r="C7859" t="str">
            <v>אבן ספיר הסדרת מערכת תאורה ביטחונית</v>
          </cell>
          <cell r="D7859">
            <v>43501</v>
          </cell>
        </row>
        <row r="7860">
          <cell r="A7860" t="str">
            <v>WBM-00886</v>
          </cell>
          <cell r="B7860" t="str">
            <v>אבן ספיר</v>
          </cell>
          <cell r="C7860" t="str">
            <v>אבן ספיר- איטום מעברי כבלים</v>
          </cell>
          <cell r="D7860">
            <v>43290</v>
          </cell>
        </row>
        <row r="7861">
          <cell r="A7861" t="str">
            <v>WBM-00395</v>
          </cell>
          <cell r="B7861" t="str">
            <v>אבן ספיר</v>
          </cell>
          <cell r="C7861" t="str">
            <v>אבן ספיר-שלב 11- שדה 3B- דרכי קשר לצפית</v>
          </cell>
          <cell r="D7861">
            <v>42144</v>
          </cell>
        </row>
        <row r="7862">
          <cell r="A7862" t="str">
            <v>WBM-00189</v>
          </cell>
          <cell r="B7862" t="str">
            <v>אבן ספיר</v>
          </cell>
          <cell r="C7862" t="str">
            <v>אבן ספיר-שלב 10-שדה 4B-הגנה הפרשית.</v>
          </cell>
          <cell r="D7862">
            <v>42138</v>
          </cell>
        </row>
        <row r="7863">
          <cell r="A7863" t="str">
            <v>WBM-00674</v>
          </cell>
          <cell r="B7863" t="str">
            <v>אבן ספיר</v>
          </cell>
          <cell r="C7863" t="str">
            <v>אבן ספיר-התקנת מערכת טמ"ס.</v>
          </cell>
          <cell r="D7863">
            <v>41961</v>
          </cell>
        </row>
        <row r="7864">
          <cell r="A7864" t="str">
            <v>WBM-00752</v>
          </cell>
          <cell r="B7864" t="str">
            <v>אבן ספיר</v>
          </cell>
          <cell r="C7864" t="str">
            <v>אבן ספיר-התקנת ציוד קשר בין ה"מ לכ.אוריה</v>
          </cell>
          <cell r="D7864">
            <v>41729</v>
          </cell>
        </row>
        <row r="7865">
          <cell r="A7865" t="str">
            <v>WBL-001-011</v>
          </cell>
          <cell r="B7865" t="str">
            <v>אבן ספיר</v>
          </cell>
          <cell r="C7865" t="str">
            <v>אבן ספיר- עיגון לעמידה בפני רעידת אדמה</v>
          </cell>
          <cell r="D7865">
            <v>41065</v>
          </cell>
        </row>
        <row r="7866">
          <cell r="A7866" t="str">
            <v>WBL-001-032</v>
          </cell>
          <cell r="B7866" t="str">
            <v>אבן ספיר</v>
          </cell>
          <cell r="C7866" t="str">
            <v>אבן ספיר-איטום מעברי כבלים נגד אש</v>
          </cell>
          <cell r="D7866">
            <v>40983</v>
          </cell>
        </row>
        <row r="7867">
          <cell r="A7867" t="str">
            <v>WBM-40500</v>
          </cell>
          <cell r="B7867" t="str">
            <v>אבן ספיר</v>
          </cell>
          <cell r="C7867" t="str">
            <v>אבן ספיר-בוטל-החלפת 2 שנאי 33 ב 50 מגו"א</v>
          </cell>
          <cell r="D7867">
            <v>44342</v>
          </cell>
        </row>
        <row r="7868">
          <cell r="A7868" t="str">
            <v>WBM-00190</v>
          </cell>
          <cell r="B7868" t="str">
            <v>אבן ספיר</v>
          </cell>
          <cell r="C7868" t="str">
            <v>אבן ספיר - בוטל-מיגון חדר מצב לשעת חירום</v>
          </cell>
          <cell r="D7868">
            <v>41249</v>
          </cell>
        </row>
        <row r="7869">
          <cell r="A7869" t="str">
            <v>WBM-00675</v>
          </cell>
          <cell r="B7869" t="str">
            <v>אבן ספיר</v>
          </cell>
          <cell r="C7869" t="str">
            <v>אבן ספיר-בוטל-הקמת טבעת 220N</v>
          </cell>
          <cell r="D7869">
            <v>41455</v>
          </cell>
        </row>
        <row r="7870">
          <cell r="A7870">
            <v>546327</v>
          </cell>
          <cell r="B7870" t="str">
            <v>אבן ספיר</v>
          </cell>
          <cell r="C7870" t="str">
            <v>אבן ספיר-הפרדת סוללות מצברים 220 וולט</v>
          </cell>
          <cell r="D7870">
            <v>41485</v>
          </cell>
        </row>
        <row r="7871">
          <cell r="A7871" t="str">
            <v>WBM-00326</v>
          </cell>
          <cell r="B7871" t="str">
            <v>אבן ספיר</v>
          </cell>
          <cell r="C7871" t="str">
            <v>אבן ספיר-בוטל-תקש. בין הג. במ.איתן-חברון</v>
          </cell>
          <cell r="D7871">
            <v>39646</v>
          </cell>
        </row>
        <row r="7872">
          <cell r="A7872" t="str">
            <v>WBM-00379</v>
          </cell>
          <cell r="B7872" t="str">
            <v>אבן ספיר</v>
          </cell>
          <cell r="C7872" t="str">
            <v>אבן ספיר-בוטל-החלפת רכזת התראה בטחונית</v>
          </cell>
          <cell r="D7872">
            <v>36526</v>
          </cell>
        </row>
        <row r="7873">
          <cell r="A7873" t="str">
            <v>WBM-00380</v>
          </cell>
          <cell r="B7873" t="str">
            <v>אבן ספיר</v>
          </cell>
          <cell r="C7873" t="str">
            <v>אבן ספיר-בוטל-עיגון דיזל גנרטור.</v>
          </cell>
          <cell r="D7873">
            <v>41249</v>
          </cell>
        </row>
        <row r="7874">
          <cell r="A7874" t="str">
            <v>WBM-00381</v>
          </cell>
          <cell r="B7874" t="str">
            <v>אבן ספיר</v>
          </cell>
          <cell r="C7874" t="str">
            <v>אבן ספיר-בוטל-התקנת מצוף התראה למיכל דלק</v>
          </cell>
          <cell r="D7874">
            <v>39646</v>
          </cell>
        </row>
        <row r="7875">
          <cell r="A7875" t="str">
            <v>WBM-00382</v>
          </cell>
          <cell r="B7875" t="str">
            <v>אבן ספיר</v>
          </cell>
          <cell r="C7875" t="str">
            <v>אבן ספיר-בוטל-התקנת מאווררים בארונות</v>
          </cell>
          <cell r="D7875">
            <v>40311</v>
          </cell>
        </row>
        <row r="7876">
          <cell r="A7876" t="str">
            <v>WBM-00800</v>
          </cell>
          <cell r="B7876" t="str">
            <v>אבן ספיר</v>
          </cell>
          <cell r="C7876" t="str">
            <v>אבן ספיר-בוטל-שידרוג מערכת גידור אלקטרונ</v>
          </cell>
          <cell r="D7876">
            <v>40750</v>
          </cell>
        </row>
        <row r="7877">
          <cell r="A7877" t="str">
            <v>WBM-01372</v>
          </cell>
          <cell r="B7877" t="str">
            <v>אבן ספיר</v>
          </cell>
          <cell r="C7877" t="str">
            <v>אבן ספיר-מיגון מתקנים פיזי</v>
          </cell>
          <cell r="D7877">
            <v>45442</v>
          </cell>
        </row>
        <row r="7878">
          <cell r="A7878" t="str">
            <v>WBM-00340</v>
          </cell>
          <cell r="B7878" t="str">
            <v>אבן ספיר</v>
          </cell>
          <cell r="C7878" t="str">
            <v>אבן ספיר-התקנת צ"ק בין הגנות לגבעת שאול.</v>
          </cell>
          <cell r="D7878">
            <v>42213</v>
          </cell>
        </row>
        <row r="7879">
          <cell r="A7879" t="str">
            <v>WBM-40540</v>
          </cell>
          <cell r="B7879" t="str">
            <v>אבן ספיר</v>
          </cell>
          <cell r="C7879" t="str">
            <v>אבן ספיר- החלפת מבודדים של אוטושנאים 451, 452</v>
          </cell>
          <cell r="D7879">
            <v>46995</v>
          </cell>
        </row>
        <row r="7880">
          <cell r="A7880" t="str">
            <v>WBM-00884-030</v>
          </cell>
          <cell r="B7880" t="str">
            <v>אבן ספיר</v>
          </cell>
          <cell r="C7880" t="str">
            <v>אבן ספיר- החלפת מערכות כיבוי בגז NAF-S3</v>
          </cell>
          <cell r="D7880">
            <v>46387</v>
          </cell>
        </row>
        <row r="7881">
          <cell r="A7881" t="str">
            <v>WBM-01431-009</v>
          </cell>
          <cell r="B7881" t="str">
            <v>אבן ספיר</v>
          </cell>
          <cell r="C7881" t="str">
            <v>אבן ספיר 400 ק"ו -ממסרי שנאים 451, 452</v>
          </cell>
          <cell r="D7881">
            <v>46203</v>
          </cell>
        </row>
        <row r="7882">
          <cell r="A7882" t="str">
            <v>WBM-10315-049</v>
          </cell>
          <cell r="B7882" t="str">
            <v>אבן ספיר</v>
          </cell>
          <cell r="C7882" t="str">
            <v>אבן ספיר - התקנת מזגנים</v>
          </cell>
          <cell r="D7882">
            <v>46295</v>
          </cell>
        </row>
        <row r="7883">
          <cell r="A7883" t="str">
            <v>WBM-40295-034</v>
          </cell>
          <cell r="B7883" t="str">
            <v>אבן ספיר</v>
          </cell>
          <cell r="C7883" t="str">
            <v>אבן ספיר - החלפת 2 סוללות 530AH</v>
          </cell>
          <cell r="D7883">
            <v>46386</v>
          </cell>
        </row>
        <row r="7884">
          <cell r="A7884" t="str">
            <v>WBM-40479-007</v>
          </cell>
          <cell r="B7884" t="str">
            <v>אבן ספיר</v>
          </cell>
          <cell r="C7884" t="str">
            <v>אבן ספיר-החלפת 8 בקרי טמפ' וגובה שמן בשנ</v>
          </cell>
          <cell r="D7884">
            <v>45629</v>
          </cell>
        </row>
        <row r="7885">
          <cell r="A7885" t="str">
            <v>WBM-60092-013</v>
          </cell>
          <cell r="B7885" t="str">
            <v>אבן ספיר</v>
          </cell>
          <cell r="C7885" t="str">
            <v>אבן ספיר -בדיקות/טיפול/פינוי מכלי אש בגז</v>
          </cell>
          <cell r="D7885">
            <v>46386</v>
          </cell>
        </row>
        <row r="7886">
          <cell r="A7886" t="str">
            <v>WBM-60116-020</v>
          </cell>
          <cell r="B7886" t="str">
            <v>אבן ספיר</v>
          </cell>
          <cell r="C7886" t="str">
            <v>אבן ספיר - החלפת מערכת גילוי וכיבוי אש כולל רכזת</v>
          </cell>
          <cell r="D7886">
            <v>46387</v>
          </cell>
        </row>
        <row r="7887">
          <cell r="A7887" t="str">
            <v>WBM-20004-036</v>
          </cell>
          <cell r="B7887" t="str">
            <v>אבן ספיר</v>
          </cell>
          <cell r="C7887" t="str">
            <v>אבן ספיר - איטום כבלים</v>
          </cell>
          <cell r="D7887">
            <v>45606</v>
          </cell>
        </row>
        <row r="7888">
          <cell r="A7888" t="str">
            <v>WBM-10670</v>
          </cell>
          <cell r="B7888" t="str">
            <v>אבן ספיר</v>
          </cell>
          <cell r="C7888" t="str">
            <v>אבן ספיר-משיק לירושלים ד שדה 9, התקנת הגנה דיפרנציאלית ויישום תקשורת אופטית בין הגנות בשדה 22</v>
          </cell>
          <cell r="D7888">
            <v>46387</v>
          </cell>
        </row>
        <row r="7889">
          <cell r="A7889" t="str">
            <v>WBK-021</v>
          </cell>
          <cell r="B7889" t="str">
            <v>אבן ספיר</v>
          </cell>
          <cell r="C7889" t="str">
            <v>אבן ספיר-הצבת שנאי קישור 400/161 ק"ו שלישי, 575 מגוו"א</v>
          </cell>
          <cell r="D7889">
            <v>46568</v>
          </cell>
        </row>
        <row r="7890">
          <cell r="A7890" t="str">
            <v>WBM-60205-022</v>
          </cell>
          <cell r="B7890" t="str">
            <v>אבן ספיר</v>
          </cell>
          <cell r="C7890" t="str">
            <v>אבן ספיר -ניטור הצפות</v>
          </cell>
          <cell r="D7890">
            <v>46175</v>
          </cell>
        </row>
        <row r="7891">
          <cell r="A7891" t="str">
            <v>WBM-00885-160</v>
          </cell>
          <cell r="B7891" t="str">
            <v>אבן ספיר</v>
          </cell>
          <cell r="C7891" t="str">
            <v>אבן ספיר- החלפת משאבת כיבוי אש</v>
          </cell>
          <cell r="D7891">
            <v>46386</v>
          </cell>
        </row>
        <row r="7892">
          <cell r="A7892" t="str">
            <v>HIS-001</v>
          </cell>
          <cell r="B7892" t="str">
            <v>אבן העזר ארעית -דרום</v>
          </cell>
          <cell r="C7892" t="str">
            <v>אבן העזר ארעית -דרום</v>
          </cell>
          <cell r="D7892">
            <v>40908</v>
          </cell>
        </row>
        <row r="7893">
          <cell r="A7893" t="str">
            <v>WDA-1-PA11</v>
          </cell>
          <cell r="B7893" t="str">
            <v>אבן העזר ארעית -דרום</v>
          </cell>
          <cell r="C7893" t="str">
            <v>אבן העזר(ארעית)-החלפת יח.ק של פיקוח ארצי</v>
          </cell>
          <cell r="D7893">
            <v>41548</v>
          </cell>
        </row>
        <row r="7894">
          <cell r="A7894" t="str">
            <v>WBM-10457</v>
          </cell>
          <cell r="B7894" t="str">
            <v>אבן העזר ארעית -דרום</v>
          </cell>
          <cell r="C7894" t="str">
            <v>אבן העזר ארעית - מוקפא-פירוק תחמ"ש ארעית</v>
          </cell>
          <cell r="D7894">
            <v>45119</v>
          </cell>
        </row>
        <row r="7895">
          <cell r="A7895" t="str">
            <v>WBM-60011</v>
          </cell>
          <cell r="B7895" t="str">
            <v>אבן העזר ארעית -דרום</v>
          </cell>
          <cell r="C7895" t="str">
            <v>אבן העזר ארעית-הסדרת דרך גישה לתחמ"ש</v>
          </cell>
          <cell r="D7895">
            <v>46722</v>
          </cell>
        </row>
        <row r="7896">
          <cell r="A7896" t="str">
            <v>WBM-10026</v>
          </cell>
          <cell r="B7896" t="str">
            <v>אבן העזר ארעית -דרום</v>
          </cell>
          <cell r="C7896" t="str">
            <v>אבן העזר ארעית- התקנת רושם הפרעות</v>
          </cell>
          <cell r="D7896">
            <v>46203</v>
          </cell>
        </row>
        <row r="7897">
          <cell r="A7897" t="str">
            <v>WBM-10446</v>
          </cell>
          <cell r="B7897" t="str">
            <v>אבן העזר ארעית -דרום</v>
          </cell>
          <cell r="C7897" t="str">
            <v>אבן העזר-משיק לאלעד1 ,התקנת הגנה.ש5</v>
          </cell>
          <cell r="D7897">
            <v>45686</v>
          </cell>
        </row>
        <row r="7898">
          <cell r="A7898">
            <v>548809</v>
          </cell>
          <cell r="B7898" t="str">
            <v>אבן העזר ארעית -דרום</v>
          </cell>
          <cell r="C7898" t="str">
            <v>אבן העזר (ארעית)-התקנת רכזת התראה</v>
          </cell>
          <cell r="D7898">
            <v>41394</v>
          </cell>
        </row>
        <row r="7899">
          <cell r="A7899" t="str">
            <v>WBG-132-008</v>
          </cell>
          <cell r="B7899" t="str">
            <v>אבן העזר ארעית -דרום</v>
          </cell>
          <cell r="C7899" t="str">
            <v>אבן העזר (ארעית)-התקנת מערכת מניה</v>
          </cell>
          <cell r="D7899">
            <v>41233</v>
          </cell>
        </row>
        <row r="7900">
          <cell r="A7900" t="str">
            <v>WBM-01102</v>
          </cell>
          <cell r="B7900" t="str">
            <v>אבן העזר ארעית -דרום</v>
          </cell>
          <cell r="C7900" t="str">
            <v>אבן העזר-בוטל-התקנת מאצרת שמן זמנית</v>
          </cell>
          <cell r="D7900">
            <v>42684</v>
          </cell>
        </row>
        <row r="7901">
          <cell r="A7901" t="str">
            <v>WBG-132-004</v>
          </cell>
          <cell r="B7901" t="str">
            <v>אבן העזר ארעית -דרום</v>
          </cell>
          <cell r="C7901" t="str">
            <v>אבן העזר (ארעית)-התקנת שעון נוכחות</v>
          </cell>
          <cell r="D7901">
            <v>39963</v>
          </cell>
        </row>
        <row r="7902">
          <cell r="A7902" t="str">
            <v>WBG-132-006</v>
          </cell>
          <cell r="B7902" t="str">
            <v>אבן העזר ארעית -דרום</v>
          </cell>
          <cell r="C7902" t="str">
            <v>אבן העזר (ארעית)-התקנת תקשורת מנהלתית</v>
          </cell>
          <cell r="D7902">
            <v>40877</v>
          </cell>
        </row>
        <row r="7903">
          <cell r="A7903" t="str">
            <v>WBM-00003</v>
          </cell>
          <cell r="B7903" t="str">
            <v>אבן העזר ארעית -דרום</v>
          </cell>
          <cell r="C7903" t="str">
            <v>אבן העזר (ארעית)-התקנת ארון ז"י 48 וולט</v>
          </cell>
          <cell r="D7903">
            <v>40877</v>
          </cell>
        </row>
        <row r="7904">
          <cell r="A7904" t="str">
            <v>WBM-60130-004</v>
          </cell>
          <cell r="B7904" t="str">
            <v>אבן העזר ארעית -דרום</v>
          </cell>
          <cell r="C7904" t="str">
            <v>אבן העזר - התקנת מפסק פטריה להפסקת מערכת החשמל בחירום</v>
          </cell>
          <cell r="D7904">
            <v>46568</v>
          </cell>
        </row>
        <row r="7905">
          <cell r="A7905" t="str">
            <v>WBM-60088-004</v>
          </cell>
          <cell r="B7905" t="str">
            <v>אבן העזר ארעית -דרום</v>
          </cell>
          <cell r="C7905" t="str">
            <v>אבן העזר-מאצרות זמניות לשנאים ומסדרי אפס</v>
          </cell>
          <cell r="D7905">
            <v>46477</v>
          </cell>
        </row>
        <row r="7906">
          <cell r="A7906" t="str">
            <v>WBC-067</v>
          </cell>
          <cell r="B7906" t="str">
            <v>אבליים</v>
          </cell>
          <cell r="C7906" t="str">
            <v>אבליים- הקמת תחמ"ש חיצונית 161/24 ק"ו</v>
          </cell>
          <cell r="D7906">
            <v>45991</v>
          </cell>
        </row>
        <row r="7907">
          <cell r="A7907" t="str">
            <v>WBM-80026-001</v>
          </cell>
          <cell r="B7907" t="str">
            <v>אבליים</v>
          </cell>
          <cell r="C7907" t="str">
            <v>אבליים - התקנת מתג מדגם JL663A - Aruba 6300M 48G 4SFP56 Swch</v>
          </cell>
          <cell r="D7907">
            <v>46043</v>
          </cell>
        </row>
        <row r="7908">
          <cell r="A7908" t="str">
            <v>WBD-096</v>
          </cell>
          <cell r="B7908" t="str">
            <v>א.ת. מכבים</v>
          </cell>
          <cell r="C7908" t="str">
            <v>א.ת. מכבים- הצבת תחמ"ש ניידת 161/33 ק"ו, 20 מגוו"א</v>
          </cell>
          <cell r="D7908">
            <v>46599</v>
          </cell>
        </row>
        <row r="7909">
          <cell r="A7909" t="str">
            <v>WBD-096-ST2</v>
          </cell>
          <cell r="B7909" t="str">
            <v>א.ת. מכבים</v>
          </cell>
          <cell r="C7909" t="str">
            <v>א.ת. מכבים - פירוק תחמ"ש ניידת</v>
          </cell>
          <cell r="D7909">
            <v>49340</v>
          </cell>
        </row>
        <row r="7910">
          <cell r="A7910" t="str">
            <v>WBD-123</v>
          </cell>
          <cell r="B7910" t="str">
            <v>א.ת. מכבים</v>
          </cell>
          <cell r="C7910" t="str">
            <v>א.ת. מכבים- הצבת תחמ"ש ניידת 161/24 ק"ו, 20 מגוו"א</v>
          </cell>
          <cell r="D7910">
            <v>46142</v>
          </cell>
        </row>
        <row r="7911">
          <cell r="A7911">
            <v>900015</v>
          </cell>
          <cell r="B7911" t="str">
            <v>SDS שוהם</v>
          </cell>
          <cell r="C7911" t="str">
            <v>SDS שוהם - הקמת תחמ"ש פרטית</v>
          </cell>
          <cell r="D7911">
            <v>46356</v>
          </cell>
        </row>
        <row r="7912">
          <cell r="A7912">
            <v>900012</v>
          </cell>
          <cell r="B7912" t="str">
            <v>PPGC (ג'נין)</v>
          </cell>
          <cell r="C7912" t="str">
            <v>PPGC (ג'נין)-קליטת תחנת כוח בהספק 265 מגוו"ט</v>
          </cell>
          <cell r="D7912">
            <v>47149</v>
          </cell>
        </row>
        <row r="7913">
          <cell r="A7913">
            <v>3502126</v>
          </cell>
          <cell r="B7913" t="str">
            <v>P9</v>
          </cell>
          <cell r="C7913" t="str">
            <v>p9-בוטל-הקמת תחמ"ש פרטית</v>
          </cell>
          <cell r="D7913">
            <v>41722</v>
          </cell>
        </row>
        <row r="7914">
          <cell r="A7914" t="str">
            <v>WBF-1</v>
          </cell>
          <cell r="B7914" t="str">
            <v>P9</v>
          </cell>
          <cell r="C7914" t="str">
            <v>DSI פרטית-בוטל - התקנת שדה קו 161 ק"ו לוישי</v>
          </cell>
        </row>
        <row r="7915">
          <cell r="A7915" t="str">
            <v>HIS-146</v>
          </cell>
          <cell r="B7915" t="str">
            <v>p88-פרטית</v>
          </cell>
          <cell r="C7915" t="str">
            <v>p88-פרטית</v>
          </cell>
          <cell r="D7915">
            <v>40908</v>
          </cell>
        </row>
        <row r="7916">
          <cell r="A7916" t="str">
            <v>WBM-10316-005</v>
          </cell>
          <cell r="B7916" t="str">
            <v>OPC - מישור רותם</v>
          </cell>
          <cell r="C7916" t="str">
            <v>OPC -חבור רושמי הפרעות  למתג מנהלת</v>
          </cell>
          <cell r="D7916">
            <v>45726</v>
          </cell>
        </row>
        <row r="7917">
          <cell r="A7917" t="str">
            <v>WBM-40295-068</v>
          </cell>
          <cell r="B7917" t="str">
            <v>OPC - מישור רותם</v>
          </cell>
          <cell r="C7917" t="str">
            <v>רותם - החלפת סוללות מצברים</v>
          </cell>
          <cell r="D7917">
            <v>46721</v>
          </cell>
        </row>
        <row r="7918">
          <cell r="A7918" t="str">
            <v>WBM-80014-008</v>
          </cell>
          <cell r="B7918" t="str">
            <v>OPC - מישור רותם</v>
          </cell>
          <cell r="C7918" t="str">
            <v>OPC - מישור רותם - שדרוג SCS</v>
          </cell>
          <cell r="D7918">
            <v>45600</v>
          </cell>
        </row>
        <row r="7919">
          <cell r="A7919" t="str">
            <v>WBM-60128-010</v>
          </cell>
          <cell r="B7919" t="str">
            <v>OPC - מישור רותם</v>
          </cell>
          <cell r="C7919" t="str">
            <v>מישור רותם - שדרוג ותוספות מיגון בתחמשים פרטיים</v>
          </cell>
          <cell r="D7919">
            <v>46721</v>
          </cell>
        </row>
        <row r="7920">
          <cell r="C7920" t="str">
            <v>תבנית - שירותי רשת-חלוקה</v>
          </cell>
          <cell r="D7920">
            <v>45029</v>
          </cell>
        </row>
        <row r="7921">
          <cell r="A7921" t="str">
            <v>0265146</v>
          </cell>
          <cell r="C7921" t="str">
            <v>קיסריה - מבוטל</v>
          </cell>
          <cell r="D7921">
            <v>44274</v>
          </cell>
        </row>
        <row r="7922">
          <cell r="A7922" t="str">
            <v>0238358</v>
          </cell>
          <cell r="C7922" t="str">
            <v>uoe6a - יוקנעם תוספת ST4-בוטל</v>
          </cell>
          <cell r="D7922">
            <v>36526</v>
          </cell>
        </row>
        <row r="7923">
          <cell r="A7923" t="str">
            <v>0239494</v>
          </cell>
          <cell r="C7923" t="str">
            <v>UOE6A</v>
          </cell>
          <cell r="D7923">
            <v>36164</v>
          </cell>
        </row>
        <row r="7924">
          <cell r="A7924" t="str">
            <v>0243124</v>
          </cell>
          <cell r="C7924" t="str">
            <v>עירון - החלפת מערכת SCS</v>
          </cell>
          <cell r="D7924">
            <v>36164</v>
          </cell>
        </row>
        <row r="7925">
          <cell r="A7925" t="str">
            <v>0243141</v>
          </cell>
          <cell r="C7925" t="str">
            <v>כברי- החלפת ציוד בשדה 5,6,9,</v>
          </cell>
          <cell r="D7925">
            <v>36164</v>
          </cell>
        </row>
        <row r="7926">
          <cell r="A7926" t="str">
            <v>0247533</v>
          </cell>
          <cell r="C7926" t="str">
            <v>מודיעין - החלפת גשרי דיודות</v>
          </cell>
          <cell r="D7926">
            <v>43831</v>
          </cell>
        </row>
        <row r="7927">
          <cell r="A7927" t="str">
            <v>0269342</v>
          </cell>
          <cell r="C7927" t="str">
            <v>חולה- החלפת שנאי 33 מגוו"א ב-50 מגוו"א</v>
          </cell>
          <cell r="D7927">
            <v>36164</v>
          </cell>
        </row>
        <row r="7928">
          <cell r="A7928" t="str">
            <v>0287440</v>
          </cell>
          <cell r="C7928" t="str">
            <v>wdasdasdasdas</v>
          </cell>
          <cell r="D7928">
            <v>36164</v>
          </cell>
        </row>
        <row r="7929">
          <cell r="A7929" t="str">
            <v>0243096</v>
          </cell>
          <cell r="C7929" t="str">
            <v>בית שאן- החלפת סוללת מצברים</v>
          </cell>
          <cell r="D7929">
            <v>36164</v>
          </cell>
        </row>
        <row r="7930">
          <cell r="A7930" t="str">
            <v>0256535</v>
          </cell>
          <cell r="C7930" t="str">
            <v>צפית - החלפת הגנות קווים</v>
          </cell>
          <cell r="D7930">
            <v>36164</v>
          </cell>
        </row>
        <row r="7931">
          <cell r="A7931" t="str">
            <v>0269230</v>
          </cell>
          <cell r="C7931" t="str">
            <v>חרובית-לביטול</v>
          </cell>
          <cell r="D7931">
            <v>36164</v>
          </cell>
        </row>
        <row r="7932">
          <cell r="A7932" t="str">
            <v>0269294</v>
          </cell>
          <cell r="C7932" t="str">
            <v>עתידים - התא' תיילים-מהדק'-פורט'-WBO-553</v>
          </cell>
          <cell r="D7932">
            <v>36164</v>
          </cell>
        </row>
        <row r="7933">
          <cell r="A7933" t="str">
            <v>0269295</v>
          </cell>
          <cell r="C7933" t="str">
            <v>עתידים - התאמת תיילים- מהד'-פורט'WBO-553</v>
          </cell>
          <cell r="D7933">
            <v>36164</v>
          </cell>
        </row>
        <row r="7934">
          <cell r="A7934" t="str">
            <v>0269344</v>
          </cell>
          <cell r="C7934" t="str">
            <v>חולה- החלפת שנאי 33 מגוו"א ב-50 מגוו"א</v>
          </cell>
          <cell r="D7934">
            <v>44595</v>
          </cell>
        </row>
        <row r="7935">
          <cell r="A7935">
            <v>269231</v>
          </cell>
          <cell r="C7935">
            <v>269231</v>
          </cell>
          <cell r="D7935">
            <v>36525</v>
          </cell>
        </row>
        <row r="7936">
          <cell r="A7936">
            <v>265247</v>
          </cell>
          <cell r="C7936" t="str">
            <v>בוטל - הצעה-העתקת עמוד 400 ק"ו 40104</v>
          </cell>
          <cell r="D7936">
            <v>36163</v>
          </cell>
        </row>
        <row r="7937">
          <cell r="A7937" t="str">
            <v>0265287</v>
          </cell>
          <cell r="C7937" t="str">
            <v>פינוי תוואי לקו 400 ק"ו צפית – גזר בוטל</v>
          </cell>
        </row>
        <row r="7938">
          <cell r="A7938">
            <v>1234</v>
          </cell>
          <cell r="C7938" t="str">
            <v>מנהרת תשתיות בכביש 4 - קידום סטאטוטורי</v>
          </cell>
          <cell r="D7938">
            <v>36164</v>
          </cell>
        </row>
        <row r="7939">
          <cell r="A7939" t="str">
            <v>WBO-411-LN3</v>
          </cell>
          <cell r="C7939" t="str">
            <v>קו סדום דרום-ספיר ניידת-בוטל-הפעלת קו חד</v>
          </cell>
          <cell r="D7939">
            <v>40030</v>
          </cell>
        </row>
        <row r="7940">
          <cell r="A7940" t="str">
            <v>0212733</v>
          </cell>
          <cell r="C7940" t="str">
            <v>uoe6a-פיקוח רמת השרון -עיבוי ושדרוג עמוד</v>
          </cell>
          <cell r="D7940">
            <v>42338</v>
          </cell>
        </row>
        <row r="7941">
          <cell r="A7941" t="str">
            <v>WBO-B07</v>
          </cell>
          <cell r="C7941" t="str">
            <v>עבודות שו"ש הולכה במחוז חיפה והצפון</v>
          </cell>
          <cell r="D7941">
            <v>54057</v>
          </cell>
        </row>
        <row r="7942">
          <cell r="A7942" t="str">
            <v>WBO-066</v>
          </cell>
          <cell r="C7942" t="str">
            <v>החלפת מבדדים בקווי 161 ק"ו -חיפה וצפון</v>
          </cell>
          <cell r="D7942">
            <v>46721</v>
          </cell>
        </row>
        <row r="7943">
          <cell r="A7943" t="str">
            <v>WBO-050</v>
          </cell>
          <cell r="C7943" t="str">
            <v>החלפת מבדדים תקולים  בקווי 161 ק"ו</v>
          </cell>
          <cell r="D7943">
            <v>44746</v>
          </cell>
        </row>
        <row r="7944">
          <cell r="A7944" t="str">
            <v>WBN-009</v>
          </cell>
          <cell r="C7944" t="str">
            <v>החלפת מבדדים סינטטיים בקווי 400 ק"ו-צפון</v>
          </cell>
          <cell r="D7944">
            <v>43250</v>
          </cell>
        </row>
        <row r="7945">
          <cell r="A7945" t="str">
            <v>WBO-034</v>
          </cell>
          <cell r="C7945" t="str">
            <v>מיגון עמודי מתח עליון בפני טיפוס במ.צפון</v>
          </cell>
          <cell r="D7945">
            <v>43190</v>
          </cell>
        </row>
        <row r="7946">
          <cell r="A7946" t="str">
            <v>WBO-028</v>
          </cell>
          <cell r="C7946" t="str">
            <v>שיקום רגלי עמודי מ"ע במחוז צפון</v>
          </cell>
          <cell r="D7946">
            <v>43100</v>
          </cell>
        </row>
        <row r="7947">
          <cell r="A7947" t="str">
            <v>WBO-047</v>
          </cell>
          <cell r="C7947" t="str">
            <v>בוטל-התקנת מגיני ברק בקווי מ"ע-מ. הצפון</v>
          </cell>
          <cell r="D7947">
            <v>42761</v>
          </cell>
        </row>
        <row r="7948">
          <cell r="A7948" t="str">
            <v>WBO-B08</v>
          </cell>
          <cell r="C7948" t="str">
            <v>עבודות שו"ש הולכה במחוז דרום</v>
          </cell>
          <cell r="D7948">
            <v>54057</v>
          </cell>
        </row>
        <row r="7949">
          <cell r="A7949" t="str">
            <v>WBO-608</v>
          </cell>
          <cell r="C7949" t="str">
            <v>רישוי כבלים –משרד איכות הסביבה</v>
          </cell>
          <cell r="D7949">
            <v>54057</v>
          </cell>
        </row>
        <row r="7950">
          <cell r="A7950" t="str">
            <v>WBO-545</v>
          </cell>
          <cell r="C7950" t="str">
            <v>החלפת מבדדי 161 מסוג 675</v>
          </cell>
          <cell r="D7950">
            <v>46752</v>
          </cell>
        </row>
        <row r="7951">
          <cell r="A7951" t="str">
            <v>WBO-565</v>
          </cell>
          <cell r="C7951" t="str">
            <v>שיקום רגלי עמודי מ"ע במחוז הדרום</v>
          </cell>
          <cell r="D7951">
            <v>46387</v>
          </cell>
        </row>
        <row r="7952">
          <cell r="A7952" t="str">
            <v>WBN-424</v>
          </cell>
          <cell r="C7952" t="str">
            <v>החלפת מבדדים סינטטיים בקווי 400 ק"ו-דרום</v>
          </cell>
          <cell r="D7952">
            <v>43799</v>
          </cell>
        </row>
        <row r="7953">
          <cell r="A7953" t="str">
            <v>WBO-472</v>
          </cell>
          <cell r="C7953" t="str">
            <v>מיגון עמודי מתח עליון בפני טיפוס מ.הדרום</v>
          </cell>
          <cell r="D7953">
            <v>43342</v>
          </cell>
        </row>
        <row r="7954">
          <cell r="A7954" t="str">
            <v>WBN-422</v>
          </cell>
          <cell r="C7954" t="str">
            <v>קו גן שורק-גזר-עע"א-40782-3</v>
          </cell>
          <cell r="D7954">
            <v>43220</v>
          </cell>
        </row>
        <row r="7955">
          <cell r="A7955" t="str">
            <v>WBO-490</v>
          </cell>
          <cell r="C7955" t="str">
            <v>פירוק קו  מ"ע נ. אילון עמ' 1137-1138</v>
          </cell>
          <cell r="D7955">
            <v>43130</v>
          </cell>
        </row>
        <row r="7956">
          <cell r="A7956" t="str">
            <v>WBN-419</v>
          </cell>
          <cell r="C7956" t="str">
            <v>שיקום רגלי עמודים שמוגנו ע"י הביטחון 400</v>
          </cell>
          <cell r="D7956">
            <v>43099</v>
          </cell>
        </row>
        <row r="7957">
          <cell r="A7957" t="str">
            <v>WBO-493</v>
          </cell>
          <cell r="C7957" t="str">
            <v>העתקת עמ'-עע"א-ב.יהושע-הרצ-הכ.הירו-ירקון</v>
          </cell>
          <cell r="D7957">
            <v>42916</v>
          </cell>
        </row>
        <row r="7958">
          <cell r="A7958" t="str">
            <v>WBO-489</v>
          </cell>
          <cell r="C7958" t="str">
            <v>כביש 4-מחלף אשדוד-עע"א-הח.מבדדים</v>
          </cell>
          <cell r="D7958">
            <v>42735</v>
          </cell>
        </row>
        <row r="7959">
          <cell r="A7959" t="str">
            <v>WBO-494</v>
          </cell>
          <cell r="C7959" t="str">
            <v>קו גן שורק-ת"א מזרח-עע"א-עמ' 5901-5902</v>
          </cell>
          <cell r="D7959">
            <v>42704</v>
          </cell>
        </row>
        <row r="7960">
          <cell r="A7960" t="str">
            <v>WBO-457</v>
          </cell>
          <cell r="C7960" t="str">
            <v>כביש 6 קטע 21/1 בית קמה -העתקת קווים</v>
          </cell>
          <cell r="D7960">
            <v>41966</v>
          </cell>
        </row>
        <row r="7961">
          <cell r="A7961" t="str">
            <v>WBO-B09</v>
          </cell>
          <cell r="C7961" t="str">
            <v>עבודות שו"ש הולכה במחוז ירושלים</v>
          </cell>
          <cell r="D7961">
            <v>54057</v>
          </cell>
        </row>
        <row r="7962">
          <cell r="A7962" t="str">
            <v>WBO-138</v>
          </cell>
          <cell r="C7962" t="str">
            <v>שיקום רגלי עמודי מ"ע במחוז ירושלים</v>
          </cell>
          <cell r="D7962">
            <v>47848</v>
          </cell>
        </row>
        <row r="7963">
          <cell r="A7963" t="str">
            <v>WBO-118</v>
          </cell>
          <cell r="C7963" t="str">
            <v>מיגון עמודי מתח עליון במחוז ירושלים</v>
          </cell>
          <cell r="D7963">
            <v>45657</v>
          </cell>
        </row>
        <row r="7964">
          <cell r="A7964" t="str">
            <v>WBO-111</v>
          </cell>
          <cell r="C7964" t="str">
            <v>קאנטרי רמות עע"א - העתקת עמודים</v>
          </cell>
          <cell r="D7964">
            <v>42520</v>
          </cell>
        </row>
        <row r="7965">
          <cell r="A7965" t="str">
            <v>WBO-110</v>
          </cell>
          <cell r="C7965" t="str">
            <v>כביש 38 (עע"א)-הקמת עמודי מתח עליון</v>
          </cell>
          <cell r="D7965">
            <v>42460</v>
          </cell>
        </row>
        <row r="7966">
          <cell r="A7966" t="str">
            <v>WBO-B15</v>
          </cell>
          <cell r="C7966" t="str">
            <v>עבודות שו"ש הולכה במחוז דן</v>
          </cell>
          <cell r="D7966">
            <v>54057</v>
          </cell>
        </row>
        <row r="7967">
          <cell r="A7967" t="str">
            <v>0260529</v>
          </cell>
          <cell r="C7967" t="str">
            <v>תמנע, החלפת משנק, שדה 10 (לנחל שחורת)</v>
          </cell>
          <cell r="D7967">
            <v>36164</v>
          </cell>
        </row>
        <row r="7968">
          <cell r="A7968" t="str">
            <v>0265043</v>
          </cell>
          <cell r="C7968" t="str">
            <v>אריאל - הוספת והחלפת הגנות - שדות 12, 13</v>
          </cell>
          <cell r="D7968">
            <v>36164</v>
          </cell>
        </row>
        <row r="7969">
          <cell r="A7969" t="str">
            <v>WBM-01386</v>
          </cell>
          <cell r="C7969" t="str">
            <v>ניידת ירקון -החזרה למלאי של הניידת</v>
          </cell>
          <cell r="D7969">
            <v>43312</v>
          </cell>
        </row>
        <row r="7970">
          <cell r="A7970" t="str">
            <v>0269274</v>
          </cell>
          <cell r="C7970" t="str">
            <v>התאמת קו 161 ק"ו ,הקו הכחול- גשר מודעי</v>
          </cell>
          <cell r="D7970">
            <v>36164</v>
          </cell>
        </row>
        <row r="7971">
          <cell r="A7971" t="str">
            <v>WBO-A07</v>
          </cell>
          <cell r="C7971" t="str">
            <v>עבודות השקעה שונות במחוז הצפון</v>
          </cell>
          <cell r="D7971">
            <v>54057</v>
          </cell>
        </row>
        <row r="7972">
          <cell r="A7972" t="str">
            <v>WBO-A08</v>
          </cell>
          <cell r="C7972" t="str">
            <v>עבודות השקעה שונות במחוז הדרום</v>
          </cell>
          <cell r="D7972">
            <v>54057</v>
          </cell>
        </row>
        <row r="7973">
          <cell r="A7973" t="str">
            <v>WBO-A09</v>
          </cell>
          <cell r="C7973" t="str">
            <v>עבודות השקעה שונות במחוז ירושלים</v>
          </cell>
          <cell r="D7973">
            <v>54057</v>
          </cell>
        </row>
        <row r="7974">
          <cell r="A7974" t="str">
            <v>WBO-A15</v>
          </cell>
          <cell r="C7974" t="str">
            <v>עבודות השקעה שונות במחוז דן</v>
          </cell>
          <cell r="D7974">
            <v>54057</v>
          </cell>
        </row>
        <row r="7975">
          <cell r="A7975" t="str">
            <v>WBO-A19</v>
          </cell>
          <cell r="C7975" t="str">
            <v>עבודות השקעה שונות במחוז חיפה</v>
          </cell>
          <cell r="D7975">
            <v>54057</v>
          </cell>
        </row>
        <row r="7976">
          <cell r="A7976" t="str">
            <v>WBO-541</v>
          </cell>
          <cell r="C7976" t="str">
            <v>פרויקט פיקטיבי לצורך קביעת תעריף-מסעף</v>
          </cell>
          <cell r="D7976">
            <v>51501</v>
          </cell>
        </row>
        <row r="7977">
          <cell r="A7977" t="str">
            <v>WBO-535</v>
          </cell>
          <cell r="C7977" t="str">
            <v>פרויקט פיקטיבי לצורך קביעת תעריף-דו מעגל</v>
          </cell>
          <cell r="D7977">
            <v>51501</v>
          </cell>
        </row>
        <row r="7978">
          <cell r="A7978" t="str">
            <v>WBN-435</v>
          </cell>
          <cell r="C7978" t="str">
            <v>פרויקט פיקטיבי 400 לקביעת תעריף-דו מעגלי</v>
          </cell>
          <cell r="D7978">
            <v>51501</v>
          </cell>
        </row>
        <row r="7979">
          <cell r="A7979" t="str">
            <v>WBO-607</v>
          </cell>
          <cell r="C7979" t="str">
            <v>קדם פרויקטי הולכה</v>
          </cell>
          <cell r="D7979">
            <v>51501</v>
          </cell>
        </row>
        <row r="7980">
          <cell r="A7980" t="str">
            <v>WBN-453</v>
          </cell>
          <cell r="C7980" t="str">
            <v>שינויים בין חפר לקיסריה- 400 ק"ו-מקטע 5</v>
          </cell>
          <cell r="D7980">
            <v>46873</v>
          </cell>
        </row>
        <row r="7981">
          <cell r="A7981" t="str">
            <v>WBN-403</v>
          </cell>
          <cell r="C7981" t="str">
            <v>מעגל קסם-חפר,קסם-קיסריה:מקטע1+2+הצלבות</v>
          </cell>
          <cell r="D7981">
            <v>46873</v>
          </cell>
        </row>
        <row r="7982">
          <cell r="A7982" t="str">
            <v>0265246</v>
          </cell>
          <cell r="C7982" t="str">
            <v>העתקת עמוד 400 ק"ו 40104 - בוטל</v>
          </cell>
          <cell r="D7982">
            <v>36163</v>
          </cell>
        </row>
        <row r="7983">
          <cell r="A7983" t="str">
            <v>0269452</v>
          </cell>
          <cell r="C7983" t="str">
            <v>הצעה שבוטלה-העתקת קטע קו מתח עליון בשכונת קרית משה</v>
          </cell>
        </row>
        <row r="7984">
          <cell r="A7984" t="str">
            <v>WBO-820-ST2</v>
          </cell>
          <cell r="C7984" t="str">
            <v>קו דימונה-כורנוב-סדום-בנייה מחדש של קו -</v>
          </cell>
          <cell r="D7984">
            <v>45015</v>
          </cell>
        </row>
        <row r="7985">
          <cell r="A7985" t="str">
            <v>WBN-402-ST2</v>
          </cell>
          <cell r="C7985" t="str">
            <v>מסעף לעתידים-ב-הקמת מסעף 400 ק"ו דרומי</v>
          </cell>
          <cell r="D7985">
            <v>44890</v>
          </cell>
        </row>
        <row r="7986">
          <cell r="A7986" t="str">
            <v>0265261</v>
          </cell>
          <cell r="C7986" t="str">
            <v>בוטל - הצעה - העתקת קטע קו מתח עליון בין עמ' 1742-1749</v>
          </cell>
        </row>
        <row r="7987">
          <cell r="A7987" t="str">
            <v>WBO-040</v>
          </cell>
          <cell r="C7987" t="str">
            <v>פירוק קו עין איילה-,8.8 ק"מ</v>
          </cell>
          <cell r="D7987">
            <v>44075</v>
          </cell>
        </row>
        <row r="7988">
          <cell r="A7988" t="str">
            <v>WBO-046</v>
          </cell>
          <cell r="C7988" t="str">
            <v>קו קיסריה-רעננה-נייר חדרה-שביב-שיקום הקו</v>
          </cell>
          <cell r="D7988">
            <v>42735</v>
          </cell>
        </row>
        <row r="7989">
          <cell r="A7989" t="str">
            <v>WBM-01134</v>
          </cell>
          <cell r="C7989" t="str">
            <v>ניידות חדשות-שולב-רכש</v>
          </cell>
          <cell r="D7989">
            <v>43554</v>
          </cell>
        </row>
        <row r="7990">
          <cell r="A7990" t="str">
            <v>מ2</v>
          </cell>
          <cell r="C7990" t="str">
            <v>מבוטל</v>
          </cell>
          <cell r="D7990">
            <v>47724</v>
          </cell>
        </row>
        <row r="7991">
          <cell r="C7991" t="str">
            <v>תבנית הנדסת רשת</v>
          </cell>
          <cell r="D7991">
            <v>45006</v>
          </cell>
        </row>
        <row r="7992">
          <cell r="A7992" t="str">
            <v>מ3</v>
          </cell>
          <cell r="C7992" t="str">
            <v>בחינת השלכות תוכנית הפסקות על הפרויקטים בתוכנית הפיתוח</v>
          </cell>
          <cell r="D7992">
            <v>47726</v>
          </cell>
        </row>
        <row r="7993">
          <cell r="A7993" t="str">
            <v>WBS משימות</v>
          </cell>
          <cell r="C7993" t="str">
            <v>משימות מנהל אגף/ מגזר / מחלקה</v>
          </cell>
          <cell r="D7993">
            <v>47695</v>
          </cell>
        </row>
        <row r="7994">
          <cell r="A7994" t="str">
            <v>087</v>
          </cell>
          <cell r="C7994" t="str">
            <v>משימות מחלקת פרויקטים 087</v>
          </cell>
          <cell r="D7994">
            <v>47726</v>
          </cell>
        </row>
        <row r="7995">
          <cell r="C7995" t="str">
            <v>בוטל -</v>
          </cell>
          <cell r="D7995">
            <v>45656</v>
          </cell>
        </row>
        <row r="7996">
          <cell r="C7996" t="str">
            <v>פרויקט נהד"ר</v>
          </cell>
          <cell r="D7996">
            <v>45653</v>
          </cell>
        </row>
        <row r="7997">
          <cell r="C7997" t="str">
            <v>א - בוטל</v>
          </cell>
        </row>
        <row r="7998">
          <cell r="A7998" t="str">
            <v>WBM-10315-047</v>
          </cell>
          <cell r="C7998" t="str">
            <v>איתן-בוטל- התקנת מזגנים</v>
          </cell>
        </row>
        <row r="7999">
          <cell r="C7999" t="str">
            <v>קטורה-בוטל - שדרוג ותוספות מיגון בתחמשים פרטיים</v>
          </cell>
        </row>
        <row r="8000">
          <cell r="A8000" t="str">
            <v>WBM-60128-004</v>
          </cell>
          <cell r="C8000" t="str">
            <v>בוטל</v>
          </cell>
        </row>
        <row r="8001">
          <cell r="C8001" t="str">
            <v>חלוציות -בוטל -  שדרוג ותוספות מיגון בתחמשים פרטיים</v>
          </cell>
        </row>
        <row r="8002">
          <cell r="A8002" t="str">
            <v>WBM-60128-008</v>
          </cell>
          <cell r="C8002" t="str">
            <v>בוטל</v>
          </cell>
        </row>
        <row r="8003">
          <cell r="C8003" t="str">
            <v>קו דימונה סולארי-פארן- בוטל - פירוק קטע קו ישן מצומת צפית עד סדום דרום</v>
          </cell>
        </row>
        <row r="8004">
          <cell r="C8004" t="str">
            <v>מעלה אדומים -בוטל -  הסדרת דרישות כבאות</v>
          </cell>
        </row>
        <row r="8005">
          <cell r="C8005" t="str">
            <v>רמת השרון- בוטל - אופיין מים</v>
          </cell>
        </row>
        <row r="8006">
          <cell r="A8006" t="str">
            <v>WBM-10</v>
          </cell>
          <cell r="C8006" t="str">
            <v>בוטל - נפתח בטעות</v>
          </cell>
        </row>
        <row r="8007">
          <cell r="C8007" t="str">
            <v>נפתח בטעות - בוטל</v>
          </cell>
        </row>
        <row r="8008">
          <cell r="C8008" t="str">
            <v>מעלות -הוקפא-  שדרוג ציוד ח.ב.</v>
          </cell>
        </row>
        <row r="8009">
          <cell r="C8009" t="str">
            <v>נושאי - בוטל - החלפות לוח פיקוד משאבות ולוח גוקי בתחמשים</v>
          </cell>
        </row>
        <row r="8010">
          <cell r="A8010" t="str">
            <v>WBM-80002-046</v>
          </cell>
          <cell r="C8010" t="str">
            <v>בוטל - נפתח בטעות</v>
          </cell>
          <cell r="D8010">
            <v>45652</v>
          </cell>
        </row>
        <row r="8011">
          <cell r="A8011" t="str">
            <v>WBM-80002-047</v>
          </cell>
          <cell r="C8011" t="str">
            <v>בוטל - נפתח בטעות</v>
          </cell>
          <cell r="D8011">
            <v>45652</v>
          </cell>
        </row>
        <row r="8012">
          <cell r="A8012" t="str">
            <v>WBM-80002-048</v>
          </cell>
          <cell r="C8012" t="str">
            <v>בוטל - נפתח בטעות</v>
          </cell>
          <cell r="D8012">
            <v>45652</v>
          </cell>
        </row>
        <row r="8013">
          <cell r="C8013" t="str">
            <v>אבנת – בוטל - חיבור מסדרי אפס של שנאים 523, 524 בצורה ישירה לשנאים.</v>
          </cell>
        </row>
        <row r="8014">
          <cell r="C8014" t="str">
            <v>אבנת –בוטל -  חיבור מסדרי אפס של שנאים 523, 524 בצורה ישירה לשנאים.</v>
          </cell>
        </row>
        <row r="8015">
          <cell r="C8015" t="str">
            <v>אבנת – בוטל - חיבור מסדרי אפס של שנאים 523, 524 בצורה ישירה לשנאים.</v>
          </cell>
        </row>
        <row r="8016">
          <cell r="A8016" t="str">
            <v>'נצ</v>
          </cell>
          <cell r="C8016" t="str">
            <v>אונו- בוטל - הכנת אתר למסירה</v>
          </cell>
          <cell r="D8016">
            <v>45708</v>
          </cell>
        </row>
        <row r="8017">
          <cell r="C8017" t="str">
            <v>קניונים – בוטל - חיבור והעברת כבלי 161 ק"ו בתוך התחמ"ש. משיק ל- WBO-220, WBO-643</v>
          </cell>
        </row>
        <row r="8018">
          <cell r="A8018" t="str">
            <v>TEST HADAS</v>
          </cell>
          <cell r="C8018" t="str">
            <v>ניסיון בדיקות</v>
          </cell>
        </row>
        <row r="8019">
          <cell r="C8019" t="str">
            <v>עין חרוד-בוטל-החלפת מתמרים למסדר 161 ק''ו</v>
          </cell>
          <cell r="D8019">
            <v>40329</v>
          </cell>
        </row>
        <row r="8020">
          <cell r="C8020" t="str">
            <v>נעמן-בוטל - משיק לאבליים ש' 7, החלפת הגנות מרחק ש' 4</v>
          </cell>
        </row>
        <row r="8021">
          <cell r="C8021" t="str">
            <v>אלון תבור - בוטל - החלפת מערכת גילוי וכיבוי אש אוטומטית</v>
          </cell>
        </row>
        <row r="8022">
          <cell r="C8022" t="str">
            <v>אלון תבור - החלפת מערכת גילוי וכיבוי אש אוטומטית</v>
          </cell>
          <cell r="D8022">
            <v>45806</v>
          </cell>
        </row>
        <row r="8023">
          <cell r="C8023" t="str">
            <v>בוטל</v>
          </cell>
        </row>
        <row r="8024">
          <cell r="C8024" t="str">
            <v>הרצליה- מערכת גילוי וכיבוי אש אוטומטית CERBERUS</v>
          </cell>
          <cell r="D8024">
            <v>46387</v>
          </cell>
        </row>
        <row r="8025">
          <cell r="C8025" t="str">
            <v>חברון –בוטל -  חיבור מקשר בין פ"צ 3-5 במ"ג</v>
          </cell>
        </row>
        <row r="8026">
          <cell r="C8026" t="str">
            <v>בוטל - אינטגרציה של מכולת מ"ג למסדרים הקיימים ב-SCS</v>
          </cell>
        </row>
        <row r="8027">
          <cell r="C8027" t="str">
            <v>מחז"מ חיפה –בוטל -  משיק לקישון שדה 25, התקנת הגנת מרחק SEL421 והגנה דיפרנציאלית SEL311L בשדה 1</v>
          </cell>
        </row>
        <row r="8028">
          <cell r="C8028" t="str">
            <v>פרויקט ADMS</v>
          </cell>
          <cell r="D8028">
            <v>46203</v>
          </cell>
        </row>
        <row r="8029">
          <cell r="C8029" t="str">
            <v>פרויקט מו"ח - מונים חכמים</v>
          </cell>
          <cell r="D8029">
            <v>47118</v>
          </cell>
        </row>
        <row r="8030">
          <cell r="A8030" t="str">
            <v>WBE-293</v>
          </cell>
          <cell r="C8030" t="str">
            <v>קניונים-הקמת 2 שדות קו מ"ע -שדות 7,9</v>
          </cell>
          <cell r="D8030">
            <v>45869</v>
          </cell>
        </row>
        <row r="8031">
          <cell r="C8031" t="str">
            <v>יזרעאל- בוטל - משיק ל-WBE-135- שדרוג שדות שנאים מס' 4 ו-8</v>
          </cell>
        </row>
        <row r="8032">
          <cell r="C8032" t="str">
            <v>קו 400 ק"ו קיסריה-פתח תקווה-עע"א - בוטל - הקמת עמוד 40618A ופירוק 40618 עמוד בכביש 652 עתידי לטובת סלילת כביש 652</v>
          </cell>
        </row>
        <row r="8033">
          <cell r="C8033" t="str">
            <v>שינויים באזור הרטוב-עע"א-הסטת קווי מ"ע- הרטוב בין עמודים 9135-9139</v>
          </cell>
          <cell r="D8033">
            <v>47483</v>
          </cell>
        </row>
        <row r="8034">
          <cell r="C8034" t="str">
            <v>שינויים באזור הרטוב-עע"א-הסטת קווי מ"ע- הרטוב בין עמודים 9135-9139</v>
          </cell>
          <cell r="D8034">
            <v>47483</v>
          </cell>
        </row>
        <row r="8035">
          <cell r="C8035" t="str">
            <v>שינויים באזור הרטוב-עע"א-הסטת קווי מ"ע- הרטוב בין עמודים 9135-9139</v>
          </cell>
          <cell r="D8035">
            <v>47483</v>
          </cell>
        </row>
        <row r="8036">
          <cell r="C8036" t="str">
            <v>ציפורית-בוטל - החלפת צנרת</v>
          </cell>
        </row>
        <row r="8037">
          <cell r="C8037" t="str">
            <v>בדיקה</v>
          </cell>
          <cell r="D8037">
            <v>46218</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ניתוח כולל הכל"/>
    </sheetNames>
    <sheetDataSet>
      <sheetData sheetId="0"/>
    </sheetDataSet>
  </externalBook>
</externalLink>
</file>

<file path=xl/persons/person.xml><?xml version="1.0" encoding="utf-8"?>
<personList xmlns="http://schemas.microsoft.com/office/spreadsheetml/2018/threadedcomments" xmlns:x="http://schemas.openxmlformats.org/spreadsheetml/2006/mai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חסם1" xr10:uid="{00000000-0013-0000-FFFF-FFFF07000000}" sourceName="לטיפול נוסף (במידה ונדרש)">
  <extLst>
    <x:ext xmlns:x15="http://schemas.microsoft.com/office/spreadsheetml/2010/11/main" uri="{2F2917AC-EB37-4324-AD4E-5DD8C200BD13}">
      <x15:tableSlicerCache tableId="2" column="9"/>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סוג_תחנה1" xr10:uid="{00000000-0013-0000-FFFF-FFFF09000000}" sourceName="סוג תחנה">
  <extLst>
    <x:ext xmlns:x15="http://schemas.microsoft.com/office/spreadsheetml/2010/11/main" uri="{2F2917AC-EB37-4324-AD4E-5DD8C200BD13}">
      <x15:tableSlicerCache tableId="2" column="2"/>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מנה_פ1" xr10:uid="{00000000-0013-0000-FFFF-FFFF0A000000}" sourceName="מנה&quot;פ">
  <extLst>
    <x:ext xmlns:x15="http://schemas.microsoft.com/office/spreadsheetml/2010/11/main" uri="{2F2917AC-EB37-4324-AD4E-5DD8C200BD13}">
      <x15:tableSlicerCache tableId="2" column="3"/>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תו_ב" xr10:uid="{00000000-0013-0000-FFFF-FFFF0B000000}" sourceName="תו&quot;ב">
  <extLst>
    <x:ext xmlns:x15="http://schemas.microsoft.com/office/spreadsheetml/2010/11/main" uri="{2F2917AC-EB37-4324-AD4E-5DD8C200BD13}">
      <x15:tableSlicerCache tableId="2" column="13"/>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סטטוס_הפרויקט_על_ציר_הזמן1" xr10:uid="{00000000-0013-0000-FFFF-FFFF0C000000}" sourceName="סטטוס הפרויקט על ציר הזמן">
  <extLst>
    <x:ext xmlns:x15="http://schemas.microsoft.com/office/spreadsheetml/2010/11/main" uri="{2F2917AC-EB37-4324-AD4E-5DD8C200BD13}">
      <x15:tableSlicerCache tableId="2" column="7"/>
    </x:ext>
  </extLst>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לטיפול" xr10:uid="{00000000-0013-0000-FFFF-FFFF0D000000}" sourceName="לטיפול">
  <extLst>
    <x:ext xmlns:x15="http://schemas.microsoft.com/office/spreadsheetml/2010/11/main" uri="{2F2917AC-EB37-4324-AD4E-5DD8C200BD13}">
      <x15:tableSlicerCache tableId="2" column="17"/>
    </x:ext>
  </extLst>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חוסר_במשגיחים" xr10:uid="{2C1DC8E3-C4CF-463D-9DEA-65EBD199A4E7}" sourceName="חוסר במשגיחים ">
  <extLst>
    <x:ext xmlns:x15="http://schemas.microsoft.com/office/spreadsheetml/2010/11/main" uri="{2F2917AC-EB37-4324-AD4E-5DD8C200BD13}">
      <x15:tableSlicerCache tableId="2" column="18"/>
    </x:ext>
  </extLst>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חוסר_בבודקים" xr10:uid="{20A6F3C2-5EF9-48DF-975D-4B4C2C530BC7}" sourceName="חוסר בבודקים ">
  <extLst>
    <x:ext xmlns:x15="http://schemas.microsoft.com/office/spreadsheetml/2010/11/main" uri="{2F2917AC-EB37-4324-AD4E-5DD8C200BD13}">
      <x15:tableSlicerCache tableId="2" column="19"/>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חסם 1" xr10:uid="{00000000-0014-0000-FFFF-FFFF01000000}" cache="Slicer_חסם1" caption="לטיפול נוסף (במידה ונדרש)" columnCount="2" style="SlicerStyleLight6" rowHeight="241300"/>
  <slicer name="סוג תחנה 1" xr10:uid="{00000000-0014-0000-FFFF-FFFF03000000}" cache="Slicer_סוג_תחנה1" caption="סוג תחנה" columnCount="2" style="SlicerStyleLight5" rowHeight="241300"/>
  <slicer name="מנה&quot;פ 1" xr10:uid="{00000000-0014-0000-FFFF-FFFF04000000}" cache="Slicer_מנה_פ1" caption="מנה&quot;פ" columnCount="6" style="SlicerStyleOther2" rowHeight="241300"/>
  <slicer name="תו&quot;ב" xr10:uid="{00000000-0014-0000-FFFF-FFFF05000000}" cache="Slicer_תו_ב" caption="תו&quot;ב" columnCount="2" style="SlicerStyleOther1" rowHeight="241300"/>
  <slicer name="סטטוס הפרויקט על ציר הזמן 1" xr10:uid="{00000000-0014-0000-FFFF-FFFF06000000}" cache="Slicer_סטטוס_הפרויקט_על_ציר_הזמן1" caption="סטטוס הפרויקט על ציר הזמן" columnCount="3" style="SlicerStyleLight4" rowHeight="241300"/>
  <slicer name="לטיפול" xr10:uid="{00000000-0014-0000-FFFF-FFFF07000000}" cache="Slicer_לטיפול" caption="לטיפול" columnCount="2" style="SlicerStyleLight2" rowHeight="241300"/>
  <slicer name="חוסר במשגיחים " xr10:uid="{218131F7-DF5A-4AFC-8AB2-4FC5B895CC94}" cache="Slicer_חוסר_במשגיחים" caption="חוסר במשגיחים " style="SlicerStyleDark4" rowHeight="241300"/>
  <slicer name="חוסר בבודקים " xr10:uid="{D3110170-2609-42C5-B53C-7EE8A26DE5F5}" cache="Slicer_חוסר_בבודקים" caption="חוסר בבודקים " style="SlicerStyleDark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טבלה13" displayName="טבלה13" ref="A2:AE259" totalsRowShown="0" headerRowDxfId="61" dataDxfId="60" headerRowBorderDxfId="95" tableBorderDxfId="94" totalsRowBorderDxfId="93">
  <autoFilter ref="A2:AE259" xr:uid="{00000000-0009-0000-0100-000002000000}"/>
  <tableColumns count="31">
    <tableColumn id="12" xr3:uid="{00000000-0010-0000-0100-00000C000000}" name="זיהוי" dataDxfId="92"/>
    <tableColumn id="11" xr3:uid="{00000000-0010-0000-0100-00000B000000}" name="פרויקט" dataDxfId="91"/>
    <tableColumn id="2" xr3:uid="{00000000-0010-0000-0100-000002000000}" name="סוג תחנה" dataDxfId="90">
      <calculatedColumnFormula>VLOOKUP(A3,'[2]ניתוח כולל הכל'!$A:$O,3,FALSE)</calculatedColumnFormula>
    </tableColumn>
    <tableColumn id="3" xr3:uid="{00000000-0010-0000-0100-000003000000}" name="מנה&quot;פ" dataDxfId="89"/>
    <tableColumn id="13" xr3:uid="{00000000-0010-0000-0100-00000D000000}" name="תו&quot;ב" dataDxfId="88"/>
    <tableColumn id="4" xr3:uid="{00000000-0010-0000-0100-000004000000}" name="יעד תכנית פיתוח " dataDxfId="87"/>
    <tableColumn id="5" xr3:uid="{00000000-0010-0000-0100-000005000000}" name="יעד חשמול מסתמן" dataDxfId="86"/>
    <tableColumn id="7" xr3:uid="{00000000-0010-0000-0100-000007000000}" name="סטטוס הפרויקט על ציר הזמן" dataDxfId="85"/>
    <tableColumn id="16" xr3:uid="{00000000-0010-0000-0100-000010000000}" name="זיהוי2" dataDxfId="84">
      <calculatedColumnFormula>"WBS: " &amp; A3 &amp; CHAR(10) &amp;
"שם פרויקט: " &amp; B3 &amp; CHAR(10) &amp;
"מנה״פ: " &amp; D3 &amp; CHAR(10) &amp;
"יעד תכנית פיתוח: " &amp; TEXT(F3,"dd/mm/yyyy") &amp; CHAR(10) &amp;
"יעד מסתמן: " &amp; TEXT(G3,"dd/mm/yyyy")</calculatedColumnFormula>
    </tableColumn>
    <tableColumn id="33" xr3:uid="{C9336790-6879-4E58-8E03-60D2FEB8B401}" name="פירוט שבועי 20/05/2026" dataDxfId="83"/>
    <tableColumn id="1" xr3:uid="{87F2F844-A989-46F9-BFC6-1109F2E79BFD}" name="פירוט שבועי 27/05/2026" dataDxfId="82"/>
    <tableColumn id="6" xr3:uid="{B236FEA4-A273-4766-A7C8-CAC171D2E01A}" name="פירוט שבועי 03/06/2026" dataDxfId="81"/>
    <tableColumn id="8" xr3:uid="{829A4723-472B-4E55-BFF6-03323438E7F4}" name="פירוט שבועי 10/06/2026" dataDxfId="80"/>
    <tableColumn id="10" xr3:uid="{E5DBF0F2-33FE-43AE-B798-4856DF0D6302}" name="פירוט שבועי 17/06/2026" dataDxfId="79"/>
    <tableColumn id="14" xr3:uid="{528110CF-326E-4F2A-B9E7-036CF5940E38}" name="פירוט שבועי 24/06/2026" dataDxfId="78"/>
    <tableColumn id="20" xr3:uid="{7DBD6065-B3DA-4428-9BFE-886752823C89}" name="פירוט שבועי 01/07/2026" dataDxfId="77"/>
    <tableColumn id="22" xr3:uid="{5F0BA50C-947E-4458-B2A3-6A2657A00A4E}" name="פירוט שבועי 08/07/2026" dataDxfId="76"/>
    <tableColumn id="23" xr3:uid="{64F1CDC7-3F9C-4998-991C-59215D48E516}" name="פירוט שבועי 15/07/2026" dataDxfId="75"/>
    <tableColumn id="27" xr3:uid="{D1D02DDC-2F43-4AEF-BAB3-6F067D432811}" name="פירוט שבועי 22/07/2026" dataDxfId="74"/>
    <tableColumn id="29" xr3:uid="{79AFA191-40A5-4020-9CB3-5008831F8796}" name="פירוט שבועי 29/07/2026" dataDxfId="73"/>
    <tableColumn id="30" xr3:uid="{20D48E5C-3C50-4836-A723-F3C6E06F11E9}" name="פירוט שבועי 05/08/2026" dataDxfId="72"/>
    <tableColumn id="31" xr3:uid="{97CF542A-2513-4F51-B02F-4C8C1A8EBAAD}" name="פירוט שבועי 12/08/2026" dataDxfId="71"/>
    <tableColumn id="32" xr3:uid="{97D8C847-F4B3-4FCF-940E-01C959C03707}" name="פירוט שבועי 19/8/2026" dataDxfId="70"/>
    <tableColumn id="34" xr3:uid="{4D6997D5-6B90-4E97-9BE0-FC3DEB74FECB}" name="פירוט שבועי 26/8/26" dataDxfId="69"/>
    <tableColumn id="35" xr3:uid="{6D9DE54B-1935-44F4-8BD5-F58FAA106456}" name="פירוט שבועי 02/09/2026" dataDxfId="68"/>
    <tableColumn id="15" xr3:uid="{00000000-0010-0000-0100-00000F000000}" name="פירוט סיכונים וחסמים עיקריים " dataDxfId="67"/>
    <tableColumn id="17" xr3:uid="{00000000-0010-0000-0100-000011000000}" name="לטיפול" dataDxfId="66"/>
    <tableColumn id="9" xr3:uid="{00000000-0010-0000-0100-000009000000}" name="לטיפול נוסף (במידה ונדרש)" dataDxfId="65"/>
    <tableColumn id="18" xr3:uid="{D71AD2FC-444D-4D4B-A55F-98019E74E2F4}" name="חוסר במשגיחים " dataDxfId="64"/>
    <tableColumn id="19" xr3:uid="{84DBA447-E437-4DAA-8F1E-4C37ED7A9B6E}" name="חוסר בבודקים " dataDxfId="63"/>
    <tableColumn id="25" xr3:uid="{C6440A16-F210-49FB-8712-52E47BB8CA30}" name="פרויקטים קריטים " dataDxfId="62"/>
  </tableColumns>
  <tableStyleInfo name="TableStyleLight12" showFirstColumn="0" showLastColumn="0" showRowStripes="1" showColumnStripes="0"/>
</table>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7" Type="http://schemas.openxmlformats.org/officeDocument/2006/relationships/comments" Target="../comments1.xml"/><Relationship Id="rId2" Type="http://schemas.openxmlformats.org/officeDocument/2006/relationships/printerSettings" Target="../printerSettings/printerSettings1.bin"/><Relationship Id="rId1" Type="http://schemas.openxmlformats.org/officeDocument/2006/relationships/hyperlink" Target="http://winsrvp0229/pm/" TargetMode="External"/><Relationship Id="rId6" Type="http://schemas.microsoft.com/office/2007/relationships/slicer" Target="../slicers/slicer1.xml"/><Relationship Id="rId5" Type="http://schemas.openxmlformats.org/officeDocument/2006/relationships/table" Target="../tables/table1.xml"/><Relationship Id="rId4"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גיליון2"/>
  <dimension ref="B3:N27"/>
  <sheetViews>
    <sheetView rightToLeft="1" workbookViewId="0">
      <selection activeCell="M8" sqref="M8"/>
    </sheetView>
  </sheetViews>
  <sheetFormatPr defaultRowHeight="14.25" x14ac:dyDescent="0.2"/>
  <cols>
    <col min="2" max="2" width="18.625" bestFit="1" customWidth="1"/>
    <col min="6" max="6" width="28.625" bestFit="1" customWidth="1"/>
    <col min="9" max="9" width="14.625" bestFit="1" customWidth="1"/>
    <col min="11" max="11" width="13.125" bestFit="1" customWidth="1"/>
  </cols>
  <sheetData>
    <row r="3" spans="2:14" x14ac:dyDescent="0.2">
      <c r="B3" s="9" t="s">
        <v>49</v>
      </c>
      <c r="C3" s="9"/>
      <c r="D3" s="9" t="s">
        <v>30</v>
      </c>
      <c r="E3" s="9"/>
      <c r="F3" s="9" t="s">
        <v>50</v>
      </c>
      <c r="G3" s="9"/>
      <c r="H3" s="9"/>
      <c r="I3" s="9" t="s">
        <v>51</v>
      </c>
      <c r="J3" s="9"/>
      <c r="K3" s="9" t="s">
        <v>52</v>
      </c>
      <c r="L3" s="9"/>
      <c r="M3" s="9" t="s">
        <v>53</v>
      </c>
      <c r="N3" s="9" t="s">
        <v>54</v>
      </c>
    </row>
    <row r="5" spans="2:14" x14ac:dyDescent="0.2">
      <c r="B5" s="2" t="s">
        <v>20</v>
      </c>
      <c r="I5" s="8" t="s">
        <v>55</v>
      </c>
      <c r="K5" s="2" t="s">
        <v>56</v>
      </c>
      <c r="M5" t="s">
        <v>32</v>
      </c>
      <c r="N5" t="s">
        <v>32</v>
      </c>
    </row>
    <row r="6" spans="2:14" x14ac:dyDescent="0.2">
      <c r="B6" s="2" t="s">
        <v>57</v>
      </c>
      <c r="I6" s="8" t="s">
        <v>58</v>
      </c>
      <c r="K6" s="2" t="s">
        <v>59</v>
      </c>
    </row>
    <row r="7" spans="2:14" x14ac:dyDescent="0.2">
      <c r="B7" s="2" t="s">
        <v>19</v>
      </c>
      <c r="I7" s="8" t="s">
        <v>43</v>
      </c>
      <c r="K7" s="2" t="s">
        <v>60</v>
      </c>
    </row>
    <row r="8" spans="2:14" x14ac:dyDescent="0.2">
      <c r="B8" s="2" t="s">
        <v>22</v>
      </c>
      <c r="D8" s="5" t="s">
        <v>41</v>
      </c>
      <c r="F8" s="2" t="s">
        <v>36</v>
      </c>
      <c r="I8" s="8" t="s">
        <v>61</v>
      </c>
      <c r="K8" s="2" t="s">
        <v>62</v>
      </c>
    </row>
    <row r="9" spans="2:14" x14ac:dyDescent="0.2">
      <c r="B9" s="2" t="s">
        <v>63</v>
      </c>
      <c r="D9" s="6" t="s">
        <v>38</v>
      </c>
      <c r="F9" s="2" t="s">
        <v>64</v>
      </c>
      <c r="I9" s="8" t="s">
        <v>65</v>
      </c>
      <c r="K9" s="2" t="s">
        <v>66</v>
      </c>
    </row>
    <row r="10" spans="2:14" x14ac:dyDescent="0.2">
      <c r="B10" s="2" t="s">
        <v>67</v>
      </c>
      <c r="D10" s="7" t="s">
        <v>35</v>
      </c>
      <c r="F10" s="2" t="s">
        <v>68</v>
      </c>
      <c r="I10" s="8" t="s">
        <v>69</v>
      </c>
      <c r="K10" s="2" t="s">
        <v>70</v>
      </c>
    </row>
    <row r="11" spans="2:14" x14ac:dyDescent="0.2">
      <c r="B11" s="2" t="s">
        <v>46</v>
      </c>
      <c r="F11" s="2" t="s">
        <v>44</v>
      </c>
      <c r="I11" s="8" t="s">
        <v>71</v>
      </c>
      <c r="K11" s="2" t="s">
        <v>72</v>
      </c>
    </row>
    <row r="12" spans="2:14" x14ac:dyDescent="0.2">
      <c r="B12" s="2" t="s">
        <v>73</v>
      </c>
      <c r="F12" s="2" t="s">
        <v>74</v>
      </c>
      <c r="I12" s="8" t="s">
        <v>75</v>
      </c>
    </row>
    <row r="13" spans="2:14" x14ac:dyDescent="0.2">
      <c r="B13" s="2" t="s">
        <v>21</v>
      </c>
      <c r="F13" s="12" t="s">
        <v>76</v>
      </c>
      <c r="I13" s="8" t="s">
        <v>77</v>
      </c>
    </row>
    <row r="14" spans="2:14" x14ac:dyDescent="0.2">
      <c r="B14" s="2" t="s">
        <v>78</v>
      </c>
      <c r="F14" s="2" t="s">
        <v>47</v>
      </c>
      <c r="I14" s="8" t="s">
        <v>79</v>
      </c>
    </row>
    <row r="15" spans="2:14" x14ac:dyDescent="0.2">
      <c r="B15" s="2" t="s">
        <v>42</v>
      </c>
      <c r="F15" s="2" t="s">
        <v>39</v>
      </c>
      <c r="I15" s="8" t="s">
        <v>80</v>
      </c>
    </row>
    <row r="16" spans="2:14" x14ac:dyDescent="0.2">
      <c r="B16" s="2" t="s">
        <v>23</v>
      </c>
      <c r="F16" s="2" t="s">
        <v>81</v>
      </c>
      <c r="I16" s="8" t="s">
        <v>45</v>
      </c>
    </row>
    <row r="17" spans="2:9" x14ac:dyDescent="0.2">
      <c r="B17" s="2" t="s">
        <v>82</v>
      </c>
      <c r="F17" s="2" t="s">
        <v>83</v>
      </c>
      <c r="I17" s="8" t="s">
        <v>84</v>
      </c>
    </row>
    <row r="18" spans="2:9" x14ac:dyDescent="0.2">
      <c r="B18" s="2" t="s">
        <v>85</v>
      </c>
      <c r="I18" s="8" t="s">
        <v>86</v>
      </c>
    </row>
    <row r="19" spans="2:9" x14ac:dyDescent="0.2">
      <c r="I19" s="8" t="s">
        <v>87</v>
      </c>
    </row>
    <row r="20" spans="2:9" x14ac:dyDescent="0.2">
      <c r="I20" s="8" t="s">
        <v>88</v>
      </c>
    </row>
    <row r="21" spans="2:9" x14ac:dyDescent="0.2">
      <c r="I21" s="8" t="s">
        <v>89</v>
      </c>
    </row>
    <row r="22" spans="2:9" x14ac:dyDescent="0.2">
      <c r="I22" s="8" t="s">
        <v>90</v>
      </c>
    </row>
    <row r="23" spans="2:9" x14ac:dyDescent="0.2">
      <c r="I23" s="8" t="s">
        <v>91</v>
      </c>
    </row>
    <row r="24" spans="2:9" x14ac:dyDescent="0.2">
      <c r="I24" s="8" t="s">
        <v>34</v>
      </c>
    </row>
    <row r="25" spans="2:9" x14ac:dyDescent="0.2">
      <c r="I25" s="8" t="s">
        <v>92</v>
      </c>
    </row>
    <row r="26" spans="2:9" x14ac:dyDescent="0.2">
      <c r="I26" s="8" t="s">
        <v>93</v>
      </c>
    </row>
    <row r="27" spans="2:9" x14ac:dyDescent="0.2">
      <c r="I27" s="1"/>
    </row>
  </sheetData>
  <sortState xmlns:xlrd2="http://schemas.microsoft.com/office/spreadsheetml/2017/richdata2" ref="I5:I26">
    <sortCondition ref="I5:I26"/>
  </sortState>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גיליון3"/>
  <dimension ref="A1:AE259"/>
  <sheetViews>
    <sheetView rightToLeft="1" tabSelected="1" zoomScale="60" zoomScaleNormal="85" zoomScalePageLayoutView="46" workbookViewId="0">
      <pane xSplit="2" topLeftCell="C1" activePane="topRight" state="frozen"/>
      <selection activeCell="E13" sqref="E13"/>
      <selection pane="topRight" activeCell="Z60" sqref="Z60"/>
      <extLst>
        <ext xmlns:xlsdti="http://schemas.microsoft.com/office/spreadsheetml/2023/showDataTypeIcons" uri="{77bfe23e-c014-4d31-8a63-9c772dbf06b6}">
          <xlsdti:showDataTypeIcons visible="0"/>
        </ext>
      </extLst>
    </sheetView>
  </sheetViews>
  <sheetFormatPr defaultColWidth="9" defaultRowHeight="14.25" x14ac:dyDescent="0.2"/>
  <cols>
    <col min="1" max="1" width="24.625" style="124" customWidth="1"/>
    <col min="2" max="2" width="43.125" style="125" customWidth="1"/>
    <col min="3" max="3" width="19" style="124" customWidth="1"/>
    <col min="4" max="4" width="16" style="64" bestFit="1" customWidth="1"/>
    <col min="5" max="5" width="15.625" style="64" bestFit="1" customWidth="1"/>
    <col min="6" max="7" width="20.625" style="64" customWidth="1"/>
    <col min="8" max="8" width="19.625" style="64" customWidth="1"/>
    <col min="9" max="9" width="22.625" style="126" hidden="1" customWidth="1"/>
    <col min="10" max="12" width="65.625" style="67" hidden="1" customWidth="1"/>
    <col min="13" max="13" width="70.125" style="67" hidden="1" customWidth="1"/>
    <col min="14" max="14" width="65.625" style="67" hidden="1" customWidth="1"/>
    <col min="15" max="15" width="17.125" style="67" hidden="1" customWidth="1"/>
    <col min="16" max="17" width="65.625" style="67" hidden="1" customWidth="1"/>
    <col min="18" max="19" width="73.125" style="67" hidden="1" customWidth="1"/>
    <col min="20" max="21" width="80.625" style="67" hidden="1" customWidth="1"/>
    <col min="22" max="23" width="84.125" style="67" hidden="1" customWidth="1"/>
    <col min="24" max="24" width="92" style="67" hidden="1" customWidth="1"/>
    <col min="25" max="25" width="84.125" style="67" customWidth="1"/>
    <col min="26" max="26" width="45.125" style="66" customWidth="1"/>
    <col min="27" max="27" width="45.125" style="65" customWidth="1"/>
    <col min="28" max="28" width="26.625" style="65" customWidth="1"/>
    <col min="29" max="29" width="22.375" style="124" bestFit="1" customWidth="1"/>
    <col min="30" max="30" width="21.125" style="124" bestFit="1" customWidth="1"/>
    <col min="31" max="31" width="22.375" style="124" bestFit="1" customWidth="1"/>
    <col min="32" max="16384" width="9" style="124"/>
  </cols>
  <sheetData>
    <row r="1" spans="1:31" s="64" customFormat="1" ht="137.25" customHeight="1" x14ac:dyDescent="0.2">
      <c r="A1" s="64" t="s">
        <v>94</v>
      </c>
      <c r="B1" s="65"/>
      <c r="J1" s="67"/>
      <c r="K1" s="67"/>
      <c r="L1" s="67"/>
      <c r="M1" s="67"/>
      <c r="N1" s="67"/>
      <c r="O1" s="67"/>
      <c r="P1" s="67"/>
      <c r="Q1" s="67"/>
      <c r="R1" s="67"/>
      <c r="S1" s="67"/>
      <c r="T1" s="67"/>
      <c r="U1" s="67"/>
      <c r="V1" s="67"/>
      <c r="W1" s="67"/>
      <c r="X1" s="67"/>
      <c r="Y1" s="67"/>
      <c r="Z1" s="66"/>
      <c r="AA1" s="65"/>
      <c r="AB1" s="65"/>
      <c r="AC1" s="222" t="s">
        <v>95</v>
      </c>
      <c r="AD1" s="222"/>
    </row>
    <row r="2" spans="1:31" s="14" customFormat="1" ht="39" customHeight="1" x14ac:dyDescent="0.2">
      <c r="A2" s="13" t="s">
        <v>24</v>
      </c>
      <c r="B2" s="13" t="s">
        <v>0</v>
      </c>
      <c r="C2" s="13" t="s">
        <v>28</v>
      </c>
      <c r="D2" s="13" t="s">
        <v>25</v>
      </c>
      <c r="E2" s="13" t="s">
        <v>52</v>
      </c>
      <c r="F2" s="13" t="s">
        <v>29</v>
      </c>
      <c r="G2" s="13" t="s">
        <v>96</v>
      </c>
      <c r="H2" s="13" t="s">
        <v>31</v>
      </c>
      <c r="I2" s="10" t="s">
        <v>97</v>
      </c>
      <c r="J2" s="13" t="s">
        <v>98</v>
      </c>
      <c r="K2" s="13" t="s">
        <v>99</v>
      </c>
      <c r="L2" s="13" t="s">
        <v>100</v>
      </c>
      <c r="M2" s="13" t="s">
        <v>101</v>
      </c>
      <c r="N2" s="13" t="s">
        <v>102</v>
      </c>
      <c r="O2" s="13" t="s">
        <v>103</v>
      </c>
      <c r="P2" s="13" t="s">
        <v>104</v>
      </c>
      <c r="Q2" s="13" t="s">
        <v>105</v>
      </c>
      <c r="R2" s="13" t="s">
        <v>106</v>
      </c>
      <c r="S2" s="13" t="s">
        <v>107</v>
      </c>
      <c r="T2" s="13" t="s">
        <v>108</v>
      </c>
      <c r="U2" s="13" t="s">
        <v>109</v>
      </c>
      <c r="V2" s="13" t="s">
        <v>26</v>
      </c>
      <c r="W2" s="13" t="s">
        <v>27</v>
      </c>
      <c r="X2" s="194" t="s">
        <v>110</v>
      </c>
      <c r="Y2" s="13" t="s">
        <v>111</v>
      </c>
      <c r="Z2" s="13" t="s">
        <v>112</v>
      </c>
      <c r="AA2" s="13" t="s">
        <v>113</v>
      </c>
      <c r="AB2" s="13" t="s">
        <v>114</v>
      </c>
      <c r="AC2" s="151" t="s">
        <v>115</v>
      </c>
      <c r="AD2" s="151" t="s">
        <v>116</v>
      </c>
      <c r="AE2" s="68" t="s">
        <v>117</v>
      </c>
    </row>
    <row r="3" spans="1:31" s="130" customFormat="1" ht="285" x14ac:dyDescent="0.2">
      <c r="A3" s="15" t="s">
        <v>118</v>
      </c>
      <c r="B3" s="16" t="s">
        <v>119</v>
      </c>
      <c r="C3" s="17" t="s">
        <v>33</v>
      </c>
      <c r="D3" s="68" t="s">
        <v>93</v>
      </c>
      <c r="E3" s="68" t="s">
        <v>56</v>
      </c>
      <c r="F3" s="18">
        <f>VLOOKUP(טבלה13[[#This Row],[זיהוי]],'[1]Unsaved_15008758 (1)'!$A:$D,4,FALSE)</f>
        <v>46934</v>
      </c>
      <c r="G3" s="25">
        <v>46933</v>
      </c>
      <c r="H3" s="68" t="s">
        <v>67</v>
      </c>
      <c r="I3" s="69" t="str">
        <f t="shared" ref="I3:I57" si="0">"WBS: " &amp; A3 &amp; CHAR(10) &amp;
"שם פרויקט: " &amp; B3 &amp; CHAR(10) &amp;
"מנה״פ: " &amp; D3 &amp; CHAR(10) &amp;
"יעד תכנית פיתוח: " &amp; TEXT(F3,"dd/mm/yyyy") &amp; CHAR(10) &amp;
"יעד מסתמן: " &amp; TEXT(G3,"dd/mm/yyyy")</f>
        <v>WBS: WBC-064
שם פרויקט: רעות - הקמת תחמ"ש פנימית 161/24 ק"ו
מנה״פ: פוטרמן, שרון 
יעד תכנית פיתוח: 30/06/2028
יעד מסתמן: 29/06/2028</v>
      </c>
      <c r="J3" s="21" t="s">
        <v>120</v>
      </c>
      <c r="K3" s="21" t="s">
        <v>121</v>
      </c>
      <c r="L3" s="21" t="s">
        <v>122</v>
      </c>
      <c r="M3" s="21" t="s">
        <v>123</v>
      </c>
      <c r="N3" s="21" t="s">
        <v>124</v>
      </c>
      <c r="O3" s="21" t="s">
        <v>125</v>
      </c>
      <c r="P3" s="21" t="s">
        <v>126</v>
      </c>
      <c r="Q3" s="21" t="s">
        <v>127</v>
      </c>
      <c r="R3" s="60" t="s">
        <v>128</v>
      </c>
      <c r="S3" s="60" t="s">
        <v>129</v>
      </c>
      <c r="T3" s="60" t="s">
        <v>129</v>
      </c>
      <c r="U3" s="60" t="s">
        <v>129</v>
      </c>
      <c r="V3" s="60" t="s">
        <v>130</v>
      </c>
      <c r="W3" s="60" t="s">
        <v>130</v>
      </c>
      <c r="X3" s="195" t="s">
        <v>130</v>
      </c>
      <c r="Y3" s="195" t="s">
        <v>2211</v>
      </c>
      <c r="Z3" s="45" t="s">
        <v>2212</v>
      </c>
      <c r="AA3" s="29"/>
      <c r="AB3" s="70"/>
      <c r="AC3" s="72"/>
      <c r="AD3" s="62"/>
      <c r="AE3" s="62"/>
    </row>
    <row r="4" spans="1:31" s="130" customFormat="1" ht="279.60000000000002" customHeight="1" x14ac:dyDescent="0.2">
      <c r="A4" s="15" t="s">
        <v>16</v>
      </c>
      <c r="B4" s="16" t="s">
        <v>131</v>
      </c>
      <c r="C4" s="17" t="s">
        <v>40</v>
      </c>
      <c r="D4" s="71" t="s">
        <v>55</v>
      </c>
      <c r="E4" s="71" t="s">
        <v>56</v>
      </c>
      <c r="F4" s="18">
        <f>VLOOKUP(טבלה13[[#This Row],[זיהוי]],'[1]Unsaved_15008758 (1)'!$A:$D,4,FALSE)</f>
        <v>46356</v>
      </c>
      <c r="G4" s="25">
        <v>46324</v>
      </c>
      <c r="H4" s="71" t="s">
        <v>21</v>
      </c>
      <c r="I4" s="72" t="str">
        <f t="shared" si="0"/>
        <v>WBS: WBE-158
שם פרויקט: ראש העין-הוספת שנאי 521 והרחבת פ"צ 161
מנה״פ: אוברקוביץ, ענת
יעד תכנית פיתוח: 30/11/2026
יעד מסתמן: 29/10/2026</v>
      </c>
      <c r="J4" s="58" t="s">
        <v>132</v>
      </c>
      <c r="K4" s="58" t="s">
        <v>133</v>
      </c>
      <c r="L4" s="58" t="s">
        <v>134</v>
      </c>
      <c r="M4" s="58" t="s">
        <v>135</v>
      </c>
      <c r="N4" s="58" t="s">
        <v>136</v>
      </c>
      <c r="O4" s="58" t="s">
        <v>137</v>
      </c>
      <c r="P4" s="58" t="s">
        <v>138</v>
      </c>
      <c r="Q4" s="58" t="s">
        <v>139</v>
      </c>
      <c r="R4" s="52" t="s">
        <v>140</v>
      </c>
      <c r="S4" s="52" t="s">
        <v>141</v>
      </c>
      <c r="T4" s="52" t="s">
        <v>142</v>
      </c>
      <c r="U4" s="52" t="s">
        <v>143</v>
      </c>
      <c r="V4" s="52" t="s">
        <v>144</v>
      </c>
      <c r="W4" s="52" t="s">
        <v>145</v>
      </c>
      <c r="X4" s="196" t="s">
        <v>2266</v>
      </c>
      <c r="Y4" s="52" t="s">
        <v>2268</v>
      </c>
      <c r="Z4" s="52"/>
      <c r="AA4" s="73" t="s">
        <v>47</v>
      </c>
      <c r="AB4" s="47" t="s">
        <v>83</v>
      </c>
      <c r="AC4" s="72"/>
      <c r="AD4" s="62"/>
      <c r="AE4" s="62" t="s">
        <v>146</v>
      </c>
    </row>
    <row r="5" spans="1:31" s="130" customFormat="1" ht="409.5" x14ac:dyDescent="0.2">
      <c r="A5" s="15" t="s">
        <v>147</v>
      </c>
      <c r="B5" s="16" t="s">
        <v>148</v>
      </c>
      <c r="C5" s="17" t="s">
        <v>40</v>
      </c>
      <c r="D5" s="71" t="s">
        <v>55</v>
      </c>
      <c r="E5" s="71" t="s">
        <v>56</v>
      </c>
      <c r="F5" s="18">
        <f>VLOOKUP(טבלה13[[#This Row],[זיהוי]],'[1]Unsaved_15008758 (1)'!$A:$D,4,FALSE)</f>
        <v>46752</v>
      </c>
      <c r="G5" s="25">
        <v>46933</v>
      </c>
      <c r="H5" s="71" t="s">
        <v>19</v>
      </c>
      <c r="I5" s="72" t="str">
        <f t="shared" si="0"/>
        <v>WBS: WBE-188
שם פרויקט: אור יהודה -התקנת שנאי רביעי 161/24 ק"ו, 50 מגוו"א וסוללת קבלים
מנה״פ: אוברקוביץ, ענת
יעד תכנית פיתוח: 31/12/2027
יעד מסתמן: 29/06/2028</v>
      </c>
      <c r="J5" s="42" t="s">
        <v>149</v>
      </c>
      <c r="K5" s="42" t="s">
        <v>150</v>
      </c>
      <c r="L5" s="42" t="s">
        <v>151</v>
      </c>
      <c r="M5" s="42" t="s">
        <v>152</v>
      </c>
      <c r="N5" s="42" t="s">
        <v>153</v>
      </c>
      <c r="O5" s="42" t="s">
        <v>154</v>
      </c>
      <c r="P5" s="42" t="s">
        <v>155</v>
      </c>
      <c r="Q5" s="42" t="s">
        <v>156</v>
      </c>
      <c r="R5" s="56" t="s">
        <v>157</v>
      </c>
      <c r="S5" s="56" t="s">
        <v>158</v>
      </c>
      <c r="T5" s="56" t="s">
        <v>158</v>
      </c>
      <c r="U5" s="56" t="s">
        <v>158</v>
      </c>
      <c r="V5" s="56" t="s">
        <v>158</v>
      </c>
      <c r="W5" s="56" t="s">
        <v>158</v>
      </c>
      <c r="X5" s="197" t="s">
        <v>158</v>
      </c>
      <c r="Y5" s="197" t="s">
        <v>158</v>
      </c>
      <c r="Z5" s="51" t="s">
        <v>159</v>
      </c>
      <c r="AA5" s="73" t="s">
        <v>39</v>
      </c>
      <c r="AB5" s="47"/>
      <c r="AC5" s="72"/>
      <c r="AD5" s="62"/>
      <c r="AE5" s="62"/>
    </row>
    <row r="6" spans="1:31" s="130" customFormat="1" ht="135" x14ac:dyDescent="0.2">
      <c r="A6" s="15" t="s">
        <v>160</v>
      </c>
      <c r="B6" s="16" t="s">
        <v>161</v>
      </c>
      <c r="C6" s="17" t="s">
        <v>40</v>
      </c>
      <c r="D6" s="71" t="s">
        <v>55</v>
      </c>
      <c r="E6" s="71" t="s">
        <v>56</v>
      </c>
      <c r="F6" s="18">
        <f>VLOOKUP(טבלה13[[#This Row],[זיהוי]],'[1]Unsaved_15008758 (1)'!$A:$D,4,FALSE)</f>
        <v>46568</v>
      </c>
      <c r="G6" s="25">
        <v>46701</v>
      </c>
      <c r="H6" s="71" t="s">
        <v>19</v>
      </c>
      <c r="I6" s="72" t="str">
        <f t="shared" si="0"/>
        <v>WBS: WBE-196
שם פרויקט: "בארות יצחק – הרחבת פ""צ והוספת שנאי חמישי 161/24 ק""ו, 50 מגוו""א וסוללות קבלים."
מנה״פ: אוברקוביץ, ענת
יעד תכנית פיתוח: 30/06/2027
יעד מסתמן: 10/11/2027</v>
      </c>
      <c r="J6" s="51" t="s">
        <v>162</v>
      </c>
      <c r="K6" s="51" t="s">
        <v>163</v>
      </c>
      <c r="L6" s="51" t="s">
        <v>164</v>
      </c>
      <c r="M6" s="51" t="s">
        <v>164</v>
      </c>
      <c r="N6" s="51" t="s">
        <v>165</v>
      </c>
      <c r="O6" s="51" t="s">
        <v>166</v>
      </c>
      <c r="P6" s="51" t="s">
        <v>167</v>
      </c>
      <c r="Q6" s="51" t="s">
        <v>168</v>
      </c>
      <c r="R6" s="76" t="s">
        <v>168</v>
      </c>
      <c r="S6" s="76" t="s">
        <v>169</v>
      </c>
      <c r="T6" s="76" t="s">
        <v>170</v>
      </c>
      <c r="U6" s="76" t="s">
        <v>170</v>
      </c>
      <c r="V6" s="76" t="s">
        <v>171</v>
      </c>
      <c r="W6" s="76" t="s">
        <v>171</v>
      </c>
      <c r="X6" s="198" t="s">
        <v>171</v>
      </c>
      <c r="Y6" s="198" t="s">
        <v>171</v>
      </c>
      <c r="Z6" s="58" t="s">
        <v>172</v>
      </c>
      <c r="AA6" s="73" t="s">
        <v>39</v>
      </c>
      <c r="AB6" s="47"/>
      <c r="AC6" s="72"/>
      <c r="AD6" s="62"/>
      <c r="AE6" s="62"/>
    </row>
    <row r="7" spans="1:31" s="130" customFormat="1" ht="120" x14ac:dyDescent="0.2">
      <c r="A7" s="15" t="s">
        <v>173</v>
      </c>
      <c r="B7" s="16" t="s">
        <v>174</v>
      </c>
      <c r="C7" s="17" t="s">
        <v>40</v>
      </c>
      <c r="D7" s="71" t="s">
        <v>58</v>
      </c>
      <c r="E7" s="71" t="s">
        <v>56</v>
      </c>
      <c r="F7" s="18">
        <f>VLOOKUP(טבלה13[[#This Row],[זיהוי]],'[1]Unsaved_15008758 (1)'!$A:$D,4,FALSE)</f>
        <v>46690</v>
      </c>
      <c r="G7" s="18">
        <f>VLOOKUP(טבלה13[[#This Row],[זיהוי]],'[1]Unsaved_15008758 (1)'!$A:$D,4,FALSE)</f>
        <v>46690</v>
      </c>
      <c r="H7" s="71" t="s">
        <v>63</v>
      </c>
      <c r="I7" s="72" t="str">
        <f t="shared" si="0"/>
        <v>WBS: WBE-125
שם פרויקט: תמנע-רב-שלבי,שדרוג מסדר 161 ק"ו מע' עזר
מנה״פ: אוחייון, איתן
יעד תכנית פיתוח: 30/10/2027
יעד מסתמן: 30/10/2027</v>
      </c>
      <c r="J7" s="51" t="s">
        <v>175</v>
      </c>
      <c r="K7" s="51" t="s">
        <v>175</v>
      </c>
      <c r="L7" s="51" t="s">
        <v>175</v>
      </c>
      <c r="M7" s="51" t="s">
        <v>175</v>
      </c>
      <c r="N7" s="51" t="s">
        <v>175</v>
      </c>
      <c r="O7" s="51" t="s">
        <v>175</v>
      </c>
      <c r="P7" s="51" t="s">
        <v>176</v>
      </c>
      <c r="Q7" s="51" t="s">
        <v>177</v>
      </c>
      <c r="R7" s="76" t="s">
        <v>178</v>
      </c>
      <c r="S7" s="76" t="s">
        <v>178</v>
      </c>
      <c r="T7" s="76" t="s">
        <v>178</v>
      </c>
      <c r="U7" s="76" t="s">
        <v>178</v>
      </c>
      <c r="V7" s="76" t="s">
        <v>178</v>
      </c>
      <c r="W7" s="76" t="s">
        <v>178</v>
      </c>
      <c r="X7" s="198" t="s">
        <v>179</v>
      </c>
      <c r="Y7" s="76" t="s">
        <v>2221</v>
      </c>
      <c r="Z7" s="51" t="s">
        <v>180</v>
      </c>
      <c r="AA7" s="73" t="s">
        <v>81</v>
      </c>
      <c r="AB7" s="73" t="s">
        <v>68</v>
      </c>
      <c r="AC7" s="72"/>
      <c r="AD7" s="62"/>
      <c r="AE7" s="62" t="s">
        <v>146</v>
      </c>
    </row>
    <row r="8" spans="1:31" s="130" customFormat="1" ht="105" x14ac:dyDescent="0.2">
      <c r="A8" s="15" t="s">
        <v>181</v>
      </c>
      <c r="B8" s="16" t="s">
        <v>182</v>
      </c>
      <c r="C8" s="17" t="s">
        <v>40</v>
      </c>
      <c r="D8" s="71" t="s">
        <v>58</v>
      </c>
      <c r="E8" s="71" t="s">
        <v>56</v>
      </c>
      <c r="F8" s="18">
        <f>VLOOKUP(טבלה13[[#This Row],[זיהוי]],'[1]Unsaved_15008758 (1)'!$A:$D,4,FALSE)</f>
        <v>46691</v>
      </c>
      <c r="G8" s="25">
        <v>46690</v>
      </c>
      <c r="H8" s="71" t="s">
        <v>19</v>
      </c>
      <c r="I8" s="72" t="str">
        <f t="shared" si="0"/>
        <v>WBS: WBE-200
שם פרויקט: תמנע-הוספת שנאי שני 50 מגוו"א
מנה״פ: אוחייון, איתן
יעד תכנית פיתוח: 31/10/2027
יעד מסתמן: 30/10/2027</v>
      </c>
      <c r="J8" s="51" t="s">
        <v>183</v>
      </c>
      <c r="K8" s="51" t="s">
        <v>184</v>
      </c>
      <c r="L8" s="51" t="s">
        <v>184</v>
      </c>
      <c r="M8" s="51" t="s">
        <v>184</v>
      </c>
      <c r="N8" s="51" t="s">
        <v>184</v>
      </c>
      <c r="O8" s="51" t="s">
        <v>184</v>
      </c>
      <c r="P8" s="51" t="s">
        <v>184</v>
      </c>
      <c r="Q8" s="51" t="s">
        <v>184</v>
      </c>
      <c r="R8" s="76" t="s">
        <v>184</v>
      </c>
      <c r="S8" s="76" t="s">
        <v>184</v>
      </c>
      <c r="T8" s="76" t="s">
        <v>184</v>
      </c>
      <c r="U8" s="76" t="s">
        <v>184</v>
      </c>
      <c r="V8" s="76" t="s">
        <v>184</v>
      </c>
      <c r="W8" s="76" t="s">
        <v>184</v>
      </c>
      <c r="X8" s="198" t="s">
        <v>184</v>
      </c>
      <c r="Y8" s="198" t="s">
        <v>184</v>
      </c>
      <c r="Z8" s="51"/>
      <c r="AA8" s="74"/>
      <c r="AB8" s="47"/>
      <c r="AC8" s="72"/>
      <c r="AD8" s="62"/>
      <c r="AE8" s="62"/>
    </row>
    <row r="9" spans="1:31" s="130" customFormat="1" ht="150" x14ac:dyDescent="0.2">
      <c r="A9" s="15" t="s">
        <v>185</v>
      </c>
      <c r="B9" s="16" t="s">
        <v>186</v>
      </c>
      <c r="C9" s="17" t="s">
        <v>40</v>
      </c>
      <c r="D9" s="71" t="s">
        <v>58</v>
      </c>
      <c r="E9" s="71" t="s">
        <v>56</v>
      </c>
      <c r="F9" s="18">
        <f>VLOOKUP(טבלה13[[#This Row],[זיהוי]],'[1]Unsaved_15008758 (1)'!$A:$D,4,FALSE)</f>
        <v>46691</v>
      </c>
      <c r="G9" s="18">
        <v>46691</v>
      </c>
      <c r="H9" s="71" t="s">
        <v>46</v>
      </c>
      <c r="I9" s="72" t="str">
        <f t="shared" si="0"/>
        <v>WBS: WBE-235
שם פרויקט: צומת כרמיה – הקמת 2 שדות מ"ע חדשים והתאמת שדה 1 לזרם 2000 א'. משיק ל-WBO-824, WBO-823 .
מנה״פ: אוחייון, איתן
יעד תכנית פיתוח: 31/10/2027
יעד מסתמן: 31/10/2027</v>
      </c>
      <c r="J9" s="75" t="s">
        <v>187</v>
      </c>
      <c r="K9" s="75" t="s">
        <v>188</v>
      </c>
      <c r="L9" s="75" t="s">
        <v>189</v>
      </c>
      <c r="M9" s="75" t="s">
        <v>190</v>
      </c>
      <c r="N9" s="75" t="s">
        <v>190</v>
      </c>
      <c r="O9" s="75" t="s">
        <v>190</v>
      </c>
      <c r="P9" s="75" t="s">
        <v>191</v>
      </c>
      <c r="Q9" s="75" t="s">
        <v>192</v>
      </c>
      <c r="R9" s="57" t="s">
        <v>192</v>
      </c>
      <c r="S9" s="57" t="s">
        <v>192</v>
      </c>
      <c r="T9" s="57" t="s">
        <v>192</v>
      </c>
      <c r="U9" s="55" t="s">
        <v>193</v>
      </c>
      <c r="V9" s="57" t="s">
        <v>194</v>
      </c>
      <c r="W9" s="57" t="s">
        <v>194</v>
      </c>
      <c r="X9" s="178" t="s">
        <v>194</v>
      </c>
      <c r="Y9" s="57" t="s">
        <v>2222</v>
      </c>
      <c r="Z9" s="51" t="s">
        <v>195</v>
      </c>
      <c r="AA9" s="73" t="s">
        <v>68</v>
      </c>
      <c r="AB9" s="47"/>
      <c r="AC9" s="72"/>
      <c r="AD9" s="62"/>
      <c r="AE9" s="62"/>
    </row>
    <row r="10" spans="1:31" s="130" customFormat="1" ht="120" x14ac:dyDescent="0.2">
      <c r="A10" s="15" t="s">
        <v>196</v>
      </c>
      <c r="B10" s="16" t="s">
        <v>197</v>
      </c>
      <c r="C10" s="17" t="s">
        <v>40</v>
      </c>
      <c r="D10" s="71" t="s">
        <v>58</v>
      </c>
      <c r="E10" s="71" t="s">
        <v>56</v>
      </c>
      <c r="F10" s="18">
        <f>VLOOKUP(טבלה13[[#This Row],[זיהוי]],'[1]Unsaved_15008758 (1)'!$A:$D,4,FALSE)</f>
        <v>46265</v>
      </c>
      <c r="G10" s="25">
        <v>46503</v>
      </c>
      <c r="H10" s="71" t="s">
        <v>46</v>
      </c>
      <c r="I10" s="72" t="str">
        <f t="shared" si="0"/>
        <v>WBS: WBE-260
שם פרויקט: מצפה רמון - התקנת שנאי מס' 531- מערכתי
מנה״פ: אוחייון, איתן
יעד תכנית פיתוח: 31/08/2026
יעד מסתמן: 26/04/2027</v>
      </c>
      <c r="J10" s="51" t="s">
        <v>198</v>
      </c>
      <c r="K10" s="51" t="s">
        <v>198</v>
      </c>
      <c r="L10" s="51" t="s">
        <v>199</v>
      </c>
      <c r="M10" s="51" t="s">
        <v>199</v>
      </c>
      <c r="N10" s="51" t="s">
        <v>200</v>
      </c>
      <c r="O10" s="51" t="s">
        <v>201</v>
      </c>
      <c r="P10" s="51" t="s">
        <v>202</v>
      </c>
      <c r="Q10" s="51" t="s">
        <v>203</v>
      </c>
      <c r="R10" s="76" t="s">
        <v>204</v>
      </c>
      <c r="S10" s="76" t="s">
        <v>205</v>
      </c>
      <c r="T10" s="76" t="s">
        <v>205</v>
      </c>
      <c r="U10" s="76" t="s">
        <v>205</v>
      </c>
      <c r="V10" s="76" t="s">
        <v>205</v>
      </c>
      <c r="W10" s="76" t="s">
        <v>206</v>
      </c>
      <c r="X10" s="198" t="s">
        <v>207</v>
      </c>
      <c r="Y10" s="198" t="s">
        <v>2223</v>
      </c>
      <c r="Z10" s="51" t="s">
        <v>208</v>
      </c>
      <c r="AA10" s="73" t="s">
        <v>64</v>
      </c>
      <c r="AB10" s="47"/>
      <c r="AC10" s="72"/>
      <c r="AD10" s="62"/>
      <c r="AE10" s="62" t="s">
        <v>209</v>
      </c>
    </row>
    <row r="11" spans="1:31" s="130" customFormat="1" ht="150" x14ac:dyDescent="0.2">
      <c r="A11" s="15" t="s">
        <v>210</v>
      </c>
      <c r="B11" s="16" t="s">
        <v>211</v>
      </c>
      <c r="C11" s="17" t="s">
        <v>40</v>
      </c>
      <c r="D11" s="71" t="s">
        <v>58</v>
      </c>
      <c r="E11" s="71" t="s">
        <v>56</v>
      </c>
      <c r="F11" s="18">
        <f>VLOOKUP(טבלה13[[#This Row],[זיהוי]],'[1]Unsaved_15008758 (1)'!$A:$D,4,FALSE)</f>
        <v>46537</v>
      </c>
      <c r="G11" s="25">
        <v>46721</v>
      </c>
      <c r="H11" s="71" t="s">
        <v>63</v>
      </c>
      <c r="I11" s="72" t="str">
        <f t="shared" si="0"/>
        <v>WBS: WBE-259
שם פרויקט: מצפה רמון - החלפת שנאי מס' 532- מערכתי
מנה״פ: אוחייון, איתן
יעד תכנית פיתוח: 30/05/2027
יעד מסתמן: 30/11/2027</v>
      </c>
      <c r="J11" s="51" t="s">
        <v>212</v>
      </c>
      <c r="K11" s="51" t="s">
        <v>212</v>
      </c>
      <c r="L11" s="51" t="s">
        <v>212</v>
      </c>
      <c r="M11" s="51" t="s">
        <v>212</v>
      </c>
      <c r="N11" s="51" t="s">
        <v>213</v>
      </c>
      <c r="O11" s="51" t="s">
        <v>213</v>
      </c>
      <c r="P11" s="51" t="s">
        <v>213</v>
      </c>
      <c r="Q11" s="51" t="s">
        <v>214</v>
      </c>
      <c r="R11" s="76" t="s">
        <v>214</v>
      </c>
      <c r="S11" s="76" t="s">
        <v>214</v>
      </c>
      <c r="T11" s="76" t="s">
        <v>214</v>
      </c>
      <c r="U11" s="76" t="s">
        <v>214</v>
      </c>
      <c r="V11" s="76" t="s">
        <v>214</v>
      </c>
      <c r="W11" s="76" t="s">
        <v>214</v>
      </c>
      <c r="X11" s="198" t="s">
        <v>215</v>
      </c>
      <c r="Y11" s="198" t="s">
        <v>2224</v>
      </c>
      <c r="Z11" s="51" t="s">
        <v>208</v>
      </c>
      <c r="AA11" s="29" t="s">
        <v>64</v>
      </c>
      <c r="AB11" s="47"/>
      <c r="AC11" s="72"/>
      <c r="AD11" s="62"/>
      <c r="AE11" s="62"/>
    </row>
    <row r="12" spans="1:31" s="130" customFormat="1" ht="240" x14ac:dyDescent="0.2">
      <c r="A12" s="15" t="s">
        <v>216</v>
      </c>
      <c r="B12" s="16" t="s">
        <v>217</v>
      </c>
      <c r="C12" s="17" t="s">
        <v>40</v>
      </c>
      <c r="D12" s="71" t="s">
        <v>58</v>
      </c>
      <c r="E12" s="71" t="s">
        <v>56</v>
      </c>
      <c r="F12" s="18">
        <f>VLOOKUP(טבלה13[[#This Row],[זיהוי]],'[1]Unsaved_15008758 (1)'!$A:$D,4,FALSE)</f>
        <v>46752</v>
      </c>
      <c r="G12" s="25">
        <v>46751</v>
      </c>
      <c r="H12" s="71" t="s">
        <v>20</v>
      </c>
      <c r="I12" s="72" t="str">
        <f t="shared" si="0"/>
        <v>WBS: WBE-118
שם פרויקט: יוטבתה - החלפת שנאי 531 ועיגון השנאי
מנה״פ: אוחייון, איתן
יעד תכנית פיתוח: 31/12/2027
יעד מסתמן: 30/12/2027</v>
      </c>
      <c r="J12" s="51" t="s">
        <v>218</v>
      </c>
      <c r="K12" s="51" t="s">
        <v>218</v>
      </c>
      <c r="L12" s="51" t="s">
        <v>219</v>
      </c>
      <c r="M12" s="51" t="s">
        <v>220</v>
      </c>
      <c r="N12" s="51" t="s">
        <v>220</v>
      </c>
      <c r="O12" s="51" t="s">
        <v>220</v>
      </c>
      <c r="P12" s="51" t="s">
        <v>220</v>
      </c>
      <c r="Q12" s="51" t="s">
        <v>220</v>
      </c>
      <c r="R12" s="76" t="s">
        <v>220</v>
      </c>
      <c r="S12" s="76" t="s">
        <v>220</v>
      </c>
      <c r="T12" s="76" t="s">
        <v>220</v>
      </c>
      <c r="U12" s="76" t="s">
        <v>220</v>
      </c>
      <c r="V12" s="76" t="s">
        <v>220</v>
      </c>
      <c r="W12" s="76" t="s">
        <v>220</v>
      </c>
      <c r="X12" s="198" t="s">
        <v>220</v>
      </c>
      <c r="Y12" s="198" t="s">
        <v>220</v>
      </c>
      <c r="Z12" s="51"/>
      <c r="AA12" s="74"/>
      <c r="AB12" s="47"/>
      <c r="AC12" s="72"/>
      <c r="AD12" s="62"/>
      <c r="AE12" s="62"/>
    </row>
    <row r="13" spans="1:31" s="130" customFormat="1" ht="285" x14ac:dyDescent="0.2">
      <c r="A13" s="15" t="s">
        <v>221</v>
      </c>
      <c r="B13" s="16" t="s">
        <v>222</v>
      </c>
      <c r="C13" s="17" t="s">
        <v>40</v>
      </c>
      <c r="D13" s="71" t="s">
        <v>58</v>
      </c>
      <c r="E13" s="71" t="s">
        <v>56</v>
      </c>
      <c r="F13" s="18">
        <f>VLOOKUP(טבלה13[[#This Row],[זיהוי]],'[1]Unsaved_15008758 (1)'!$A:$D,4,FALSE)</f>
        <v>46325</v>
      </c>
      <c r="G13" s="18" t="s">
        <v>223</v>
      </c>
      <c r="H13" s="71" t="s">
        <v>21</v>
      </c>
      <c r="I13" s="72" t="str">
        <f t="shared" si="0"/>
        <v>WBS: WBE-120
שם פרויקט: יוטבתה-שדרוג התחמ"ש-רב שלבי
מנה״פ: אוחייון, איתן
יעד תכנית פיתוח: 30/10/2026
יעד מסתמן: 30/10/2026
שדות 3+9</v>
      </c>
      <c r="J13" s="51" t="s">
        <v>224</v>
      </c>
      <c r="K13" s="51" t="s">
        <v>225</v>
      </c>
      <c r="L13" s="51" t="s">
        <v>226</v>
      </c>
      <c r="M13" s="51" t="s">
        <v>227</v>
      </c>
      <c r="N13" s="51" t="s">
        <v>228</v>
      </c>
      <c r="O13" s="51" t="s">
        <v>229</v>
      </c>
      <c r="P13" s="51" t="s">
        <v>230</v>
      </c>
      <c r="Q13" s="51" t="s">
        <v>231</v>
      </c>
      <c r="R13" s="76" t="s">
        <v>231</v>
      </c>
      <c r="S13" s="76" t="s">
        <v>231</v>
      </c>
      <c r="T13" s="76" t="s">
        <v>231</v>
      </c>
      <c r="U13" s="76" t="s">
        <v>231</v>
      </c>
      <c r="V13" s="76" t="s">
        <v>232</v>
      </c>
      <c r="W13" s="76" t="s">
        <v>233</v>
      </c>
      <c r="X13" s="198" t="s">
        <v>233</v>
      </c>
      <c r="Y13" s="76" t="s">
        <v>2225</v>
      </c>
      <c r="Z13" s="52" t="s">
        <v>234</v>
      </c>
      <c r="AA13" s="74" t="s">
        <v>68</v>
      </c>
      <c r="AB13" s="47"/>
      <c r="AC13" s="72"/>
      <c r="AD13" s="62"/>
      <c r="AE13" s="62" t="s">
        <v>209</v>
      </c>
    </row>
    <row r="14" spans="1:31" s="130" customFormat="1" ht="120" x14ac:dyDescent="0.2">
      <c r="A14" s="15" t="s">
        <v>235</v>
      </c>
      <c r="B14" s="16" t="s">
        <v>236</v>
      </c>
      <c r="C14" s="17" t="s">
        <v>40</v>
      </c>
      <c r="D14" s="71" t="s">
        <v>58</v>
      </c>
      <c r="E14" s="71" t="s">
        <v>56</v>
      </c>
      <c r="F14" s="18">
        <f>VLOOKUP(טבלה13[[#This Row],[זיהוי]],'[1]Unsaved_15008758 (1)'!$A:$D,4,FALSE)</f>
        <v>46325</v>
      </c>
      <c r="G14" s="25">
        <v>46566</v>
      </c>
      <c r="H14" s="71" t="s">
        <v>46</v>
      </c>
      <c r="I14" s="72" t="str">
        <f t="shared" si="0"/>
        <v>WBS: WBE-202
שם פרויקט: יוטבתה-הוספת שנאי 532 161/36 ק"ו 50 מגוו"א
מנה״פ: אוחייון, איתן
יעד תכנית פיתוח: 30/10/2026
יעד מסתמן: 28/06/2027</v>
      </c>
      <c r="J14" s="51" t="s">
        <v>237</v>
      </c>
      <c r="K14" s="51" t="s">
        <v>237</v>
      </c>
      <c r="L14" s="51" t="s">
        <v>237</v>
      </c>
      <c r="M14" s="51" t="s">
        <v>237</v>
      </c>
      <c r="N14" s="51" t="s">
        <v>237</v>
      </c>
      <c r="O14" s="51" t="s">
        <v>237</v>
      </c>
      <c r="P14" s="51" t="s">
        <v>237</v>
      </c>
      <c r="Q14" s="51" t="s">
        <v>237</v>
      </c>
      <c r="R14" s="76" t="s">
        <v>237</v>
      </c>
      <c r="S14" s="76" t="s">
        <v>237</v>
      </c>
      <c r="T14" s="76" t="s">
        <v>237</v>
      </c>
      <c r="U14" s="76" t="s">
        <v>237</v>
      </c>
      <c r="V14" s="76" t="s">
        <v>237</v>
      </c>
      <c r="W14" s="76" t="s">
        <v>237</v>
      </c>
      <c r="X14" s="198" t="s">
        <v>237</v>
      </c>
      <c r="Y14" s="198" t="s">
        <v>237</v>
      </c>
      <c r="Z14" s="51"/>
      <c r="AA14" s="74"/>
      <c r="AB14" s="47"/>
      <c r="AC14" s="72"/>
      <c r="AD14" s="62"/>
      <c r="AE14" s="62" t="s">
        <v>209</v>
      </c>
    </row>
    <row r="15" spans="1:31" s="130" customFormat="1" ht="51" customHeight="1" x14ac:dyDescent="0.2">
      <c r="A15" s="15" t="s">
        <v>238</v>
      </c>
      <c r="B15" s="16" t="s">
        <v>239</v>
      </c>
      <c r="C15" s="17" t="s">
        <v>40</v>
      </c>
      <c r="D15" s="71" t="s">
        <v>58</v>
      </c>
      <c r="E15" s="71" t="s">
        <v>56</v>
      </c>
      <c r="F15" s="18">
        <f>VLOOKUP(טבלה13[[#This Row],[זיהוי]],'[1]Unsaved_15008758 (1)'!$A:$D,4,FALSE)</f>
        <v>47118</v>
      </c>
      <c r="G15" s="25">
        <v>47118</v>
      </c>
      <c r="H15" s="71" t="s">
        <v>57</v>
      </c>
      <c r="I15" s="72" t="str">
        <f>"WBS: " &amp; A15 &amp; CHAR(10) &amp;
"שם פרויקט: " &amp; B15 &amp; CHAR(10) &amp;
"מנה״פ: " &amp; D15 &amp; CHAR(10) &amp;
"יעד תכנית פיתוח: " &amp; TEXT(F15,"dd/mm/yyyy") &amp; CHAR(10) &amp;
"יעד מסתמן: " &amp; TEXT(G15,"dd/mm/yyyy")</f>
        <v>WBS: WBE-312
שם פרויקט: נאות סמדר-הוספת 2 שנאי חח"י 50 מגוו"א
מנה״פ: אוחייון, איתן
יעד תכנית פיתוח: 31/12/2028
יעד מסתמן: 31/12/2028</v>
      </c>
      <c r="J15" s="31"/>
      <c r="K15" s="31"/>
      <c r="L15" s="31"/>
      <c r="M15" s="31"/>
      <c r="N15" s="31"/>
      <c r="O15" s="31"/>
      <c r="P15" s="31" t="s">
        <v>240</v>
      </c>
      <c r="Q15" s="31" t="s">
        <v>240</v>
      </c>
      <c r="R15" s="157" t="s">
        <v>241</v>
      </c>
      <c r="S15" s="157" t="s">
        <v>241</v>
      </c>
      <c r="T15" s="157" t="s">
        <v>241</v>
      </c>
      <c r="U15" s="157" t="s">
        <v>241</v>
      </c>
      <c r="V15" s="157" t="s">
        <v>241</v>
      </c>
      <c r="W15" s="157" t="s">
        <v>242</v>
      </c>
      <c r="X15" s="199" t="s">
        <v>242</v>
      </c>
      <c r="Y15" s="199" t="s">
        <v>242</v>
      </c>
      <c r="Z15" s="51"/>
      <c r="AA15" s="78"/>
      <c r="AB15" s="79"/>
      <c r="AC15" s="72"/>
      <c r="AD15" s="62"/>
      <c r="AE15" s="62"/>
    </row>
    <row r="16" spans="1:31" s="130" customFormat="1" ht="195" x14ac:dyDescent="0.2">
      <c r="A16" s="15" t="s">
        <v>9</v>
      </c>
      <c r="B16" s="16" t="s">
        <v>243</v>
      </c>
      <c r="C16" s="17" t="s">
        <v>33</v>
      </c>
      <c r="D16" s="71" t="s">
        <v>58</v>
      </c>
      <c r="E16" s="71" t="s">
        <v>56</v>
      </c>
      <c r="F16" s="18">
        <f>VLOOKUP(טבלה13[[#This Row],[זיהוי]],'[1]Unsaved_15008758 (1)'!$A:$D,4,FALSE)</f>
        <v>46476</v>
      </c>
      <c r="G16" s="25">
        <v>46660</v>
      </c>
      <c r="H16" s="71" t="s">
        <v>22</v>
      </c>
      <c r="I16" s="72" t="str">
        <f t="shared" si="0"/>
        <v>WBS: WBC-099
שם פרויקט: אשקלון צפון-הקמת תחמ"ש חיצונית 161/24 ק"
מנה״פ: אוחייון, איתן
יעד תכנית פיתוח: 30/03/2027
יעד מסתמן: 30/09/2027</v>
      </c>
      <c r="J16" s="51" t="s">
        <v>244</v>
      </c>
      <c r="K16" s="51" t="s">
        <v>245</v>
      </c>
      <c r="L16" s="51" t="s">
        <v>246</v>
      </c>
      <c r="M16" s="51" t="s">
        <v>247</v>
      </c>
      <c r="N16" s="51" t="s">
        <v>248</v>
      </c>
      <c r="O16" s="51" t="s">
        <v>249</v>
      </c>
      <c r="P16" s="51" t="s">
        <v>250</v>
      </c>
      <c r="Q16" s="51" t="s">
        <v>251</v>
      </c>
      <c r="R16" s="76" t="s">
        <v>251</v>
      </c>
      <c r="S16" s="76" t="s">
        <v>252</v>
      </c>
      <c r="T16" s="76" t="s">
        <v>253</v>
      </c>
      <c r="U16" s="76" t="s">
        <v>254</v>
      </c>
      <c r="V16" s="76" t="s">
        <v>255</v>
      </c>
      <c r="W16" s="76" t="s">
        <v>256</v>
      </c>
      <c r="X16" s="198" t="s">
        <v>257</v>
      </c>
      <c r="Y16" s="198" t="s">
        <v>2226</v>
      </c>
      <c r="Z16" s="51" t="s">
        <v>258</v>
      </c>
      <c r="AA16" s="74" t="s">
        <v>64</v>
      </c>
      <c r="AB16" s="47"/>
      <c r="AC16" s="72"/>
      <c r="AD16" s="62"/>
      <c r="AE16" s="62" t="s">
        <v>146</v>
      </c>
    </row>
    <row r="17" spans="1:31" s="130" customFormat="1" ht="105" x14ac:dyDescent="0.2">
      <c r="A17" s="15" t="s">
        <v>259</v>
      </c>
      <c r="B17" s="16" t="s">
        <v>260</v>
      </c>
      <c r="C17" s="17" t="s">
        <v>261</v>
      </c>
      <c r="D17" s="71" t="s">
        <v>43</v>
      </c>
      <c r="E17" s="71" t="s">
        <v>60</v>
      </c>
      <c r="F17" s="18">
        <f>VLOOKUP(טבלה13[[#This Row],[זיהוי]],'[1]Unsaved_15008758 (1)'!$A:$D,4,FALSE)</f>
        <v>46506</v>
      </c>
      <c r="G17" s="25">
        <v>46506</v>
      </c>
      <c r="H17" s="71"/>
      <c r="I17" s="72" t="str">
        <f t="shared" si="0"/>
        <v>WBS: WBD-001
שם פרויקט: שפרעם ניידת-פירוק התחמ"ש הניידת
מנה״פ: אוחנה, אלי
יעד תכנית פיתוח: 29/04/2027
יעד מסתמן: 29/04/2027</v>
      </c>
      <c r="J17" s="51" t="s">
        <v>262</v>
      </c>
      <c r="K17" s="51" t="s">
        <v>262</v>
      </c>
      <c r="L17" s="51" t="s">
        <v>262</v>
      </c>
      <c r="M17" s="51" t="s">
        <v>262</v>
      </c>
      <c r="N17" s="51" t="s">
        <v>262</v>
      </c>
      <c r="O17" s="51" t="s">
        <v>262</v>
      </c>
      <c r="P17" s="51" t="s">
        <v>262</v>
      </c>
      <c r="Q17" s="51" t="s">
        <v>262</v>
      </c>
      <c r="R17" s="76" t="s">
        <v>262</v>
      </c>
      <c r="S17" s="76" t="s">
        <v>262</v>
      </c>
      <c r="T17" s="76" t="s">
        <v>263</v>
      </c>
      <c r="U17" s="76" t="s">
        <v>263</v>
      </c>
      <c r="V17" s="76" t="s">
        <v>263</v>
      </c>
      <c r="W17" s="76" t="s">
        <v>263</v>
      </c>
      <c r="X17" s="198" t="s">
        <v>263</v>
      </c>
      <c r="Y17" s="198" t="s">
        <v>263</v>
      </c>
      <c r="Z17" s="51"/>
      <c r="AA17" s="74"/>
      <c r="AB17" s="47"/>
      <c r="AC17" s="72"/>
      <c r="AD17" s="62"/>
      <c r="AE17" s="62"/>
    </row>
    <row r="18" spans="1:31" s="130" customFormat="1" ht="409.5" x14ac:dyDescent="0.2">
      <c r="A18" s="15" t="s">
        <v>17</v>
      </c>
      <c r="B18" s="16" t="s">
        <v>264</v>
      </c>
      <c r="C18" s="17" t="s">
        <v>33</v>
      </c>
      <c r="D18" s="71" t="s">
        <v>43</v>
      </c>
      <c r="E18" s="71" t="s">
        <v>60</v>
      </c>
      <c r="F18" s="18">
        <f>VLOOKUP(טבלה13[[#This Row],[זיהוי]],'[1]Unsaved_15008758 (1)'!$A:$D,4,FALSE)</f>
        <v>46721</v>
      </c>
      <c r="G18" s="25">
        <v>47177</v>
      </c>
      <c r="H18" s="71" t="s">
        <v>67</v>
      </c>
      <c r="I18" s="72" t="str">
        <f t="shared" si="0"/>
        <v>WBS: WBC-121
שם פרויקט: רוקח(רמת אביב חדשה)-הקמת תחמ"ש פנימית
מנה״פ: אוחנה, אלי
יעד תכנית פיתוח: 30/11/2027
יעד מסתמן: 28/02/2029</v>
      </c>
      <c r="J18" s="51" t="s">
        <v>265</v>
      </c>
      <c r="K18" s="134" t="s">
        <v>266</v>
      </c>
      <c r="L18" s="134" t="s">
        <v>267</v>
      </c>
      <c r="M18" s="134" t="s">
        <v>268</v>
      </c>
      <c r="N18" s="134" t="s">
        <v>268</v>
      </c>
      <c r="O18" s="134" t="s">
        <v>269</v>
      </c>
      <c r="P18" s="134" t="s">
        <v>270</v>
      </c>
      <c r="Q18" s="134" t="s">
        <v>271</v>
      </c>
      <c r="R18" s="158" t="s">
        <v>272</v>
      </c>
      <c r="S18" s="158" t="s">
        <v>273</v>
      </c>
      <c r="T18" s="158" t="s">
        <v>274</v>
      </c>
      <c r="U18" s="158" t="s">
        <v>275</v>
      </c>
      <c r="V18" s="158" t="s">
        <v>276</v>
      </c>
      <c r="W18" s="158" t="s">
        <v>277</v>
      </c>
      <c r="X18" s="158" t="s">
        <v>278</v>
      </c>
      <c r="Y18" s="158" t="s">
        <v>2232</v>
      </c>
      <c r="Z18" s="75" t="s">
        <v>2297</v>
      </c>
      <c r="AA18" s="73" t="s">
        <v>68</v>
      </c>
      <c r="AB18" s="47" t="s">
        <v>39</v>
      </c>
      <c r="AC18" s="72"/>
      <c r="AD18" s="62"/>
      <c r="AE18" s="62" t="s">
        <v>146</v>
      </c>
    </row>
    <row r="19" spans="1:31" s="130" customFormat="1" ht="180" x14ac:dyDescent="0.2">
      <c r="A19" s="15" t="s">
        <v>2</v>
      </c>
      <c r="B19" s="16" t="s">
        <v>279</v>
      </c>
      <c r="C19" s="17" t="s">
        <v>261</v>
      </c>
      <c r="D19" s="71" t="s">
        <v>43</v>
      </c>
      <c r="E19" s="71" t="s">
        <v>60</v>
      </c>
      <c r="F19" s="18">
        <f>VLOOKUP(טבלה13[[#This Row],[זיהוי]],'[1]Unsaved_15008758 (1)'!$A:$D,4,FALSE)</f>
        <v>46234</v>
      </c>
      <c r="G19" s="18">
        <v>46234</v>
      </c>
      <c r="H19" s="71" t="s">
        <v>85</v>
      </c>
      <c r="I19" s="72" t="str">
        <f t="shared" si="0"/>
        <v>WBS: WBD-124
שם פרויקט: חפר ארעית- הקמת תחמ"ש ארעית
מנה״פ: אוחנה, אלי
יעד תכנית פיתוח: 31/07/2026
יעד מסתמן: 31/07/2026</v>
      </c>
      <c r="J19" s="21" t="s">
        <v>280</v>
      </c>
      <c r="K19" s="21" t="s">
        <v>281</v>
      </c>
      <c r="L19" s="21" t="s">
        <v>281</v>
      </c>
      <c r="M19" s="21" t="s">
        <v>282</v>
      </c>
      <c r="N19" s="21" t="s">
        <v>282</v>
      </c>
      <c r="O19" s="21" t="s">
        <v>282</v>
      </c>
      <c r="P19" s="21" t="s">
        <v>282</v>
      </c>
      <c r="Q19" s="21" t="s">
        <v>282</v>
      </c>
      <c r="R19" s="60" t="s">
        <v>283</v>
      </c>
      <c r="S19" s="60" t="s">
        <v>284</v>
      </c>
      <c r="T19" s="60" t="s">
        <v>285</v>
      </c>
      <c r="U19" s="60" t="s">
        <v>285</v>
      </c>
      <c r="V19" s="60" t="s">
        <v>285</v>
      </c>
      <c r="W19" s="60" t="s">
        <v>285</v>
      </c>
      <c r="X19" s="195" t="s">
        <v>285</v>
      </c>
      <c r="Y19" s="198" t="s">
        <v>285</v>
      </c>
      <c r="Z19" s="51"/>
      <c r="AA19" s="30"/>
      <c r="AB19" s="47"/>
      <c r="AC19" s="72"/>
      <c r="AD19" s="62"/>
      <c r="AE19" s="62" t="s">
        <v>209</v>
      </c>
    </row>
    <row r="20" spans="1:31" s="130" customFormat="1" ht="150" x14ac:dyDescent="0.2">
      <c r="A20" s="19" t="s">
        <v>12</v>
      </c>
      <c r="B20" s="20" t="s">
        <v>286</v>
      </c>
      <c r="C20" s="17" t="s">
        <v>33</v>
      </c>
      <c r="D20" s="71" t="s">
        <v>43</v>
      </c>
      <c r="E20" s="71" t="s">
        <v>60</v>
      </c>
      <c r="F20" s="18">
        <f>VLOOKUP(טבלה13[[#This Row],[זיהוי]],'[1]Unsaved_15008758 (1)'!$A:$D,4,FALSE)</f>
        <v>46873</v>
      </c>
      <c r="G20" s="25">
        <v>46873</v>
      </c>
      <c r="H20" s="71" t="s">
        <v>46</v>
      </c>
      <c r="I20" s="72" t="str">
        <f t="shared" si="0"/>
        <v>WBS: WBJ-004
שם פרויקט: חפר-הקמת תחמ"ג 400/161 ק"ו,650*3 מגוו"א- שנאי קישור שלישי 454 יותקן ולא יחושמל-רב שלבי
מנה״פ: אוחנה, אלי
יעד תכנית פיתוח: 30/04/2028
יעד מסתמן: 30/04/2028</v>
      </c>
      <c r="J20" s="42" t="s">
        <v>287</v>
      </c>
      <c r="K20" s="42" t="s">
        <v>288</v>
      </c>
      <c r="L20" s="42" t="s">
        <v>289</v>
      </c>
      <c r="M20" s="42" t="s">
        <v>290</v>
      </c>
      <c r="N20" s="42" t="s">
        <v>290</v>
      </c>
      <c r="O20" s="42" t="s">
        <v>290</v>
      </c>
      <c r="P20" s="42" t="s">
        <v>291</v>
      </c>
      <c r="Q20" s="42" t="s">
        <v>292</v>
      </c>
      <c r="R20" s="56" t="s">
        <v>292</v>
      </c>
      <c r="S20" s="56" t="s">
        <v>292</v>
      </c>
      <c r="T20" s="56" t="s">
        <v>292</v>
      </c>
      <c r="U20" s="56" t="s">
        <v>292</v>
      </c>
      <c r="V20" s="56" t="s">
        <v>292</v>
      </c>
      <c r="W20" s="56" t="s">
        <v>293</v>
      </c>
      <c r="X20" s="197" t="s">
        <v>293</v>
      </c>
      <c r="Y20" s="197" t="s">
        <v>2233</v>
      </c>
      <c r="Z20" s="51" t="s">
        <v>294</v>
      </c>
      <c r="AA20" s="73" t="s">
        <v>39</v>
      </c>
      <c r="AB20" s="179" t="s">
        <v>76</v>
      </c>
      <c r="AC20" s="72"/>
      <c r="AD20" s="62" t="s">
        <v>32</v>
      </c>
      <c r="AE20" s="62" t="s">
        <v>146</v>
      </c>
    </row>
    <row r="21" spans="1:31" s="130" customFormat="1" ht="105" x14ac:dyDescent="0.2">
      <c r="A21" s="15" t="s">
        <v>295</v>
      </c>
      <c r="B21" s="16" t="s">
        <v>296</v>
      </c>
      <c r="C21" s="17" t="s">
        <v>261</v>
      </c>
      <c r="D21" s="71" t="s">
        <v>61</v>
      </c>
      <c r="E21" s="71"/>
      <c r="F21" s="18">
        <f>VLOOKUP(טבלה13[[#This Row],[זיהוי]],'[1]Unsaved_15008758 (1)'!$A:$D,4,FALSE)</f>
        <v>46173</v>
      </c>
      <c r="G21" s="18">
        <v>46537</v>
      </c>
      <c r="H21" s="71" t="s">
        <v>22</v>
      </c>
      <c r="I21" s="72" t="str">
        <f t="shared" si="0"/>
        <v>WBS: WBD-120
שם פרויקט: תפוח- הצבת תחמ"ש ניידת
מנה״פ: אוקון שמעון
יעד תכנית פיתוח: 31/05/2026
יעד מסתמן: 30/05/2027</v>
      </c>
      <c r="J21" s="76" t="s">
        <v>297</v>
      </c>
      <c r="K21" s="76" t="s">
        <v>297</v>
      </c>
      <c r="L21" s="76" t="s">
        <v>297</v>
      </c>
      <c r="M21" s="76" t="s">
        <v>298</v>
      </c>
      <c r="N21" s="76" t="s">
        <v>298</v>
      </c>
      <c r="O21" s="76" t="s">
        <v>298</v>
      </c>
      <c r="P21" s="76"/>
      <c r="Q21" s="76" t="s">
        <v>298</v>
      </c>
      <c r="R21" s="76" t="s">
        <v>298</v>
      </c>
      <c r="S21" s="76" t="s">
        <v>298</v>
      </c>
      <c r="T21" s="76" t="s">
        <v>298</v>
      </c>
      <c r="U21" s="76" t="s">
        <v>298</v>
      </c>
      <c r="V21" s="76" t="s">
        <v>298</v>
      </c>
      <c r="W21" s="76" t="s">
        <v>298</v>
      </c>
      <c r="X21" s="198" t="s">
        <v>298</v>
      </c>
      <c r="Y21" s="198" t="s">
        <v>298</v>
      </c>
      <c r="Z21" s="51" t="s">
        <v>299</v>
      </c>
      <c r="AA21" s="74"/>
      <c r="AB21" s="47"/>
      <c r="AC21" s="72"/>
      <c r="AD21" s="62"/>
      <c r="AE21" s="62"/>
    </row>
    <row r="22" spans="1:31" s="130" customFormat="1" ht="105" x14ac:dyDescent="0.2">
      <c r="A22" s="15" t="s">
        <v>300</v>
      </c>
      <c r="B22" s="16" t="s">
        <v>301</v>
      </c>
      <c r="C22" s="17" t="s">
        <v>261</v>
      </c>
      <c r="D22" s="71" t="s">
        <v>61</v>
      </c>
      <c r="E22" s="71"/>
      <c r="F22" s="18">
        <f>VLOOKUP(טבלה13[[#This Row],[זיהוי]],'[1]Unsaved_15008758 (1)'!$A:$D,4,FALSE)</f>
        <v>46172</v>
      </c>
      <c r="G22" s="18" t="s">
        <v>302</v>
      </c>
      <c r="H22" s="71" t="s">
        <v>22</v>
      </c>
      <c r="I22" s="72" t="str">
        <f t="shared" si="0"/>
        <v>WBS: WBD-090
שם פרויקט: ענתות-הצבת תחמ"ש ניידת 30 מגוו"א
מנה״פ: אוקון שמעון
יעד תכנית פיתוח: 30/05/2026
יעד מסתמן: טרם נקבע</v>
      </c>
      <c r="J22" s="51" t="s">
        <v>303</v>
      </c>
      <c r="K22" s="76" t="s">
        <v>303</v>
      </c>
      <c r="L22" s="76" t="s">
        <v>303</v>
      </c>
      <c r="M22" s="76" t="s">
        <v>303</v>
      </c>
      <c r="N22" s="76" t="s">
        <v>303</v>
      </c>
      <c r="O22" s="76" t="s">
        <v>303</v>
      </c>
      <c r="P22" s="76"/>
      <c r="Q22" s="76" t="s">
        <v>303</v>
      </c>
      <c r="R22" s="76" t="s">
        <v>303</v>
      </c>
      <c r="S22" s="76" t="s">
        <v>303</v>
      </c>
      <c r="T22" s="76" t="s">
        <v>303</v>
      </c>
      <c r="U22" s="76" t="s">
        <v>303</v>
      </c>
      <c r="V22" s="76" t="s">
        <v>303</v>
      </c>
      <c r="W22" s="76" t="s">
        <v>304</v>
      </c>
      <c r="X22" s="198" t="s">
        <v>304</v>
      </c>
      <c r="Y22" s="198" t="s">
        <v>304</v>
      </c>
      <c r="Z22" s="51"/>
      <c r="AA22" s="74"/>
      <c r="AB22" s="47"/>
      <c r="AC22" s="72"/>
      <c r="AD22" s="62"/>
      <c r="AE22" s="62"/>
    </row>
    <row r="23" spans="1:31" s="130" customFormat="1" ht="105" x14ac:dyDescent="0.2">
      <c r="A23" s="15" t="s">
        <v>305</v>
      </c>
      <c r="B23" s="16" t="s">
        <v>306</v>
      </c>
      <c r="C23" s="17" t="s">
        <v>261</v>
      </c>
      <c r="D23" s="71" t="s">
        <v>61</v>
      </c>
      <c r="E23" s="71"/>
      <c r="F23" s="18">
        <f>VLOOKUP(טבלה13[[#This Row],[זיהוי]],'[1]Unsaved_15008758 (1)'!$A:$D,4,FALSE)</f>
        <v>46326</v>
      </c>
      <c r="G23" s="18">
        <v>46417</v>
      </c>
      <c r="H23" s="71" t="s">
        <v>78</v>
      </c>
      <c r="I23" s="72" t="str">
        <f t="shared" si="0"/>
        <v>WBS: WBD-121
שם פרויקט: עמנואל 2 ניידת- הצבת תחמ"ש ניידת
מנה״פ: אוקון שמעון
יעד תכנית פיתוח: 31/10/2026
יעד מסתמן: 30/01/2027</v>
      </c>
      <c r="J23" s="24" t="s">
        <v>307</v>
      </c>
      <c r="K23" s="24" t="s">
        <v>307</v>
      </c>
      <c r="L23" s="24" t="s">
        <v>307</v>
      </c>
      <c r="M23" s="24" t="s">
        <v>307</v>
      </c>
      <c r="N23" s="24" t="s">
        <v>308</v>
      </c>
      <c r="O23" s="24" t="s">
        <v>309</v>
      </c>
      <c r="P23" s="24"/>
      <c r="Q23" s="24" t="s">
        <v>309</v>
      </c>
      <c r="R23" s="76" t="s">
        <v>309</v>
      </c>
      <c r="S23" s="76" t="s">
        <v>309</v>
      </c>
      <c r="T23" s="76" t="s">
        <v>309</v>
      </c>
      <c r="U23" s="76" t="s">
        <v>309</v>
      </c>
      <c r="V23" s="76" t="s">
        <v>309</v>
      </c>
      <c r="W23" s="76" t="s">
        <v>309</v>
      </c>
      <c r="X23" s="198" t="s">
        <v>309</v>
      </c>
      <c r="Y23" s="198" t="s">
        <v>309</v>
      </c>
      <c r="Z23" s="51" t="s">
        <v>310</v>
      </c>
      <c r="AA23" s="74"/>
      <c r="AB23" s="47"/>
      <c r="AC23" s="72"/>
      <c r="AD23" s="62"/>
      <c r="AE23" s="62" t="s">
        <v>209</v>
      </c>
    </row>
    <row r="24" spans="1:31" s="130" customFormat="1" ht="120" x14ac:dyDescent="0.2">
      <c r="A24" s="15" t="s">
        <v>311</v>
      </c>
      <c r="B24" s="16" t="s">
        <v>312</v>
      </c>
      <c r="C24" s="17" t="s">
        <v>261</v>
      </c>
      <c r="D24" s="71" t="s">
        <v>61</v>
      </c>
      <c r="E24" s="71"/>
      <c r="F24" s="18">
        <f>VLOOKUP(טבלה13[[#This Row],[זיהוי]],'[1]Unsaved_15008758 (1)'!$A:$D,4,FALSE)</f>
        <v>46599</v>
      </c>
      <c r="G24" s="18">
        <v>46417</v>
      </c>
      <c r="H24" s="71" t="s">
        <v>67</v>
      </c>
      <c r="I24" s="72" t="str">
        <f t="shared" si="0"/>
        <v>WBS: WBD-096
שם פרויקט: א.ת. מכבים- הצבת תחמ"ש ניידת 161/33 ק"ו, 20 מגוו"א
מנה״פ: אוקון שמעון
יעד תכנית פיתוח: 31/07/2027
יעד מסתמן: 30/01/2027</v>
      </c>
      <c r="J24" s="24" t="s">
        <v>313</v>
      </c>
      <c r="K24" s="24" t="s">
        <v>314</v>
      </c>
      <c r="L24" s="24" t="s">
        <v>315</v>
      </c>
      <c r="M24" s="24" t="s">
        <v>315</v>
      </c>
      <c r="N24" s="24" t="s">
        <v>316</v>
      </c>
      <c r="O24" s="24" t="s">
        <v>317</v>
      </c>
      <c r="P24" s="24"/>
      <c r="Q24" s="24" t="s">
        <v>318</v>
      </c>
      <c r="R24" s="76" t="s">
        <v>319</v>
      </c>
      <c r="S24" s="76" t="s">
        <v>319</v>
      </c>
      <c r="T24" s="76" t="s">
        <v>319</v>
      </c>
      <c r="U24" s="76" t="s">
        <v>319</v>
      </c>
      <c r="V24" s="76" t="s">
        <v>319</v>
      </c>
      <c r="W24" s="76" t="s">
        <v>319</v>
      </c>
      <c r="X24" s="198" t="s">
        <v>319</v>
      </c>
      <c r="Y24" s="198" t="s">
        <v>319</v>
      </c>
      <c r="Z24" s="51"/>
      <c r="AA24" s="74"/>
      <c r="AB24" s="47"/>
      <c r="AC24" s="72"/>
      <c r="AD24" s="62"/>
      <c r="AE24" s="62" t="s">
        <v>146</v>
      </c>
    </row>
    <row r="25" spans="1:31" s="130" customFormat="1" ht="120" x14ac:dyDescent="0.2">
      <c r="A25" s="19" t="s">
        <v>320</v>
      </c>
      <c r="B25" s="20" t="s">
        <v>321</v>
      </c>
      <c r="C25" s="17" t="s">
        <v>261</v>
      </c>
      <c r="D25" s="71" t="s">
        <v>61</v>
      </c>
      <c r="E25" s="71"/>
      <c r="F25" s="18">
        <f>VLOOKUP(טבלה13[[#This Row],[זיהוי]],'[1]Unsaved_15008758 (1)'!$A:$D,4,FALSE)</f>
        <v>46142</v>
      </c>
      <c r="G25" s="18">
        <v>46417</v>
      </c>
      <c r="H25" s="71" t="s">
        <v>67</v>
      </c>
      <c r="I25" s="72" t="str">
        <f t="shared" si="0"/>
        <v>WBS: WBD-123
שם פרויקט: א.ת. מכבים- הצבת תחמ"ש ניידת 161/24 ק"ו, 20 מגוו"א
מנה״פ: אוקון שמעון
יעד תכנית פיתוח: 30/04/2026
יעד מסתמן: 30/01/2027</v>
      </c>
      <c r="J25" s="24" t="s">
        <v>313</v>
      </c>
      <c r="K25" s="24" t="s">
        <v>314</v>
      </c>
      <c r="L25" s="24" t="s">
        <v>315</v>
      </c>
      <c r="M25" s="24" t="s">
        <v>315</v>
      </c>
      <c r="N25" s="24" t="s">
        <v>316</v>
      </c>
      <c r="O25" s="117" t="s">
        <v>317</v>
      </c>
      <c r="P25" s="117"/>
      <c r="Q25" s="117" t="s">
        <v>318</v>
      </c>
      <c r="R25" s="76" t="s">
        <v>319</v>
      </c>
      <c r="S25" s="76" t="s">
        <v>319</v>
      </c>
      <c r="T25" s="76" t="s">
        <v>319</v>
      </c>
      <c r="U25" s="76" t="s">
        <v>319</v>
      </c>
      <c r="V25" s="76" t="s">
        <v>319</v>
      </c>
      <c r="W25" s="76" t="s">
        <v>319</v>
      </c>
      <c r="X25" s="198" t="s">
        <v>319</v>
      </c>
      <c r="Y25" s="198" t="s">
        <v>319</v>
      </c>
      <c r="Z25" s="51"/>
      <c r="AA25" s="74"/>
      <c r="AB25" s="47"/>
      <c r="AC25" s="72"/>
      <c r="AD25" s="62"/>
      <c r="AE25" s="62"/>
    </row>
    <row r="26" spans="1:31" s="130" customFormat="1" ht="135" x14ac:dyDescent="0.2">
      <c r="A26" s="15" t="s">
        <v>322</v>
      </c>
      <c r="B26" s="16" t="s">
        <v>323</v>
      </c>
      <c r="C26" s="17" t="s">
        <v>40</v>
      </c>
      <c r="D26" s="71" t="s">
        <v>77</v>
      </c>
      <c r="E26" s="71" t="s">
        <v>72</v>
      </c>
      <c r="F26" s="18">
        <f>VLOOKUP(טבלה13[[#This Row],[זיהוי]],'[1]Unsaved_15008758 (1)'!$A:$D,4,FALSE)</f>
        <v>47118</v>
      </c>
      <c r="G26" s="25">
        <v>47057</v>
      </c>
      <c r="H26" s="71" t="s">
        <v>20</v>
      </c>
      <c r="I26" s="72" t="str">
        <f t="shared" si="0"/>
        <v>WBS: WBE-288
שם פרויקט: שפרינצק-התקנת שנאי רביעי מס' 524, 50 מגוו"א וסוללות קבלים
מנה״פ: ארליך-בקיש, רחלי
יעד תכנית פיתוח: 31/12/2028
יעד מסתמן: 31/10/2028</v>
      </c>
      <c r="J26" s="51" t="s">
        <v>324</v>
      </c>
      <c r="K26" s="51" t="s">
        <v>324</v>
      </c>
      <c r="L26" s="51" t="s">
        <v>324</v>
      </c>
      <c r="M26" s="51" t="s">
        <v>324</v>
      </c>
      <c r="N26" s="51" t="s">
        <v>324</v>
      </c>
      <c r="O26" s="51" t="s">
        <v>324</v>
      </c>
      <c r="P26" s="51" t="s">
        <v>324</v>
      </c>
      <c r="Q26" s="51" t="s">
        <v>324</v>
      </c>
      <c r="R26" s="76" t="s">
        <v>324</v>
      </c>
      <c r="S26" s="76" t="s">
        <v>324</v>
      </c>
      <c r="T26" s="76" t="s">
        <v>324</v>
      </c>
      <c r="U26" s="76" t="s">
        <v>324</v>
      </c>
      <c r="V26" s="76" t="s">
        <v>324</v>
      </c>
      <c r="W26" s="76" t="s">
        <v>324</v>
      </c>
      <c r="X26" s="198" t="s">
        <v>324</v>
      </c>
      <c r="Y26" s="198" t="s">
        <v>324</v>
      </c>
      <c r="Z26" s="51"/>
      <c r="AA26" s="74"/>
      <c r="AB26" s="47"/>
      <c r="AC26" s="72"/>
      <c r="AD26" s="62"/>
      <c r="AE26" s="62"/>
    </row>
    <row r="27" spans="1:31" s="130" customFormat="1" ht="225" x14ac:dyDescent="0.2">
      <c r="A27" s="19" t="s">
        <v>325</v>
      </c>
      <c r="B27" s="26" t="s">
        <v>326</v>
      </c>
      <c r="C27" s="17" t="s">
        <v>40</v>
      </c>
      <c r="D27" s="71" t="s">
        <v>93</v>
      </c>
      <c r="E27" s="71" t="s">
        <v>56</v>
      </c>
      <c r="F27" s="18">
        <f>VLOOKUP(טבלה13[[#This Row],[זיהוי]],'[1]Unsaved_15008758 (1)'!$A:$D,4,FALSE)</f>
        <v>46387</v>
      </c>
      <c r="G27" s="25">
        <v>46387</v>
      </c>
      <c r="H27" s="71" t="s">
        <v>67</v>
      </c>
      <c r="I27" s="72" t="str">
        <f t="shared" si="0"/>
        <v>WBS: WBE-290
שם פרויקט: איילון- התקנת שנאי רביעי 75 מגוו"א 161/24 ק"ו
מנה״פ: פוטרמן, שרון 
יעד תכנית פיתוח: 31/12/2026
יעד מסתמן: 31/12/2026</v>
      </c>
      <c r="J27" s="51" t="s">
        <v>327</v>
      </c>
      <c r="K27" s="51" t="s">
        <v>328</v>
      </c>
      <c r="L27" s="51" t="s">
        <v>329</v>
      </c>
      <c r="M27" s="51" t="s">
        <v>330</v>
      </c>
      <c r="N27" s="51" t="s">
        <v>331</v>
      </c>
      <c r="O27" s="51" t="s">
        <v>332</v>
      </c>
      <c r="P27" s="51" t="s">
        <v>332</v>
      </c>
      <c r="Q27" s="51" t="s">
        <v>333</v>
      </c>
      <c r="R27" s="76" t="s">
        <v>334</v>
      </c>
      <c r="S27" s="76" t="s">
        <v>335</v>
      </c>
      <c r="T27" s="76" t="s">
        <v>336</v>
      </c>
      <c r="U27" s="76" t="s">
        <v>337</v>
      </c>
      <c r="V27" s="157" t="s">
        <v>338</v>
      </c>
      <c r="W27" s="157" t="s">
        <v>338</v>
      </c>
      <c r="X27" s="199" t="s">
        <v>338</v>
      </c>
      <c r="Y27" s="199" t="s">
        <v>338</v>
      </c>
      <c r="Z27" s="51" t="s">
        <v>339</v>
      </c>
      <c r="AA27" s="74" t="s">
        <v>76</v>
      </c>
      <c r="AB27" s="47" t="s">
        <v>68</v>
      </c>
      <c r="AC27" s="72" t="s">
        <v>32</v>
      </c>
      <c r="AD27" s="62"/>
      <c r="AE27" s="62" t="s">
        <v>146</v>
      </c>
    </row>
    <row r="28" spans="1:31" s="130" customFormat="1" ht="150" customHeight="1" x14ac:dyDescent="0.2">
      <c r="A28" s="19" t="s">
        <v>13</v>
      </c>
      <c r="B28" s="26" t="s">
        <v>340</v>
      </c>
      <c r="C28" s="17" t="s">
        <v>261</v>
      </c>
      <c r="D28" s="71" t="s">
        <v>71</v>
      </c>
      <c r="E28" s="71" t="s">
        <v>66</v>
      </c>
      <c r="F28" s="18">
        <f>VLOOKUP(טבלה13[[#This Row],[זיהוי]],'[1]Unsaved_15008758 (1)'!$A:$D,4,FALSE)</f>
        <v>46356</v>
      </c>
      <c r="G28" s="18">
        <v>46356</v>
      </c>
      <c r="H28" s="71" t="s">
        <v>19</v>
      </c>
      <c r="I28" s="72" t="str">
        <f>"WBS: " &amp; A28 &amp; CHAR(10) &amp;
"שם פרויקט: " &amp; B28 &amp; CHAR(10) &amp;
"מנה״פ: " &amp; D28 &amp; CHAR(10) &amp;
"יעד תכנית פיתוח: " &amp; TEXT(F28,"dd/mm/yyyy") &amp; CHAR(10) &amp;
"יעד מסתמן: " &amp; TEXT(G28,"dd/mm/yyyy")</f>
        <v>WBS: WBD-128
שם פרויקט: תימורים- תכנון הצבת 2 תחמ"ש ניידות,30 מגוו"א כ"א
מנה״פ: אלטחן, קובי
יעד תכנית פיתוח: 30/11/2026
יעד מסתמן: 30/11/2026</v>
      </c>
      <c r="J28" s="31" t="s">
        <v>341</v>
      </c>
      <c r="K28" s="31" t="s">
        <v>341</v>
      </c>
      <c r="L28" s="31" t="s">
        <v>341</v>
      </c>
      <c r="M28" s="31" t="s">
        <v>342</v>
      </c>
      <c r="N28" s="31" t="s">
        <v>342</v>
      </c>
      <c r="O28" s="31" t="s">
        <v>343</v>
      </c>
      <c r="P28" s="31" t="s">
        <v>343</v>
      </c>
      <c r="Q28" s="31" t="s">
        <v>344</v>
      </c>
      <c r="R28" s="157" t="s">
        <v>345</v>
      </c>
      <c r="S28" s="157" t="s">
        <v>346</v>
      </c>
      <c r="T28" s="157" t="s">
        <v>347</v>
      </c>
      <c r="U28" s="157" t="s">
        <v>348</v>
      </c>
      <c r="V28" s="157" t="s">
        <v>348</v>
      </c>
      <c r="W28" s="157" t="s">
        <v>349</v>
      </c>
      <c r="X28" s="199" t="s">
        <v>350</v>
      </c>
      <c r="Y28" s="199" t="s">
        <v>2275</v>
      </c>
      <c r="Z28" s="51" t="s">
        <v>2274</v>
      </c>
      <c r="AA28" s="78" t="s">
        <v>44</v>
      </c>
      <c r="AB28" s="79"/>
      <c r="AC28" s="72"/>
      <c r="AD28" s="62" t="s">
        <v>32</v>
      </c>
      <c r="AE28" s="62"/>
    </row>
    <row r="29" spans="1:31" s="130" customFormat="1" ht="105" x14ac:dyDescent="0.2">
      <c r="A29" s="15" t="s">
        <v>351</v>
      </c>
      <c r="B29" s="16" t="s">
        <v>352</v>
      </c>
      <c r="C29" s="17" t="s">
        <v>33</v>
      </c>
      <c r="D29" s="71" t="s">
        <v>71</v>
      </c>
      <c r="E29" s="71" t="s">
        <v>66</v>
      </c>
      <c r="F29" s="18">
        <f>VLOOKUP(טבלה13[[#This Row],[זיהוי]],'[1]Unsaved_15008758 (1)'!$A:$D,4,FALSE)</f>
        <v>46691</v>
      </c>
      <c r="G29" s="25">
        <v>46691</v>
      </c>
      <c r="H29" s="71" t="s">
        <v>22</v>
      </c>
      <c r="I29" s="72" t="str">
        <f t="shared" si="0"/>
        <v>WBS: WBC-075
שם פרויקט: תימורים-הקמת תחמ"ש חיצונית 161/24 ק"ו
מנה״פ: אלטחן, קובי
יעד תכנית פיתוח: 31/10/2027
יעד מסתמן: 31/10/2027</v>
      </c>
      <c r="J29" s="51" t="s">
        <v>353</v>
      </c>
      <c r="K29" s="51" t="s">
        <v>354</v>
      </c>
      <c r="L29" s="51" t="s">
        <v>354</v>
      </c>
      <c r="M29" s="51" t="s">
        <v>354</v>
      </c>
      <c r="N29" s="51" t="s">
        <v>354</v>
      </c>
      <c r="O29" s="51" t="s">
        <v>355</v>
      </c>
      <c r="P29" s="51" t="s">
        <v>355</v>
      </c>
      <c r="Q29" s="51" t="s">
        <v>356</v>
      </c>
      <c r="R29" s="76" t="s">
        <v>357</v>
      </c>
      <c r="S29" s="76" t="s">
        <v>358</v>
      </c>
      <c r="T29" s="76" t="s">
        <v>359</v>
      </c>
      <c r="U29" s="76" t="s">
        <v>360</v>
      </c>
      <c r="V29" s="76" t="s">
        <v>361</v>
      </c>
      <c r="W29" s="76" t="s">
        <v>361</v>
      </c>
      <c r="X29" s="198" t="s">
        <v>361</v>
      </c>
      <c r="Y29" s="198" t="s">
        <v>2272</v>
      </c>
      <c r="Z29" s="51" t="s">
        <v>362</v>
      </c>
      <c r="AA29" s="73" t="s">
        <v>83</v>
      </c>
      <c r="AB29" s="47"/>
      <c r="AC29" s="72"/>
      <c r="AD29" s="62"/>
      <c r="AE29" s="62" t="s">
        <v>146</v>
      </c>
    </row>
    <row r="30" spans="1:31" s="130" customFormat="1" ht="120" x14ac:dyDescent="0.2">
      <c r="A30" s="15" t="s">
        <v>363</v>
      </c>
      <c r="B30" s="16" t="s">
        <v>364</v>
      </c>
      <c r="C30" s="17" t="s">
        <v>33</v>
      </c>
      <c r="D30" s="71" t="s">
        <v>71</v>
      </c>
      <c r="E30" s="71" t="s">
        <v>66</v>
      </c>
      <c r="F30" s="18">
        <f>VLOOKUP(טבלה13[[#This Row],[זיהוי]],'[1]Unsaved_15008758 (1)'!$A:$D,4,FALSE)</f>
        <v>46752</v>
      </c>
      <c r="G30" s="25">
        <v>46721</v>
      </c>
      <c r="H30" s="71" t="s">
        <v>22</v>
      </c>
      <c r="I30" s="72" t="str">
        <f t="shared" si="0"/>
        <v>WBS: WBC-123
שם פרויקט: שחר(כוכב מיכאל)-הקמת תחמ"ש חיצונית
מנה״פ: אלטחן, קובי
יעד תכנית פיתוח: 31/12/2027
יעד מסתמן: 30/11/2027</v>
      </c>
      <c r="J30" s="51" t="s">
        <v>365</v>
      </c>
      <c r="K30" s="51" t="s">
        <v>366</v>
      </c>
      <c r="L30" s="51" t="s">
        <v>367</v>
      </c>
      <c r="M30" s="51" t="s">
        <v>367</v>
      </c>
      <c r="N30" s="51" t="s">
        <v>367</v>
      </c>
      <c r="O30" s="51" t="s">
        <v>368</v>
      </c>
      <c r="P30" s="51" t="s">
        <v>368</v>
      </c>
      <c r="Q30" s="51" t="s">
        <v>369</v>
      </c>
      <c r="R30" s="76" t="s">
        <v>369</v>
      </c>
      <c r="S30" s="76" t="s">
        <v>370</v>
      </c>
      <c r="T30" s="76" t="s">
        <v>371</v>
      </c>
      <c r="U30" s="76" t="s">
        <v>372</v>
      </c>
      <c r="V30" s="76" t="s">
        <v>372</v>
      </c>
      <c r="W30" s="76" t="s">
        <v>372</v>
      </c>
      <c r="X30" s="198" t="s">
        <v>373</v>
      </c>
      <c r="Y30" s="196" t="s">
        <v>2273</v>
      </c>
      <c r="Z30" s="21" t="s">
        <v>374</v>
      </c>
      <c r="AA30" s="74" t="s">
        <v>39</v>
      </c>
      <c r="AB30" s="47"/>
      <c r="AC30" s="72"/>
      <c r="AD30" s="62"/>
      <c r="AE30" s="62" t="s">
        <v>146</v>
      </c>
    </row>
    <row r="31" spans="1:31" s="130" customFormat="1" ht="120" x14ac:dyDescent="0.2">
      <c r="A31" s="15" t="s">
        <v>375</v>
      </c>
      <c r="B31" s="16" t="s">
        <v>376</v>
      </c>
      <c r="C31" s="17" t="s">
        <v>33</v>
      </c>
      <c r="D31" s="71" t="s">
        <v>71</v>
      </c>
      <c r="E31" s="71" t="s">
        <v>66</v>
      </c>
      <c r="F31" s="18">
        <f>VLOOKUP(טבלה13[[#This Row],[זיהוי]],'[1]Unsaved_15008758 (1)'!$A:$D,4,FALSE)</f>
        <v>46356</v>
      </c>
      <c r="G31" s="25">
        <v>46888</v>
      </c>
      <c r="H31" s="71" t="s">
        <v>22</v>
      </c>
      <c r="I31" s="72" t="str">
        <f t="shared" si="0"/>
        <v>WBS: WBC-072
שם פרויקט: ראשון תעשיה- הקמת תחמ"ש פנימית 161/24 ק"
מנה״פ: אלטחן, קובי
יעד תכנית פיתוח: 30/11/2026
יעד מסתמן: 15/05/2028</v>
      </c>
      <c r="J31" s="51" t="s">
        <v>377</v>
      </c>
      <c r="K31" s="51" t="s">
        <v>378</v>
      </c>
      <c r="L31" s="51" t="s">
        <v>378</v>
      </c>
      <c r="M31" s="51" t="s">
        <v>379</v>
      </c>
      <c r="N31" s="51" t="s">
        <v>379</v>
      </c>
      <c r="O31" s="51" t="s">
        <v>380</v>
      </c>
      <c r="P31" s="51" t="s">
        <v>380</v>
      </c>
      <c r="Q31" s="51" t="s">
        <v>381</v>
      </c>
      <c r="R31" s="76" t="s">
        <v>381</v>
      </c>
      <c r="S31" s="76" t="s">
        <v>382</v>
      </c>
      <c r="T31" s="76" t="s">
        <v>383</v>
      </c>
      <c r="U31" s="76" t="s">
        <v>384</v>
      </c>
      <c r="V31" s="76" t="s">
        <v>384</v>
      </c>
      <c r="W31" s="76" t="s">
        <v>384</v>
      </c>
      <c r="X31" s="198" t="s">
        <v>384</v>
      </c>
      <c r="Y31" s="198" t="s">
        <v>384</v>
      </c>
      <c r="Z31" s="51" t="s">
        <v>385</v>
      </c>
      <c r="AA31" s="73" t="s">
        <v>74</v>
      </c>
      <c r="AB31" s="47"/>
      <c r="AC31" s="72"/>
      <c r="AD31" s="62"/>
      <c r="AE31" s="62" t="s">
        <v>146</v>
      </c>
    </row>
    <row r="32" spans="1:31" s="130" customFormat="1" ht="255" x14ac:dyDescent="0.2">
      <c r="A32" s="80" t="s">
        <v>386</v>
      </c>
      <c r="B32" s="16" t="s">
        <v>387</v>
      </c>
      <c r="C32" s="17" t="s">
        <v>33</v>
      </c>
      <c r="D32" s="71" t="s">
        <v>71</v>
      </c>
      <c r="E32" s="71" t="s">
        <v>66</v>
      </c>
      <c r="F32" s="18">
        <f>VLOOKUP(טבלה13[[#This Row],[זיהוי]],'[1]Unsaved_15008758 (1)'!$A:$D,4,FALSE)</f>
        <v>46568</v>
      </c>
      <c r="G32" s="25">
        <v>47483</v>
      </c>
      <c r="H32" s="71" t="s">
        <v>22</v>
      </c>
      <c r="I32" s="72" t="str">
        <f t="shared" si="0"/>
        <v>WBS: WBC-057
שם פרויקט: ליילנד-הקמת תחמ"ש פנימית 161/24ק"ו 50*2
מנה״פ: אלטחן, קובי
יעד תכנית פיתוח: 30/06/2027
יעד מסתמן: 31/12/2029</v>
      </c>
      <c r="J32" s="51" t="s">
        <v>388</v>
      </c>
      <c r="K32" s="51" t="s">
        <v>388</v>
      </c>
      <c r="L32" s="51" t="s">
        <v>388</v>
      </c>
      <c r="M32" s="51" t="s">
        <v>388</v>
      </c>
      <c r="N32" s="51" t="s">
        <v>389</v>
      </c>
      <c r="O32" s="51" t="s">
        <v>390</v>
      </c>
      <c r="P32" s="51" t="s">
        <v>390</v>
      </c>
      <c r="Q32" s="51" t="s">
        <v>391</v>
      </c>
      <c r="R32" s="76" t="s">
        <v>391</v>
      </c>
      <c r="S32" s="76" t="s">
        <v>391</v>
      </c>
      <c r="T32" s="76" t="s">
        <v>392</v>
      </c>
      <c r="U32" s="76" t="s">
        <v>393</v>
      </c>
      <c r="V32" s="76" t="s">
        <v>394</v>
      </c>
      <c r="W32" s="76" t="s">
        <v>394</v>
      </c>
      <c r="X32" s="198" t="s">
        <v>394</v>
      </c>
      <c r="Y32" s="198" t="s">
        <v>2277</v>
      </c>
      <c r="Z32" s="51" t="s">
        <v>395</v>
      </c>
      <c r="AA32" s="74" t="s">
        <v>74</v>
      </c>
      <c r="AB32" s="47"/>
      <c r="AC32" s="72"/>
      <c r="AD32" s="62"/>
      <c r="AE32" s="62" t="s">
        <v>146</v>
      </c>
    </row>
    <row r="33" spans="1:31" s="130" customFormat="1" ht="150" x14ac:dyDescent="0.2">
      <c r="A33" s="15" t="s">
        <v>396</v>
      </c>
      <c r="B33" s="16" t="s">
        <v>397</v>
      </c>
      <c r="C33" s="17" t="s">
        <v>33</v>
      </c>
      <c r="D33" s="71" t="s">
        <v>71</v>
      </c>
      <c r="E33" s="71" t="s">
        <v>66</v>
      </c>
      <c r="F33" s="18">
        <f>VLOOKUP(טבלה13[[#This Row],[זיהוי]],'[1]Unsaved_15008758 (1)'!$A:$D,4,FALSE)</f>
        <v>45838</v>
      </c>
      <c r="G33" s="18" t="s">
        <v>398</v>
      </c>
      <c r="H33" s="71" t="s">
        <v>23</v>
      </c>
      <c r="I33" s="72" t="str">
        <f t="shared" si="0"/>
        <v>WBS: WBC-061
שם פרויקט: גן רווה-הקמת תחמ"ש חיצונית קבועה 161/24 ק"ו
מנה״פ: אלטחן, קובי
יעד תכנית פיתוח: 30/06/2025
יעד מסתמן: חושמל ב30/06/2025</v>
      </c>
      <c r="J33" s="51" t="s">
        <v>399</v>
      </c>
      <c r="K33" s="51" t="s">
        <v>400</v>
      </c>
      <c r="L33" s="51" t="s">
        <v>400</v>
      </c>
      <c r="M33" s="51" t="s">
        <v>400</v>
      </c>
      <c r="N33" s="51" t="s">
        <v>400</v>
      </c>
      <c r="O33" s="51" t="s">
        <v>400</v>
      </c>
      <c r="P33" s="51" t="s">
        <v>400</v>
      </c>
      <c r="Q33" s="51" t="s">
        <v>400</v>
      </c>
      <c r="R33" s="76" t="s">
        <v>400</v>
      </c>
      <c r="S33" s="76" t="s">
        <v>400</v>
      </c>
      <c r="T33" s="76" t="s">
        <v>401</v>
      </c>
      <c r="U33" s="51" t="s">
        <v>401</v>
      </c>
      <c r="V33" s="51" t="s">
        <v>401</v>
      </c>
      <c r="W33" s="51" t="s">
        <v>401</v>
      </c>
      <c r="X33" s="200" t="s">
        <v>401</v>
      </c>
      <c r="Y33" s="198" t="s">
        <v>2278</v>
      </c>
      <c r="Z33" s="51"/>
      <c r="AA33" s="73" t="s">
        <v>83</v>
      </c>
      <c r="AB33" s="47" t="s">
        <v>83</v>
      </c>
      <c r="AC33" s="72"/>
      <c r="AD33" s="62"/>
      <c r="AE33" s="62"/>
    </row>
    <row r="34" spans="1:31" s="130" customFormat="1" ht="120" x14ac:dyDescent="0.2">
      <c r="A34" s="15" t="s">
        <v>402</v>
      </c>
      <c r="B34" s="16" t="s">
        <v>403</v>
      </c>
      <c r="C34" s="17" t="s">
        <v>33</v>
      </c>
      <c r="D34" s="71" t="s">
        <v>71</v>
      </c>
      <c r="E34" s="71" t="s">
        <v>66</v>
      </c>
      <c r="F34" s="18">
        <f>VLOOKUP(טבלה13[[#This Row],[זיהוי]],'[1]Unsaved_15008758 (1)'!$A:$D,4,FALSE)</f>
        <v>45826</v>
      </c>
      <c r="G34" s="18" t="s">
        <v>404</v>
      </c>
      <c r="H34" s="71" t="s">
        <v>23</v>
      </c>
      <c r="I34" s="72" t="str">
        <f t="shared" si="0"/>
        <v>WBS: WBC-066
שם פרויקט: בית הלוחם- הקמת תחמ"ש פנימית
מנה״פ: אלטחן, קובי
יעד תכנית פיתוח: 18/06/2025
יעד מסתמן: חושמל 18/06/2025</v>
      </c>
      <c r="J34" s="51" t="s">
        <v>405</v>
      </c>
      <c r="K34" s="51" t="s">
        <v>405</v>
      </c>
      <c r="L34" s="51" t="s">
        <v>405</v>
      </c>
      <c r="M34" s="51" t="s">
        <v>405</v>
      </c>
      <c r="N34" s="51" t="s">
        <v>405</v>
      </c>
      <c r="O34" s="51" t="s">
        <v>406</v>
      </c>
      <c r="P34" s="51" t="s">
        <v>406</v>
      </c>
      <c r="Q34" s="51" t="s">
        <v>407</v>
      </c>
      <c r="R34" s="76" t="s">
        <v>407</v>
      </c>
      <c r="S34" s="76" t="s">
        <v>408</v>
      </c>
      <c r="T34" s="76" t="s">
        <v>408</v>
      </c>
      <c r="U34" s="76" t="s">
        <v>408</v>
      </c>
      <c r="V34" s="76" t="s">
        <v>408</v>
      </c>
      <c r="W34" s="76" t="s">
        <v>409</v>
      </c>
      <c r="X34" s="198" t="s">
        <v>409</v>
      </c>
      <c r="Y34" s="198" t="s">
        <v>2279</v>
      </c>
      <c r="Z34" s="51"/>
      <c r="AA34" s="74"/>
      <c r="AB34" s="47"/>
      <c r="AC34" s="72"/>
      <c r="AD34" s="62"/>
      <c r="AE34" s="62"/>
    </row>
    <row r="35" spans="1:31" s="130" customFormat="1" ht="135" x14ac:dyDescent="0.2">
      <c r="A35" s="19" t="s">
        <v>11</v>
      </c>
      <c r="B35" s="20" t="s">
        <v>410</v>
      </c>
      <c r="C35" s="17" t="s">
        <v>40</v>
      </c>
      <c r="D35" s="71" t="s">
        <v>71</v>
      </c>
      <c r="E35" s="71" t="s">
        <v>66</v>
      </c>
      <c r="F35" s="18">
        <v>46356</v>
      </c>
      <c r="G35" s="25">
        <v>46356</v>
      </c>
      <c r="H35" s="71" t="s">
        <v>46</v>
      </c>
      <c r="I35" s="72" t="str">
        <f t="shared" si="0"/>
        <v>WBS: WBE-285
שם פרויקט: איתן - הקמת שדה מס' 1 במסדר 161 ק"ו. יכולת זרם 2000 א'. משיק ל- WBM-40241.
מנה״פ: אלטחן, קובי
יעד תכנית פיתוח: 30/11/2026
יעד מסתמן: 30/11/2026</v>
      </c>
      <c r="J35" s="51" t="s">
        <v>411</v>
      </c>
      <c r="K35" s="51" t="s">
        <v>412</v>
      </c>
      <c r="L35" s="51" t="s">
        <v>413</v>
      </c>
      <c r="M35" s="51" t="s">
        <v>414</v>
      </c>
      <c r="N35" s="51" t="s">
        <v>415</v>
      </c>
      <c r="O35" s="51" t="s">
        <v>416</v>
      </c>
      <c r="P35" s="51" t="s">
        <v>416</v>
      </c>
      <c r="Q35" s="51" t="s">
        <v>417</v>
      </c>
      <c r="R35" s="76" t="s">
        <v>418</v>
      </c>
      <c r="S35" s="76" t="s">
        <v>419</v>
      </c>
      <c r="T35" s="76" t="s">
        <v>420</v>
      </c>
      <c r="U35" s="76" t="s">
        <v>421</v>
      </c>
      <c r="V35" s="76" t="s">
        <v>421</v>
      </c>
      <c r="W35" s="76" t="s">
        <v>422</v>
      </c>
      <c r="X35" s="198" t="s">
        <v>422</v>
      </c>
      <c r="Y35" s="198" t="s">
        <v>2280</v>
      </c>
      <c r="Z35" s="51" t="s">
        <v>423</v>
      </c>
      <c r="AA35" s="74" t="s">
        <v>74</v>
      </c>
      <c r="AB35" s="47"/>
      <c r="AC35" s="72"/>
      <c r="AD35" s="62" t="s">
        <v>32</v>
      </c>
      <c r="AE35" s="62"/>
    </row>
    <row r="36" spans="1:31" s="130" customFormat="1" ht="105" x14ac:dyDescent="0.2">
      <c r="A36" s="15" t="s">
        <v>10</v>
      </c>
      <c r="B36" s="16" t="s">
        <v>424</v>
      </c>
      <c r="C36" s="17" t="s">
        <v>40</v>
      </c>
      <c r="D36" s="71" t="s">
        <v>71</v>
      </c>
      <c r="E36" s="71" t="s">
        <v>66</v>
      </c>
      <c r="F36" s="18">
        <f>VLOOKUP(טבלה13[[#This Row],[זיהוי]],'[1]Unsaved_15008758 (1)'!$A:$D,4,FALSE)</f>
        <v>46477</v>
      </c>
      <c r="G36" s="25">
        <v>46537</v>
      </c>
      <c r="H36" s="71" t="s">
        <v>78</v>
      </c>
      <c r="I36" s="72" t="str">
        <f t="shared" si="0"/>
        <v>WBS: WBE-087
שם פרויקט: איתן-החל' שנאים ומסדרים-4 שלבים
מנה״פ: אלטחן, קובי
יעד תכנית פיתוח: 31/03/2027
יעד מסתמן: 30/05/2027</v>
      </c>
      <c r="J36" s="51" t="s">
        <v>425</v>
      </c>
      <c r="K36" s="51" t="s">
        <v>425</v>
      </c>
      <c r="L36" s="51" t="s">
        <v>426</v>
      </c>
      <c r="M36" s="51" t="s">
        <v>427</v>
      </c>
      <c r="N36" s="51" t="s">
        <v>428</v>
      </c>
      <c r="O36" s="51" t="s">
        <v>429</v>
      </c>
      <c r="P36" s="51" t="s">
        <v>429</v>
      </c>
      <c r="Q36" s="51" t="s">
        <v>430</v>
      </c>
      <c r="R36" s="76" t="s">
        <v>430</v>
      </c>
      <c r="S36" s="76" t="s">
        <v>430</v>
      </c>
      <c r="T36" s="76" t="s">
        <v>431</v>
      </c>
      <c r="U36" s="76" t="s">
        <v>431</v>
      </c>
      <c r="V36" s="76" t="s">
        <v>431</v>
      </c>
      <c r="W36" s="76" t="s">
        <v>431</v>
      </c>
      <c r="X36" s="198" t="s">
        <v>432</v>
      </c>
      <c r="Y36" s="198" t="s">
        <v>2282</v>
      </c>
      <c r="Z36" s="51" t="s">
        <v>433</v>
      </c>
      <c r="AA36" s="73" t="s">
        <v>76</v>
      </c>
      <c r="AB36" s="47"/>
      <c r="AC36" s="72"/>
      <c r="AD36" s="62" t="s">
        <v>32</v>
      </c>
      <c r="AE36" s="62"/>
    </row>
    <row r="37" spans="1:31" s="130" customFormat="1" ht="165" x14ac:dyDescent="0.2">
      <c r="A37" s="15" t="s">
        <v>434</v>
      </c>
      <c r="B37" s="16" t="s">
        <v>435</v>
      </c>
      <c r="C37" s="17" t="s">
        <v>40</v>
      </c>
      <c r="D37" s="71" t="s">
        <v>75</v>
      </c>
      <c r="E37" s="71" t="s">
        <v>66</v>
      </c>
      <c r="F37" s="18">
        <f>VLOOKUP(טבלה13[[#This Row],[זיהוי]],'[1]Unsaved_15008758 (1)'!$A:$D,4,FALSE)</f>
        <v>47148</v>
      </c>
      <c r="G37" s="25">
        <v>47148</v>
      </c>
      <c r="H37" s="71" t="s">
        <v>19</v>
      </c>
      <c r="I37" s="72" t="str">
        <f>"WBS: " &amp; A37 &amp; CHAR(10) &amp;
"שם פרויקט: " &amp; B37 &amp; CHAR(10) &amp;
"מנה״פ: " &amp; D37 &amp; CHAR(10) &amp;
"יעד תכנית פיתוח: " &amp; TEXT(F37,"dd/mm/yyyy") &amp; CHAR(10) &amp;
"יעד מסתמן: " &amp; TEXT(G37,"dd/mm/yyyy")</f>
        <v>WBS: WBE-309
שם פרויקט: גילת-חח"י-הוספת 2 שנאי חח"י 50 מגו"א
מנה״פ: אלמארו זיאמר
יעד תכנית פיתוח: 30/01/2029
יעד מסתמן: 30/01/2029</v>
      </c>
      <c r="J37" s="127" t="s">
        <v>436</v>
      </c>
      <c r="K37" s="127" t="s">
        <v>436</v>
      </c>
      <c r="L37" s="127" t="s">
        <v>436</v>
      </c>
      <c r="M37" s="42" t="s">
        <v>437</v>
      </c>
      <c r="N37" s="42" t="s">
        <v>437</v>
      </c>
      <c r="O37" s="42" t="s">
        <v>438</v>
      </c>
      <c r="P37" s="42" t="s">
        <v>438</v>
      </c>
      <c r="Q37" s="42" t="s">
        <v>439</v>
      </c>
      <c r="R37" s="56" t="s">
        <v>440</v>
      </c>
      <c r="S37" s="56" t="s">
        <v>440</v>
      </c>
      <c r="T37" s="56" t="s">
        <v>441</v>
      </c>
      <c r="U37" s="56" t="s">
        <v>441</v>
      </c>
      <c r="V37" s="56" t="s">
        <v>442</v>
      </c>
      <c r="W37" s="56" t="s">
        <v>443</v>
      </c>
      <c r="X37" s="201" t="s">
        <v>444</v>
      </c>
      <c r="Y37" s="201" t="s">
        <v>444</v>
      </c>
      <c r="Z37" s="51"/>
      <c r="AA37" s="78"/>
      <c r="AB37" s="79"/>
      <c r="AC37" s="72"/>
      <c r="AD37" s="62"/>
      <c r="AE37" s="62"/>
    </row>
    <row r="38" spans="1:31" s="130" customFormat="1" ht="210" x14ac:dyDescent="0.2">
      <c r="A38" s="15" t="s">
        <v>445</v>
      </c>
      <c r="B38" s="16" t="s">
        <v>446</v>
      </c>
      <c r="C38" s="17" t="s">
        <v>40</v>
      </c>
      <c r="D38" s="71" t="s">
        <v>75</v>
      </c>
      <c r="E38" s="71" t="s">
        <v>66</v>
      </c>
      <c r="F38" s="18">
        <f>VLOOKUP(טבלה13[[#This Row],[זיהוי]],'[1]Unsaved_15008758 (1)'!$A:$D,4,FALSE)</f>
        <v>46387</v>
      </c>
      <c r="G38" s="25">
        <v>46387</v>
      </c>
      <c r="H38" s="71" t="s">
        <v>21</v>
      </c>
      <c r="I38" s="72" t="str">
        <f t="shared" si="0"/>
        <v>WBS: WBE-232
שם פרויקט: קרית המודיעין-הת' 2 שנאים 161/24ק'50 מגוו"א כ"א וסוללות קבלים
מנה״פ: אלמארו זיאמר
יעד תכנית פיתוח: 31/12/2026
יעד מסתמן: 31/12/2026</v>
      </c>
      <c r="J38" s="81" t="s">
        <v>447</v>
      </c>
      <c r="K38" s="81" t="s">
        <v>448</v>
      </c>
      <c r="L38" s="81" t="s">
        <v>449</v>
      </c>
      <c r="M38" s="81" t="s">
        <v>450</v>
      </c>
      <c r="N38" s="81" t="s">
        <v>451</v>
      </c>
      <c r="O38" s="81" t="s">
        <v>452</v>
      </c>
      <c r="P38" s="81" t="s">
        <v>453</v>
      </c>
      <c r="Q38" s="81" t="s">
        <v>453</v>
      </c>
      <c r="R38" s="160" t="s">
        <v>454</v>
      </c>
      <c r="S38" s="160" t="s">
        <v>455</v>
      </c>
      <c r="T38" s="160" t="s">
        <v>456</v>
      </c>
      <c r="U38" s="160" t="s">
        <v>457</v>
      </c>
      <c r="V38" s="160" t="s">
        <v>458</v>
      </c>
      <c r="W38" s="56" t="s">
        <v>459</v>
      </c>
      <c r="X38" s="201" t="s">
        <v>460</v>
      </c>
      <c r="Y38" s="201" t="s">
        <v>2252</v>
      </c>
      <c r="Z38" s="51" t="s">
        <v>461</v>
      </c>
      <c r="AA38" s="74" t="s">
        <v>68</v>
      </c>
      <c r="AB38" s="47"/>
      <c r="AC38" s="72"/>
      <c r="AD38" s="62"/>
      <c r="AE38" s="62" t="s">
        <v>209</v>
      </c>
    </row>
    <row r="39" spans="1:31" s="130" customFormat="1" ht="240" x14ac:dyDescent="0.2">
      <c r="A39" s="27" t="s">
        <v>462</v>
      </c>
      <c r="B39" s="26" t="s">
        <v>463</v>
      </c>
      <c r="C39" s="17" t="s">
        <v>40</v>
      </c>
      <c r="D39" s="71" t="s">
        <v>75</v>
      </c>
      <c r="E39" s="71" t="s">
        <v>66</v>
      </c>
      <c r="F39" s="18">
        <f>VLOOKUP(טבלה13[[#This Row],[זיהוי]],'[1]Unsaved_15008758 (1)'!$A:$D,4,FALSE)</f>
        <v>47848</v>
      </c>
      <c r="G39" s="25">
        <v>46751</v>
      </c>
      <c r="H39" s="71" t="s">
        <v>19</v>
      </c>
      <c r="I39" s="72" t="str">
        <f t="shared" si="0"/>
        <v>WBS: WBE-236
שם פרויקט: נתיבות-הקמת שדה קו 161 ק"ו חדש מס' 9 יכולת 3000 א'
מנה״פ: אלמארו זיאמר
יעד תכנית פיתוח: 31/12/2030
יעד מסתמן: 30/12/2027</v>
      </c>
      <c r="J39" s="81" t="s">
        <v>464</v>
      </c>
      <c r="K39" s="81" t="s">
        <v>464</v>
      </c>
      <c r="L39" s="81" t="s">
        <v>465</v>
      </c>
      <c r="M39" s="81" t="s">
        <v>465</v>
      </c>
      <c r="N39" s="81" t="s">
        <v>465</v>
      </c>
      <c r="O39" s="81" t="s">
        <v>466</v>
      </c>
      <c r="P39" s="81" t="s">
        <v>466</v>
      </c>
      <c r="Q39" s="81" t="s">
        <v>466</v>
      </c>
      <c r="R39" s="160" t="s">
        <v>466</v>
      </c>
      <c r="S39" s="160" t="s">
        <v>466</v>
      </c>
      <c r="T39" s="160" t="s">
        <v>466</v>
      </c>
      <c r="U39" s="160" t="s">
        <v>467</v>
      </c>
      <c r="V39" s="160" t="s">
        <v>468</v>
      </c>
      <c r="W39" s="56" t="s">
        <v>469</v>
      </c>
      <c r="X39" s="197" t="s">
        <v>470</v>
      </c>
      <c r="Y39" s="197" t="s">
        <v>2253</v>
      </c>
      <c r="Z39" s="81"/>
      <c r="AA39" s="73"/>
      <c r="AB39" s="47"/>
      <c r="AC39" s="72"/>
      <c r="AD39" s="62"/>
      <c r="AE39" s="62"/>
    </row>
    <row r="40" spans="1:31" s="130" customFormat="1" ht="99.75" customHeight="1" x14ac:dyDescent="0.2">
      <c r="A40" s="27" t="s">
        <v>471</v>
      </c>
      <c r="B40" s="26" t="s">
        <v>472</v>
      </c>
      <c r="C40" s="17" t="s">
        <v>473</v>
      </c>
      <c r="D40" s="71" t="s">
        <v>75</v>
      </c>
      <c r="E40" s="71" t="s">
        <v>66</v>
      </c>
      <c r="F40" s="18">
        <f>VLOOKUP(טבלה13[[#This Row],[זיהוי]],'[1]Unsaved_15008758 (1)'!$A:$D,4,FALSE)</f>
        <v>46387</v>
      </c>
      <c r="G40" s="18">
        <v>46387</v>
      </c>
      <c r="H40" s="71" t="s">
        <v>19</v>
      </c>
      <c r="I40" s="72" t="str">
        <f t="shared" si="0"/>
        <v>WBS: WBM-40525
שם פרויקט: נתיבות - שדרוג שדה 3 ליכולת 2000A
מנה״פ: אלמארו זיאמר
יעד תכנית פיתוח: 31/12/2026
יעד מסתמן: 31/12/2026</v>
      </c>
      <c r="J40" s="81" t="s">
        <v>474</v>
      </c>
      <c r="K40" s="81" t="s">
        <v>474</v>
      </c>
      <c r="L40" s="81" t="s">
        <v>475</v>
      </c>
      <c r="M40" s="81" t="s">
        <v>475</v>
      </c>
      <c r="N40" s="81" t="s">
        <v>475</v>
      </c>
      <c r="O40" s="81" t="s">
        <v>476</v>
      </c>
      <c r="P40" s="81" t="s">
        <v>477</v>
      </c>
      <c r="Q40" s="81" t="s">
        <v>477</v>
      </c>
      <c r="R40" s="160" t="s">
        <v>477</v>
      </c>
      <c r="S40" s="160" t="s">
        <v>477</v>
      </c>
      <c r="T40" s="160" t="s">
        <v>477</v>
      </c>
      <c r="U40" s="160" t="s">
        <v>467</v>
      </c>
      <c r="V40" s="160" t="s">
        <v>467</v>
      </c>
      <c r="W40" s="56" t="s">
        <v>478</v>
      </c>
      <c r="X40" s="197" t="s">
        <v>470</v>
      </c>
      <c r="Y40" s="197" t="s">
        <v>2253</v>
      </c>
      <c r="Z40" s="81"/>
      <c r="AA40" s="73"/>
      <c r="AB40" s="47"/>
      <c r="AC40" s="72"/>
      <c r="AD40" s="62"/>
      <c r="AE40" s="62"/>
    </row>
    <row r="41" spans="1:31" s="130" customFormat="1" ht="99.75" customHeight="1" x14ac:dyDescent="0.2">
      <c r="A41" s="27" t="s">
        <v>479</v>
      </c>
      <c r="B41" s="26" t="s">
        <v>480</v>
      </c>
      <c r="C41" s="17" t="s">
        <v>473</v>
      </c>
      <c r="D41" s="71" t="s">
        <v>75</v>
      </c>
      <c r="E41" s="71" t="s">
        <v>66</v>
      </c>
      <c r="F41" s="18">
        <v>46751</v>
      </c>
      <c r="G41" s="18">
        <v>46751</v>
      </c>
      <c r="H41" s="71" t="s">
        <v>19</v>
      </c>
      <c r="I41" s="72" t="str">
        <f t="shared" si="0"/>
        <v>WBS: WBM-70032
שם פרויקט: נתיבות - פירוק סוללת קבלים והתקנת 4 סוללות מודולריות  חדשות 
מנה״פ: אלמארו זיאמר
יעד תכנית פיתוח: 30/12/2027
יעד מסתמן: 30/12/2027</v>
      </c>
      <c r="J41" s="81" t="s">
        <v>481</v>
      </c>
      <c r="K41" s="81" t="s">
        <v>481</v>
      </c>
      <c r="L41" s="81" t="s">
        <v>482</v>
      </c>
      <c r="M41" s="81" t="s">
        <v>482</v>
      </c>
      <c r="N41" s="81" t="s">
        <v>482</v>
      </c>
      <c r="O41" s="81" t="s">
        <v>482</v>
      </c>
      <c r="P41" s="81" t="s">
        <v>482</v>
      </c>
      <c r="Q41" s="81" t="s">
        <v>482</v>
      </c>
      <c r="R41" s="160" t="s">
        <v>482</v>
      </c>
      <c r="S41" s="160" t="s">
        <v>482</v>
      </c>
      <c r="T41" s="160" t="s">
        <v>482</v>
      </c>
      <c r="U41" s="160" t="s">
        <v>482</v>
      </c>
      <c r="V41" s="160" t="s">
        <v>482</v>
      </c>
      <c r="W41" s="160" t="s">
        <v>482</v>
      </c>
      <c r="X41" s="202" t="s">
        <v>482</v>
      </c>
      <c r="Y41" s="202" t="s">
        <v>482</v>
      </c>
      <c r="Z41" s="82"/>
      <c r="AA41" s="73"/>
      <c r="AB41" s="47"/>
      <c r="AC41" s="72"/>
      <c r="AD41" s="62"/>
      <c r="AE41" s="62"/>
    </row>
    <row r="42" spans="1:31" s="130" customFormat="1" ht="195" x14ac:dyDescent="0.2">
      <c r="A42" s="15" t="s">
        <v>483</v>
      </c>
      <c r="B42" s="16" t="s">
        <v>484</v>
      </c>
      <c r="C42" s="17" t="s">
        <v>261</v>
      </c>
      <c r="D42" s="71" t="s">
        <v>75</v>
      </c>
      <c r="E42" s="71" t="s">
        <v>66</v>
      </c>
      <c r="F42" s="18">
        <f>VLOOKUP(טבלה13[[#This Row],[זיהוי]],'[1]Unsaved_15008758 (1)'!$A:$D,4,FALSE)</f>
        <v>46234</v>
      </c>
      <c r="G42" s="18">
        <v>46264</v>
      </c>
      <c r="H42" s="71" t="s">
        <v>19</v>
      </c>
      <c r="I42" s="72" t="str">
        <f t="shared" si="0"/>
        <v>WBS: WBD-093
שם פרויקט: ניר יצחק ניידת-הצבת 2 תחמ"ש ניידות
מנה״פ: אלמארו זיאמר
יעד תכנית פיתוח: 31/07/2026
יעד מסתמן: 30/08/2026</v>
      </c>
      <c r="J42" s="83" t="s">
        <v>485</v>
      </c>
      <c r="K42" s="83" t="s">
        <v>486</v>
      </c>
      <c r="L42" s="83" t="s">
        <v>486</v>
      </c>
      <c r="M42" s="83" t="s">
        <v>487</v>
      </c>
      <c r="N42" s="83" t="s">
        <v>488</v>
      </c>
      <c r="O42" s="83" t="s">
        <v>489</v>
      </c>
      <c r="P42" s="83" t="s">
        <v>490</v>
      </c>
      <c r="Q42" s="83" t="s">
        <v>491</v>
      </c>
      <c r="R42" s="161" t="s">
        <v>492</v>
      </c>
      <c r="S42" s="161" t="s">
        <v>493</v>
      </c>
      <c r="T42" s="161" t="s">
        <v>494</v>
      </c>
      <c r="U42" s="161" t="s">
        <v>494</v>
      </c>
      <c r="V42" s="161" t="s">
        <v>495</v>
      </c>
      <c r="W42" s="160" t="s">
        <v>496</v>
      </c>
      <c r="X42" s="122" t="s">
        <v>497</v>
      </c>
      <c r="Y42" s="122" t="s">
        <v>2254</v>
      </c>
      <c r="Z42" s="51" t="s">
        <v>498</v>
      </c>
      <c r="AA42" s="73" t="s">
        <v>68</v>
      </c>
      <c r="AB42" s="47"/>
      <c r="AC42" s="72"/>
      <c r="AD42" s="62" t="s">
        <v>32</v>
      </c>
      <c r="AE42" s="62"/>
    </row>
    <row r="43" spans="1:31" s="130" customFormat="1" ht="240" x14ac:dyDescent="0.2">
      <c r="A43" s="15" t="s">
        <v>499</v>
      </c>
      <c r="B43" s="16" t="s">
        <v>500</v>
      </c>
      <c r="C43" s="17" t="s">
        <v>33</v>
      </c>
      <c r="D43" s="71" t="s">
        <v>75</v>
      </c>
      <c r="E43" s="71" t="s">
        <v>66</v>
      </c>
      <c r="F43" s="18">
        <f>VLOOKUP(טבלה13[[#This Row],[זיהוי]],'[1]Unsaved_15008758 (1)'!$A:$D,4,FALSE)</f>
        <v>46691</v>
      </c>
      <c r="G43" s="25">
        <v>46630</v>
      </c>
      <c r="H43" s="71" t="s">
        <v>46</v>
      </c>
      <c r="I43" s="72" t="str">
        <f t="shared" si="0"/>
        <v>WBS: WBC-122
שם פרויקט: ניר יצחק-הקמת תחמ"ש חיצונית ו- 2 שלבים
מנה״פ: אלמארו זיאמר
יעד תכנית פיתוח: 31/10/2027
יעד מסתמן: 31/08/2027</v>
      </c>
      <c r="J43" s="83" t="s">
        <v>501</v>
      </c>
      <c r="K43" s="83" t="s">
        <v>502</v>
      </c>
      <c r="L43" s="83" t="s">
        <v>502</v>
      </c>
      <c r="M43" s="83" t="s">
        <v>502</v>
      </c>
      <c r="N43" s="83" t="s">
        <v>502</v>
      </c>
      <c r="O43" s="83" t="s">
        <v>503</v>
      </c>
      <c r="P43" s="83" t="s">
        <v>503</v>
      </c>
      <c r="Q43" s="83" t="s">
        <v>504</v>
      </c>
      <c r="R43" s="161" t="s">
        <v>504</v>
      </c>
      <c r="S43" s="161" t="s">
        <v>505</v>
      </c>
      <c r="T43" s="161" t="s">
        <v>505</v>
      </c>
      <c r="U43" s="161" t="s">
        <v>506</v>
      </c>
      <c r="V43" s="161" t="s">
        <v>506</v>
      </c>
      <c r="W43" s="160" t="s">
        <v>507</v>
      </c>
      <c r="X43" s="122" t="s">
        <v>506</v>
      </c>
      <c r="Y43" s="122" t="s">
        <v>2255</v>
      </c>
      <c r="Z43" s="51" t="s">
        <v>508</v>
      </c>
      <c r="AA43" s="74"/>
      <c r="AB43" s="47"/>
      <c r="AC43" s="72"/>
      <c r="AD43" s="62"/>
      <c r="AE43" s="62" t="s">
        <v>146</v>
      </c>
    </row>
    <row r="44" spans="1:31" s="130" customFormat="1" ht="165" x14ac:dyDescent="0.2">
      <c r="A44" s="15" t="s">
        <v>509</v>
      </c>
      <c r="B44" s="16" t="s">
        <v>510</v>
      </c>
      <c r="C44" s="17" t="s">
        <v>33</v>
      </c>
      <c r="D44" s="71" t="s">
        <v>75</v>
      </c>
      <c r="E44" s="71" t="s">
        <v>66</v>
      </c>
      <c r="F44" s="18">
        <f>VLOOKUP(טבלה13[[#This Row],[זיהוי]],'[1]Unsaved_15008758 (1)'!$A:$D,4,FALSE)</f>
        <v>46690</v>
      </c>
      <c r="G44" s="25">
        <v>46688</v>
      </c>
      <c r="H44" s="71" t="s">
        <v>19</v>
      </c>
      <c r="I44" s="72" t="str">
        <f t="shared" si="0"/>
        <v>WBS: WBC-083
שם פרויקט: בית הגדי- הקמת תחמ"ש חיצונית 161/24 ק"ו
מנה״פ: אלמארו זיאמר
יעד תכנית פיתוח: 30/10/2027
יעד מסתמן: 28/10/2027</v>
      </c>
      <c r="J44" s="84" t="s">
        <v>511</v>
      </c>
      <c r="K44" s="84" t="s">
        <v>511</v>
      </c>
      <c r="L44" s="84" t="s">
        <v>512</v>
      </c>
      <c r="M44" s="84" t="s">
        <v>513</v>
      </c>
      <c r="N44" s="84" t="s">
        <v>514</v>
      </c>
      <c r="O44" s="84" t="s">
        <v>514</v>
      </c>
      <c r="P44" s="84" t="s">
        <v>515</v>
      </c>
      <c r="Q44" s="84" t="s">
        <v>516</v>
      </c>
      <c r="R44" s="162" t="s">
        <v>517</v>
      </c>
      <c r="S44" s="162" t="s">
        <v>517</v>
      </c>
      <c r="T44" s="162" t="s">
        <v>518</v>
      </c>
      <c r="U44" s="162" t="s">
        <v>519</v>
      </c>
      <c r="V44" s="189" t="s">
        <v>520</v>
      </c>
      <c r="W44" s="56" t="s">
        <v>521</v>
      </c>
      <c r="X44" s="201" t="s">
        <v>522</v>
      </c>
      <c r="Y44" s="201" t="s">
        <v>2256</v>
      </c>
      <c r="Z44" s="82"/>
      <c r="AA44" s="74"/>
      <c r="AB44" s="47"/>
      <c r="AC44" s="72"/>
      <c r="AD44" s="62"/>
      <c r="AE44" s="62" t="s">
        <v>146</v>
      </c>
    </row>
    <row r="45" spans="1:31" s="130" customFormat="1" ht="150" x14ac:dyDescent="0.2">
      <c r="A45" s="135" t="s">
        <v>523</v>
      </c>
      <c r="B45" s="134" t="s">
        <v>524</v>
      </c>
      <c r="C45" s="17" t="s">
        <v>40</v>
      </c>
      <c r="D45" s="71" t="s">
        <v>75</v>
      </c>
      <c r="E45" s="71" t="s">
        <v>66</v>
      </c>
      <c r="F45" s="18">
        <f>VLOOKUP(טבלה13[[#This Row],[זיהוי]],'[1]Unsaved_15008758 (1)'!$A:$D,4,FALSE)</f>
        <v>46964</v>
      </c>
      <c r="G45" s="25">
        <v>47139</v>
      </c>
      <c r="H45" s="71" t="s">
        <v>20</v>
      </c>
      <c r="I45" s="72" t="str">
        <f>"WBS: " &amp; A45 &amp; CHAR(10) &amp;
"שם פרויקט: " &amp; B45 &amp; CHAR(10) &amp;
"מנה״פ: " &amp; D45 &amp; CHAR(10) &amp;
"יעד תכנית פיתוח: " &amp; TEXT(F45,"dd/mm/yyyy") &amp; CHAR(10) &amp;
"יעד מסתמן: " &amp; TEXT(G45,"dd/mm/yyyy")</f>
        <v>WBS: WBE-310
שם פרויקט: יפתח-הוספת 2 שנאי חח"י 50 מגו"א
מנה״פ: אלמארו זיאמר
יעד תכנית פיתוח: 30/07/2028
יעד מסתמן: 21/01/2029</v>
      </c>
      <c r="J45" s="31"/>
      <c r="K45" s="31"/>
      <c r="L45" s="31" t="s">
        <v>525</v>
      </c>
      <c r="M45" s="31" t="s">
        <v>526</v>
      </c>
      <c r="N45" s="31" t="s">
        <v>526</v>
      </c>
      <c r="O45" s="31" t="s">
        <v>527</v>
      </c>
      <c r="P45" s="31" t="s">
        <v>528</v>
      </c>
      <c r="Q45" s="31" t="s">
        <v>528</v>
      </c>
      <c r="R45" s="157" t="s">
        <v>529</v>
      </c>
      <c r="S45" s="157" t="s">
        <v>529</v>
      </c>
      <c r="T45" s="157" t="s">
        <v>530</v>
      </c>
      <c r="U45" s="157" t="s">
        <v>530</v>
      </c>
      <c r="V45" s="157" t="s">
        <v>530</v>
      </c>
      <c r="W45" s="190" t="s">
        <v>531</v>
      </c>
      <c r="X45" s="203" t="s">
        <v>530</v>
      </c>
      <c r="Y45" s="203" t="s">
        <v>2257</v>
      </c>
      <c r="Z45" s="51"/>
      <c r="AA45" s="78"/>
      <c r="AB45" s="79"/>
      <c r="AC45" s="72"/>
      <c r="AD45" s="62"/>
      <c r="AE45" s="62"/>
    </row>
    <row r="46" spans="1:31" s="130" customFormat="1" ht="135" x14ac:dyDescent="0.2">
      <c r="A46" s="15" t="s">
        <v>532</v>
      </c>
      <c r="B46" s="16" t="s">
        <v>533</v>
      </c>
      <c r="C46" s="17" t="s">
        <v>40</v>
      </c>
      <c r="D46" s="71" t="s">
        <v>75</v>
      </c>
      <c r="E46" s="71" t="s">
        <v>66</v>
      </c>
      <c r="F46" s="18">
        <f>VLOOKUP(טבלה13[[#This Row],[זיהוי]],'[1]Unsaved_15008758 (1)'!$A:$D,4,FALSE)</f>
        <v>46934</v>
      </c>
      <c r="G46" s="25">
        <v>46751</v>
      </c>
      <c r="H46" s="71" t="s">
        <v>46</v>
      </c>
      <c r="I46" s="72" t="str">
        <f t="shared" si="0"/>
        <v>WBS: WBE-177
שם פרויקט: אורים -חח"י-הוספת 2 שנאים 50 מגוו"א
מנה״פ: אלמארו זיאמר
יעד תכנית פיתוח: 30/06/2028
יעד מסתמן: 30/12/2027</v>
      </c>
      <c r="J46" s="82" t="s">
        <v>534</v>
      </c>
      <c r="K46" s="82" t="s">
        <v>534</v>
      </c>
      <c r="L46" s="82" t="s">
        <v>535</v>
      </c>
      <c r="M46" s="82" t="s">
        <v>536</v>
      </c>
      <c r="N46" s="82" t="s">
        <v>537</v>
      </c>
      <c r="O46" s="82" t="s">
        <v>537</v>
      </c>
      <c r="P46" s="82" t="s">
        <v>538</v>
      </c>
      <c r="Q46" s="82" t="s">
        <v>538</v>
      </c>
      <c r="R46" s="163" t="s">
        <v>539</v>
      </c>
      <c r="S46" s="163" t="s">
        <v>539</v>
      </c>
      <c r="T46" s="163" t="s">
        <v>540</v>
      </c>
      <c r="U46" s="163" t="s">
        <v>540</v>
      </c>
      <c r="V46" s="163" t="s">
        <v>540</v>
      </c>
      <c r="W46" s="162" t="s">
        <v>541</v>
      </c>
      <c r="X46" s="122" t="s">
        <v>540</v>
      </c>
      <c r="Y46" s="122" t="s">
        <v>540</v>
      </c>
      <c r="Z46" s="82"/>
      <c r="AA46" s="74"/>
      <c r="AB46" s="47"/>
      <c r="AC46" s="72"/>
      <c r="AD46" s="62"/>
      <c r="AE46" s="62" t="s">
        <v>209</v>
      </c>
    </row>
    <row r="47" spans="1:31" s="130" customFormat="1" ht="105" x14ac:dyDescent="0.2">
      <c r="A47" s="19" t="s">
        <v>542</v>
      </c>
      <c r="B47" s="20" t="s">
        <v>543</v>
      </c>
      <c r="C47" s="17" t="s">
        <v>40</v>
      </c>
      <c r="D47" s="71" t="s">
        <v>65</v>
      </c>
      <c r="E47" s="71" t="s">
        <v>62</v>
      </c>
      <c r="F47" s="18">
        <f>VLOOKUP(טבלה13[[#This Row],[זיהוי]],'[1]Unsaved_15008758 (1)'!$A:$D,4,FALSE)</f>
        <v>47664</v>
      </c>
      <c r="G47" s="25">
        <v>46751</v>
      </c>
      <c r="H47" s="71" t="s">
        <v>20</v>
      </c>
      <c r="I47" s="72" t="str">
        <f t="shared" si="0"/>
        <v>WBS: WBE-237
שם פרויקט: אופקים-הקמת שדה קו 161 ק"ו (מס' 1)
מנה״פ: אוריאל שטרית 
יעד תכנית פיתוח: 30/06/2030
יעד מסתמן: 30/12/2027</v>
      </c>
      <c r="J47" s="83" t="s">
        <v>544</v>
      </c>
      <c r="K47" s="83" t="s">
        <v>544</v>
      </c>
      <c r="L47" s="83" t="s">
        <v>545</v>
      </c>
      <c r="M47" s="83" t="s">
        <v>545</v>
      </c>
      <c r="N47" s="83" t="s">
        <v>545</v>
      </c>
      <c r="O47" s="83" t="s">
        <v>545</v>
      </c>
      <c r="P47" s="83" t="s">
        <v>545</v>
      </c>
      <c r="Q47" s="83" t="s">
        <v>545</v>
      </c>
      <c r="R47" s="161" t="s">
        <v>545</v>
      </c>
      <c r="S47" s="161" t="s">
        <v>545</v>
      </c>
      <c r="T47" s="161" t="s">
        <v>545</v>
      </c>
      <c r="U47" s="161" t="s">
        <v>546</v>
      </c>
      <c r="V47" s="161" t="s">
        <v>546</v>
      </c>
      <c r="W47" s="161" t="s">
        <v>547</v>
      </c>
      <c r="X47" s="204" t="s">
        <v>548</v>
      </c>
      <c r="Y47" s="204" t="s">
        <v>548</v>
      </c>
      <c r="Z47" s="82"/>
      <c r="AA47" s="73"/>
      <c r="AB47" s="47"/>
      <c r="AC47" s="72"/>
      <c r="AD47" s="62"/>
      <c r="AE47" s="62"/>
    </row>
    <row r="48" spans="1:31" s="130" customFormat="1" ht="120" x14ac:dyDescent="0.2">
      <c r="A48" s="15" t="s">
        <v>549</v>
      </c>
      <c r="B48" s="16" t="s">
        <v>550</v>
      </c>
      <c r="C48" s="17" t="s">
        <v>40</v>
      </c>
      <c r="D48" s="71" t="s">
        <v>65</v>
      </c>
      <c r="E48" s="71" t="s">
        <v>62</v>
      </c>
      <c r="F48" s="18">
        <f>VLOOKUP(טבלה13[[#This Row],[זיהוי]],'[1]Unsaved_15008758 (1)'!$A:$D,4,FALSE)</f>
        <v>47118</v>
      </c>
      <c r="G48" s="25">
        <v>46933</v>
      </c>
      <c r="H48" s="71" t="s">
        <v>20</v>
      </c>
      <c r="I48" s="72" t="str">
        <f t="shared" si="0"/>
        <v>WBS: WBE-210
שם פרויקט: אופקים-הוספת שנאי רביעי ( 524) 50 מגוו"א
מנה״פ: אוריאל שטרית 
יעד תכנית פיתוח: 31/12/2028
יעד מסתמן: 29/06/2028</v>
      </c>
      <c r="J48" s="83" t="s">
        <v>544</v>
      </c>
      <c r="K48" s="83" t="s">
        <v>544</v>
      </c>
      <c r="L48" s="83" t="s">
        <v>551</v>
      </c>
      <c r="M48" s="83" t="s">
        <v>545</v>
      </c>
      <c r="N48" s="83" t="s">
        <v>545</v>
      </c>
      <c r="O48" s="83" t="s">
        <v>545</v>
      </c>
      <c r="P48" s="83" t="s">
        <v>545</v>
      </c>
      <c r="Q48" s="83" t="s">
        <v>545</v>
      </c>
      <c r="R48" s="161" t="s">
        <v>545</v>
      </c>
      <c r="S48" s="161" t="s">
        <v>545</v>
      </c>
      <c r="T48" s="161" t="s">
        <v>545</v>
      </c>
      <c r="U48" s="161" t="s">
        <v>546</v>
      </c>
      <c r="V48" s="161" t="s">
        <v>546</v>
      </c>
      <c r="W48" s="161" t="s">
        <v>547</v>
      </c>
      <c r="X48" s="204" t="s">
        <v>548</v>
      </c>
      <c r="Y48" s="204" t="s">
        <v>548</v>
      </c>
      <c r="Z48" s="82" t="s">
        <v>552</v>
      </c>
      <c r="AA48" s="74" t="s">
        <v>64</v>
      </c>
      <c r="AB48" s="47"/>
      <c r="AC48" s="72"/>
      <c r="AD48" s="62"/>
      <c r="AE48" s="62"/>
    </row>
    <row r="49" spans="1:31" s="130" customFormat="1" ht="180" x14ac:dyDescent="0.2">
      <c r="A49" s="15" t="s">
        <v>553</v>
      </c>
      <c r="B49" s="16" t="s">
        <v>554</v>
      </c>
      <c r="C49" s="17" t="s">
        <v>40</v>
      </c>
      <c r="D49" s="71" t="s">
        <v>77</v>
      </c>
      <c r="E49" s="71" t="s">
        <v>72</v>
      </c>
      <c r="F49" s="18">
        <f>VLOOKUP(טבלה13[[#This Row],[זיהוי]],'[1]Unsaved_15008758 (1)'!$A:$D,4,FALSE)</f>
        <v>46688</v>
      </c>
      <c r="G49" s="18" t="s">
        <v>555</v>
      </c>
      <c r="H49" s="71" t="s">
        <v>21</v>
      </c>
      <c r="I49" s="72" t="str">
        <f t="shared" si="0"/>
        <v>WBS: WBE-018
שם פרויקט: ת"א צפון-החלפת 2 שנאים 50  ל- 75 מגוו"א
מנה״פ: ארליך-בקיש, רחלי
יעד תכנית פיתוח: 28/10/2027
יעד מסתמן: שנאי 1 - 31/06/27
שנאי 2 - 31/10/27</v>
      </c>
      <c r="J49" s="11" t="s">
        <v>556</v>
      </c>
      <c r="K49" s="11" t="s">
        <v>557</v>
      </c>
      <c r="L49" s="11" t="s">
        <v>557</v>
      </c>
      <c r="M49" s="11" t="s">
        <v>557</v>
      </c>
      <c r="N49" s="11" t="s">
        <v>557</v>
      </c>
      <c r="O49" s="11" t="s">
        <v>557</v>
      </c>
      <c r="P49" s="11" t="s">
        <v>557</v>
      </c>
      <c r="Q49" s="11" t="s">
        <v>557</v>
      </c>
      <c r="R49" s="164" t="s">
        <v>557</v>
      </c>
      <c r="S49" s="164" t="s">
        <v>557</v>
      </c>
      <c r="T49" s="164" t="s">
        <v>557</v>
      </c>
      <c r="U49" s="164" t="s">
        <v>557</v>
      </c>
      <c r="V49" s="164" t="s">
        <v>557</v>
      </c>
      <c r="W49" s="164" t="s">
        <v>557</v>
      </c>
      <c r="X49" s="205" t="s">
        <v>558</v>
      </c>
      <c r="Y49" s="205" t="s">
        <v>2258</v>
      </c>
      <c r="Z49" s="51"/>
      <c r="AA49" s="73"/>
      <c r="AB49" s="47"/>
      <c r="AC49" s="72"/>
      <c r="AD49" s="62"/>
      <c r="AE49" s="62"/>
    </row>
    <row r="50" spans="1:31" s="130" customFormat="1" ht="150" x14ac:dyDescent="0.2">
      <c r="A50" s="15" t="s">
        <v>559</v>
      </c>
      <c r="B50" s="16" t="s">
        <v>560</v>
      </c>
      <c r="C50" s="17" t="s">
        <v>261</v>
      </c>
      <c r="D50" s="71" t="s">
        <v>77</v>
      </c>
      <c r="E50" s="71" t="s">
        <v>72</v>
      </c>
      <c r="F50" s="18">
        <f>VLOOKUP(טבלה13[[#This Row],[זיהוי]],'[1]Unsaved_15008758 (1)'!$A:$D,4,FALSE)</f>
        <v>46752</v>
      </c>
      <c r="G50" s="18" t="s">
        <v>561</v>
      </c>
      <c r="H50" s="71" t="s">
        <v>19</v>
      </c>
      <c r="I50" s="72" t="str">
        <f t="shared" si="0"/>
        <v>WBS: WBD-119
שם פרויקט: שערי עכו- הצבת 2 תחמ"ש ניידות, 30 מגוו"ט כ"א
מנה״פ: ארליך-בקיש, רחלי
יעד תכנית פיתוח: 31/12/2027
יעד מסתמן: 04/2027 ניידת 1 
11/2027 ניידת 2</v>
      </c>
      <c r="J50" s="51" t="s">
        <v>562</v>
      </c>
      <c r="K50" s="51" t="s">
        <v>562</v>
      </c>
      <c r="L50" s="51" t="s">
        <v>562</v>
      </c>
      <c r="M50" s="51" t="s">
        <v>562</v>
      </c>
      <c r="N50" s="51" t="s">
        <v>562</v>
      </c>
      <c r="O50" s="51" t="s">
        <v>562</v>
      </c>
      <c r="P50" s="51" t="s">
        <v>562</v>
      </c>
      <c r="Q50" s="75" t="s">
        <v>563</v>
      </c>
      <c r="R50" s="57" t="s">
        <v>563</v>
      </c>
      <c r="S50" s="57" t="s">
        <v>563</v>
      </c>
      <c r="T50" s="60" t="s">
        <v>564</v>
      </c>
      <c r="U50" s="186" t="s">
        <v>565</v>
      </c>
      <c r="V50" s="186" t="s">
        <v>565</v>
      </c>
      <c r="W50" s="186" t="s">
        <v>566</v>
      </c>
      <c r="X50" s="186" t="s">
        <v>567</v>
      </c>
      <c r="Y50" s="186" t="s">
        <v>567</v>
      </c>
      <c r="Z50" s="51" t="s">
        <v>568</v>
      </c>
      <c r="AA50" s="73" t="s">
        <v>44</v>
      </c>
      <c r="AB50" s="47"/>
      <c r="AC50" s="72"/>
      <c r="AD50" s="62"/>
      <c r="AE50" s="62" t="s">
        <v>209</v>
      </c>
    </row>
    <row r="51" spans="1:31" s="130" customFormat="1" ht="150" x14ac:dyDescent="0.2">
      <c r="A51" s="15" t="s">
        <v>569</v>
      </c>
      <c r="B51" s="16" t="s">
        <v>570</v>
      </c>
      <c r="C51" s="17" t="s">
        <v>40</v>
      </c>
      <c r="D51" s="71" t="s">
        <v>77</v>
      </c>
      <c r="E51" s="71" t="s">
        <v>72</v>
      </c>
      <c r="F51" s="18">
        <f>VLOOKUP(טבלה13[[#This Row],[זיהוי]],'[1]Unsaved_15008758 (1)'!$A:$D,4,FALSE)</f>
        <v>46387</v>
      </c>
      <c r="G51" s="25">
        <v>46295</v>
      </c>
      <c r="H51" s="71" t="s">
        <v>42</v>
      </c>
      <c r="I51" s="72" t="str">
        <f t="shared" si="0"/>
        <v>WBS: WBE-282
שם פרויקט: שירת הדבורה-חח"י – התקנת שנאי שלישי 161/24 ק"ו, 50 מגוו"א מס' 523
מנה״פ: ארליך-בקיש, רחלי
יעד תכנית פיתוח: 31/12/2026
יעד מסתמן: 30/09/2026</v>
      </c>
      <c r="J51" s="51" t="s">
        <v>571</v>
      </c>
      <c r="K51" s="51" t="s">
        <v>571</v>
      </c>
      <c r="L51" s="51" t="s">
        <v>571</v>
      </c>
      <c r="M51" s="51" t="s">
        <v>571</v>
      </c>
      <c r="N51" s="51" t="s">
        <v>572</v>
      </c>
      <c r="O51" s="51" t="s">
        <v>573</v>
      </c>
      <c r="P51" s="51" t="s">
        <v>573</v>
      </c>
      <c r="Q51" s="51" t="s">
        <v>574</v>
      </c>
      <c r="R51" s="76" t="s">
        <v>575</v>
      </c>
      <c r="S51" s="76" t="s">
        <v>576</v>
      </c>
      <c r="T51" s="76" t="s">
        <v>576</v>
      </c>
      <c r="U51" s="76" t="s">
        <v>577</v>
      </c>
      <c r="V51" s="76" t="s">
        <v>578</v>
      </c>
      <c r="W51" s="76" t="s">
        <v>579</v>
      </c>
      <c r="X51" s="198" t="s">
        <v>580</v>
      </c>
      <c r="Y51" s="76" t="s">
        <v>2259</v>
      </c>
      <c r="Z51" s="51" t="s">
        <v>581</v>
      </c>
      <c r="AA51" s="73" t="s">
        <v>44</v>
      </c>
      <c r="AB51" s="85"/>
      <c r="AC51" s="72"/>
      <c r="AD51" s="62"/>
      <c r="AE51" s="62" t="s">
        <v>146</v>
      </c>
    </row>
    <row r="52" spans="1:31" s="130" customFormat="1" ht="180" x14ac:dyDescent="0.2">
      <c r="A52" s="15" t="s">
        <v>582</v>
      </c>
      <c r="B52" s="16" t="s">
        <v>583</v>
      </c>
      <c r="C52" s="17" t="s">
        <v>40</v>
      </c>
      <c r="D52" s="71" t="s">
        <v>77</v>
      </c>
      <c r="E52" s="71" t="s">
        <v>72</v>
      </c>
      <c r="F52" s="18">
        <f>VLOOKUP(טבלה13[[#This Row],[זיהוי]],'[1]Unsaved_15008758 (1)'!$A:$D,4,FALSE)</f>
        <v>45995</v>
      </c>
      <c r="G52" s="18" t="s">
        <v>584</v>
      </c>
      <c r="H52" s="71" t="s">
        <v>23</v>
      </c>
      <c r="I52" s="72" t="str">
        <f t="shared" si="0"/>
        <v xml:space="preserve">WBS: WBE-167
שם פרויקט: שירת דבורה - תחמ"ש -הוספת 2 שנאי חח"י 50 מו"א
מנה״פ: ארליך-בקיש, רחלי
יעד תכנית פיתוח: 04/12/2025
יעד מסתמן: חושמל 04/12/2025 </v>
      </c>
      <c r="J52" s="51" t="s">
        <v>585</v>
      </c>
      <c r="K52" s="51" t="s">
        <v>586</v>
      </c>
      <c r="L52" s="51" t="s">
        <v>586</v>
      </c>
      <c r="M52" s="51" t="s">
        <v>586</v>
      </c>
      <c r="N52" s="51" t="s">
        <v>586</v>
      </c>
      <c r="O52" s="51" t="s">
        <v>587</v>
      </c>
      <c r="P52" s="51" t="s">
        <v>588</v>
      </c>
      <c r="Q52" s="51" t="s">
        <v>589</v>
      </c>
      <c r="R52" s="76" t="s">
        <v>589</v>
      </c>
      <c r="S52" s="76" t="s">
        <v>589</v>
      </c>
      <c r="T52" s="76" t="s">
        <v>589</v>
      </c>
      <c r="U52" s="76" t="s">
        <v>589</v>
      </c>
      <c r="V52" s="76" t="s">
        <v>590</v>
      </c>
      <c r="W52" s="76" t="s">
        <v>591</v>
      </c>
      <c r="X52" s="198" t="s">
        <v>592</v>
      </c>
      <c r="Y52" s="198" t="s">
        <v>2260</v>
      </c>
      <c r="Z52" s="51"/>
      <c r="AA52" s="73"/>
      <c r="AB52" s="47"/>
      <c r="AC52" s="72"/>
      <c r="AD52" s="62"/>
      <c r="AE52" s="62"/>
    </row>
    <row r="53" spans="1:31" s="130" customFormat="1" ht="150" x14ac:dyDescent="0.2">
      <c r="A53" s="15" t="s">
        <v>593</v>
      </c>
      <c r="B53" s="16" t="s">
        <v>594</v>
      </c>
      <c r="C53" s="17" t="s">
        <v>40</v>
      </c>
      <c r="D53" s="71" t="s">
        <v>77</v>
      </c>
      <c r="E53" s="71" t="s">
        <v>72</v>
      </c>
      <c r="F53" s="18">
        <f>VLOOKUP(טבלה13[[#This Row],[זיהוי]],'[1]Unsaved_15008758 (1)'!$A:$D,4,FALSE)</f>
        <v>46090</v>
      </c>
      <c r="G53" s="18" t="s">
        <v>595</v>
      </c>
      <c r="H53" s="71" t="s">
        <v>85</v>
      </c>
      <c r="I53" s="72" t="str">
        <f t="shared" si="0"/>
        <v>WBS: WBE-229
שם פרויקט: קצרין- רב שלבי-החלפת 3 ניידות 20 מגוו"א ל2 שנאים 50 מגוו"א
מנה״פ: ארליך-בקיש, רחלי
יעד תכנית פיתוח: 09/03/2026
יעד מסתמן: בוצע  ב 11/3 חושמלו הקווים ונותקו מהניידת</v>
      </c>
      <c r="J53" s="51" t="s">
        <v>596</v>
      </c>
      <c r="K53" s="51" t="s">
        <v>597</v>
      </c>
      <c r="L53" s="51" t="s">
        <v>598</v>
      </c>
      <c r="M53" s="51" t="s">
        <v>598</v>
      </c>
      <c r="N53" s="51" t="s">
        <v>599</v>
      </c>
      <c r="O53" s="51" t="s">
        <v>600</v>
      </c>
      <c r="P53" s="51" t="s">
        <v>600</v>
      </c>
      <c r="Q53" s="51" t="s">
        <v>601</v>
      </c>
      <c r="R53" s="76" t="s">
        <v>601</v>
      </c>
      <c r="S53" s="76" t="s">
        <v>601</v>
      </c>
      <c r="T53" s="76" t="s">
        <v>602</v>
      </c>
      <c r="U53" s="76" t="s">
        <v>602</v>
      </c>
      <c r="V53" s="76" t="s">
        <v>602</v>
      </c>
      <c r="W53" s="76" t="s">
        <v>602</v>
      </c>
      <c r="X53" s="198" t="s">
        <v>602</v>
      </c>
      <c r="Y53" s="198" t="s">
        <v>602</v>
      </c>
      <c r="Z53" s="52"/>
      <c r="AA53" s="73"/>
      <c r="AB53" s="47"/>
      <c r="AC53" s="72"/>
      <c r="AD53" s="62"/>
      <c r="AE53" s="62"/>
    </row>
    <row r="54" spans="1:31" s="130" customFormat="1" ht="165" x14ac:dyDescent="0.2">
      <c r="A54" s="15" t="s">
        <v>603</v>
      </c>
      <c r="B54" s="16" t="s">
        <v>604</v>
      </c>
      <c r="C54" s="17" t="s">
        <v>40</v>
      </c>
      <c r="D54" s="71" t="s">
        <v>77</v>
      </c>
      <c r="E54" s="71" t="s">
        <v>72</v>
      </c>
      <c r="F54" s="18">
        <f>VLOOKUP(טבלה13[[#This Row],[זיהוי]],'[1]Unsaved_15008758 (1)'!$A:$D,4,FALSE)</f>
        <v>46752</v>
      </c>
      <c r="G54" s="25">
        <v>47238</v>
      </c>
      <c r="H54" s="71" t="s">
        <v>19</v>
      </c>
      <c r="I54" s="72" t="str">
        <f t="shared" si="0"/>
        <v>WBS: WBE-100
שם פרויקט: נייר חדרה - שידרוג התחמ"ש
מנה״פ: ארליך-בקיש, רחלי
יעד תכנית פיתוח: 31/12/2027
יעד מסתמן: 30/04/2029</v>
      </c>
      <c r="J54" s="51" t="s">
        <v>605</v>
      </c>
      <c r="K54" s="51" t="s">
        <v>605</v>
      </c>
      <c r="L54" s="51" t="s">
        <v>605</v>
      </c>
      <c r="M54" s="51" t="s">
        <v>605</v>
      </c>
      <c r="N54" s="51" t="s">
        <v>605</v>
      </c>
      <c r="O54" s="51" t="s">
        <v>605</v>
      </c>
      <c r="P54" s="51" t="s">
        <v>605</v>
      </c>
      <c r="Q54" s="51" t="s">
        <v>606</v>
      </c>
      <c r="R54" s="76" t="s">
        <v>607</v>
      </c>
      <c r="S54" s="76" t="s">
        <v>607</v>
      </c>
      <c r="T54" s="76" t="s">
        <v>607</v>
      </c>
      <c r="U54" s="76" t="s">
        <v>607</v>
      </c>
      <c r="V54" s="76" t="s">
        <v>608</v>
      </c>
      <c r="W54" s="76" t="s">
        <v>609</v>
      </c>
      <c r="X54" s="198" t="s">
        <v>610</v>
      </c>
      <c r="Y54" s="198" t="s">
        <v>610</v>
      </c>
      <c r="Z54" s="51"/>
      <c r="AA54" s="73"/>
      <c r="AB54" s="47"/>
      <c r="AC54" s="72"/>
      <c r="AD54" s="62"/>
      <c r="AE54" s="62"/>
    </row>
    <row r="55" spans="1:31" s="130" customFormat="1" ht="179.25" customHeight="1" x14ac:dyDescent="0.2">
      <c r="A55" s="15" t="s">
        <v>611</v>
      </c>
      <c r="B55" s="16" t="s">
        <v>612</v>
      </c>
      <c r="C55" s="17" t="s">
        <v>40</v>
      </c>
      <c r="D55" s="71" t="s">
        <v>77</v>
      </c>
      <c r="E55" s="71" t="s">
        <v>72</v>
      </c>
      <c r="F55" s="18">
        <f>VLOOKUP(טבלה13[[#This Row],[זיהוי]],'[1]Unsaved_15008758 (1)'!$A:$D,4,FALSE)</f>
        <v>46752</v>
      </c>
      <c r="G55" s="25">
        <v>46336</v>
      </c>
      <c r="H55" s="71" t="s">
        <v>21</v>
      </c>
      <c r="I55" s="72" t="str">
        <f t="shared" si="0"/>
        <v>WBS: WBE-249
שם פרויקט: יאסיף-התקנת שני שנאים בהספק 50 מגו"א כ"א
מנה״פ: ארליך-בקיש, רחלי
יעד תכנית פיתוח: 31/12/2027
יעד מסתמן: 10/11/2026</v>
      </c>
      <c r="J55" s="51" t="s">
        <v>613</v>
      </c>
      <c r="K55" s="51" t="s">
        <v>613</v>
      </c>
      <c r="L55" s="51" t="s">
        <v>614</v>
      </c>
      <c r="M55" s="51" t="s">
        <v>615</v>
      </c>
      <c r="N55" s="51" t="s">
        <v>616</v>
      </c>
      <c r="O55" s="51" t="s">
        <v>617</v>
      </c>
      <c r="P55" s="51" t="s">
        <v>618</v>
      </c>
      <c r="Q55" s="51" t="s">
        <v>619</v>
      </c>
      <c r="R55" s="76" t="s">
        <v>620</v>
      </c>
      <c r="S55" s="76" t="s">
        <v>620</v>
      </c>
      <c r="T55" s="76" t="s">
        <v>621</v>
      </c>
      <c r="U55" s="76" t="s">
        <v>622</v>
      </c>
      <c r="V55" s="76" t="s">
        <v>623</v>
      </c>
      <c r="W55" s="76" t="s">
        <v>624</v>
      </c>
      <c r="X55" s="198" t="s">
        <v>625</v>
      </c>
      <c r="Y55" s="198" t="s">
        <v>2261</v>
      </c>
      <c r="Z55" s="51" t="s">
        <v>626</v>
      </c>
      <c r="AA55" s="73"/>
      <c r="AB55" s="86"/>
      <c r="AC55" s="72"/>
      <c r="AD55" s="62"/>
      <c r="AE55" s="62" t="s">
        <v>146</v>
      </c>
    </row>
    <row r="56" spans="1:31" s="130" customFormat="1" ht="180" x14ac:dyDescent="0.2">
      <c r="A56" s="15" t="s">
        <v>627</v>
      </c>
      <c r="B56" s="16" t="s">
        <v>628</v>
      </c>
      <c r="C56" s="17" t="s">
        <v>33</v>
      </c>
      <c r="D56" s="71" t="s">
        <v>77</v>
      </c>
      <c r="E56" s="71" t="s">
        <v>72</v>
      </c>
      <c r="F56" s="18">
        <f>VLOOKUP(טבלה13[[#This Row],[זיהוי]],'[1]Unsaved_15008758 (1)'!$A:$D,4,FALSE)</f>
        <v>46387</v>
      </c>
      <c r="G56" s="18" t="s">
        <v>629</v>
      </c>
      <c r="H56" s="71" t="s">
        <v>85</v>
      </c>
      <c r="I56" s="72" t="str">
        <f t="shared" si="0"/>
        <v>WBS: WBC-119
שם פרויקט: בראון (עמק הבכא)-הרחבת תחמ"ש פרטי(לחח"י)
מנה״פ: ארליך-בקיש, רחלי
יעד תכנית פיתוח: 31/12/2026
יעד מסתמן: שנאי 1 חושמל 13/05/25 
צפי חישמול לשנאי ה- 2 ה- 25/6
 שנאי 3 - בוטל</v>
      </c>
      <c r="J56" s="51" t="s">
        <v>630</v>
      </c>
      <c r="K56" s="51" t="s">
        <v>631</v>
      </c>
      <c r="L56" s="51" t="s">
        <v>631</v>
      </c>
      <c r="M56" s="51" t="s">
        <v>632</v>
      </c>
      <c r="N56" s="61" t="s">
        <v>633</v>
      </c>
      <c r="O56" s="61" t="s">
        <v>634</v>
      </c>
      <c r="P56" s="61" t="s">
        <v>634</v>
      </c>
      <c r="Q56" s="61" t="s">
        <v>635</v>
      </c>
      <c r="R56" s="165" t="s">
        <v>635</v>
      </c>
      <c r="S56" s="165" t="s">
        <v>635</v>
      </c>
      <c r="T56" s="165" t="s">
        <v>635</v>
      </c>
      <c r="U56" s="165" t="s">
        <v>636</v>
      </c>
      <c r="V56" s="165" t="s">
        <v>636</v>
      </c>
      <c r="W56" s="165" t="s">
        <v>636</v>
      </c>
      <c r="X56" s="158" t="s">
        <v>636</v>
      </c>
      <c r="Y56" s="158" t="s">
        <v>636</v>
      </c>
      <c r="Z56" s="51" t="s">
        <v>637</v>
      </c>
      <c r="AA56" s="74" t="s">
        <v>76</v>
      </c>
      <c r="AB56" s="47"/>
      <c r="AC56" s="72"/>
      <c r="AD56" s="62"/>
      <c r="AE56" s="62"/>
    </row>
    <row r="57" spans="1:31" s="130" customFormat="1" ht="120" x14ac:dyDescent="0.2">
      <c r="A57" s="15" t="s">
        <v>638</v>
      </c>
      <c r="B57" s="16" t="s">
        <v>639</v>
      </c>
      <c r="C57" s="17" t="s">
        <v>40</v>
      </c>
      <c r="D57" s="71" t="s">
        <v>77</v>
      </c>
      <c r="E57" s="71" t="s">
        <v>72</v>
      </c>
      <c r="F57" s="18">
        <f>VLOOKUP(טבלה13[[#This Row],[זיהוי]],'[1]Unsaved_15008758 (1)'!$A:$D,4,FALSE)</f>
        <v>46326</v>
      </c>
      <c r="G57" s="18" t="s">
        <v>302</v>
      </c>
      <c r="H57" s="71" t="s">
        <v>20</v>
      </c>
      <c r="I57" s="72" t="str">
        <f t="shared" si="0"/>
        <v>WBS: WBE-192
שם פרויקט: בראון- התקנת שנאי רביעי 161/36 ק"ו, 50 מגוו"א
מנה״פ: ארליך-בקיש, רחלי
יעד תכנית פיתוח: 31/10/2026
יעד מסתמן: טרם נקבע</v>
      </c>
      <c r="J57" s="51" t="s">
        <v>640</v>
      </c>
      <c r="K57" s="51" t="s">
        <v>641</v>
      </c>
      <c r="L57" s="51" t="s">
        <v>641</v>
      </c>
      <c r="M57" s="51" t="s">
        <v>641</v>
      </c>
      <c r="N57" s="51" t="s">
        <v>640</v>
      </c>
      <c r="O57" s="51" t="s">
        <v>640</v>
      </c>
      <c r="P57" s="51" t="s">
        <v>640</v>
      </c>
      <c r="Q57" s="51" t="s">
        <v>640</v>
      </c>
      <c r="R57" s="76" t="s">
        <v>640</v>
      </c>
      <c r="S57" s="76" t="s">
        <v>640</v>
      </c>
      <c r="T57" s="76" t="s">
        <v>640</v>
      </c>
      <c r="U57" s="76" t="s">
        <v>640</v>
      </c>
      <c r="V57" s="76" t="s">
        <v>640</v>
      </c>
      <c r="W57" s="76" t="s">
        <v>640</v>
      </c>
      <c r="X57" s="198" t="s">
        <v>640</v>
      </c>
      <c r="Y57" s="198" t="s">
        <v>640</v>
      </c>
      <c r="Z57" s="51"/>
      <c r="AA57" s="73"/>
      <c r="AB57" s="47"/>
      <c r="AC57" s="72"/>
      <c r="AD57" s="62"/>
      <c r="AE57" s="62" t="s">
        <v>146</v>
      </c>
    </row>
    <row r="58" spans="1:31" s="130" customFormat="1" ht="345" x14ac:dyDescent="0.2">
      <c r="A58" s="15" t="s">
        <v>7</v>
      </c>
      <c r="B58" s="16" t="s">
        <v>642</v>
      </c>
      <c r="C58" s="17" t="s">
        <v>40</v>
      </c>
      <c r="D58" s="71" t="s">
        <v>77</v>
      </c>
      <c r="E58" s="71" t="s">
        <v>72</v>
      </c>
      <c r="F58" s="18">
        <f>VLOOKUP(טבלה13[[#This Row],[זיהוי]],'[1]Unsaved_15008758 (1)'!$A:$D,4,FALSE)</f>
        <v>46387</v>
      </c>
      <c r="G58" s="25">
        <v>46384</v>
      </c>
      <c r="H58" s="71" t="s">
        <v>63</v>
      </c>
      <c r="I58" s="72" t="str">
        <f t="shared" ref="I58:I123" si="1">"WBS: " &amp; A58 &amp; CHAR(10) &amp;
"שם פרויקט: " &amp; B58 &amp; CHAR(10) &amp;
"מנה״פ: " &amp; D58 &amp; CHAR(10) &amp;
"יעד תכנית פיתוח: " &amp; TEXT(F58,"dd/mm/yyyy") &amp; CHAR(10) &amp;
"יעד מסתמן: " &amp; TEXT(G58,"dd/mm/yyyy")</f>
        <v>WBS: WBE-191
שם פרויקט: בר לב - התקנת שנאי שלישי 161/24 ק"ו , 50 מגוו"א
מנה״פ: ארליך-בקיש, רחלי
יעד תכנית פיתוח: 31/12/2026
יעד מסתמן: 28/12/2026</v>
      </c>
      <c r="J58" s="51" t="s">
        <v>643</v>
      </c>
      <c r="K58" s="51" t="s">
        <v>644</v>
      </c>
      <c r="L58" s="51" t="s">
        <v>645</v>
      </c>
      <c r="M58" s="51" t="s">
        <v>645</v>
      </c>
      <c r="N58" s="51" t="s">
        <v>646</v>
      </c>
      <c r="O58" s="51" t="s">
        <v>647</v>
      </c>
      <c r="P58" s="51" t="s">
        <v>648</v>
      </c>
      <c r="Q58" s="75" t="s">
        <v>649</v>
      </c>
      <c r="R58" s="22" t="s">
        <v>650</v>
      </c>
      <c r="S58" s="22" t="s">
        <v>651</v>
      </c>
      <c r="T58" s="22" t="s">
        <v>652</v>
      </c>
      <c r="U58" s="22" t="s">
        <v>653</v>
      </c>
      <c r="V58" s="22" t="s">
        <v>654</v>
      </c>
      <c r="W58" s="22" t="s">
        <v>655</v>
      </c>
      <c r="X58" s="206" t="s">
        <v>2262</v>
      </c>
      <c r="Y58" s="206" t="s">
        <v>2262</v>
      </c>
      <c r="Z58" s="52" t="s">
        <v>656</v>
      </c>
      <c r="AA58" s="73" t="s">
        <v>44</v>
      </c>
      <c r="AB58" s="47" t="s">
        <v>39</v>
      </c>
      <c r="AC58" s="72" t="s">
        <v>32</v>
      </c>
      <c r="AD58" s="62"/>
      <c r="AE58" s="62" t="s">
        <v>146</v>
      </c>
    </row>
    <row r="59" spans="1:31" s="130" customFormat="1" ht="409.5" x14ac:dyDescent="0.2">
      <c r="A59" s="15" t="s">
        <v>657</v>
      </c>
      <c r="B59" s="16" t="s">
        <v>658</v>
      </c>
      <c r="C59" s="17" t="s">
        <v>40</v>
      </c>
      <c r="D59" s="71" t="s">
        <v>77</v>
      </c>
      <c r="E59" s="71" t="s">
        <v>72</v>
      </c>
      <c r="F59" s="18">
        <f>VLOOKUP(טבלה13[[#This Row],[זיהוי]],'[1]Unsaved_15008758 (1)'!$A:$D,4,FALSE)</f>
        <v>46356</v>
      </c>
      <c r="G59" s="25">
        <v>46446</v>
      </c>
      <c r="H59" s="71" t="s">
        <v>46</v>
      </c>
      <c r="I59" s="72" t="str">
        <f t="shared" si="1"/>
        <v>WBS: WBE-223
שם פרויקט: בית שאן-התקנת שנאי חמישי 161/24 ק"ו 50 מ
מנה״פ: ארליך-בקיש, רחלי
יעד תכנית פיתוח: 30/11/2026
יעד מסתמן: 28/02/2027</v>
      </c>
      <c r="J59" s="22" t="s">
        <v>659</v>
      </c>
      <c r="K59" s="22" t="s">
        <v>660</v>
      </c>
      <c r="L59" s="75" t="s">
        <v>661</v>
      </c>
      <c r="M59" s="91" t="s">
        <v>662</v>
      </c>
      <c r="N59" s="91" t="s">
        <v>663</v>
      </c>
      <c r="O59" s="91" t="s">
        <v>664</v>
      </c>
      <c r="P59" s="91" t="s">
        <v>665</v>
      </c>
      <c r="Q59" s="91" t="s">
        <v>666</v>
      </c>
      <c r="R59" s="91" t="s">
        <v>667</v>
      </c>
      <c r="S59" s="91" t="s">
        <v>667</v>
      </c>
      <c r="T59" s="91" t="s">
        <v>667</v>
      </c>
      <c r="U59" s="91" t="s">
        <v>668</v>
      </c>
      <c r="V59" s="91" t="s">
        <v>669</v>
      </c>
      <c r="W59" s="91" t="s">
        <v>670</v>
      </c>
      <c r="X59" s="207" t="s">
        <v>671</v>
      </c>
      <c r="Y59" s="207" t="s">
        <v>2289</v>
      </c>
      <c r="Z59" s="51"/>
      <c r="AA59" s="74"/>
      <c r="AB59" s="47"/>
      <c r="AC59" s="72"/>
      <c r="AD59" s="62"/>
      <c r="AE59" s="62"/>
    </row>
    <row r="60" spans="1:31" s="130" customFormat="1" ht="249.6" customHeight="1" x14ac:dyDescent="0.2">
      <c r="A60" s="15" t="s">
        <v>4</v>
      </c>
      <c r="B60" s="16" t="s">
        <v>672</v>
      </c>
      <c r="C60" s="17" t="s">
        <v>40</v>
      </c>
      <c r="D60" s="51" t="s">
        <v>77</v>
      </c>
      <c r="E60" s="51" t="s">
        <v>72</v>
      </c>
      <c r="F60" s="18">
        <f>VLOOKUP(טבלה13[[#This Row],[זיהוי]],'[1]Unsaved_15008758 (1)'!$A:$D,4,FALSE)</f>
        <v>46446</v>
      </c>
      <c r="G60" s="25">
        <v>46446</v>
      </c>
      <c r="H60" s="71" t="s">
        <v>73</v>
      </c>
      <c r="I60" s="72" t="str">
        <f t="shared" si="1"/>
        <v>WBS: WBE-162
שם פרויקט: בית שאן- הקמת מסדר 161, בניין מסדרים מ"ג והחלפת שנאים 521,522,531
מנה״פ: ארליך-בקיש, רחלי
יעד תכנית פיתוח: 28/02/2027
יעד מסתמן: 28/02/2027</v>
      </c>
      <c r="J60" s="22" t="s">
        <v>659</v>
      </c>
      <c r="K60" s="22" t="s">
        <v>660</v>
      </c>
      <c r="L60" s="142" t="s">
        <v>661</v>
      </c>
      <c r="M60" s="141" t="s">
        <v>673</v>
      </c>
      <c r="N60" s="91" t="s">
        <v>663</v>
      </c>
      <c r="O60" s="91" t="s">
        <v>674</v>
      </c>
      <c r="P60" s="91" t="s">
        <v>665</v>
      </c>
      <c r="Q60" s="91" t="s">
        <v>675</v>
      </c>
      <c r="R60" s="91" t="s">
        <v>676</v>
      </c>
      <c r="S60" s="91" t="s">
        <v>676</v>
      </c>
      <c r="T60" s="91" t="s">
        <v>677</v>
      </c>
      <c r="U60" s="91" t="s">
        <v>678</v>
      </c>
      <c r="V60" s="91" t="s">
        <v>679</v>
      </c>
      <c r="W60" s="91" t="s">
        <v>680</v>
      </c>
      <c r="X60" s="207" t="s">
        <v>681</v>
      </c>
      <c r="Y60" s="207" t="s">
        <v>2263</v>
      </c>
      <c r="Z60" s="45" t="s">
        <v>2305</v>
      </c>
      <c r="AA60" s="74" t="s">
        <v>39</v>
      </c>
      <c r="AB60" s="47" t="s">
        <v>44</v>
      </c>
      <c r="AC60" s="72"/>
      <c r="AD60" s="62"/>
      <c r="AE60" s="62" t="s">
        <v>146</v>
      </c>
    </row>
    <row r="61" spans="1:31" s="130" customFormat="1" ht="270" x14ac:dyDescent="0.2">
      <c r="A61" s="19" t="s">
        <v>682</v>
      </c>
      <c r="B61" s="20" t="s">
        <v>683</v>
      </c>
      <c r="C61" s="17" t="s">
        <v>40</v>
      </c>
      <c r="D61" s="71" t="s">
        <v>77</v>
      </c>
      <c r="E61" s="71" t="s">
        <v>72</v>
      </c>
      <c r="F61" s="18">
        <f>VLOOKUP(טבלה13[[#This Row],[זיהוי]],'[1]Unsaved_15008758 (1)'!$A:$D,4,FALSE)</f>
        <v>46752</v>
      </c>
      <c r="G61" s="25">
        <v>46751</v>
      </c>
      <c r="H61" s="71" t="s">
        <v>57</v>
      </c>
      <c r="I61" s="72" t="str">
        <f t="shared" si="1"/>
        <v>WBS: WBE-286
שם פרויקט: אלעד-התקנת שנאי שלישי 50 מגוו"א 161/24 ק"ו מס' 523
מנה״פ: ארליך-בקיש, רחלי
יעד תכנית פיתוח: 31/12/2027
יעד מסתמן: 30/12/2027</v>
      </c>
      <c r="J61" s="87" t="s">
        <v>684</v>
      </c>
      <c r="K61" s="87" t="s">
        <v>685</v>
      </c>
      <c r="L61" s="87" t="s">
        <v>686</v>
      </c>
      <c r="M61" s="138" t="s">
        <v>686</v>
      </c>
      <c r="N61" s="138" t="s">
        <v>687</v>
      </c>
      <c r="O61" s="138" t="s">
        <v>687</v>
      </c>
      <c r="P61" s="138" t="s">
        <v>687</v>
      </c>
      <c r="Q61" s="138" t="s">
        <v>687</v>
      </c>
      <c r="R61" s="138" t="s">
        <v>687</v>
      </c>
      <c r="S61" s="138" t="s">
        <v>687</v>
      </c>
      <c r="T61" s="138" t="s">
        <v>688</v>
      </c>
      <c r="U61" s="138" t="s">
        <v>688</v>
      </c>
      <c r="V61" s="138" t="s">
        <v>689</v>
      </c>
      <c r="W61" s="138" t="s">
        <v>690</v>
      </c>
      <c r="X61" s="208" t="s">
        <v>691</v>
      </c>
      <c r="Y61" s="208" t="s">
        <v>691</v>
      </c>
      <c r="Z61" s="51"/>
      <c r="AA61" s="74"/>
      <c r="AB61" s="47"/>
      <c r="AC61" s="72"/>
      <c r="AD61" s="62"/>
      <c r="AE61" s="62"/>
    </row>
    <row r="62" spans="1:31" s="130" customFormat="1" ht="135" x14ac:dyDescent="0.2">
      <c r="A62" s="15" t="s">
        <v>692</v>
      </c>
      <c r="B62" s="16" t="s">
        <v>693</v>
      </c>
      <c r="C62" s="17" t="s">
        <v>33</v>
      </c>
      <c r="D62" s="71" t="s">
        <v>77</v>
      </c>
      <c r="E62" s="71" t="s">
        <v>72</v>
      </c>
      <c r="F62" s="18">
        <f>VLOOKUP(טבלה13[[#This Row],[זיהוי]],'[1]Unsaved_15008758 (1)'!$A:$D,4,FALSE)</f>
        <v>45929</v>
      </c>
      <c r="G62" s="18" t="s">
        <v>694</v>
      </c>
      <c r="H62" s="71" t="s">
        <v>85</v>
      </c>
      <c r="I62" s="72" t="str">
        <f t="shared" si="1"/>
        <v>WBS: WBC-068
שם פרויקט: אלעד- הקמת תחמ"ש חיצונית, 161/24 ק"ו
מנה״פ: ארליך-בקיש, רחלי
יעד תכנית פיתוח: 29/09/2025
יעד מסתמן: חושמל 30/09/2025</v>
      </c>
      <c r="J62" s="51" t="s">
        <v>695</v>
      </c>
      <c r="K62" s="51" t="s">
        <v>696</v>
      </c>
      <c r="L62" s="51" t="s">
        <v>696</v>
      </c>
      <c r="M62" s="51" t="s">
        <v>696</v>
      </c>
      <c r="N62" s="51" t="s">
        <v>696</v>
      </c>
      <c r="O62" s="51" t="s">
        <v>696</v>
      </c>
      <c r="P62" s="51" t="s">
        <v>696</v>
      </c>
      <c r="Q62" s="51" t="s">
        <v>696</v>
      </c>
      <c r="R62" s="76" t="s">
        <v>696</v>
      </c>
      <c r="S62" s="76" t="s">
        <v>696</v>
      </c>
      <c r="T62" s="76" t="s">
        <v>696</v>
      </c>
      <c r="U62" s="76" t="s">
        <v>696</v>
      </c>
      <c r="V62" s="76" t="s">
        <v>697</v>
      </c>
      <c r="W62" s="76" t="s">
        <v>697</v>
      </c>
      <c r="X62" s="195" t="s">
        <v>698</v>
      </c>
      <c r="Y62" s="198" t="s">
        <v>698</v>
      </c>
      <c r="Z62" s="51"/>
      <c r="AA62" s="74"/>
      <c r="AB62" s="47"/>
      <c r="AC62" s="72"/>
      <c r="AD62" s="62"/>
      <c r="AE62" s="62"/>
    </row>
    <row r="63" spans="1:31" s="130" customFormat="1" ht="120" x14ac:dyDescent="0.2">
      <c r="A63" s="143" t="s">
        <v>699</v>
      </c>
      <c r="B63" s="42" t="s">
        <v>700</v>
      </c>
      <c r="C63" s="17" t="s">
        <v>473</v>
      </c>
      <c r="D63" s="71" t="s">
        <v>79</v>
      </c>
      <c r="E63" s="71" t="s">
        <v>70</v>
      </c>
      <c r="F63" s="18">
        <f>VLOOKUP(טבלה13[[#This Row],[זיהוי]],'[1]Unsaved_15008758 (1)'!$A:$D,4,FALSE)</f>
        <v>46843</v>
      </c>
      <c r="G63" s="18">
        <v>46844</v>
      </c>
      <c r="H63" s="71" t="s">
        <v>20</v>
      </c>
      <c r="I63" s="72" t="str">
        <f t="shared" si="1"/>
        <v>WBS: WBM-40194
שם פרויקט: תל אביב דרום - החלפת שנאי 512 ל-56 מגו"א
מנה״פ: אשקבנד, נסים
יעד תכנית פיתוח: 31/03/2028
יעד מסתמן: 01/04/2028</v>
      </c>
      <c r="J63" s="21" t="s">
        <v>701</v>
      </c>
      <c r="K63" s="21" t="s">
        <v>701</v>
      </c>
      <c r="L63" s="21" t="s">
        <v>701</v>
      </c>
      <c r="M63" s="21" t="s">
        <v>702</v>
      </c>
      <c r="N63" s="21" t="s">
        <v>702</v>
      </c>
      <c r="O63" s="21" t="s">
        <v>703</v>
      </c>
      <c r="P63" s="21" t="s">
        <v>703</v>
      </c>
      <c r="Q63" s="21" t="s">
        <v>703</v>
      </c>
      <c r="R63" s="60" t="s">
        <v>703</v>
      </c>
      <c r="S63" s="60"/>
      <c r="T63" s="60" t="s">
        <v>704</v>
      </c>
      <c r="U63" s="60" t="s">
        <v>704</v>
      </c>
      <c r="V63" s="60" t="s">
        <v>704</v>
      </c>
      <c r="W63" s="60" t="s">
        <v>705</v>
      </c>
      <c r="X63" s="198" t="s">
        <v>706</v>
      </c>
      <c r="Y63" s="198" t="s">
        <v>706</v>
      </c>
      <c r="Z63" s="51" t="s">
        <v>707</v>
      </c>
      <c r="AA63" s="74" t="s">
        <v>64</v>
      </c>
      <c r="AB63" s="47" t="s">
        <v>39</v>
      </c>
      <c r="AC63" s="72"/>
      <c r="AD63" s="62"/>
      <c r="AE63" s="62"/>
    </row>
    <row r="64" spans="1:31" s="130" customFormat="1" ht="150" x14ac:dyDescent="0.2">
      <c r="A64" s="143" t="s">
        <v>708</v>
      </c>
      <c r="B64" s="42" t="s">
        <v>709</v>
      </c>
      <c r="C64" s="17" t="s">
        <v>473</v>
      </c>
      <c r="D64" s="71" t="s">
        <v>79</v>
      </c>
      <c r="E64" s="71" t="s">
        <v>70</v>
      </c>
      <c r="F64" s="18">
        <f>VLOOKUP(טבלה13[[#This Row],[זיהוי]],'[1]Unsaved_15008758 (1)'!$A:$D,4,FALSE)</f>
        <v>46326</v>
      </c>
      <c r="G64" s="18">
        <v>46752</v>
      </c>
      <c r="H64" s="71" t="s">
        <v>21</v>
      </c>
      <c r="I64" s="72" t="str">
        <f t="shared" si="1"/>
        <v>WBS: WBM-40276
שם פרויקט: באר שבע - שדרוג שדות 5, 13, שדרוג מקשר 7-8 והחלפת פ"צ
מנה״פ: אשקבנד, נסים
יעד תכנית פיתוח: 31/10/2026
יעד מסתמן: 31/12/2027</v>
      </c>
      <c r="J64" s="21" t="s">
        <v>710</v>
      </c>
      <c r="K64" s="51" t="s">
        <v>710</v>
      </c>
      <c r="L64" s="21" t="s">
        <v>710</v>
      </c>
      <c r="M64" s="21" t="s">
        <v>711</v>
      </c>
      <c r="N64" s="21" t="s">
        <v>711</v>
      </c>
      <c r="O64" s="21" t="s">
        <v>712</v>
      </c>
      <c r="P64" s="21" t="s">
        <v>712</v>
      </c>
      <c r="Q64" s="21" t="s">
        <v>712</v>
      </c>
      <c r="R64" s="60" t="s">
        <v>712</v>
      </c>
      <c r="S64" s="60" t="s">
        <v>712</v>
      </c>
      <c r="T64" s="60" t="s">
        <v>713</v>
      </c>
      <c r="U64" s="60" t="s">
        <v>713</v>
      </c>
      <c r="V64" s="60" t="s">
        <v>714</v>
      </c>
      <c r="W64" s="60" t="s">
        <v>714</v>
      </c>
      <c r="X64" s="198" t="s">
        <v>714</v>
      </c>
      <c r="Y64" s="195" t="s">
        <v>714</v>
      </c>
      <c r="Z64" s="51" t="s">
        <v>715</v>
      </c>
      <c r="AA64" s="74" t="s">
        <v>76</v>
      </c>
      <c r="AB64" s="47"/>
      <c r="AC64" s="72"/>
      <c r="AD64" s="62"/>
      <c r="AE64" s="62"/>
    </row>
    <row r="65" spans="1:31" s="130" customFormat="1" ht="105" x14ac:dyDescent="0.2">
      <c r="A65" s="143" t="s">
        <v>716</v>
      </c>
      <c r="B65" s="42" t="s">
        <v>717</v>
      </c>
      <c r="C65" s="17" t="s">
        <v>473</v>
      </c>
      <c r="D65" s="71" t="s">
        <v>79</v>
      </c>
      <c r="E65" s="71" t="s">
        <v>70</v>
      </c>
      <c r="F65" s="18">
        <v>47118</v>
      </c>
      <c r="G65" s="18">
        <v>47117</v>
      </c>
      <c r="H65" s="71" t="s">
        <v>63</v>
      </c>
      <c r="I65" s="72" t="str">
        <f t="shared" si="1"/>
        <v>WBS: WBM-40221
שם פרויקט: כורנוב- שדרוד שדה 7 ושדה מקשר 
מנה״פ: אשקבנד, נסים
יעד תכנית פיתוח: 31/12/2028
יעד מסתמן: 30/12/2028</v>
      </c>
      <c r="J65" s="21" t="s">
        <v>718</v>
      </c>
      <c r="K65" s="21" t="s">
        <v>718</v>
      </c>
      <c r="L65" s="21" t="s">
        <v>718</v>
      </c>
      <c r="M65" s="21" t="s">
        <v>719</v>
      </c>
      <c r="N65" s="21" t="s">
        <v>720</v>
      </c>
      <c r="O65" s="21" t="s">
        <v>721</v>
      </c>
      <c r="P65" s="21" t="s">
        <v>721</v>
      </c>
      <c r="Q65" s="21" t="s">
        <v>721</v>
      </c>
      <c r="R65" s="60" t="s">
        <v>721</v>
      </c>
      <c r="S65" s="60" t="s">
        <v>722</v>
      </c>
      <c r="T65" s="60" t="s">
        <v>722</v>
      </c>
      <c r="U65" s="60" t="s">
        <v>722</v>
      </c>
      <c r="V65" s="60"/>
      <c r="W65" s="60" t="s">
        <v>723</v>
      </c>
      <c r="X65" s="195" t="s">
        <v>2200</v>
      </c>
      <c r="Y65" s="60" t="s">
        <v>2201</v>
      </c>
      <c r="Z65" s="21"/>
      <c r="AA65" s="28" t="s">
        <v>39</v>
      </c>
      <c r="AB65" s="88"/>
      <c r="AC65" s="72"/>
      <c r="AD65" s="62"/>
      <c r="AE65" s="62"/>
    </row>
    <row r="66" spans="1:31" s="130" customFormat="1" ht="105" x14ac:dyDescent="0.2">
      <c r="A66" s="15" t="s">
        <v>725</v>
      </c>
      <c r="B66" s="16" t="s">
        <v>726</v>
      </c>
      <c r="C66" s="17" t="s">
        <v>727</v>
      </c>
      <c r="D66" s="71" t="s">
        <v>79</v>
      </c>
      <c r="E66" s="68" t="s">
        <v>70</v>
      </c>
      <c r="F66" s="18" t="s">
        <v>728</v>
      </c>
      <c r="G66" s="18" t="s">
        <v>728</v>
      </c>
      <c r="H66" s="68" t="s">
        <v>63</v>
      </c>
      <c r="I66" s="72" t="str">
        <f>"WBS: " &amp; A66 &amp; CHAR(10) &amp;
"שם פרויקט: " &amp; B66 &amp; CHAR(10) &amp;
"מנה״פ: " &amp; D66 &amp; CHAR(10) &amp;
"יעד תכנית פיתוח: " &amp; TEXT(F66,"dd/mm/yyyy") &amp; CHAR(10) &amp;
"יעד מסתמן: " &amp; TEXT(G66,"dd/mm/yyyy")</f>
        <v>WBS: wbe-320
שם פרויקט: כורנוב הקמת שדה 1
מנה״פ: אשקבנד, נסים
יעד תכנית פיתוח: 31.12.2027
יעד מסתמן: 31.12.2027</v>
      </c>
      <c r="J66" s="31"/>
      <c r="K66" s="31"/>
      <c r="L66" s="31"/>
      <c r="M66" s="31"/>
      <c r="N66" s="31"/>
      <c r="O66" s="31"/>
      <c r="P66" s="31"/>
      <c r="Q66" s="31"/>
      <c r="R66" s="157"/>
      <c r="S66" s="157"/>
      <c r="T66" s="157"/>
      <c r="U66" s="157"/>
      <c r="V66" s="166"/>
      <c r="W66" s="76" t="s">
        <v>723</v>
      </c>
      <c r="X66" s="198" t="s">
        <v>724</v>
      </c>
      <c r="Y66" s="76" t="s">
        <v>2201</v>
      </c>
      <c r="Z66" s="21"/>
      <c r="AA66" s="46" t="s">
        <v>39</v>
      </c>
      <c r="AB66" s="89"/>
      <c r="AC66" s="72"/>
      <c r="AD66" s="62"/>
      <c r="AE66" s="62"/>
    </row>
    <row r="67" spans="1:31" s="130" customFormat="1" ht="135" x14ac:dyDescent="0.2">
      <c r="A67" s="143" t="s">
        <v>729</v>
      </c>
      <c r="B67" s="42" t="s">
        <v>730</v>
      </c>
      <c r="C67" s="17" t="s">
        <v>473</v>
      </c>
      <c r="D67" s="71" t="s">
        <v>79</v>
      </c>
      <c r="E67" s="71" t="s">
        <v>70</v>
      </c>
      <c r="F67" s="18">
        <f>VLOOKUP(טבלה13[[#This Row],[זיהוי]],'[1]Unsaved_15008758 (1)'!$A:$D,4,FALSE)</f>
        <v>46477</v>
      </c>
      <c r="G67" s="18">
        <v>46722</v>
      </c>
      <c r="H67" s="71" t="s">
        <v>19</v>
      </c>
      <c r="I67" s="72" t="str">
        <f>"WBS: " &amp; A67 &amp; CHAR(10) &amp;
"שם פרויקט: " &amp; B67 &amp; CHAR(10) &amp;
"מנה״פ: " &amp; D67 &amp; CHAR(10) &amp;
"יעד תכנית פיתוח: " &amp; TEXT(F67,"dd/mm/yyyy") &amp; CHAR(10) &amp;
"יעד מסתמן: " &amp; TEXT(G67,"dd/mm/yyyy")</f>
        <v>WBS: WBM-40611
שם פרויקט: שער הגיא- פירוק מסדר מ"ג מסוג BEU3  והתקנת מסדר מ"ג חדש
מנה״פ: אשקבנד, נסים
יעד תכנית פיתוח: 31/03/2027
יעד מסתמן: 01/12/2027</v>
      </c>
      <c r="J67" s="23" t="s">
        <v>731</v>
      </c>
      <c r="K67" s="23" t="s">
        <v>731</v>
      </c>
      <c r="L67" s="23" t="s">
        <v>731</v>
      </c>
      <c r="M67" s="23" t="s">
        <v>731</v>
      </c>
      <c r="N67" s="23" t="s">
        <v>731</v>
      </c>
      <c r="O67" s="23" t="s">
        <v>731</v>
      </c>
      <c r="P67" s="23" t="s">
        <v>731</v>
      </c>
      <c r="Q67" s="23" t="s">
        <v>731</v>
      </c>
      <c r="R67" s="166" t="s">
        <v>731</v>
      </c>
      <c r="S67" s="166" t="s">
        <v>731</v>
      </c>
      <c r="T67" s="166" t="s">
        <v>731</v>
      </c>
      <c r="U67" s="166" t="s">
        <v>731</v>
      </c>
      <c r="V67" s="166" t="s">
        <v>731</v>
      </c>
      <c r="W67" s="166" t="s">
        <v>731</v>
      </c>
      <c r="X67" s="209" t="s">
        <v>731</v>
      </c>
      <c r="Y67" s="199" t="s">
        <v>731</v>
      </c>
      <c r="Z67" s="21"/>
      <c r="AA67" s="46"/>
      <c r="AB67" s="89"/>
      <c r="AC67" s="72"/>
      <c r="AD67" s="62"/>
      <c r="AE67" s="62"/>
    </row>
    <row r="68" spans="1:31" s="130" customFormat="1" ht="165" x14ac:dyDescent="0.2">
      <c r="A68" s="143" t="s">
        <v>732</v>
      </c>
      <c r="B68" s="42" t="s">
        <v>733</v>
      </c>
      <c r="C68" s="17" t="s">
        <v>40</v>
      </c>
      <c r="D68" s="71" t="s">
        <v>79</v>
      </c>
      <c r="E68" s="71" t="s">
        <v>70</v>
      </c>
      <c r="F68" s="18">
        <f>VLOOKUP(טבלה13[[#This Row],[זיהוי]],'[1]Unsaved_15008758 (1)'!$A:$D,4,FALSE)</f>
        <v>46568</v>
      </c>
      <c r="G68" s="25">
        <v>46568</v>
      </c>
      <c r="H68" s="71" t="s">
        <v>63</v>
      </c>
      <c r="I68" s="72" t="str">
        <f t="shared" si="1"/>
        <v>WBS: WBE-189
שם פרויקט: שער הגיא- הוספת שנאי שלישי 161/24 ק"ו, 50 מגוו"א מס' 524
מנה״פ: אשקבנד, נסים
יעד תכנית פיתוח: 30/06/2027
יעד מסתמן: 30/06/2027</v>
      </c>
      <c r="J68" s="21" t="s">
        <v>734</v>
      </c>
      <c r="K68" s="21" t="s">
        <v>734</v>
      </c>
      <c r="L68" s="21" t="s">
        <v>734</v>
      </c>
      <c r="M68" s="21" t="s">
        <v>735</v>
      </c>
      <c r="N68" s="21" t="s">
        <v>735</v>
      </c>
      <c r="O68" s="21" t="s">
        <v>735</v>
      </c>
      <c r="P68" s="21" t="s">
        <v>735</v>
      </c>
      <c r="Q68" s="21" t="s">
        <v>736</v>
      </c>
      <c r="R68" s="60" t="s">
        <v>736</v>
      </c>
      <c r="S68" s="60" t="s">
        <v>737</v>
      </c>
      <c r="T68" s="60" t="s">
        <v>738</v>
      </c>
      <c r="U68" s="60" t="s">
        <v>739</v>
      </c>
      <c r="V68" s="60" t="s">
        <v>739</v>
      </c>
      <c r="W68" s="60" t="s">
        <v>740</v>
      </c>
      <c r="X68" s="209" t="s">
        <v>741</v>
      </c>
      <c r="Y68" s="199" t="s">
        <v>2202</v>
      </c>
      <c r="Z68" s="21" t="s">
        <v>742</v>
      </c>
      <c r="AA68" s="29" t="s">
        <v>47</v>
      </c>
      <c r="AB68" s="47" t="s">
        <v>44</v>
      </c>
      <c r="AC68" s="72" t="s">
        <v>32</v>
      </c>
      <c r="AD68" s="62"/>
      <c r="AE68" s="62" t="s">
        <v>209</v>
      </c>
    </row>
    <row r="69" spans="1:31" s="130" customFormat="1" ht="120" x14ac:dyDescent="0.2">
      <c r="A69" s="143" t="s">
        <v>743</v>
      </c>
      <c r="B69" s="42" t="s">
        <v>744</v>
      </c>
      <c r="C69" s="17" t="s">
        <v>473</v>
      </c>
      <c r="D69" s="71" t="s">
        <v>79</v>
      </c>
      <c r="E69" s="71" t="s">
        <v>70</v>
      </c>
      <c r="F69" s="18">
        <f>VLOOKUP(טבלה13[[#This Row],[זיהוי]],'[1]Unsaved_15008758 (1)'!$A:$D,4,FALSE)</f>
        <v>46183</v>
      </c>
      <c r="G69" s="18">
        <v>46185</v>
      </c>
      <c r="H69" s="71" t="s">
        <v>85</v>
      </c>
      <c r="I69" s="72" t="str">
        <f t="shared" si="1"/>
        <v>WBS: WBM-40275
שם פרויקט: רמת חובב - שדרוג שדות 20 , 21
החלפת כל ציוד השדות
מנה״פ: אשקבנד, נסים
יעד תכנית פיתוח: 10/06/2026
יעד מסתמן: 12/06/2026</v>
      </c>
      <c r="J69" s="4" t="s">
        <v>745</v>
      </c>
      <c r="K69" s="55" t="s">
        <v>746</v>
      </c>
      <c r="L69" s="55" t="s">
        <v>747</v>
      </c>
      <c r="M69" s="55" t="s">
        <v>748</v>
      </c>
      <c r="N69" s="75" t="s">
        <v>18</v>
      </c>
      <c r="O69" s="75" t="s">
        <v>85</v>
      </c>
      <c r="P69" s="75" t="s">
        <v>85</v>
      </c>
      <c r="Q69" s="75" t="s">
        <v>85</v>
      </c>
      <c r="R69" s="57" t="s">
        <v>85</v>
      </c>
      <c r="S69" s="57" t="s">
        <v>85</v>
      </c>
      <c r="T69" s="60" t="s">
        <v>85</v>
      </c>
      <c r="U69" s="60" t="s">
        <v>85</v>
      </c>
      <c r="V69" s="60" t="s">
        <v>85</v>
      </c>
      <c r="W69" s="76" t="s">
        <v>85</v>
      </c>
      <c r="X69" s="198" t="s">
        <v>18</v>
      </c>
      <c r="Y69" s="198" t="s">
        <v>18</v>
      </c>
      <c r="Z69" s="21"/>
      <c r="AA69" s="29"/>
      <c r="AB69" s="47"/>
      <c r="AC69" s="72"/>
      <c r="AD69" s="62"/>
      <c r="AE69" s="62"/>
    </row>
    <row r="70" spans="1:31" s="130" customFormat="1" ht="195" x14ac:dyDescent="0.2">
      <c r="A70" s="143" t="s">
        <v>749</v>
      </c>
      <c r="B70" s="42" t="s">
        <v>750</v>
      </c>
      <c r="C70" s="17" t="s">
        <v>40</v>
      </c>
      <c r="D70" s="71" t="s">
        <v>79</v>
      </c>
      <c r="E70" s="71" t="s">
        <v>70</v>
      </c>
      <c r="F70" s="18">
        <f>VLOOKUP(טבלה13[[#This Row],[זיהוי]],'[1]Unsaved_15008758 (1)'!$A:$D,4,FALSE)</f>
        <v>45917</v>
      </c>
      <c r="G70" s="18" t="s">
        <v>694</v>
      </c>
      <c r="H70" s="71" t="s">
        <v>85</v>
      </c>
      <c r="I70" s="72" t="str">
        <f t="shared" si="1"/>
        <v>WBS: WBE-184
שם פרויקט: רמת חובב-החלפת שנאי 33 מגוו"א 522 מגוו"א ל-50 מגוו"א
מנה״פ: אשקבנד, נסים
יעד תכנית פיתוח: 17/09/2025
יעד מסתמן: חושמל 30/09/2025</v>
      </c>
      <c r="J70" s="21" t="s">
        <v>751</v>
      </c>
      <c r="K70" s="21" t="s">
        <v>751</v>
      </c>
      <c r="L70" s="21" t="s">
        <v>751</v>
      </c>
      <c r="M70" s="21" t="s">
        <v>752</v>
      </c>
      <c r="N70" s="21" t="s">
        <v>753</v>
      </c>
      <c r="O70" s="21" t="s">
        <v>753</v>
      </c>
      <c r="P70" s="21" t="s">
        <v>753</v>
      </c>
      <c r="Q70" s="21" t="s">
        <v>753</v>
      </c>
      <c r="R70" s="60" t="s">
        <v>753</v>
      </c>
      <c r="S70" s="60" t="s">
        <v>753</v>
      </c>
      <c r="T70" s="60" t="s">
        <v>754</v>
      </c>
      <c r="U70" s="60" t="s">
        <v>754</v>
      </c>
      <c r="V70" s="60" t="s">
        <v>754</v>
      </c>
      <c r="W70" s="60" t="s">
        <v>754</v>
      </c>
      <c r="X70" s="195" t="s">
        <v>754</v>
      </c>
      <c r="Y70" s="195" t="s">
        <v>754</v>
      </c>
      <c r="Z70" s="21" t="s">
        <v>755</v>
      </c>
      <c r="AA70" s="73" t="s">
        <v>39</v>
      </c>
      <c r="AB70" s="47" t="s">
        <v>47</v>
      </c>
      <c r="AC70" s="72"/>
      <c r="AD70" s="62"/>
      <c r="AE70" s="62"/>
    </row>
    <row r="71" spans="1:31" s="130" customFormat="1" ht="195" x14ac:dyDescent="0.2">
      <c r="A71" s="143" t="s">
        <v>756</v>
      </c>
      <c r="B71" s="42" t="s">
        <v>757</v>
      </c>
      <c r="C71" s="17" t="s">
        <v>40</v>
      </c>
      <c r="D71" s="71" t="s">
        <v>79</v>
      </c>
      <c r="E71" s="71" t="s">
        <v>70</v>
      </c>
      <c r="F71" s="18">
        <f>VLOOKUP(טבלה13[[#This Row],[זיהוי]],'[1]Unsaved_15008758 (1)'!$A:$D,4,FALSE)</f>
        <v>46064</v>
      </c>
      <c r="G71" s="44" t="s">
        <v>758</v>
      </c>
      <c r="H71" s="71" t="s">
        <v>85</v>
      </c>
      <c r="I71" s="72" t="str">
        <f t="shared" si="1"/>
        <v>WBS: WBE-178
שם פרויקט: רמת חובב-החלפת שנאי 33 מגוו"א 521 מגוו"א ל-50 מגוו"א
מנה״פ: אשקבנד, נסים
יעד תכנית פיתוח: 11/02/2026
יעד מסתמן: שנאי חושמל11/2/26 , נשאר מ"ג</v>
      </c>
      <c r="J71" s="21" t="s">
        <v>751</v>
      </c>
      <c r="K71" s="21" t="s">
        <v>751</v>
      </c>
      <c r="L71" s="21" t="s">
        <v>751</v>
      </c>
      <c r="M71" s="21" t="s">
        <v>752</v>
      </c>
      <c r="N71" s="21" t="s">
        <v>753</v>
      </c>
      <c r="O71" s="21" t="s">
        <v>753</v>
      </c>
      <c r="P71" s="21" t="s">
        <v>753</v>
      </c>
      <c r="Q71" s="21" t="s">
        <v>753</v>
      </c>
      <c r="R71" s="60" t="s">
        <v>753</v>
      </c>
      <c r="S71" s="60" t="s">
        <v>753</v>
      </c>
      <c r="T71" s="60" t="s">
        <v>754</v>
      </c>
      <c r="U71" s="60" t="s">
        <v>754</v>
      </c>
      <c r="V71" s="60" t="s">
        <v>754</v>
      </c>
      <c r="W71" s="60" t="s">
        <v>754</v>
      </c>
      <c r="X71" s="198" t="s">
        <v>754</v>
      </c>
      <c r="Y71" s="198" t="s">
        <v>754</v>
      </c>
      <c r="Z71" s="21" t="s">
        <v>755</v>
      </c>
      <c r="AA71" s="74" t="s">
        <v>39</v>
      </c>
      <c r="AB71" s="47" t="s">
        <v>47</v>
      </c>
      <c r="AC71" s="72"/>
      <c r="AD71" s="62"/>
      <c r="AE71" s="62"/>
    </row>
    <row r="72" spans="1:31" s="131" customFormat="1" ht="285" x14ac:dyDescent="0.2">
      <c r="A72" s="143" t="s">
        <v>759</v>
      </c>
      <c r="B72" s="42" t="s">
        <v>760</v>
      </c>
      <c r="C72" s="17" t="s">
        <v>40</v>
      </c>
      <c r="D72" s="68" t="s">
        <v>79</v>
      </c>
      <c r="E72" s="68" t="s">
        <v>70</v>
      </c>
      <c r="F72" s="18">
        <f>VLOOKUP(טבלה13[[#This Row],[זיהוי]],'[1]Unsaved_15008758 (1)'!$A:$D,4,FALSE)</f>
        <v>46660</v>
      </c>
      <c r="G72" s="25">
        <v>46588</v>
      </c>
      <c r="H72" s="68" t="s">
        <v>20</v>
      </c>
      <c r="I72" s="72" t="str">
        <f>"WBS: " &amp; A72 &amp; CHAR(10) &amp;
"שם פרויקט: " &amp; B72 &amp; CHAR(10) &amp;
"מנה״פ: " &amp; D72 &amp; CHAR(10) &amp;
"יעד תכנית פיתוח: " &amp; TEXT(F72,"dd/mm/yyyy") &amp; CHAR(10) &amp;
"יעד מסתמן: " &amp; TEXT(G72,"dd/mm/yyyy")</f>
        <v>WBS: WBE-305
שם פרויקט: רמת חובב - הוספת שנאי שלישי 50 מגוו"א, שדה שנאי, מכולת מ"ג
מנה״פ: אשקבנד, נסים
יעד תכנית פיתוח: 30/09/2027
יעד מסתמן: 20/07/2027</v>
      </c>
      <c r="J72" s="23" t="s">
        <v>761</v>
      </c>
      <c r="K72" s="23" t="s">
        <v>762</v>
      </c>
      <c r="L72" s="23" t="s">
        <v>762</v>
      </c>
      <c r="M72" s="23" t="s">
        <v>763</v>
      </c>
      <c r="N72" s="23" t="s">
        <v>763</v>
      </c>
      <c r="O72" s="23" t="s">
        <v>763</v>
      </c>
      <c r="P72" s="23" t="s">
        <v>763</v>
      </c>
      <c r="Q72" s="23" t="s">
        <v>764</v>
      </c>
      <c r="R72" s="166" t="s">
        <v>764</v>
      </c>
      <c r="S72" s="166" t="s">
        <v>765</v>
      </c>
      <c r="T72" s="166" t="s">
        <v>766</v>
      </c>
      <c r="U72" s="166" t="s">
        <v>767</v>
      </c>
      <c r="V72" s="166" t="s">
        <v>767</v>
      </c>
      <c r="W72" s="166" t="s">
        <v>767</v>
      </c>
      <c r="X72" s="209" t="s">
        <v>767</v>
      </c>
      <c r="Y72" s="199" t="s">
        <v>767</v>
      </c>
      <c r="Z72" s="21" t="s">
        <v>768</v>
      </c>
      <c r="AA72" s="46" t="s">
        <v>39</v>
      </c>
      <c r="AB72" s="54"/>
      <c r="AC72" s="69"/>
      <c r="AD72" s="63"/>
      <c r="AE72" s="63"/>
    </row>
    <row r="73" spans="1:31" s="131" customFormat="1" ht="135" x14ac:dyDescent="0.2">
      <c r="A73" s="15" t="s">
        <v>769</v>
      </c>
      <c r="B73" s="16" t="s">
        <v>770</v>
      </c>
      <c r="C73" s="17" t="s">
        <v>473</v>
      </c>
      <c r="D73" s="68" t="s">
        <v>79</v>
      </c>
      <c r="E73" s="68" t="s">
        <v>70</v>
      </c>
      <c r="F73" s="18">
        <f>VLOOKUP(טבלה13[[#This Row],[זיהוי]],'[1]Unsaved_15008758 (1)'!$A:$D,4,FALSE)</f>
        <v>46476</v>
      </c>
      <c r="G73" s="18" t="s">
        <v>728</v>
      </c>
      <c r="H73" s="68" t="s">
        <v>20</v>
      </c>
      <c r="I73" s="72" t="str">
        <f>"WBS: " &amp; A73 &amp; CHAR(10) &amp;
"שם פרויקט: " &amp; B73 &amp; CHAR(10) &amp;
"מנה״פ: " &amp; D73 &amp; CHAR(10) &amp;
"יעד תכנית פיתוח: " &amp; TEXT(F73,"dd/mm/yyyy") &amp; CHAR(10) &amp;
"יעד מסתמן: " &amp; TEXT(G73,"dd/mm/yyyy")</f>
        <v>WBS: WBM-40506
שם פרויקט: רמת חובב שדה 2 - החלפת מפסק, החלפת 4 מנתקים, החלפת משנה זרם ( שנאי 522) 
מנה״פ: אשקבנד, נסים
יעד תכנית פיתוח: 30/03/2027
יעד מסתמן: 31.12.2027</v>
      </c>
      <c r="J73" s="31"/>
      <c r="K73" s="31"/>
      <c r="L73" s="31"/>
      <c r="M73" s="31"/>
      <c r="N73" s="31"/>
      <c r="O73" s="152"/>
      <c r="P73" s="152" t="s">
        <v>771</v>
      </c>
      <c r="Q73" s="23" t="s">
        <v>772</v>
      </c>
      <c r="R73" s="166" t="s">
        <v>772</v>
      </c>
      <c r="S73" s="166" t="s">
        <v>772</v>
      </c>
      <c r="T73" s="166" t="s">
        <v>773</v>
      </c>
      <c r="U73" s="166" t="s">
        <v>773</v>
      </c>
      <c r="V73" s="166" t="s">
        <v>773</v>
      </c>
      <c r="W73" s="166" t="s">
        <v>773</v>
      </c>
      <c r="X73" s="209" t="s">
        <v>773</v>
      </c>
      <c r="Y73" s="199" t="s">
        <v>773</v>
      </c>
      <c r="Z73" s="21" t="s">
        <v>774</v>
      </c>
      <c r="AA73" s="46" t="s">
        <v>36</v>
      </c>
      <c r="AB73" s="54" t="s">
        <v>68</v>
      </c>
      <c r="AC73" s="69"/>
      <c r="AD73" s="63"/>
      <c r="AE73" s="63"/>
    </row>
    <row r="74" spans="1:31" s="131" customFormat="1" ht="165" x14ac:dyDescent="0.2">
      <c r="A74" s="143" t="s">
        <v>775</v>
      </c>
      <c r="B74" s="42" t="s">
        <v>776</v>
      </c>
      <c r="C74" s="17" t="s">
        <v>473</v>
      </c>
      <c r="D74" s="68" t="s">
        <v>79</v>
      </c>
      <c r="E74" s="68" t="s">
        <v>70</v>
      </c>
      <c r="F74" s="18">
        <f>VLOOKUP(טבלה13[[#This Row],[זיהוי]],'[1]Unsaved_15008758 (1)'!$A:$D,4,FALSE)</f>
        <v>46745</v>
      </c>
      <c r="G74" s="18">
        <v>46745</v>
      </c>
      <c r="H74" s="68" t="s">
        <v>20</v>
      </c>
      <c r="I74" s="72" t="str">
        <f>"WBS: " &amp; A74 &amp; CHAR(10) &amp;
"שם פרויקט: " &amp; B74 &amp; CHAR(10) &amp;
"מנה״פ: " &amp; D74 &amp; CHAR(10) &amp;
"יעד תכנית פיתוח: " &amp; TEXT(F74,"dd/mm/yyyy") &amp; CHAR(10) &amp;
"יעד מסתמן: " &amp; TEXT(G74,"dd/mm/yyyy")</f>
        <v>WBS: WBM-00594
שם פרויקט: רמת חובב - הפרדת סוללות מצברים 220 וולט ב-2 חדרי מצברים נפרדים. התקנת 2 ממירים 220/60 וולט וביטול מצברים 60 וולט
מנה״פ: אשקבנד, נסים
יעד תכנית פיתוח: 24/12/2027
יעד מסתמן: 24/12/2027</v>
      </c>
      <c r="J74" s="31"/>
      <c r="K74" s="31"/>
      <c r="L74" s="31"/>
      <c r="M74" s="31"/>
      <c r="N74" s="23" t="s">
        <v>777</v>
      </c>
      <c r="O74" s="23" t="s">
        <v>778</v>
      </c>
      <c r="P74" s="23" t="s">
        <v>778</v>
      </c>
      <c r="Q74" s="23" t="s">
        <v>778</v>
      </c>
      <c r="R74" s="166" t="s">
        <v>778</v>
      </c>
      <c r="S74" s="166" t="s">
        <v>779</v>
      </c>
      <c r="T74" s="166" t="s">
        <v>780</v>
      </c>
      <c r="U74" s="166" t="s">
        <v>780</v>
      </c>
      <c r="V74" s="166" t="s">
        <v>780</v>
      </c>
      <c r="W74" s="166" t="s">
        <v>781</v>
      </c>
      <c r="X74" s="209" t="s">
        <v>781</v>
      </c>
      <c r="Y74" s="166" t="s">
        <v>2203</v>
      </c>
      <c r="Z74" s="21"/>
      <c r="AA74" s="46"/>
      <c r="AB74" s="54"/>
      <c r="AC74" s="72"/>
      <c r="AD74" s="62"/>
      <c r="AE74" s="63"/>
    </row>
    <row r="75" spans="1:31" s="130" customFormat="1" ht="225" x14ac:dyDescent="0.2">
      <c r="A75" s="143" t="s">
        <v>782</v>
      </c>
      <c r="B75" s="42" t="s">
        <v>783</v>
      </c>
      <c r="C75" s="17" t="s">
        <v>40</v>
      </c>
      <c r="D75" s="71" t="s">
        <v>79</v>
      </c>
      <c r="E75" s="71" t="s">
        <v>70</v>
      </c>
      <c r="F75" s="18">
        <f>VLOOKUP(טבלה13[[#This Row],[זיהוי]],'[1]Unsaved_15008758 (1)'!$A:$D,4,FALSE)</f>
        <v>45783</v>
      </c>
      <c r="G75" s="90" t="s">
        <v>784</v>
      </c>
      <c r="H75" s="71" t="s">
        <v>21</v>
      </c>
      <c r="I75" s="72" t="str">
        <f t="shared" si="1"/>
        <v>WBS: WBE-138
שם פרויקט: רותם-הקמת שני שדות והתקנת שני שנאים 161 כולל תוספת מפסק ומ"ז בשדה מקשר
מנה״פ: אשקבנד, נסים
יעד תכנית פיתוח: 06/05/2025
יעד מסתמן: חושמל</v>
      </c>
      <c r="J75" s="21" t="s">
        <v>785</v>
      </c>
      <c r="K75" s="21" t="s">
        <v>785</v>
      </c>
      <c r="L75" s="21" t="s">
        <v>785</v>
      </c>
      <c r="M75" s="21" t="s">
        <v>785</v>
      </c>
      <c r="N75" s="21" t="s">
        <v>785</v>
      </c>
      <c r="O75" s="21" t="s">
        <v>786</v>
      </c>
      <c r="P75" s="21" t="s">
        <v>786</v>
      </c>
      <c r="Q75" s="21" t="s">
        <v>786</v>
      </c>
      <c r="R75" s="60" t="s">
        <v>786</v>
      </c>
      <c r="S75" s="60" t="s">
        <v>786</v>
      </c>
      <c r="T75" s="60" t="s">
        <v>787</v>
      </c>
      <c r="U75" s="60" t="s">
        <v>787</v>
      </c>
      <c r="V75" s="60" t="s">
        <v>787</v>
      </c>
      <c r="W75" s="60" t="s">
        <v>787</v>
      </c>
      <c r="X75" s="195" t="s">
        <v>787</v>
      </c>
      <c r="Y75" s="198" t="s">
        <v>2204</v>
      </c>
      <c r="Z75" s="51" t="s">
        <v>788</v>
      </c>
      <c r="AA75" s="28" t="s">
        <v>76</v>
      </c>
      <c r="AB75" s="47" t="s">
        <v>44</v>
      </c>
      <c r="AC75" s="72"/>
      <c r="AD75" s="62" t="s">
        <v>32</v>
      </c>
      <c r="AE75" s="62"/>
    </row>
    <row r="76" spans="1:31" s="130" customFormat="1" ht="165" x14ac:dyDescent="0.2">
      <c r="A76" s="143" t="s">
        <v>789</v>
      </c>
      <c r="B76" s="42" t="s">
        <v>790</v>
      </c>
      <c r="C76" s="17" t="s">
        <v>40</v>
      </c>
      <c r="D76" s="71" t="s">
        <v>79</v>
      </c>
      <c r="E76" s="71" t="s">
        <v>70</v>
      </c>
      <c r="F76" s="18">
        <f>VLOOKUP(טבלה13[[#This Row],[זיהוי]],'[1]Unsaved_15008758 (1)'!$A:$D,4,FALSE)</f>
        <v>47483</v>
      </c>
      <c r="G76" s="18">
        <v>47483</v>
      </c>
      <c r="H76" s="71" t="s">
        <v>20</v>
      </c>
      <c r="I76" s="72" t="str">
        <f t="shared" si="1"/>
        <v>WBS: WBE-181
שם פרויקט: רותם- התקנת 2 שדות קווים 1 , 7  לקליטת קו מערד
מנה״פ: אשקבנד, נסים
יעד תכנית פיתוח: 31/12/2029
יעד מסתמן: 31/12/2029</v>
      </c>
      <c r="J76" s="21" t="s">
        <v>791</v>
      </c>
      <c r="K76" s="21" t="s">
        <v>791</v>
      </c>
      <c r="L76" s="21" t="s">
        <v>791</v>
      </c>
      <c r="M76" s="21" t="s">
        <v>791</v>
      </c>
      <c r="N76" s="21" t="s">
        <v>791</v>
      </c>
      <c r="O76" s="21" t="s">
        <v>791</v>
      </c>
      <c r="P76" s="21" t="s">
        <v>791</v>
      </c>
      <c r="Q76" s="21" t="s">
        <v>791</v>
      </c>
      <c r="R76" s="60" t="s">
        <v>791</v>
      </c>
      <c r="S76" s="60" t="s">
        <v>791</v>
      </c>
      <c r="T76" s="60" t="s">
        <v>791</v>
      </c>
      <c r="U76" s="60" t="s">
        <v>791</v>
      </c>
      <c r="V76" s="60" t="s">
        <v>791</v>
      </c>
      <c r="W76" s="60" t="s">
        <v>792</v>
      </c>
      <c r="X76" s="195" t="s">
        <v>792</v>
      </c>
      <c r="Y76" s="198" t="s">
        <v>792</v>
      </c>
      <c r="Z76" s="51"/>
      <c r="AA76" s="73" t="s">
        <v>64</v>
      </c>
      <c r="AB76" s="47"/>
      <c r="AC76" s="72"/>
      <c r="AD76" s="62"/>
      <c r="AE76" s="62"/>
    </row>
    <row r="77" spans="1:31" s="130" customFormat="1" ht="105" x14ac:dyDescent="0.2">
      <c r="A77" s="143" t="s">
        <v>793</v>
      </c>
      <c r="B77" s="42" t="s">
        <v>794</v>
      </c>
      <c r="C77" s="17" t="s">
        <v>473</v>
      </c>
      <c r="D77" s="71" t="s">
        <v>79</v>
      </c>
      <c r="E77" s="71" t="s">
        <v>70</v>
      </c>
      <c r="F77" s="18">
        <f>VLOOKUP(טבלה13[[#This Row],[זיהוי]],'[1]Unsaved_15008758 (1)'!$A:$D,4,FALSE)</f>
        <v>46189</v>
      </c>
      <c r="G77" s="25"/>
      <c r="H77" s="71" t="s">
        <v>20</v>
      </c>
      <c r="I77" s="72" t="str">
        <f t="shared" si="1"/>
        <v>WBS: WBM-40195
שם פרויקט: רמת אביב – החלפת שנאים 511 ו-512
מנה״פ: אשקבנד, נסים
יעד תכנית פיתוח: 16/06/2026
יעד מסתמן: 00/01/1900</v>
      </c>
      <c r="J77" s="21" t="s">
        <v>795</v>
      </c>
      <c r="K77" s="21" t="s">
        <v>795</v>
      </c>
      <c r="L77" s="21" t="s">
        <v>795</v>
      </c>
      <c r="M77" s="21" t="s">
        <v>795</v>
      </c>
      <c r="N77" s="21" t="s">
        <v>795</v>
      </c>
      <c r="O77" s="21" t="s">
        <v>796</v>
      </c>
      <c r="P77" s="21" t="s">
        <v>796</v>
      </c>
      <c r="Q77" s="21" t="s">
        <v>796</v>
      </c>
      <c r="R77" s="60" t="s">
        <v>796</v>
      </c>
      <c r="S77" s="60" t="s">
        <v>796</v>
      </c>
      <c r="T77" s="60" t="s">
        <v>797</v>
      </c>
      <c r="U77" s="60" t="s">
        <v>797</v>
      </c>
      <c r="V77" s="60" t="s">
        <v>797</v>
      </c>
      <c r="W77" s="60" t="s">
        <v>797</v>
      </c>
      <c r="X77" s="195" t="s">
        <v>797</v>
      </c>
      <c r="Y77" s="198" t="s">
        <v>797</v>
      </c>
      <c r="Z77" s="51"/>
      <c r="AA77" s="74" t="s">
        <v>68</v>
      </c>
      <c r="AB77" s="47"/>
      <c r="AC77" s="72"/>
      <c r="AD77" s="62"/>
      <c r="AE77" s="62"/>
    </row>
    <row r="78" spans="1:31" s="131" customFormat="1" ht="135" x14ac:dyDescent="0.2">
      <c r="A78" s="143" t="s">
        <v>798</v>
      </c>
      <c r="B78" s="42" t="s">
        <v>799</v>
      </c>
      <c r="C78" s="17" t="s">
        <v>40</v>
      </c>
      <c r="D78" s="68" t="s">
        <v>79</v>
      </c>
      <c r="E78" s="68" t="s">
        <v>70</v>
      </c>
      <c r="F78" s="18">
        <f>VLOOKUP(טבלה13[[#This Row],[זיהוי]],'[1]Unsaved_15008758 (1)'!$A:$D,4,FALSE)</f>
        <v>46234</v>
      </c>
      <c r="G78" s="18">
        <v>46264</v>
      </c>
      <c r="H78" s="68" t="s">
        <v>85</v>
      </c>
      <c r="I78" s="72" t="str">
        <f t="shared" si="1"/>
        <v>WBS: WBE-193
שם פרויקט: עטרות– התקנת שנאי חמישי 161/36 ק"ו
מנה״פ: אשקבנד, נסים
יעד תכנית פיתוח: 31/07/2026
יעד מסתמן: 30/08/2026</v>
      </c>
      <c r="J78" s="21" t="s">
        <v>800</v>
      </c>
      <c r="K78" s="21" t="s">
        <v>800</v>
      </c>
      <c r="L78" s="21" t="s">
        <v>801</v>
      </c>
      <c r="M78" s="21" t="s">
        <v>802</v>
      </c>
      <c r="N78" s="21" t="s">
        <v>803</v>
      </c>
      <c r="O78" s="21" t="s">
        <v>804</v>
      </c>
      <c r="P78" s="21" t="s">
        <v>804</v>
      </c>
      <c r="Q78" s="21" t="s">
        <v>804</v>
      </c>
      <c r="R78" s="60" t="s">
        <v>804</v>
      </c>
      <c r="S78" s="60" t="s">
        <v>805</v>
      </c>
      <c r="T78" s="60" t="s">
        <v>806</v>
      </c>
      <c r="U78" s="60" t="s">
        <v>807</v>
      </c>
      <c r="V78" s="60" t="s">
        <v>807</v>
      </c>
      <c r="W78" s="60" t="s">
        <v>808</v>
      </c>
      <c r="X78" s="195" t="s">
        <v>809</v>
      </c>
      <c r="Y78" s="198" t="s">
        <v>2205</v>
      </c>
      <c r="Z78" s="21"/>
      <c r="AA78" s="29"/>
      <c r="AB78" s="30"/>
      <c r="AC78" s="69"/>
      <c r="AD78" s="63"/>
      <c r="AE78" s="63"/>
    </row>
    <row r="79" spans="1:31" s="131" customFormat="1" ht="195" x14ac:dyDescent="0.2">
      <c r="A79" s="143" t="s">
        <v>810</v>
      </c>
      <c r="B79" s="42" t="s">
        <v>811</v>
      </c>
      <c r="C79" s="17" t="s">
        <v>473</v>
      </c>
      <c r="D79" s="68" t="s">
        <v>79</v>
      </c>
      <c r="E79" s="68" t="s">
        <v>70</v>
      </c>
      <c r="F79" s="18">
        <f>VLOOKUP(טבלה13[[#This Row],[זיהוי]],'[1]Unsaved_15008758 (1)'!$A:$D,4,FALSE)</f>
        <v>46507</v>
      </c>
      <c r="G79" s="18">
        <v>46690</v>
      </c>
      <c r="H79" s="68" t="s">
        <v>19</v>
      </c>
      <c r="I79" s="72" t="str">
        <f>"WBS: " &amp; A79 &amp; CHAR(10) &amp;
"שם פרויקט: " &amp; B79 &amp; CHAR(10) &amp;
"מנה״פ: " &amp; D79 &amp; CHAR(10) &amp;
"יעד תכנית פיתוח: " &amp; TEXT(F79,"dd/mm/yyyy") &amp; CHAR(10) &amp;
"יעד מסתמן: " &amp; TEXT(G79,"dd/mm/yyyy")</f>
        <v>WBS: WBM-00358
שם פרויקט: עטרות - 1. פירוק 4 סוללות קבלים חיצוניות קיימות. .2 העתקת עמוד שנאי בית. .3התקנת 5 סוללות קבלים חדשות, בהספק של 2*5 מגווא"ר כ"א לשנאים 531, 532, 533, 534, 535.
מנה״פ: אשקבנד, נסים
יעד תכנית פיתוח: 30/04/2027
יעד מסתמן: 30/10/2027</v>
      </c>
      <c r="J79" s="31"/>
      <c r="K79" s="31"/>
      <c r="L79" s="31"/>
      <c r="M79" s="139" t="s">
        <v>812</v>
      </c>
      <c r="N79" s="139" t="s">
        <v>812</v>
      </c>
      <c r="O79" s="139" t="s">
        <v>812</v>
      </c>
      <c r="P79" s="139" t="s">
        <v>813</v>
      </c>
      <c r="Q79" s="156" t="s">
        <v>813</v>
      </c>
      <c r="R79" s="167" t="s">
        <v>813</v>
      </c>
      <c r="S79" s="167" t="s">
        <v>813</v>
      </c>
      <c r="T79" s="167" t="s">
        <v>814</v>
      </c>
      <c r="U79" s="167" t="s">
        <v>814</v>
      </c>
      <c r="V79" s="167" t="s">
        <v>814</v>
      </c>
      <c r="W79" s="167" t="s">
        <v>814</v>
      </c>
      <c r="X79" s="210" t="s">
        <v>814</v>
      </c>
      <c r="Y79" s="225" t="s">
        <v>814</v>
      </c>
      <c r="Z79" s="21" t="s">
        <v>815</v>
      </c>
      <c r="AA79" s="46" t="s">
        <v>44</v>
      </c>
      <c r="AB79" s="54" t="s">
        <v>39</v>
      </c>
      <c r="AC79" s="69"/>
      <c r="AD79" s="63"/>
      <c r="AE79" s="63"/>
    </row>
    <row r="80" spans="1:31" s="131" customFormat="1" ht="105" x14ac:dyDescent="0.2">
      <c r="A80" s="143" t="s">
        <v>816</v>
      </c>
      <c r="B80" s="42" t="s">
        <v>817</v>
      </c>
      <c r="C80" s="17" t="s">
        <v>40</v>
      </c>
      <c r="D80" s="68" t="s">
        <v>79</v>
      </c>
      <c r="E80" s="68" t="s">
        <v>70</v>
      </c>
      <c r="F80" s="18">
        <f>VLOOKUP(טבלה13[[#This Row],[זיהוי]],'[1]Unsaved_15008758 (1)'!$A:$D,4,FALSE)</f>
        <v>46169</v>
      </c>
      <c r="G80" s="18" t="s">
        <v>818</v>
      </c>
      <c r="H80" s="68" t="s">
        <v>85</v>
      </c>
      <c r="I80" s="72" t="str">
        <f t="shared" si="1"/>
        <v>WBS: WBE-206
שם פרויקט: להבים-התקנת שנאי שלישי 50 מגוו"א
מנה״פ: אשקבנד, נסים
יעד תכנית פיתוח: 27/05/2026
יעד מסתמן: 31.05.26</v>
      </c>
      <c r="J80" s="21" t="s">
        <v>819</v>
      </c>
      <c r="K80" s="21" t="s">
        <v>819</v>
      </c>
      <c r="L80" s="21" t="s">
        <v>820</v>
      </c>
      <c r="M80" s="21" t="s">
        <v>821</v>
      </c>
      <c r="N80" s="21" t="s">
        <v>822</v>
      </c>
      <c r="O80" s="21" t="s">
        <v>784</v>
      </c>
      <c r="P80" s="21" t="s">
        <v>784</v>
      </c>
      <c r="Q80" s="21" t="s">
        <v>784</v>
      </c>
      <c r="R80" s="60" t="s">
        <v>784</v>
      </c>
      <c r="S80" s="60" t="s">
        <v>784</v>
      </c>
      <c r="T80" s="167" t="s">
        <v>85</v>
      </c>
      <c r="U80" s="167" t="s">
        <v>85</v>
      </c>
      <c r="V80" s="167" t="s">
        <v>85</v>
      </c>
      <c r="W80" s="167" t="s">
        <v>85</v>
      </c>
      <c r="X80" s="210" t="s">
        <v>85</v>
      </c>
      <c r="Y80" s="198" t="s">
        <v>18</v>
      </c>
      <c r="Z80" s="21"/>
      <c r="AA80" s="29"/>
      <c r="AB80" s="43"/>
      <c r="AC80" s="69"/>
      <c r="AD80" s="63"/>
      <c r="AE80" s="63"/>
    </row>
    <row r="81" spans="1:31" s="131" customFormat="1" ht="285" x14ac:dyDescent="0.2">
      <c r="A81" s="143" t="s">
        <v>823</v>
      </c>
      <c r="B81" s="42" t="s">
        <v>824</v>
      </c>
      <c r="C81" s="17" t="s">
        <v>33</v>
      </c>
      <c r="D81" s="68" t="s">
        <v>79</v>
      </c>
      <c r="E81" s="68" t="s">
        <v>70</v>
      </c>
      <c r="F81" s="18">
        <f>VLOOKUP(טבלה13[[#This Row],[זיהוי]],'[1]Unsaved_15008758 (1)'!$A:$D,4,FALSE)</f>
        <v>46599</v>
      </c>
      <c r="G81" s="25">
        <v>46630</v>
      </c>
      <c r="H81" s="68" t="s">
        <v>46</v>
      </c>
      <c r="I81" s="72" t="str">
        <f t="shared" si="1"/>
        <v>WBS: WBC-050
שם פרויקט: טרומן - הקמת תחמ"ש פנימית 161/24 ק"ו
מנה״פ: אשקבנד, נסים
יעד תכנית פיתוח: 31/07/2027
יעד מסתמן: 31/08/2027</v>
      </c>
      <c r="J81" s="4" t="s">
        <v>825</v>
      </c>
      <c r="K81" s="4" t="s">
        <v>825</v>
      </c>
      <c r="L81" s="4" t="s">
        <v>825</v>
      </c>
      <c r="M81" s="4" t="s">
        <v>825</v>
      </c>
      <c r="N81" s="4" t="s">
        <v>825</v>
      </c>
      <c r="O81" s="4" t="s">
        <v>825</v>
      </c>
      <c r="P81" s="4" t="s">
        <v>825</v>
      </c>
      <c r="Q81" s="4" t="s">
        <v>826</v>
      </c>
      <c r="R81" s="60" t="s">
        <v>826</v>
      </c>
      <c r="S81" s="60" t="s">
        <v>826</v>
      </c>
      <c r="T81" s="60" t="s">
        <v>827</v>
      </c>
      <c r="U81" s="60" t="s">
        <v>827</v>
      </c>
      <c r="V81" s="60" t="s">
        <v>827</v>
      </c>
      <c r="W81" s="60" t="s">
        <v>827</v>
      </c>
      <c r="X81" s="195" t="s">
        <v>827</v>
      </c>
      <c r="Y81" s="198" t="s">
        <v>2298</v>
      </c>
      <c r="Z81" s="21"/>
      <c r="AA81" s="28"/>
      <c r="AB81" s="30"/>
      <c r="AC81" s="69"/>
      <c r="AD81" s="63"/>
      <c r="AE81" s="63" t="s">
        <v>146</v>
      </c>
    </row>
    <row r="82" spans="1:31" s="131" customFormat="1" ht="330" x14ac:dyDescent="0.2">
      <c r="A82" s="143" t="s">
        <v>5</v>
      </c>
      <c r="B82" s="42" t="s">
        <v>828</v>
      </c>
      <c r="C82" s="17" t="s">
        <v>40</v>
      </c>
      <c r="D82" s="68" t="s">
        <v>79</v>
      </c>
      <c r="E82" s="68" t="s">
        <v>70</v>
      </c>
      <c r="F82" s="18">
        <f>VLOOKUP(טבלה13[[#This Row],[זיהוי]],'[1]Unsaved_15008758 (1)'!$A:$D,4,FALSE)</f>
        <v>46387</v>
      </c>
      <c r="G82" s="25">
        <v>46324</v>
      </c>
      <c r="H82" s="68" t="s">
        <v>21</v>
      </c>
      <c r="I82" s="72" t="str">
        <f t="shared" si="1"/>
        <v>WBS: WBE-280
שם פרויקט: דימונה סולארי- הקמת שדות 19 ו-21 במסדר 161 ק"ו
מנה״פ: אשקבנד, נסים
יעד תכנית פיתוח: 31/12/2026
יעד מסתמן: 29/10/2026</v>
      </c>
      <c r="J82" s="21" t="s">
        <v>829</v>
      </c>
      <c r="K82" s="21" t="s">
        <v>829</v>
      </c>
      <c r="L82" s="21" t="s">
        <v>830</v>
      </c>
      <c r="M82" s="21" t="s">
        <v>830</v>
      </c>
      <c r="N82" s="21" t="s">
        <v>831</v>
      </c>
      <c r="O82" s="21" t="s">
        <v>832</v>
      </c>
      <c r="P82" s="21" t="s">
        <v>832</v>
      </c>
      <c r="Q82" s="21" t="s">
        <v>833</v>
      </c>
      <c r="R82" s="60" t="s">
        <v>833</v>
      </c>
      <c r="S82" s="60" t="s">
        <v>834</v>
      </c>
      <c r="T82" s="60" t="s">
        <v>835</v>
      </c>
      <c r="U82" s="60" t="s">
        <v>836</v>
      </c>
      <c r="V82" s="60" t="s">
        <v>836</v>
      </c>
      <c r="W82" s="60" t="s">
        <v>837</v>
      </c>
      <c r="X82" s="195" t="s">
        <v>838</v>
      </c>
      <c r="Y82" s="198" t="s">
        <v>2206</v>
      </c>
      <c r="Z82" s="21" t="s">
        <v>2299</v>
      </c>
      <c r="AA82" s="28" t="s">
        <v>44</v>
      </c>
      <c r="AB82" s="30" t="s">
        <v>74</v>
      </c>
      <c r="AC82" s="69"/>
      <c r="AD82" s="63"/>
      <c r="AE82" s="63"/>
    </row>
    <row r="83" spans="1:31" s="130" customFormat="1" ht="105" x14ac:dyDescent="0.2">
      <c r="A83" s="143" t="s">
        <v>839</v>
      </c>
      <c r="B83" s="42" t="s">
        <v>840</v>
      </c>
      <c r="C83" s="17" t="s">
        <v>473</v>
      </c>
      <c r="D83" s="71" t="s">
        <v>79</v>
      </c>
      <c r="E83" s="71" t="s">
        <v>70</v>
      </c>
      <c r="F83" s="18">
        <f>VLOOKUP(טבלה13[[#This Row],[זיהוי]],'[1]Unsaved_15008758 (1)'!$A:$D,4,FALSE)</f>
        <v>46751</v>
      </c>
      <c r="G83" s="18" t="s">
        <v>841</v>
      </c>
      <c r="H83" s="71" t="s">
        <v>73</v>
      </c>
      <c r="I83" s="72" t="str">
        <f t="shared" si="1"/>
        <v>WBS: WBM-40507
שם פרויקט: דימונה - שדה 6 
מנה״פ: אשקבנד, נסים
יעד תכנית פיתוח: 30/12/2027
יעד מסתמן: 31.12.2026</v>
      </c>
      <c r="J83" s="32" t="s">
        <v>842</v>
      </c>
      <c r="K83" s="32" t="s">
        <v>842</v>
      </c>
      <c r="L83" s="32" t="s">
        <v>842</v>
      </c>
      <c r="M83" s="32" t="s">
        <v>843</v>
      </c>
      <c r="N83" s="32" t="s">
        <v>843</v>
      </c>
      <c r="O83" s="32" t="s">
        <v>843</v>
      </c>
      <c r="P83" s="32" t="s">
        <v>843</v>
      </c>
      <c r="Q83" s="32" t="s">
        <v>843</v>
      </c>
      <c r="R83" s="168" t="s">
        <v>843</v>
      </c>
      <c r="S83" s="168" t="s">
        <v>844</v>
      </c>
      <c r="T83" s="168" t="s">
        <v>845</v>
      </c>
      <c r="U83" s="60" t="s">
        <v>846</v>
      </c>
      <c r="V83" s="60" t="s">
        <v>846</v>
      </c>
      <c r="W83" s="60" t="s">
        <v>847</v>
      </c>
      <c r="X83" s="195" t="s">
        <v>847</v>
      </c>
      <c r="Y83" s="198" t="s">
        <v>2207</v>
      </c>
      <c r="Z83" s="21" t="s">
        <v>815</v>
      </c>
      <c r="AA83" s="28" t="s">
        <v>81</v>
      </c>
      <c r="AB83" s="30"/>
      <c r="AC83" s="72"/>
      <c r="AD83" s="62"/>
      <c r="AE83" s="62"/>
    </row>
    <row r="84" spans="1:31" s="130" customFormat="1" ht="105" x14ac:dyDescent="0.2">
      <c r="A84" s="143" t="s">
        <v>848</v>
      </c>
      <c r="B84" s="42" t="s">
        <v>849</v>
      </c>
      <c r="C84" s="17" t="s">
        <v>473</v>
      </c>
      <c r="D84" s="71" t="s">
        <v>79</v>
      </c>
      <c r="E84" s="71" t="s">
        <v>70</v>
      </c>
      <c r="F84" s="18">
        <f>VLOOKUP(טבלה13[[#This Row],[זיהוי]],'[1]Unsaved_15008758 (1)'!$A:$D,4,FALSE)</f>
        <v>46203</v>
      </c>
      <c r="G84" s="18" t="s">
        <v>850</v>
      </c>
      <c r="H84" s="71" t="s">
        <v>21</v>
      </c>
      <c r="I84" s="72" t="str">
        <f t="shared" si="1"/>
        <v>WBS: WBM-40523
שם פרויקט: דימונה - שדרוג שדה 13
מנה״פ: אשקבנד, נסים
יעד תכנית פיתוח: 30/06/2026
יעד מסתמן: 30.11.28</v>
      </c>
      <c r="J84" s="21" t="s">
        <v>851</v>
      </c>
      <c r="K84" s="21" t="s">
        <v>851</v>
      </c>
      <c r="L84" s="21" t="s">
        <v>852</v>
      </c>
      <c r="M84" s="21" t="s">
        <v>853</v>
      </c>
      <c r="N84" s="21" t="s">
        <v>853</v>
      </c>
      <c r="O84" s="21" t="s">
        <v>854</v>
      </c>
      <c r="P84" s="21" t="s">
        <v>854</v>
      </c>
      <c r="Q84" s="21" t="s">
        <v>854</v>
      </c>
      <c r="R84" s="60" t="s">
        <v>854</v>
      </c>
      <c r="S84" s="60" t="s">
        <v>854</v>
      </c>
      <c r="T84" s="60" t="s">
        <v>855</v>
      </c>
      <c r="U84" s="60" t="s">
        <v>855</v>
      </c>
      <c r="V84" s="60" t="s">
        <v>855</v>
      </c>
      <c r="W84" s="60" t="s">
        <v>855</v>
      </c>
      <c r="X84" s="195" t="s">
        <v>856</v>
      </c>
      <c r="Y84" s="195" t="s">
        <v>856</v>
      </c>
      <c r="Z84" s="21" t="s">
        <v>815</v>
      </c>
      <c r="AA84" s="74" t="s">
        <v>76</v>
      </c>
      <c r="AB84" s="47" t="s">
        <v>64</v>
      </c>
      <c r="AC84" s="72"/>
      <c r="AD84" s="62"/>
      <c r="AE84" s="62"/>
    </row>
    <row r="85" spans="1:31" s="130" customFormat="1" ht="120" x14ac:dyDescent="0.2">
      <c r="A85" s="143" t="s">
        <v>857</v>
      </c>
      <c r="B85" s="42" t="s">
        <v>858</v>
      </c>
      <c r="C85" s="17" t="s">
        <v>473</v>
      </c>
      <c r="D85" s="71" t="s">
        <v>79</v>
      </c>
      <c r="E85" s="71" t="s">
        <v>70</v>
      </c>
      <c r="F85" s="18">
        <f>VLOOKUP(טבלה13[[#This Row],[זיהוי]],'[1]Unsaved_15008758 (1)'!$A:$D,4,FALSE)</f>
        <v>46203</v>
      </c>
      <c r="G85" s="25"/>
      <c r="H85" s="71" t="s">
        <v>19</v>
      </c>
      <c r="I85" s="72" t="str">
        <f t="shared" si="1"/>
        <v>WBS: WBM-40062
שם פרויקט: דימונה - שדרוג שדה 14 - התאמת יכולת ל-1600 א'
מנה״פ: אשקבנד, נסים
יעד תכנית פיתוח: 30/06/2026
יעד מסתמן: 00/01/1900</v>
      </c>
      <c r="J85" s="21" t="s">
        <v>859</v>
      </c>
      <c r="K85" s="21" t="s">
        <v>859</v>
      </c>
      <c r="L85" s="21" t="s">
        <v>859</v>
      </c>
      <c r="M85" s="21" t="s">
        <v>859</v>
      </c>
      <c r="N85" s="21" t="s">
        <v>859</v>
      </c>
      <c r="O85" s="21" t="s">
        <v>859</v>
      </c>
      <c r="P85" s="21" t="s">
        <v>859</v>
      </c>
      <c r="Q85" s="21" t="s">
        <v>859</v>
      </c>
      <c r="R85" s="60" t="s">
        <v>859</v>
      </c>
      <c r="S85" s="60" t="s">
        <v>859</v>
      </c>
      <c r="T85" s="60" t="s">
        <v>859</v>
      </c>
      <c r="U85" s="60" t="s">
        <v>859</v>
      </c>
      <c r="V85" s="60" t="s">
        <v>859</v>
      </c>
      <c r="W85" s="60" t="s">
        <v>860</v>
      </c>
      <c r="X85" s="195" t="s">
        <v>861</v>
      </c>
      <c r="Y85" s="198" t="s">
        <v>2208</v>
      </c>
      <c r="Z85" s="21" t="s">
        <v>815</v>
      </c>
      <c r="AA85" s="74" t="s">
        <v>81</v>
      </c>
      <c r="AB85" s="47" t="s">
        <v>36</v>
      </c>
      <c r="AC85" s="72"/>
      <c r="AD85" s="62"/>
      <c r="AE85" s="62"/>
    </row>
    <row r="86" spans="1:31" s="130" customFormat="1" ht="165" x14ac:dyDescent="0.2">
      <c r="A86" s="144" t="s">
        <v>862</v>
      </c>
      <c r="B86" s="61" t="s">
        <v>863</v>
      </c>
      <c r="C86" s="17" t="s">
        <v>40</v>
      </c>
      <c r="D86" s="71" t="s">
        <v>79</v>
      </c>
      <c r="E86" s="71" t="s">
        <v>70</v>
      </c>
      <c r="F86" s="18">
        <f>VLOOKUP(טבלה13[[#This Row],[זיהוי]],'[1]Unsaved_15008758 (1)'!$A:$D,4,FALSE)</f>
        <v>47118</v>
      </c>
      <c r="G86" s="25">
        <v>46873</v>
      </c>
      <c r="H86" s="71" t="s">
        <v>19</v>
      </c>
      <c r="I86" s="72" t="str">
        <f>"WBS: " &amp; A86 &amp; CHAR(10) &amp;
"שם פרויקט: " &amp; B86 &amp; CHAR(10) &amp;
"מנה״פ: " &amp; D86 &amp; CHAR(10) &amp;
"יעד תכנית פיתוח: " &amp; TEXT(F86,"dd/mm/yyyy") &amp; CHAR(10) &amp;
"יעד מסתמן: " &amp; TEXT(G86,"dd/mm/yyyy")</f>
        <v>WBS: WBE-289
שם פרויקט: דימונה-התאמת שדה 7 לדימונה סולארי ל-2500 א'
מנה״פ: אשקבנד, נסים
יעד תכנית פיתוח: 31/12/2028
יעד מסתמן: 30/04/2028</v>
      </c>
      <c r="J86" s="23" t="s">
        <v>864</v>
      </c>
      <c r="K86" s="23" t="s">
        <v>864</v>
      </c>
      <c r="L86" s="23" t="s">
        <v>864</v>
      </c>
      <c r="M86" s="23" t="s">
        <v>864</v>
      </c>
      <c r="N86" s="23" t="s">
        <v>864</v>
      </c>
      <c r="O86" s="23" t="s">
        <v>864</v>
      </c>
      <c r="P86" s="23" t="s">
        <v>864</v>
      </c>
      <c r="Q86" s="23" t="s">
        <v>864</v>
      </c>
      <c r="R86" s="166" t="s">
        <v>864</v>
      </c>
      <c r="S86" s="166" t="s">
        <v>865</v>
      </c>
      <c r="T86" s="166" t="s">
        <v>865</v>
      </c>
      <c r="U86" s="166" t="s">
        <v>865</v>
      </c>
      <c r="V86" s="166" t="s">
        <v>865</v>
      </c>
      <c r="W86" s="166" t="s">
        <v>866</v>
      </c>
      <c r="X86" s="209" t="s">
        <v>867</v>
      </c>
      <c r="Y86" s="199" t="s">
        <v>867</v>
      </c>
      <c r="Z86" s="21"/>
      <c r="AA86" s="78"/>
      <c r="AB86" s="79"/>
      <c r="AC86" s="72"/>
      <c r="AD86" s="62"/>
      <c r="AE86" s="62"/>
    </row>
    <row r="87" spans="1:31" s="130" customFormat="1" ht="210" x14ac:dyDescent="0.2">
      <c r="A87" s="153" t="s">
        <v>868</v>
      </c>
      <c r="B87" s="26" t="s">
        <v>869</v>
      </c>
      <c r="C87" s="17" t="s">
        <v>473</v>
      </c>
      <c r="D87" s="71" t="s">
        <v>79</v>
      </c>
      <c r="E87" s="71" t="s">
        <v>70</v>
      </c>
      <c r="F87" s="18">
        <f>VLOOKUP(טבלה13[[#This Row],[זיהוי]],'[1]Unsaved_15008758 (1)'!$A:$D,4,FALSE)</f>
        <v>47056</v>
      </c>
      <c r="G87" s="18">
        <v>47056</v>
      </c>
      <c r="H87" s="71" t="s">
        <v>19</v>
      </c>
      <c r="I87" s="72" t="str">
        <f>"WBS: " &amp; A87 &amp; CHAR(10) &amp;
"שם פרויקט: " &amp; B87 &amp; CHAR(10) &amp;
"מנה״פ: " &amp; D87 &amp; CHAR(10) &amp;
"יעד תכנית פיתוח: " &amp; TEXT(F87,"dd/mm/yyyy") &amp; CHAR(10) &amp;
"יעד מסתמן: " &amp; TEXT(G87,"dd/mm/yyyy")</f>
        <v>WBS: WBM-10432
שם פרויקט: דימונה - בחינת הפורטל לכוחות החדשים של תיילים בחתך 1*774 הנובעים מפרויקט הולכה WBO-483. התאמת הירידות, התיילים והמהדקים מקו ההולכה לפורטל בשדות: 20, 6 לחתך 1*774
מנה״פ: אשקבנד, נסים
יעד תכנית פיתוח: 30/10/2028
יעד מסתמן: 30/10/2028</v>
      </c>
      <c r="J87" s="31"/>
      <c r="K87" s="31"/>
      <c r="L87" s="31"/>
      <c r="M87" s="31"/>
      <c r="N87" s="31"/>
      <c r="O87" s="31"/>
      <c r="P87" s="51" t="s">
        <v>870</v>
      </c>
      <c r="Q87" s="21" t="s">
        <v>870</v>
      </c>
      <c r="R87" s="60" t="s">
        <v>870</v>
      </c>
      <c r="S87" s="60" t="s">
        <v>871</v>
      </c>
      <c r="T87" s="60" t="s">
        <v>872</v>
      </c>
      <c r="U87" s="60" t="s">
        <v>872</v>
      </c>
      <c r="V87" s="60" t="s">
        <v>872</v>
      </c>
      <c r="W87" s="60" t="s">
        <v>873</v>
      </c>
      <c r="X87" s="195" t="s">
        <v>873</v>
      </c>
      <c r="Y87" s="198" t="s">
        <v>873</v>
      </c>
      <c r="Z87" s="21" t="s">
        <v>815</v>
      </c>
      <c r="AA87" s="78" t="s">
        <v>39</v>
      </c>
      <c r="AB87" s="79"/>
      <c r="AC87" s="72"/>
      <c r="AD87" s="62"/>
      <c r="AE87" s="62"/>
    </row>
    <row r="88" spans="1:31" s="130" customFormat="1" ht="225" x14ac:dyDescent="0.2">
      <c r="A88" s="143" t="s">
        <v>874</v>
      </c>
      <c r="B88" s="42" t="s">
        <v>875</v>
      </c>
      <c r="C88" s="17" t="s">
        <v>40</v>
      </c>
      <c r="D88" s="71" t="s">
        <v>79</v>
      </c>
      <c r="E88" s="71" t="s">
        <v>70</v>
      </c>
      <c r="F88" s="18">
        <f>VLOOKUP(טבלה13[[#This Row],[זיהוי]],'[1]Unsaved_15008758 (1)'!$A:$D,4,FALSE)</f>
        <v>46234</v>
      </c>
      <c r="G88" s="18">
        <v>46264</v>
      </c>
      <c r="H88" s="71" t="s">
        <v>42</v>
      </c>
      <c r="I88" s="72" t="str">
        <f t="shared" si="1"/>
        <v>WBS: WBE-088
שם פרויקט: דימונה- התקנת שנאי שלישי 33 ק"ו 50 מגו"א
מנה״פ: אשקבנד, נסים
יעד תכנית פיתוח: 31/07/2026
יעד מסתמן: 30/08/2026</v>
      </c>
      <c r="J88" s="21" t="s">
        <v>876</v>
      </c>
      <c r="K88" s="21" t="s">
        <v>876</v>
      </c>
      <c r="L88" s="21" t="s">
        <v>876</v>
      </c>
      <c r="M88" s="21" t="s">
        <v>877</v>
      </c>
      <c r="N88" s="21" t="s">
        <v>877</v>
      </c>
      <c r="O88" s="21" t="s">
        <v>877</v>
      </c>
      <c r="P88" s="21" t="s">
        <v>877</v>
      </c>
      <c r="Q88" s="154" t="s">
        <v>878</v>
      </c>
      <c r="R88" s="169" t="s">
        <v>878</v>
      </c>
      <c r="S88" s="60" t="s">
        <v>879</v>
      </c>
      <c r="T88" s="60" t="s">
        <v>880</v>
      </c>
      <c r="U88" s="60" t="s">
        <v>880</v>
      </c>
      <c r="V88" s="60" t="s">
        <v>881</v>
      </c>
      <c r="W88" s="60" t="s">
        <v>882</v>
      </c>
      <c r="X88" s="195" t="s">
        <v>883</v>
      </c>
      <c r="Y88" s="198" t="s">
        <v>2290</v>
      </c>
      <c r="Z88" s="21" t="s">
        <v>884</v>
      </c>
      <c r="AA88" s="29" t="s">
        <v>76</v>
      </c>
      <c r="AB88" s="30" t="s">
        <v>44</v>
      </c>
      <c r="AC88" s="72"/>
      <c r="AD88" s="62" t="s">
        <v>32</v>
      </c>
      <c r="AE88" s="62" t="s">
        <v>209</v>
      </c>
    </row>
    <row r="89" spans="1:31" s="130" customFormat="1" ht="120" x14ac:dyDescent="0.2">
      <c r="A89" s="145" t="s">
        <v>885</v>
      </c>
      <c r="B89" s="42" t="s">
        <v>886</v>
      </c>
      <c r="C89" s="17" t="s">
        <v>473</v>
      </c>
      <c r="D89" s="71" t="s">
        <v>79</v>
      </c>
      <c r="E89" s="71" t="s">
        <v>70</v>
      </c>
      <c r="F89" s="18">
        <f>VLOOKUP(טבלה13[[#This Row],[זיהוי]],'[1]Unsaved_15008758 (1)'!$A:$D,4,FALSE)</f>
        <v>46326</v>
      </c>
      <c r="G89" s="18" t="s">
        <v>887</v>
      </c>
      <c r="H89" s="71" t="s">
        <v>42</v>
      </c>
      <c r="I89" s="72" t="str">
        <f>"WBS: " &amp; A89 &amp; CHAR(10) &amp;
"שם פרויקט: " &amp; B89 &amp; CHAR(10) &amp;
"מנה״פ: " &amp; D89 &amp; CHAR(10) &amp;
"יעד תכנית פיתוח: " &amp; TEXT(F89,"dd/mm/yyyy") &amp; CHAR(10) &amp;
"יעד מסתמן: " &amp; TEXT(G89,"dd/mm/yyyy")</f>
        <v>WBS: WBM-01445
שם פרויקט: קרית גת-החלפת ציוד בשדות 5, 13 ומקשר
מנה״פ: אשקבנד, נסים
יעד תכנית פיתוח: 31/10/2026
יעד מסתמן: לא ידוע</v>
      </c>
      <c r="J89" s="23" t="s">
        <v>888</v>
      </c>
      <c r="K89" s="23" t="s">
        <v>888</v>
      </c>
      <c r="L89" s="23" t="s">
        <v>888</v>
      </c>
      <c r="M89" s="23" t="s">
        <v>889</v>
      </c>
      <c r="N89" s="23" t="s">
        <v>889</v>
      </c>
      <c r="O89" s="23" t="s">
        <v>889</v>
      </c>
      <c r="P89" s="23" t="s">
        <v>889</v>
      </c>
      <c r="Q89" s="21" t="s">
        <v>889</v>
      </c>
      <c r="R89" s="60" t="s">
        <v>889</v>
      </c>
      <c r="S89" s="60" t="s">
        <v>889</v>
      </c>
      <c r="T89" s="60" t="s">
        <v>890</v>
      </c>
      <c r="U89" s="60" t="s">
        <v>890</v>
      </c>
      <c r="V89" s="60" t="s">
        <v>890</v>
      </c>
      <c r="W89" s="60" t="s">
        <v>891</v>
      </c>
      <c r="X89" s="195" t="s">
        <v>891</v>
      </c>
      <c r="Y89" s="198" t="s">
        <v>891</v>
      </c>
      <c r="Z89" s="21"/>
      <c r="AA89" s="46" t="s">
        <v>76</v>
      </c>
      <c r="AB89" s="54"/>
      <c r="AC89" s="72"/>
      <c r="AD89" s="62"/>
      <c r="AE89" s="62"/>
    </row>
    <row r="90" spans="1:31" s="130" customFormat="1" ht="135" x14ac:dyDescent="0.2">
      <c r="A90" s="143" t="s">
        <v>892</v>
      </c>
      <c r="B90" s="42" t="s">
        <v>893</v>
      </c>
      <c r="C90" s="17" t="s">
        <v>473</v>
      </c>
      <c r="D90" s="71" t="s">
        <v>79</v>
      </c>
      <c r="E90" s="71" t="s">
        <v>70</v>
      </c>
      <c r="F90" s="18">
        <f>VLOOKUP(טבלה13[[#This Row],[זיהוי]],'[1]Unsaved_15008758 (1)'!$A:$D,4,FALSE)</f>
        <v>46203</v>
      </c>
      <c r="G90" s="18">
        <v>46264</v>
      </c>
      <c r="H90" s="71" t="s">
        <v>42</v>
      </c>
      <c r="I90" s="72" t="str">
        <f t="shared" si="1"/>
        <v>WBS: WBM-01448
שם פרויקט: אריאל - פירוק סוללות קבלים מ"ג קיימות והתקנת 5 סוללות קבלים מודולריות 
מנה״פ: אשקבנד, נסים
יעד תכנית פיתוח: 30/06/2026
יעד מסתמן: 30/08/2026</v>
      </c>
      <c r="J90" s="21" t="s">
        <v>894</v>
      </c>
      <c r="K90" s="21" t="s">
        <v>894</v>
      </c>
      <c r="L90" s="21" t="s">
        <v>894</v>
      </c>
      <c r="M90" s="21" t="s">
        <v>895</v>
      </c>
      <c r="N90" s="21" t="s">
        <v>895</v>
      </c>
      <c r="O90" s="21" t="s">
        <v>896</v>
      </c>
      <c r="P90" s="21" t="s">
        <v>896</v>
      </c>
      <c r="Q90" s="21" t="s">
        <v>896</v>
      </c>
      <c r="R90" s="60" t="s">
        <v>896</v>
      </c>
      <c r="S90" s="60" t="s">
        <v>897</v>
      </c>
      <c r="T90" s="60" t="s">
        <v>898</v>
      </c>
      <c r="U90" s="60" t="s">
        <v>898</v>
      </c>
      <c r="V90" s="60" t="s">
        <v>898</v>
      </c>
      <c r="W90" s="60" t="s">
        <v>899</v>
      </c>
      <c r="X90" s="195" t="s">
        <v>899</v>
      </c>
      <c r="Y90" s="198" t="s">
        <v>899</v>
      </c>
      <c r="Z90" s="21" t="s">
        <v>900</v>
      </c>
      <c r="AA90" s="28" t="s">
        <v>76</v>
      </c>
      <c r="AB90" s="30"/>
      <c r="AC90" s="72"/>
      <c r="AD90" s="62"/>
      <c r="AE90" s="62"/>
    </row>
    <row r="91" spans="1:31" s="130" customFormat="1" ht="120" x14ac:dyDescent="0.2">
      <c r="A91" s="143" t="s">
        <v>901</v>
      </c>
      <c r="B91" s="42" t="s">
        <v>902</v>
      </c>
      <c r="C91" s="17" t="s">
        <v>40</v>
      </c>
      <c r="D91" s="71" t="s">
        <v>79</v>
      </c>
      <c r="E91" s="71" t="s">
        <v>70</v>
      </c>
      <c r="F91" s="18">
        <f>VLOOKUP(טבלה13[[#This Row],[זיהוי]],'[1]Unsaved_15008758 (1)'!$A:$D,4,FALSE)</f>
        <v>46387</v>
      </c>
      <c r="G91" s="25">
        <v>46387</v>
      </c>
      <c r="H91" s="71" t="s">
        <v>46</v>
      </c>
      <c r="I91" s="72" t="str">
        <f t="shared" si="1"/>
        <v>WBS: WBE-190
שם פרויקט: אריאל – התקנת שנאי חמישי 161/36 ק"ו
מנה״פ: אשקבנד, נסים
יעד תכנית פיתוח: 31/12/2026
יעד מסתמן: 31/12/2026</v>
      </c>
      <c r="J91" s="21" t="s">
        <v>903</v>
      </c>
      <c r="K91" s="21" t="s">
        <v>903</v>
      </c>
      <c r="L91" s="21" t="s">
        <v>904</v>
      </c>
      <c r="M91" s="21" t="s">
        <v>905</v>
      </c>
      <c r="N91" s="21" t="s">
        <v>905</v>
      </c>
      <c r="O91" s="21" t="s">
        <v>906</v>
      </c>
      <c r="P91" s="21" t="s">
        <v>906</v>
      </c>
      <c r="Q91" s="21" t="s">
        <v>906</v>
      </c>
      <c r="R91" s="60" t="s">
        <v>906</v>
      </c>
      <c r="S91" s="60" t="s">
        <v>906</v>
      </c>
      <c r="T91" s="60" t="s">
        <v>907</v>
      </c>
      <c r="U91" s="60" t="s">
        <v>907</v>
      </c>
      <c r="V91" s="60" t="s">
        <v>907</v>
      </c>
      <c r="W91" s="60" t="s">
        <v>908</v>
      </c>
      <c r="X91" s="195" t="s">
        <v>908</v>
      </c>
      <c r="Y91" s="198" t="s">
        <v>2304</v>
      </c>
      <c r="Z91" s="21" t="s">
        <v>909</v>
      </c>
      <c r="AA91" s="73" t="s">
        <v>81</v>
      </c>
      <c r="AB91" s="47"/>
      <c r="AC91" s="72"/>
      <c r="AD91" s="62"/>
      <c r="AE91" s="62" t="s">
        <v>146</v>
      </c>
    </row>
    <row r="92" spans="1:31" s="130" customFormat="1" ht="120" x14ac:dyDescent="0.2">
      <c r="A92" s="15" t="s">
        <v>910</v>
      </c>
      <c r="B92" s="16" t="s">
        <v>911</v>
      </c>
      <c r="C92" s="17" t="s">
        <v>33</v>
      </c>
      <c r="D92" s="71" t="s">
        <v>93</v>
      </c>
      <c r="E92" s="71" t="s">
        <v>56</v>
      </c>
      <c r="F92" s="18"/>
      <c r="G92" s="25"/>
      <c r="H92" s="71"/>
      <c r="I92" s="72" t="str">
        <f>"WBS: " &amp; A92 &amp; CHAR(10) &amp;
"שם פרויקט: " &amp; B92 &amp; CHAR(10) &amp;
"מנה״פ: " &amp; D92 &amp; CHAR(10) &amp;
"יעד תכנית פיתוח: " &amp; TEXT(F92,"dd/mm/yyyy") &amp; CHAR(10) &amp;
"יעד מסתמן: " &amp; TEXT(G92,"dd/mm/yyyy")</f>
        <v>WBS: WBC-041
שם פרויקט: עזריאלי -הקמת תחמ"ש פנימית 161/24 ק"ו
מנה״פ: פוטרמן, שרון 
יעד תכנית פיתוח: 00/01/1900
יעד מסתמן: 00/01/1900</v>
      </c>
      <c r="J92" s="23" t="s">
        <v>912</v>
      </c>
      <c r="K92" s="23" t="s">
        <v>913</v>
      </c>
      <c r="L92" s="23" t="s">
        <v>914</v>
      </c>
      <c r="M92" s="23" t="s">
        <v>915</v>
      </c>
      <c r="N92" s="23" t="s">
        <v>916</v>
      </c>
      <c r="O92" s="23" t="s">
        <v>917</v>
      </c>
      <c r="P92" s="23" t="s">
        <v>917</v>
      </c>
      <c r="Q92" s="23" t="s">
        <v>918</v>
      </c>
      <c r="R92" s="166" t="s">
        <v>918</v>
      </c>
      <c r="S92" s="166" t="s">
        <v>919</v>
      </c>
      <c r="T92" s="166" t="s">
        <v>920</v>
      </c>
      <c r="U92" s="166" t="s">
        <v>921</v>
      </c>
      <c r="V92" s="166" t="s">
        <v>921</v>
      </c>
      <c r="W92" s="166" t="s">
        <v>921</v>
      </c>
      <c r="X92" s="209" t="s">
        <v>2213</v>
      </c>
      <c r="Y92" s="209" t="s">
        <v>2213</v>
      </c>
      <c r="Z92" s="51"/>
      <c r="AA92" s="78"/>
      <c r="AB92" s="79"/>
      <c r="AC92" s="72"/>
      <c r="AD92" s="62"/>
      <c r="AE92" s="62"/>
    </row>
    <row r="93" spans="1:31" s="130" customFormat="1" ht="195" x14ac:dyDescent="0.2">
      <c r="A93" s="15" t="s">
        <v>8</v>
      </c>
      <c r="B93" s="16" t="s">
        <v>922</v>
      </c>
      <c r="C93" s="17" t="s">
        <v>40</v>
      </c>
      <c r="D93" s="71" t="s">
        <v>55</v>
      </c>
      <c r="E93" s="71" t="s">
        <v>56</v>
      </c>
      <c r="F93" s="18">
        <f>VLOOKUP(טבלה13[[#This Row],[זיהוי]],'[1]Unsaved_15008758 (1)'!$A:$D,4,FALSE)</f>
        <v>46265</v>
      </c>
      <c r="G93" s="25">
        <v>46265</v>
      </c>
      <c r="H93" s="51" t="s">
        <v>78</v>
      </c>
      <c r="I93" s="72" t="str">
        <f t="shared" si="1"/>
        <v>WBS: WBE-175
שם פרויקט: פתח תקווה-הוספת שנאי 525 161/24 ק"ו 50 מ
מנה״פ: אוברקוביץ, ענת
יעד תכנית פיתוח: 31/08/2026
יעד מסתמן: 31/08/2026</v>
      </c>
      <c r="J93" s="23" t="s">
        <v>923</v>
      </c>
      <c r="K93" s="23" t="s">
        <v>923</v>
      </c>
      <c r="L93" s="23" t="s">
        <v>924</v>
      </c>
      <c r="M93" s="23" t="s">
        <v>925</v>
      </c>
      <c r="N93" s="23" t="s">
        <v>926</v>
      </c>
      <c r="O93" s="23" t="s">
        <v>927</v>
      </c>
      <c r="P93" s="23" t="s">
        <v>928</v>
      </c>
      <c r="Q93" s="23" t="s">
        <v>928</v>
      </c>
      <c r="R93" s="166" t="s">
        <v>929</v>
      </c>
      <c r="S93" s="166" t="s">
        <v>930</v>
      </c>
      <c r="T93" s="166" t="s">
        <v>929</v>
      </c>
      <c r="U93" s="166" t="s">
        <v>929</v>
      </c>
      <c r="V93" s="166" t="s">
        <v>931</v>
      </c>
      <c r="W93" s="166" t="s">
        <v>932</v>
      </c>
      <c r="X93" s="209" t="s">
        <v>932</v>
      </c>
      <c r="Y93" s="166" t="s">
        <v>2276</v>
      </c>
      <c r="Z93" s="51" t="s">
        <v>933</v>
      </c>
      <c r="AA93" s="74"/>
      <c r="AB93" s="47"/>
      <c r="AC93" s="72"/>
      <c r="AD93" s="62"/>
      <c r="AE93" s="62" t="s">
        <v>146</v>
      </c>
    </row>
    <row r="94" spans="1:31" s="130" customFormat="1" ht="135" x14ac:dyDescent="0.2">
      <c r="A94" s="15" t="s">
        <v>934</v>
      </c>
      <c r="B94" s="92" t="s">
        <v>935</v>
      </c>
      <c r="C94" s="17" t="s">
        <v>40</v>
      </c>
      <c r="D94" s="71" t="s">
        <v>65</v>
      </c>
      <c r="E94" s="71" t="s">
        <v>62</v>
      </c>
      <c r="F94" s="18">
        <f>VLOOKUP(טבלה13[[#This Row],[זיהוי]],'[1]Unsaved_15008758 (1)'!$A:$D,4,FALSE)</f>
        <v>46387</v>
      </c>
      <c r="G94" s="25">
        <v>46387</v>
      </c>
      <c r="H94" s="71" t="s">
        <v>46</v>
      </c>
      <c r="I94" s="72" t="str">
        <f t="shared" si="1"/>
        <v>WBS: WBE-205
שם פרויקט: ערד-החלפת 2 שנאים 33 ל-2 שנאים 50, הוספת שנאי רביעי 50 מגוו"א רב שלבי
מנה״פ: אוריאל שטרית 
יעד תכנית פיתוח: 31/12/2026
יעד מסתמן: 31/12/2026</v>
      </c>
      <c r="J94" s="51" t="s">
        <v>936</v>
      </c>
      <c r="K94" s="51" t="s">
        <v>937</v>
      </c>
      <c r="L94" s="51" t="s">
        <v>938</v>
      </c>
      <c r="M94" s="51" t="s">
        <v>939</v>
      </c>
      <c r="N94" s="51" t="s">
        <v>939</v>
      </c>
      <c r="O94" s="51" t="s">
        <v>940</v>
      </c>
      <c r="P94" s="51" t="s">
        <v>941</v>
      </c>
      <c r="Q94" s="51" t="s">
        <v>942</v>
      </c>
      <c r="R94" s="76" t="s">
        <v>943</v>
      </c>
      <c r="S94" s="76" t="s">
        <v>944</v>
      </c>
      <c r="T94" s="76" t="s">
        <v>944</v>
      </c>
      <c r="U94" s="76" t="s">
        <v>944</v>
      </c>
      <c r="V94" s="76" t="s">
        <v>945</v>
      </c>
      <c r="W94" s="76" t="s">
        <v>946</v>
      </c>
      <c r="X94" s="198" t="s">
        <v>947</v>
      </c>
      <c r="Y94" s="76" t="s">
        <v>2227</v>
      </c>
      <c r="Z94" s="51"/>
      <c r="AA94" s="74"/>
      <c r="AB94" s="47"/>
      <c r="AC94" s="72"/>
      <c r="AD94" s="62" t="s">
        <v>32</v>
      </c>
      <c r="AE94" s="62" t="s">
        <v>146</v>
      </c>
    </row>
    <row r="95" spans="1:31" s="130" customFormat="1" ht="120" x14ac:dyDescent="0.2">
      <c r="A95" s="15" t="s">
        <v>948</v>
      </c>
      <c r="B95" s="16" t="s">
        <v>949</v>
      </c>
      <c r="C95" s="17" t="s">
        <v>40</v>
      </c>
      <c r="D95" s="71" t="s">
        <v>65</v>
      </c>
      <c r="E95" s="71" t="s">
        <v>62</v>
      </c>
      <c r="F95" s="18">
        <f>VLOOKUP(טבלה13[[#This Row],[זיהוי]],'[1]Unsaved_15008758 (1)'!$A:$D,4,FALSE)</f>
        <v>46189</v>
      </c>
      <c r="G95" s="18">
        <v>46201</v>
      </c>
      <c r="H95" s="71" t="s">
        <v>85</v>
      </c>
      <c r="I95" s="72" t="str">
        <f t="shared" si="1"/>
        <v>WBS: WBE-153
שם פרויקט: ערד-הוספת שנאי שלישי 161/36 ק"ו 50 מגו"א
מנה״פ: אוריאל שטרית 
יעד תכנית פיתוח: 16/06/2026
יעד מסתמן: 28/06/2026</v>
      </c>
      <c r="J95" s="21" t="s">
        <v>950</v>
      </c>
      <c r="K95" s="21" t="s">
        <v>951</v>
      </c>
      <c r="L95" s="21" t="s">
        <v>952</v>
      </c>
      <c r="M95" s="21" t="s">
        <v>953</v>
      </c>
      <c r="N95" s="21" t="s">
        <v>953</v>
      </c>
      <c r="O95" s="21" t="s">
        <v>954</v>
      </c>
      <c r="P95" s="51" t="s">
        <v>955</v>
      </c>
      <c r="Q95" s="51" t="s">
        <v>955</v>
      </c>
      <c r="R95" s="76" t="s">
        <v>955</v>
      </c>
      <c r="S95" s="76" t="s">
        <v>955</v>
      </c>
      <c r="T95" s="76" t="s">
        <v>955</v>
      </c>
      <c r="U95" s="76" t="s">
        <v>955</v>
      </c>
      <c r="V95" s="76" t="s">
        <v>955</v>
      </c>
      <c r="W95" s="76" t="s">
        <v>955</v>
      </c>
      <c r="X95" s="198" t="s">
        <v>955</v>
      </c>
      <c r="Y95" s="198" t="s">
        <v>955</v>
      </c>
      <c r="Z95" s="93"/>
      <c r="AA95" s="74"/>
      <c r="AB95" s="47"/>
      <c r="AC95" s="72"/>
      <c r="AD95" s="62"/>
      <c r="AE95" s="62"/>
    </row>
    <row r="96" spans="1:31" s="130" customFormat="1" ht="120" x14ac:dyDescent="0.2">
      <c r="A96" s="15" t="s">
        <v>956</v>
      </c>
      <c r="B96" s="16" t="s">
        <v>957</v>
      </c>
      <c r="C96" s="17" t="s">
        <v>40</v>
      </c>
      <c r="D96" s="71" t="s">
        <v>65</v>
      </c>
      <c r="E96" s="71" t="s">
        <v>62</v>
      </c>
      <c r="F96" s="18">
        <v>46189</v>
      </c>
      <c r="G96" s="18">
        <v>46201</v>
      </c>
      <c r="H96" s="71" t="s">
        <v>85</v>
      </c>
      <c r="I96" s="72" t="str">
        <f t="shared" si="1"/>
        <v>WBS: WBE-152
שם פרויקט: ערד-הוספת 2 מסדרי מ"ג 36 ק"ו (פ''צ 3, 4).
מנה״פ: אוריאל שטרית 
יעד תכנית פיתוח: 16/06/2026
יעד מסתמן: 28/06/2026</v>
      </c>
      <c r="J96" s="51" t="s">
        <v>958</v>
      </c>
      <c r="K96" s="51" t="s">
        <v>951</v>
      </c>
      <c r="L96" s="51" t="s">
        <v>952</v>
      </c>
      <c r="M96" s="51" t="s">
        <v>953</v>
      </c>
      <c r="N96" s="51" t="s">
        <v>953</v>
      </c>
      <c r="O96" s="51" t="s">
        <v>954</v>
      </c>
      <c r="P96" s="51" t="s">
        <v>955</v>
      </c>
      <c r="Q96" s="51" t="s">
        <v>955</v>
      </c>
      <c r="R96" s="76" t="s">
        <v>955</v>
      </c>
      <c r="S96" s="76" t="s">
        <v>955</v>
      </c>
      <c r="T96" s="76" t="s">
        <v>955</v>
      </c>
      <c r="U96" s="76" t="s">
        <v>955</v>
      </c>
      <c r="V96" s="76" t="s">
        <v>955</v>
      </c>
      <c r="W96" s="76" t="s">
        <v>955</v>
      </c>
      <c r="X96" s="198" t="s">
        <v>955</v>
      </c>
      <c r="Y96" s="198" t="s">
        <v>955</v>
      </c>
      <c r="Z96" s="93"/>
      <c r="AA96" s="74"/>
      <c r="AB96" s="47"/>
      <c r="AC96" s="72"/>
      <c r="AD96" s="62"/>
      <c r="AE96" s="62"/>
    </row>
    <row r="97" spans="1:31" s="130" customFormat="1" ht="135" x14ac:dyDescent="0.2">
      <c r="A97" s="15" t="s">
        <v>959</v>
      </c>
      <c r="B97" s="16" t="s">
        <v>960</v>
      </c>
      <c r="C97" s="17" t="s">
        <v>40</v>
      </c>
      <c r="D97" s="71" t="s">
        <v>65</v>
      </c>
      <c r="E97" s="71" t="s">
        <v>62</v>
      </c>
      <c r="F97" s="18">
        <f>VLOOKUP(טבלה13[[#This Row],[זיהוי]],'[1]Unsaved_15008758 (1)'!$A:$D,4,FALSE)</f>
        <v>46387</v>
      </c>
      <c r="G97" s="25">
        <v>46387</v>
      </c>
      <c r="H97" s="71" t="s">
        <v>46</v>
      </c>
      <c r="I97" s="72" t="str">
        <f t="shared" si="1"/>
        <v>WBS: WBE-273
שם פרויקט: ערד- השלמת שדה מקשר פ"צ, הוספת מ"מ לפ"צ מס' 2, התקנת הגנת פ"צ
מנה״פ: אוריאל שטרית 
יעד תכנית פיתוח: 31/12/2026
יעד מסתמן: 31/12/2026</v>
      </c>
      <c r="J97" s="51" t="s">
        <v>936</v>
      </c>
      <c r="K97" s="51" t="s">
        <v>937</v>
      </c>
      <c r="L97" s="51" t="s">
        <v>938</v>
      </c>
      <c r="M97" s="51" t="s">
        <v>939</v>
      </c>
      <c r="N97" s="51" t="s">
        <v>939</v>
      </c>
      <c r="O97" s="51" t="s">
        <v>940</v>
      </c>
      <c r="P97" s="51" t="s">
        <v>941</v>
      </c>
      <c r="Q97" s="51" t="s">
        <v>942</v>
      </c>
      <c r="R97" s="76" t="s">
        <v>942</v>
      </c>
      <c r="S97" s="76" t="s">
        <v>942</v>
      </c>
      <c r="T97" s="76" t="s">
        <v>942</v>
      </c>
      <c r="U97" s="76" t="s">
        <v>942</v>
      </c>
      <c r="V97" s="76" t="s">
        <v>942</v>
      </c>
      <c r="W97" s="76" t="s">
        <v>942</v>
      </c>
      <c r="X97" s="198" t="s">
        <v>942</v>
      </c>
      <c r="Y97" s="198" t="s">
        <v>942</v>
      </c>
      <c r="Z97" s="51"/>
      <c r="AA97" s="74"/>
      <c r="AB97" s="47"/>
      <c r="AC97" s="72"/>
      <c r="AD97" s="62"/>
      <c r="AE97" s="62"/>
    </row>
    <row r="98" spans="1:31" s="130" customFormat="1" ht="105" x14ac:dyDescent="0.2">
      <c r="A98" s="15" t="s">
        <v>961</v>
      </c>
      <c r="B98" s="16" t="s">
        <v>962</v>
      </c>
      <c r="C98" s="17" t="s">
        <v>40</v>
      </c>
      <c r="D98" s="71" t="s">
        <v>65</v>
      </c>
      <c r="E98" s="71" t="s">
        <v>62</v>
      </c>
      <c r="F98" s="18">
        <f>VLOOKUP(טבלה13[[#This Row],[זיהוי]],'[1]Unsaved_15008758 (1)'!$A:$D,4,FALSE)</f>
        <v>46295</v>
      </c>
      <c r="G98" s="25">
        <v>46387</v>
      </c>
      <c r="H98" s="71" t="s">
        <v>46</v>
      </c>
      <c r="I98" s="72" t="str">
        <f t="shared" si="1"/>
        <v>WBS: WBE-272
שם פרויקט: ערד- הקמת שדה 9 במסדר 161 ק"ו
מנה״פ: אוריאל שטרית 
יעד תכנית פיתוח: 30/09/2026
יעד מסתמן: 31/12/2026</v>
      </c>
      <c r="J98" s="51" t="s">
        <v>936</v>
      </c>
      <c r="K98" s="51" t="s">
        <v>937</v>
      </c>
      <c r="L98" s="51" t="s">
        <v>938</v>
      </c>
      <c r="M98" s="51" t="s">
        <v>938</v>
      </c>
      <c r="N98" s="51" t="s">
        <v>939</v>
      </c>
      <c r="O98" s="51" t="s">
        <v>940</v>
      </c>
      <c r="P98" s="51" t="s">
        <v>941</v>
      </c>
      <c r="Q98" s="51" t="s">
        <v>942</v>
      </c>
      <c r="R98" s="76" t="s">
        <v>942</v>
      </c>
      <c r="S98" s="76" t="s">
        <v>963</v>
      </c>
      <c r="T98" s="76" t="s">
        <v>963</v>
      </c>
      <c r="U98" s="76" t="s">
        <v>963</v>
      </c>
      <c r="V98" s="76" t="s">
        <v>963</v>
      </c>
      <c r="W98" s="76" t="s">
        <v>964</v>
      </c>
      <c r="X98" s="198" t="s">
        <v>965</v>
      </c>
      <c r="Y98" s="198" t="s">
        <v>2228</v>
      </c>
      <c r="Z98" s="51"/>
      <c r="AA98" s="74" t="s">
        <v>68</v>
      </c>
      <c r="AB98" s="47"/>
      <c r="AC98" s="72"/>
      <c r="AD98" s="62"/>
      <c r="AE98" s="62"/>
    </row>
    <row r="99" spans="1:31" s="130" customFormat="1" ht="240" x14ac:dyDescent="0.2">
      <c r="A99" s="15" t="s">
        <v>966</v>
      </c>
      <c r="B99" s="16" t="s">
        <v>967</v>
      </c>
      <c r="C99" s="17" t="s">
        <v>33</v>
      </c>
      <c r="D99" s="71" t="s">
        <v>56</v>
      </c>
      <c r="E99" s="71" t="s">
        <v>56</v>
      </c>
      <c r="F99" s="18">
        <f>VLOOKUP(טבלה13[[#This Row],[זיהוי]],'[1]Unsaved_15008758 (1)'!$A:$D,4,FALSE)</f>
        <v>45988</v>
      </c>
      <c r="G99" s="18" t="s">
        <v>968</v>
      </c>
      <c r="H99" s="71" t="s">
        <v>23</v>
      </c>
      <c r="I99" s="72" t="str">
        <f t="shared" si="1"/>
        <v>WBS: WBC-116
שם פרויקט: נחל צופים-הקמת תחמ"ש פנימית 161/13.8 ק"ו
מנה״פ: בסיל כהן יפעת 
יעד תכנית פיתוח: 27/11/2025
יעד מסתמן: חושמל 27/11/2025</v>
      </c>
      <c r="J99" s="51" t="s">
        <v>969</v>
      </c>
      <c r="K99" s="51" t="s">
        <v>969</v>
      </c>
      <c r="L99" s="51" t="s">
        <v>969</v>
      </c>
      <c r="M99" s="51" t="s">
        <v>970</v>
      </c>
      <c r="N99" s="51" t="s">
        <v>971</v>
      </c>
      <c r="O99" s="51" t="s">
        <v>971</v>
      </c>
      <c r="P99" s="51" t="s">
        <v>971</v>
      </c>
      <c r="Q99" s="51" t="s">
        <v>972</v>
      </c>
      <c r="R99" s="76" t="s">
        <v>972</v>
      </c>
      <c r="S99" s="76" t="s">
        <v>973</v>
      </c>
      <c r="T99" s="76" t="s">
        <v>974</v>
      </c>
      <c r="U99" s="76" t="s">
        <v>975</v>
      </c>
      <c r="V99" s="76" t="s">
        <v>975</v>
      </c>
      <c r="W99" s="76" t="s">
        <v>975</v>
      </c>
      <c r="X99" s="198" t="s">
        <v>976</v>
      </c>
      <c r="Y99" s="198" t="s">
        <v>976</v>
      </c>
      <c r="Z99" s="51" t="s">
        <v>977</v>
      </c>
      <c r="AA99" s="74"/>
      <c r="AB99" s="47"/>
      <c r="AC99" s="72"/>
      <c r="AD99" s="62"/>
      <c r="AE99" s="62"/>
    </row>
    <row r="100" spans="1:31" s="130" customFormat="1" ht="120" x14ac:dyDescent="0.2">
      <c r="A100" s="15" t="s">
        <v>978</v>
      </c>
      <c r="B100" s="16" t="s">
        <v>979</v>
      </c>
      <c r="C100" s="17" t="s">
        <v>33</v>
      </c>
      <c r="D100" s="71" t="s">
        <v>88</v>
      </c>
      <c r="E100" s="71" t="s">
        <v>62</v>
      </c>
      <c r="F100" s="18">
        <f>VLOOKUP(טבלה13[[#This Row],[זיהוי]],'[1]Unsaved_15008758 (1)'!$A:$D,4,FALSE)</f>
        <v>46660</v>
      </c>
      <c r="G100" s="25">
        <v>47056</v>
      </c>
      <c r="H100" s="71" t="s">
        <v>22</v>
      </c>
      <c r="I100" s="72" t="str">
        <f t="shared" si="1"/>
        <v>WBS: WBC-015
שם פרויקט: גנים(אתר מכבית)-הקמת תחמ"ש פנימית 161/24
מנה״פ: יהודר בכר, אורית
יעד תכנית פיתוח: 30/09/2027
יעד מסתמן: 30/10/2028</v>
      </c>
      <c r="J100" s="3" t="s">
        <v>980</v>
      </c>
      <c r="K100" s="3" t="s">
        <v>980</v>
      </c>
      <c r="L100" s="3" t="s">
        <v>980</v>
      </c>
      <c r="M100" s="3" t="s">
        <v>981</v>
      </c>
      <c r="N100" s="3" t="s">
        <v>981</v>
      </c>
      <c r="O100" s="3" t="s">
        <v>982</v>
      </c>
      <c r="P100" s="3"/>
      <c r="Q100" s="3" t="s">
        <v>983</v>
      </c>
      <c r="R100" s="91" t="s">
        <v>984</v>
      </c>
      <c r="S100" s="91" t="s">
        <v>985</v>
      </c>
      <c r="T100" s="91" t="s">
        <v>986</v>
      </c>
      <c r="U100" s="91" t="s">
        <v>987</v>
      </c>
      <c r="V100" s="91" t="s">
        <v>988</v>
      </c>
      <c r="W100" s="91" t="s">
        <v>989</v>
      </c>
      <c r="X100" s="207" t="s">
        <v>990</v>
      </c>
      <c r="Y100" s="91" t="s">
        <v>2271</v>
      </c>
      <c r="Z100" s="51" t="s">
        <v>991</v>
      </c>
      <c r="AA100" s="74" t="s">
        <v>44</v>
      </c>
      <c r="AB100" s="47"/>
      <c r="AC100" s="72"/>
      <c r="AD100" s="62"/>
      <c r="AE100" s="62" t="s">
        <v>146</v>
      </c>
    </row>
    <row r="101" spans="1:31" s="130" customFormat="1" ht="105" x14ac:dyDescent="0.2">
      <c r="A101" s="15" t="s">
        <v>992</v>
      </c>
      <c r="B101" s="16" t="s">
        <v>993</v>
      </c>
      <c r="C101" s="17" t="s">
        <v>261</v>
      </c>
      <c r="D101" s="71" t="s">
        <v>88</v>
      </c>
      <c r="E101" s="71" t="s">
        <v>62</v>
      </c>
      <c r="F101" s="18">
        <f>VLOOKUP(טבלה13[[#This Row],[זיהוי]],'[1]Unsaved_15008758 (1)'!$A:$D,4,FALSE)</f>
        <v>46265</v>
      </c>
      <c r="G101" s="44">
        <v>46265</v>
      </c>
      <c r="H101" s="71" t="s">
        <v>42</v>
      </c>
      <c r="I101" s="72" t="str">
        <f t="shared" si="1"/>
        <v>WBS: WBD-049
שם פרויקט: גנים (מכבית) ניידת-  הצבת תחמ"ש ניידת
מנה״פ: יהודר בכר, אורית
יעד תכנית פיתוח: 31/08/2026
יעד מסתמן: 31/08/2026</v>
      </c>
      <c r="J101" s="51" t="s">
        <v>994</v>
      </c>
      <c r="K101" s="51" t="s">
        <v>994</v>
      </c>
      <c r="L101" s="51" t="s">
        <v>994</v>
      </c>
      <c r="M101" s="51" t="s">
        <v>994</v>
      </c>
      <c r="N101" s="51" t="s">
        <v>994</v>
      </c>
      <c r="O101" s="51" t="s">
        <v>994</v>
      </c>
      <c r="P101" s="51"/>
      <c r="Q101" s="51" t="s">
        <v>995</v>
      </c>
      <c r="R101" s="76" t="s">
        <v>995</v>
      </c>
      <c r="S101" s="76" t="s">
        <v>996</v>
      </c>
      <c r="T101" s="76" t="s">
        <v>997</v>
      </c>
      <c r="U101" s="76" t="s">
        <v>998</v>
      </c>
      <c r="V101" s="76" t="s">
        <v>999</v>
      </c>
      <c r="W101" s="91" t="s">
        <v>1000</v>
      </c>
      <c r="X101" s="198" t="s">
        <v>1001</v>
      </c>
      <c r="Y101" s="198" t="s">
        <v>1001</v>
      </c>
      <c r="Z101" s="51" t="s">
        <v>1002</v>
      </c>
      <c r="AA101" s="74" t="s">
        <v>76</v>
      </c>
      <c r="AB101" s="47"/>
      <c r="AC101" s="72"/>
      <c r="AD101" s="62"/>
      <c r="AE101" s="62" t="s">
        <v>146</v>
      </c>
    </row>
    <row r="102" spans="1:31" s="130" customFormat="1" ht="240" x14ac:dyDescent="0.2">
      <c r="A102" s="15" t="s">
        <v>1003</v>
      </c>
      <c r="B102" s="16" t="s">
        <v>1004</v>
      </c>
      <c r="C102" s="17" t="s">
        <v>33</v>
      </c>
      <c r="D102" s="71" t="s">
        <v>56</v>
      </c>
      <c r="E102" s="71" t="s">
        <v>56</v>
      </c>
      <c r="F102" s="18">
        <f>VLOOKUP(טבלה13[[#This Row],[זיהוי]],'[1]Unsaved_15008758 (1)'!$A:$D,4,FALSE)</f>
        <v>45853</v>
      </c>
      <c r="G102" s="18" t="s">
        <v>784</v>
      </c>
      <c r="H102" s="71" t="s">
        <v>23</v>
      </c>
      <c r="I102" s="72" t="str">
        <f t="shared" si="1"/>
        <v>WBS: WBC-027
שם פרויקט: גבעתיים - הקמת תחמ"ש פנימית 161/24 ק"ו
מנה״פ: בסיל כהן יפעת 
יעד תכנית פיתוח: 15/07/2025
יעד מסתמן: חושמל</v>
      </c>
      <c r="J102" s="91" t="s">
        <v>1005</v>
      </c>
      <c r="K102" s="91" t="s">
        <v>1005</v>
      </c>
      <c r="L102" s="91" t="s">
        <v>1005</v>
      </c>
      <c r="M102" s="91" t="s">
        <v>1005</v>
      </c>
      <c r="N102" s="91" t="s">
        <v>1006</v>
      </c>
      <c r="O102" s="91" t="s">
        <v>1006</v>
      </c>
      <c r="P102" s="91" t="s">
        <v>1006</v>
      </c>
      <c r="Q102" s="91" t="s">
        <v>1007</v>
      </c>
      <c r="R102" s="91" t="s">
        <v>1007</v>
      </c>
      <c r="S102" s="91" t="s">
        <v>1008</v>
      </c>
      <c r="T102" s="91" t="s">
        <v>1008</v>
      </c>
      <c r="U102" s="91" t="s">
        <v>1008</v>
      </c>
      <c r="V102" s="91" t="s">
        <v>1008</v>
      </c>
      <c r="W102" s="91" t="s">
        <v>1008</v>
      </c>
      <c r="X102" s="207" t="s">
        <v>1009</v>
      </c>
      <c r="Y102" s="207" t="s">
        <v>1009</v>
      </c>
      <c r="Z102" s="51"/>
      <c r="AA102" s="74"/>
      <c r="AB102" s="47"/>
      <c r="AC102" s="72"/>
      <c r="AD102" s="62"/>
      <c r="AE102" s="62"/>
    </row>
    <row r="103" spans="1:31" s="130" customFormat="1" ht="105" x14ac:dyDescent="0.2">
      <c r="A103" s="15" t="s">
        <v>1010</v>
      </c>
      <c r="B103" s="16" t="s">
        <v>1011</v>
      </c>
      <c r="C103" s="17" t="s">
        <v>40</v>
      </c>
      <c r="D103" s="71" t="s">
        <v>65</v>
      </c>
      <c r="E103" s="71" t="s">
        <v>62</v>
      </c>
      <c r="F103" s="18">
        <f>VLOOKUP(טבלה13[[#This Row],[זיהוי]],'[1]Unsaved_15008758 (1)'!$A:$D,4,FALSE)</f>
        <v>46325</v>
      </c>
      <c r="G103" s="25">
        <v>46324</v>
      </c>
      <c r="H103" s="71" t="s">
        <v>46</v>
      </c>
      <c r="I103" s="72" t="str">
        <f t="shared" si="1"/>
        <v>WBS: WBE-204
שם פרויקט: אשלים-התקנת  2 שנאים 50 מגוו"א
מנה״פ: אוריאל שטרית 
יעד תכנית פיתוח: 30/10/2026
יעד מסתמן: 29/10/2026</v>
      </c>
      <c r="J103" s="3" t="s">
        <v>1012</v>
      </c>
      <c r="K103" s="3" t="s">
        <v>1013</v>
      </c>
      <c r="L103" s="3" t="s">
        <v>1013</v>
      </c>
      <c r="M103" s="3" t="s">
        <v>1014</v>
      </c>
      <c r="N103" s="3" t="s">
        <v>1014</v>
      </c>
      <c r="O103" s="3" t="s">
        <v>1014</v>
      </c>
      <c r="P103" s="3" t="s">
        <v>1015</v>
      </c>
      <c r="Q103" s="3" t="s">
        <v>1015</v>
      </c>
      <c r="R103" s="91" t="s">
        <v>1016</v>
      </c>
      <c r="S103" s="91" t="s">
        <v>1017</v>
      </c>
      <c r="T103" s="91" t="s">
        <v>1017</v>
      </c>
      <c r="U103" s="91" t="s">
        <v>1018</v>
      </c>
      <c r="V103" s="91" t="s">
        <v>1019</v>
      </c>
      <c r="W103" s="91" t="s">
        <v>1020</v>
      </c>
      <c r="X103" s="207" t="s">
        <v>1021</v>
      </c>
      <c r="Y103" s="207" t="s">
        <v>2229</v>
      </c>
      <c r="Z103" s="51"/>
      <c r="AA103" s="74" t="s">
        <v>44</v>
      </c>
      <c r="AB103" s="47" t="s">
        <v>74</v>
      </c>
      <c r="AC103" s="72"/>
      <c r="AD103" s="62" t="s">
        <v>32</v>
      </c>
      <c r="AE103" s="62" t="s">
        <v>146</v>
      </c>
    </row>
    <row r="104" spans="1:31" s="130" customFormat="1" ht="120" x14ac:dyDescent="0.2">
      <c r="A104" s="15" t="s">
        <v>1022</v>
      </c>
      <c r="B104" s="16" t="s">
        <v>1023</v>
      </c>
      <c r="C104" s="17" t="s">
        <v>40</v>
      </c>
      <c r="D104" s="71" t="s">
        <v>65</v>
      </c>
      <c r="E104" s="71" t="s">
        <v>62</v>
      </c>
      <c r="F104" s="18">
        <f>VLOOKUP(טבלה13[[#This Row],[זיהוי]],'[1]Unsaved_15008758 (1)'!$A:$D,4,FALSE)</f>
        <v>46418</v>
      </c>
      <c r="G104" s="25">
        <v>46324</v>
      </c>
      <c r="H104" s="71" t="s">
        <v>46</v>
      </c>
      <c r="I104" s="72" t="str">
        <f t="shared" si="1"/>
        <v>WBS: WBE-180
שם פרויקט: אשלים-PV3- התקנת שני שדות קווים 161/24 ק"ו
מנה״פ: אוריאל שטרית 
יעד תכנית פיתוח: 31/01/2027
יעד מסתמן: 29/10/2026</v>
      </c>
      <c r="J104" s="3" t="s">
        <v>1012</v>
      </c>
      <c r="K104" s="3" t="s">
        <v>1024</v>
      </c>
      <c r="L104" s="3" t="s">
        <v>1024</v>
      </c>
      <c r="M104" s="3" t="s">
        <v>1024</v>
      </c>
      <c r="N104" s="3" t="s">
        <v>1024</v>
      </c>
      <c r="O104" s="3" t="s">
        <v>1024</v>
      </c>
      <c r="P104" s="3" t="s">
        <v>1024</v>
      </c>
      <c r="Q104" s="3" t="s">
        <v>1024</v>
      </c>
      <c r="R104" s="91" t="s">
        <v>1024</v>
      </c>
      <c r="S104" s="91" t="s">
        <v>1024</v>
      </c>
      <c r="T104" s="91" t="s">
        <v>1025</v>
      </c>
      <c r="U104" s="91" t="s">
        <v>1025</v>
      </c>
      <c r="V104" s="91" t="s">
        <v>1025</v>
      </c>
      <c r="W104" s="91" t="s">
        <v>1025</v>
      </c>
      <c r="X104" s="207" t="s">
        <v>1026</v>
      </c>
      <c r="Y104" s="207" t="s">
        <v>2230</v>
      </c>
      <c r="Z104" s="51"/>
      <c r="AA104" s="74"/>
      <c r="AB104" s="47"/>
      <c r="AC104" s="72"/>
      <c r="AD104" s="62"/>
      <c r="AE104" s="62" t="s">
        <v>146</v>
      </c>
    </row>
    <row r="105" spans="1:31" s="130" customFormat="1" ht="135" x14ac:dyDescent="0.2">
      <c r="A105" s="15" t="s">
        <v>1027</v>
      </c>
      <c r="B105" s="16" t="s">
        <v>1028</v>
      </c>
      <c r="C105" s="17" t="s">
        <v>40</v>
      </c>
      <c r="D105" s="71" t="s">
        <v>80</v>
      </c>
      <c r="E105" s="71" t="s">
        <v>66</v>
      </c>
      <c r="F105" s="18">
        <f>VLOOKUP(טבלה13[[#This Row],[זיהוי]],'[1]Unsaved_15008758 (1)'!$A:$D,4,FALSE)</f>
        <v>46568</v>
      </c>
      <c r="G105" s="25">
        <v>46534</v>
      </c>
      <c r="H105" s="71" t="s">
        <v>19</v>
      </c>
      <c r="I105" s="72" t="str">
        <f t="shared" si="1"/>
        <v>WBS: WBK-021
שם פרויקט: אבן ספיר-התקנת שנאי קישור 400/161 ק"ו שלישי, 575 מגוו"א
מנה״פ: בן חמו, דביר 
יעד תכנית פיתוח: 30/06/2027
יעד מסתמן: 27/05/2027</v>
      </c>
      <c r="J105" s="127" t="s">
        <v>1029</v>
      </c>
      <c r="K105" s="127" t="s">
        <v>1029</v>
      </c>
      <c r="L105" s="127" t="s">
        <v>1029</v>
      </c>
      <c r="M105" s="127" t="s">
        <v>1030</v>
      </c>
      <c r="N105" s="127" t="s">
        <v>1030</v>
      </c>
      <c r="O105" s="127" t="s">
        <v>1030</v>
      </c>
      <c r="P105" s="127"/>
      <c r="Q105" s="127" t="s">
        <v>1030</v>
      </c>
      <c r="R105" s="159" t="s">
        <v>1030</v>
      </c>
      <c r="S105" s="159" t="s">
        <v>1031</v>
      </c>
      <c r="T105" s="56" t="s">
        <v>1032</v>
      </c>
      <c r="U105" s="56" t="s">
        <v>1032</v>
      </c>
      <c r="V105" s="56" t="s">
        <v>1033</v>
      </c>
      <c r="W105" s="56" t="s">
        <v>1033</v>
      </c>
      <c r="X105" s="197" t="s">
        <v>1033</v>
      </c>
      <c r="Y105" s="197" t="s">
        <v>1033</v>
      </c>
      <c r="Z105" s="51"/>
      <c r="AA105" s="73"/>
      <c r="AB105" s="47"/>
      <c r="AC105" s="72"/>
      <c r="AD105" s="62"/>
      <c r="AE105" s="62" t="s">
        <v>146</v>
      </c>
    </row>
    <row r="106" spans="1:31" s="130" customFormat="1" ht="120" x14ac:dyDescent="0.2">
      <c r="A106" s="15" t="s">
        <v>1034</v>
      </c>
      <c r="B106" s="16" t="s">
        <v>1035</v>
      </c>
      <c r="C106" s="17" t="s">
        <v>40</v>
      </c>
      <c r="D106" s="71" t="s">
        <v>80</v>
      </c>
      <c r="E106" s="71" t="s">
        <v>66</v>
      </c>
      <c r="F106" s="18">
        <f>VLOOKUP(טבלה13[[#This Row],[זיהוי]],'[1]Unsaved_15008758 (1)'!$A:$D,4,FALSE)</f>
        <v>46934</v>
      </c>
      <c r="G106" s="25">
        <v>47087</v>
      </c>
      <c r="H106" s="71" t="s">
        <v>57</v>
      </c>
      <c r="I106" s="72" t="str">
        <f t="shared" si="1"/>
        <v>WBS: WBK-014
שם פרויקט: אבן ספיר-הרחבת תחמ"ג וחיבור שנאי קישור שלישי 453
מנה״פ: בן חמו, דביר 
יעד תכנית פיתוח: 30/06/2028
יעד מסתמן: 30/11/2028</v>
      </c>
      <c r="J106" s="127" t="s">
        <v>1029</v>
      </c>
      <c r="K106" s="127" t="s">
        <v>1029</v>
      </c>
      <c r="L106" s="127" t="s">
        <v>1029</v>
      </c>
      <c r="M106" s="127" t="s">
        <v>1036</v>
      </c>
      <c r="N106" s="127" t="s">
        <v>1036</v>
      </c>
      <c r="O106" s="127" t="s">
        <v>1036</v>
      </c>
      <c r="P106" s="127"/>
      <c r="Q106" s="127" t="s">
        <v>1036</v>
      </c>
      <c r="R106" s="159" t="s">
        <v>1036</v>
      </c>
      <c r="S106" s="159" t="s">
        <v>1031</v>
      </c>
      <c r="T106" s="183" t="s">
        <v>1032</v>
      </c>
      <c r="U106" s="93" t="s">
        <v>1032</v>
      </c>
      <c r="V106" s="56" t="s">
        <v>1033</v>
      </c>
      <c r="W106" s="56" t="s">
        <v>1033</v>
      </c>
      <c r="X106" s="197" t="s">
        <v>1033</v>
      </c>
      <c r="Y106" s="197" t="s">
        <v>1033</v>
      </c>
      <c r="Z106" s="51"/>
      <c r="AA106" s="73"/>
      <c r="AB106" s="47"/>
      <c r="AC106" s="72"/>
      <c r="AD106" s="62"/>
      <c r="AE106" s="62"/>
    </row>
    <row r="107" spans="1:31" s="130" customFormat="1" ht="190.5" customHeight="1" x14ac:dyDescent="0.2">
      <c r="A107" s="15" t="s">
        <v>1037</v>
      </c>
      <c r="B107" s="16" t="s">
        <v>1038</v>
      </c>
      <c r="C107" s="17" t="s">
        <v>33</v>
      </c>
      <c r="D107" s="71" t="s">
        <v>84</v>
      </c>
      <c r="E107" s="71" t="s">
        <v>59</v>
      </c>
      <c r="F107" s="18">
        <f>VLOOKUP(טבלה13[[#This Row],[זיהוי]],'[1]Unsaved_15008758 (1)'!$A:$D,4,FALSE)</f>
        <v>47847</v>
      </c>
      <c r="G107" s="25">
        <v>47756</v>
      </c>
      <c r="H107" s="71" t="s">
        <v>22</v>
      </c>
      <c r="I107" s="72" t="str">
        <f t="shared" si="1"/>
        <v>WBS: WBJ-015
שם פרויקט: דן- הקמת תחמ"ג 
מנה״פ: ברח'ד, טובה
יעד תכנית פיתוח: 30/12/2030
יעד מסתמן: 30/09/2030</v>
      </c>
      <c r="J107" s="51" t="s">
        <v>1039</v>
      </c>
      <c r="K107" s="51" t="s">
        <v>1040</v>
      </c>
      <c r="L107" s="51" t="s">
        <v>1041</v>
      </c>
      <c r="M107" s="51" t="s">
        <v>1042</v>
      </c>
      <c r="N107" s="51" t="s">
        <v>1043</v>
      </c>
      <c r="O107" s="51" t="s">
        <v>1044</v>
      </c>
      <c r="P107" s="51" t="s">
        <v>1045</v>
      </c>
      <c r="Q107" s="51" t="s">
        <v>1046</v>
      </c>
      <c r="R107" s="76" t="s">
        <v>1046</v>
      </c>
      <c r="S107" s="76" t="s">
        <v>1047</v>
      </c>
      <c r="T107" s="76" t="s">
        <v>1047</v>
      </c>
      <c r="U107" s="76" t="s">
        <v>1048</v>
      </c>
      <c r="V107" s="76" t="s">
        <v>1048</v>
      </c>
      <c r="W107" s="76" t="s">
        <v>1049</v>
      </c>
      <c r="X107" s="198" t="s">
        <v>1049</v>
      </c>
      <c r="Y107" s="198" t="s">
        <v>2265</v>
      </c>
      <c r="Z107" s="52" t="s">
        <v>1050</v>
      </c>
      <c r="AA107" s="73" t="s">
        <v>36</v>
      </c>
      <c r="AB107" s="88"/>
      <c r="AC107" s="72"/>
      <c r="AD107" s="62"/>
      <c r="AE107" s="62" t="s">
        <v>209</v>
      </c>
    </row>
    <row r="108" spans="1:31" s="130" customFormat="1" ht="120" x14ac:dyDescent="0.2">
      <c r="A108" s="15" t="s">
        <v>1051</v>
      </c>
      <c r="B108" s="16" t="s">
        <v>1052</v>
      </c>
      <c r="C108" s="17" t="s">
        <v>40</v>
      </c>
      <c r="D108" s="71" t="s">
        <v>84</v>
      </c>
      <c r="E108" s="71" t="s">
        <v>59</v>
      </c>
      <c r="F108" s="18">
        <f>VLOOKUP(טבלה13[[#This Row],[זיהוי]],'[1]Unsaved_15008758 (1)'!$A:$D,4,FALSE)</f>
        <v>46783</v>
      </c>
      <c r="G108" s="25">
        <v>46387</v>
      </c>
      <c r="H108" s="71" t="s">
        <v>21</v>
      </c>
      <c r="I108" s="72" t="str">
        <f t="shared" si="1"/>
        <v>WBS: WBE-283
שם פרויקט: צחר-הקמת שדה קו חיבור כבל תת"ק משדה עמיאל
מנה״פ: ברח'ד, טובה
יעד תכנית פיתוח: 31/01/2028
יעד מסתמן: 31/12/2026</v>
      </c>
      <c r="J108" s="51" t="s">
        <v>1053</v>
      </c>
      <c r="K108" s="51" t="s">
        <v>1054</v>
      </c>
      <c r="L108" s="51" t="s">
        <v>1054</v>
      </c>
      <c r="M108" s="51" t="s">
        <v>1054</v>
      </c>
      <c r="N108" s="51" t="s">
        <v>1054</v>
      </c>
      <c r="O108" s="51" t="s">
        <v>1054</v>
      </c>
      <c r="P108" s="51" t="s">
        <v>1055</v>
      </c>
      <c r="Q108" s="51" t="s">
        <v>1055</v>
      </c>
      <c r="R108" s="76" t="s">
        <v>1055</v>
      </c>
      <c r="S108" s="76" t="s">
        <v>1055</v>
      </c>
      <c r="T108" s="76" t="s">
        <v>1055</v>
      </c>
      <c r="U108" s="76" t="s">
        <v>1055</v>
      </c>
      <c r="V108" s="76" t="s">
        <v>1055</v>
      </c>
      <c r="W108" s="76" t="s">
        <v>1055</v>
      </c>
      <c r="X108" s="198" t="s">
        <v>1055</v>
      </c>
      <c r="Y108" s="198" t="s">
        <v>1055</v>
      </c>
      <c r="Z108" s="51"/>
      <c r="AA108" s="74"/>
      <c r="AB108" s="47"/>
      <c r="AC108" s="72"/>
      <c r="AD108" s="62"/>
      <c r="AE108" s="62"/>
    </row>
    <row r="109" spans="1:31" s="130" customFormat="1" ht="195" x14ac:dyDescent="0.2">
      <c r="A109" s="15" t="s">
        <v>1</v>
      </c>
      <c r="B109" s="16" t="s">
        <v>1056</v>
      </c>
      <c r="C109" s="17" t="s">
        <v>33</v>
      </c>
      <c r="D109" s="71" t="s">
        <v>84</v>
      </c>
      <c r="E109" s="71" t="s">
        <v>59</v>
      </c>
      <c r="F109" s="18">
        <f>VLOOKUP(טבלה13[[#This Row],[זיהוי]],'[1]Unsaved_15008758 (1)'!$A:$D,4,FALSE)</f>
        <v>46356</v>
      </c>
      <c r="G109" s="25">
        <v>46387</v>
      </c>
      <c r="H109" s="71" t="s">
        <v>21</v>
      </c>
      <c r="I109" s="72" t="str">
        <f t="shared" si="1"/>
        <v>WBS: WBC-007
שם פרויקט: צחר- הקמת תחמש חיצונית 161/24 ק"ו
מנה״פ: ברח'ד, טובה
יעד תכנית פיתוח: 30/11/2026
יעד מסתמן: 31/12/2026</v>
      </c>
      <c r="J109" s="21" t="s">
        <v>1057</v>
      </c>
      <c r="K109" s="21" t="s">
        <v>1058</v>
      </c>
      <c r="L109" s="21" t="s">
        <v>1058</v>
      </c>
      <c r="M109" s="21" t="s">
        <v>1059</v>
      </c>
      <c r="N109" s="21" t="s">
        <v>1060</v>
      </c>
      <c r="O109" s="51" t="s">
        <v>1061</v>
      </c>
      <c r="P109" s="51" t="s">
        <v>1062</v>
      </c>
      <c r="Q109" s="51" t="s">
        <v>1063</v>
      </c>
      <c r="R109" s="76" t="s">
        <v>1064</v>
      </c>
      <c r="S109" s="76" t="s">
        <v>1065</v>
      </c>
      <c r="T109" s="76" t="s">
        <v>1066</v>
      </c>
      <c r="U109" s="76" t="s">
        <v>1067</v>
      </c>
      <c r="V109" s="76" t="s">
        <v>1068</v>
      </c>
      <c r="W109" s="76" t="s">
        <v>1069</v>
      </c>
      <c r="X109" s="198" t="s">
        <v>1070</v>
      </c>
      <c r="Y109" s="76" t="s">
        <v>2264</v>
      </c>
      <c r="Z109" s="21" t="s">
        <v>1071</v>
      </c>
      <c r="AA109" s="74"/>
      <c r="AB109" s="47"/>
      <c r="AC109" s="72"/>
      <c r="AD109" s="62"/>
      <c r="AE109" s="62" t="s">
        <v>209</v>
      </c>
    </row>
    <row r="110" spans="1:31" s="130" customFormat="1" ht="375" x14ac:dyDescent="0.2">
      <c r="A110" s="15" t="s">
        <v>1072</v>
      </c>
      <c r="B110" s="16" t="s">
        <v>1073</v>
      </c>
      <c r="C110" s="17" t="s">
        <v>33</v>
      </c>
      <c r="D110" s="71" t="s">
        <v>84</v>
      </c>
      <c r="E110" s="71" t="s">
        <v>59</v>
      </c>
      <c r="F110" s="18">
        <f>VLOOKUP(טבלה13[[#This Row],[זיהוי]],'[1]Unsaved_15008758 (1)'!$A:$D,4,FALSE)</f>
        <v>47118</v>
      </c>
      <c r="G110" s="25">
        <v>46831</v>
      </c>
      <c r="H110" s="71" t="s">
        <v>19</v>
      </c>
      <c r="I110" s="72" t="str">
        <f t="shared" si="1"/>
        <v>WBS: WBC-004
שם פרויקט: ביכורים (אסיף)-הקמת תחמ"ש פנימית 161/24
מנה״פ: ברח'ד, טובה
יעד תכנית פיתוח: 31/12/2028
יעד מסתמן: 19/03/2028</v>
      </c>
      <c r="J110" s="51" t="s">
        <v>1074</v>
      </c>
      <c r="K110" s="51" t="s">
        <v>1074</v>
      </c>
      <c r="L110" s="51" t="s">
        <v>1075</v>
      </c>
      <c r="M110" s="51" t="s">
        <v>1075</v>
      </c>
      <c r="N110" s="51" t="s">
        <v>1076</v>
      </c>
      <c r="O110" s="51" t="s">
        <v>1077</v>
      </c>
      <c r="P110" s="51" t="s">
        <v>1078</v>
      </c>
      <c r="Q110" s="51" t="s">
        <v>1078</v>
      </c>
      <c r="R110" s="76" t="s">
        <v>1078</v>
      </c>
      <c r="S110" s="76" t="s">
        <v>1078</v>
      </c>
      <c r="T110" s="76" t="s">
        <v>1079</v>
      </c>
      <c r="U110" s="76" t="s">
        <v>1080</v>
      </c>
      <c r="V110" s="76" t="s">
        <v>1080</v>
      </c>
      <c r="W110" s="76" t="s">
        <v>1081</v>
      </c>
      <c r="X110" s="198" t="s">
        <v>1081</v>
      </c>
      <c r="Y110" s="76" t="s">
        <v>1081</v>
      </c>
      <c r="Z110" s="51" t="s">
        <v>1082</v>
      </c>
      <c r="AA110" s="73" t="s">
        <v>74</v>
      </c>
      <c r="AB110" s="47"/>
      <c r="AC110" s="72"/>
      <c r="AD110" s="62"/>
      <c r="AE110" s="62"/>
    </row>
    <row r="111" spans="1:31" s="132" customFormat="1" ht="195" x14ac:dyDescent="0.2">
      <c r="A111" s="15" t="s">
        <v>1083</v>
      </c>
      <c r="B111" s="16" t="s">
        <v>1084</v>
      </c>
      <c r="C111" s="17" t="s">
        <v>40</v>
      </c>
      <c r="D111" s="71" t="s">
        <v>80</v>
      </c>
      <c r="E111" s="71" t="s">
        <v>62</v>
      </c>
      <c r="F111" s="18">
        <f>VLOOKUP(טבלה13[[#This Row],[זיהוי]],'[1]Unsaved_15008758 (1)'!$A:$D,4,FALSE)</f>
        <v>46173</v>
      </c>
      <c r="G111" s="18">
        <v>46599</v>
      </c>
      <c r="H111" s="71" t="s">
        <v>42</v>
      </c>
      <c r="I111" s="72" t="str">
        <f>"WBS: " &amp; A111 &amp; CHAR(10) &amp;
"שם פרויקט: " &amp; B111 &amp; CHAR(10) &amp;
"מנה״פ: " &amp; D111 &amp; CHAR(10) &amp;
"יעד תכנית פיתוח: " &amp; TEXT(F111,"dd/mm/yyyy") &amp; CHAR(10) &amp;
"יעד מסתמן: " &amp; TEXT(G111,"dd/mm/yyyy")</f>
        <v>WBS: WBE-154
שם פרויקט: ירושלים ה -הוספת שנאי 514 , 56 מגוו"א
מנה״פ: בן חמו, דביר 
יעד תכנית פיתוח: 31/05/2026
יעד מסתמן: 31/07/2027</v>
      </c>
      <c r="J111" s="24" t="s">
        <v>1085</v>
      </c>
      <c r="K111" s="24" t="s">
        <v>1086</v>
      </c>
      <c r="L111" s="24" t="s">
        <v>1087</v>
      </c>
      <c r="M111" s="24" t="s">
        <v>1087</v>
      </c>
      <c r="N111" s="24" t="s">
        <v>1088</v>
      </c>
      <c r="O111" s="51" t="s">
        <v>1089</v>
      </c>
      <c r="P111" s="51" t="s">
        <v>1089</v>
      </c>
      <c r="Q111" s="51" t="s">
        <v>1090</v>
      </c>
      <c r="R111" s="76" t="s">
        <v>1091</v>
      </c>
      <c r="S111" s="76" t="s">
        <v>1092</v>
      </c>
      <c r="T111" s="76" t="s">
        <v>1092</v>
      </c>
      <c r="U111" s="76" t="s">
        <v>1093</v>
      </c>
      <c r="V111" s="76" t="s">
        <v>1094</v>
      </c>
      <c r="W111" s="76" t="s">
        <v>1095</v>
      </c>
      <c r="X111" s="198" t="s">
        <v>1095</v>
      </c>
      <c r="Y111" s="76" t="s">
        <v>2283</v>
      </c>
      <c r="Z111" s="51" t="s">
        <v>1096</v>
      </c>
      <c r="AA111" s="47" t="s">
        <v>76</v>
      </c>
      <c r="AB111" s="47"/>
      <c r="AC111" s="72"/>
      <c r="AD111" s="62" t="s">
        <v>32</v>
      </c>
      <c r="AE111" s="62" t="s">
        <v>209</v>
      </c>
    </row>
    <row r="112" spans="1:31" s="132" customFormat="1" ht="330" x14ac:dyDescent="0.2">
      <c r="A112" s="15" t="s">
        <v>1097</v>
      </c>
      <c r="B112" s="16" t="s">
        <v>1098</v>
      </c>
      <c r="C112" s="17" t="s">
        <v>473</v>
      </c>
      <c r="D112" s="71" t="s">
        <v>80</v>
      </c>
      <c r="E112" s="71" t="s">
        <v>62</v>
      </c>
      <c r="F112" s="18">
        <f>VLOOKUP(טבלה13[[#This Row],[זיהוי]],'[1]Unsaved_15008758 (1)'!$A:$D,4,FALSE)</f>
        <v>46386</v>
      </c>
      <c r="G112" s="18">
        <v>46387</v>
      </c>
      <c r="H112" s="71" t="s">
        <v>19</v>
      </c>
      <c r="I112" s="72" t="str">
        <f>"WBS: " &amp; A112 &amp; CHAR(10) &amp;
"שם פרויקט: " &amp; B112 &amp; CHAR(10) &amp;
"מנה״פ: " &amp; D112 &amp; CHAR(10) &amp;
"יעד תכנית פיתוח: " &amp; TEXT(F112,"dd/mm/yyyy") &amp; CHAR(10) &amp;
"יעד מסתמן: " &amp; TEXT(G112,"dd/mm/yyyy")</f>
        <v>WBS: WBM-00885-055
שם פרויקט: ירושלים ה'- התאמת מע' מים לכיבוי אש
מנה״פ: בן חמו, דביר 
יעד תכנית פיתוח: 30/12/2026
יעד מסתמן: 31/12/2026</v>
      </c>
      <c r="J112" s="31" t="s">
        <v>1099</v>
      </c>
      <c r="K112" s="31" t="s">
        <v>1100</v>
      </c>
      <c r="L112" s="31" t="s">
        <v>1101</v>
      </c>
      <c r="M112" s="31" t="s">
        <v>1102</v>
      </c>
      <c r="N112" s="31" t="s">
        <v>1103</v>
      </c>
      <c r="O112" s="31" t="s">
        <v>1104</v>
      </c>
      <c r="P112" s="31" t="s">
        <v>1105</v>
      </c>
      <c r="Q112" s="31" t="s">
        <v>1106</v>
      </c>
      <c r="R112" s="157" t="s">
        <v>1106</v>
      </c>
      <c r="S112" s="157" t="s">
        <v>1107</v>
      </c>
      <c r="T112" s="157" t="s">
        <v>1108</v>
      </c>
      <c r="U112" s="157" t="s">
        <v>1109</v>
      </c>
      <c r="V112" s="157" t="s">
        <v>1110</v>
      </c>
      <c r="W112" s="157" t="s">
        <v>1111</v>
      </c>
      <c r="X112" s="199" t="s">
        <v>1111</v>
      </c>
      <c r="Y112" s="157" t="s">
        <v>2284</v>
      </c>
      <c r="Z112" s="51" t="s">
        <v>1112</v>
      </c>
      <c r="AA112" s="47"/>
      <c r="AB112" s="47"/>
      <c r="AC112" s="72"/>
      <c r="AD112" s="62"/>
      <c r="AE112" s="62"/>
    </row>
    <row r="113" spans="1:31" s="132" customFormat="1" ht="375" x14ac:dyDescent="0.2">
      <c r="A113" s="15" t="s">
        <v>1113</v>
      </c>
      <c r="B113" s="16" t="s">
        <v>1114</v>
      </c>
      <c r="C113" s="17" t="s">
        <v>33</v>
      </c>
      <c r="D113" s="71" t="s">
        <v>86</v>
      </c>
      <c r="E113" s="71" t="s">
        <v>62</v>
      </c>
      <c r="F113" s="18">
        <f>VLOOKUP(טבלה13[[#This Row],[זיהוי]],'[1]Unsaved_15008758 (1)'!$A:$D,4,FALSE)</f>
        <v>47299</v>
      </c>
      <c r="G113" s="25">
        <v>47374</v>
      </c>
      <c r="H113" s="71" t="s">
        <v>19</v>
      </c>
      <c r="I113" s="95" t="str">
        <f>"WBS: " &amp; A113 &amp; CHAR(10) &amp;
"שם פרויקט: " &amp; B113 &amp; CHAR(10) &amp;
"מנה״פ: " &amp; D113 &amp; CHAR(10) &amp;
"יעד תכנית פיתוח: " &amp; TEXT(F113,"dd/mm/yyyy") &amp; CHAR(10) &amp;
"יעד מסתמן: " &amp; TEXT(G113,"dd/mm/yyyy")</f>
        <v>WBS: WBC-044
שם פרויקט: ירושלים דרום (גבעת המטוס)-הקמת תחמ"ש פנימית 161/13.8
מנה״פ: ברקוביץ, משה
יעד תכנית פיתוח: 30/06/2029
יעד מסתמן: 13/09/2029</v>
      </c>
      <c r="J113" s="51" t="s">
        <v>1115</v>
      </c>
      <c r="K113" s="51" t="s">
        <v>1116</v>
      </c>
      <c r="L113" s="51" t="s">
        <v>1117</v>
      </c>
      <c r="M113" s="31"/>
      <c r="N113" s="51" t="s">
        <v>1118</v>
      </c>
      <c r="O113" s="51" t="s">
        <v>1119</v>
      </c>
      <c r="P113" s="51" t="s">
        <v>1119</v>
      </c>
      <c r="Q113" s="51" t="s">
        <v>1120</v>
      </c>
      <c r="R113" s="76" t="s">
        <v>1120</v>
      </c>
      <c r="S113" s="76" t="s">
        <v>1121</v>
      </c>
      <c r="T113" s="76" t="s">
        <v>1122</v>
      </c>
      <c r="U113" s="76" t="s">
        <v>1123</v>
      </c>
      <c r="V113" s="76" t="s">
        <v>1124</v>
      </c>
      <c r="W113" s="76" t="s">
        <v>1125</v>
      </c>
      <c r="X113" s="198" t="s">
        <v>1126</v>
      </c>
      <c r="Y113" s="198" t="s">
        <v>2210</v>
      </c>
      <c r="Z113" s="51" t="s">
        <v>1127</v>
      </c>
      <c r="AA113" s="96" t="s">
        <v>83</v>
      </c>
      <c r="AB113" s="47"/>
      <c r="AC113" s="72"/>
      <c r="AD113" s="62"/>
      <c r="AE113" s="62" t="s">
        <v>209</v>
      </c>
    </row>
    <row r="114" spans="1:31" s="130" customFormat="1" ht="105" x14ac:dyDescent="0.2">
      <c r="A114" s="15" t="s">
        <v>1128</v>
      </c>
      <c r="B114" s="16" t="s">
        <v>1129</v>
      </c>
      <c r="C114" s="17" t="s">
        <v>40</v>
      </c>
      <c r="D114" s="71" t="s">
        <v>86</v>
      </c>
      <c r="E114" s="71" t="s">
        <v>62</v>
      </c>
      <c r="F114" s="18">
        <f>VLOOKUP(טבלה13[[#This Row],[זיהוי]],'[1]Unsaved_15008758 (1)'!$A:$D,4,FALSE)</f>
        <v>46142</v>
      </c>
      <c r="G114" s="18">
        <v>46172</v>
      </c>
      <c r="H114" s="71" t="s">
        <v>85</v>
      </c>
      <c r="I114" s="72" t="str">
        <f t="shared" si="1"/>
        <v>WBS: WBE-093
שם פרויקט: ירושלים ד'- הקמת בנין
מנה״פ: ברקוביץ, משה
יעד תכנית פיתוח: 30/04/2026
יעד מסתמן: 30/05/2026</v>
      </c>
      <c r="J114" s="51" t="s">
        <v>1130</v>
      </c>
      <c r="K114" s="51" t="s">
        <v>1131</v>
      </c>
      <c r="L114" s="51" t="s">
        <v>1132</v>
      </c>
      <c r="M114" s="51" t="s">
        <v>1132</v>
      </c>
      <c r="N114" s="51" t="s">
        <v>1132</v>
      </c>
      <c r="O114" s="51" t="s">
        <v>1132</v>
      </c>
      <c r="P114" s="51" t="s">
        <v>1132</v>
      </c>
      <c r="Q114" s="51" t="s">
        <v>1132</v>
      </c>
      <c r="R114" s="76" t="s">
        <v>1132</v>
      </c>
      <c r="S114" s="76" t="s">
        <v>1133</v>
      </c>
      <c r="T114" s="76" t="s">
        <v>1133</v>
      </c>
      <c r="U114" s="76" t="s">
        <v>1133</v>
      </c>
      <c r="V114" s="76" t="s">
        <v>1133</v>
      </c>
      <c r="W114" s="76" t="s">
        <v>1133</v>
      </c>
      <c r="X114" s="198" t="s">
        <v>1133</v>
      </c>
      <c r="Y114" s="198" t="s">
        <v>1133</v>
      </c>
      <c r="Z114" s="58"/>
      <c r="AA114" s="71"/>
      <c r="AB114" s="47"/>
      <c r="AC114" s="72"/>
      <c r="AD114" s="62"/>
      <c r="AE114" s="62"/>
    </row>
    <row r="115" spans="1:31" s="130" customFormat="1" ht="120" x14ac:dyDescent="0.2">
      <c r="A115" s="15" t="s">
        <v>1134</v>
      </c>
      <c r="B115" s="16" t="s">
        <v>1135</v>
      </c>
      <c r="C115" s="17" t="s">
        <v>40</v>
      </c>
      <c r="D115" s="71" t="s">
        <v>80</v>
      </c>
      <c r="E115" s="71" t="s">
        <v>66</v>
      </c>
      <c r="F115" s="18">
        <f>VLOOKUP(טבלה13[[#This Row],[זיהוי]],'[1]Unsaved_15008758 (1)'!$A:$D,4,FALSE)</f>
        <v>47483</v>
      </c>
      <c r="G115" s="25">
        <v>47276</v>
      </c>
      <c r="H115" s="71" t="s">
        <v>20</v>
      </c>
      <c r="I115" s="72" t="str">
        <f t="shared" si="1"/>
        <v>WBS: WBE-278
שם פרויקט: תעשיה אדומים-משיק ל-wbn-103-הוספת שני שדות מעגלים 161 ק"ו
מנה״פ: בן חמו, דביר 
יעד תכנית פיתוח: 31/12/2029
יעד מסתמן: 07/06/2029</v>
      </c>
      <c r="J115" s="75" t="s">
        <v>1136</v>
      </c>
      <c r="K115" s="75" t="s">
        <v>1136</v>
      </c>
      <c r="L115" s="75" t="s">
        <v>1137</v>
      </c>
      <c r="M115" s="75" t="s">
        <v>1137</v>
      </c>
      <c r="N115" s="75" t="s">
        <v>1137</v>
      </c>
      <c r="O115" s="75" t="s">
        <v>1137</v>
      </c>
      <c r="P115" s="75"/>
      <c r="Q115" s="147" t="s">
        <v>1137</v>
      </c>
      <c r="R115" s="170" t="s">
        <v>1137</v>
      </c>
      <c r="S115" s="170" t="s">
        <v>1137</v>
      </c>
      <c r="T115" s="170" t="s">
        <v>1137</v>
      </c>
      <c r="U115" s="170" t="s">
        <v>1137</v>
      </c>
      <c r="V115" s="170" t="s">
        <v>1137</v>
      </c>
      <c r="W115" s="170" t="s">
        <v>1137</v>
      </c>
      <c r="X115" s="211" t="s">
        <v>1137</v>
      </c>
      <c r="Y115" s="211" t="s">
        <v>1137</v>
      </c>
      <c r="Z115" s="51"/>
      <c r="AA115" s="74"/>
      <c r="AB115" s="47"/>
      <c r="AC115" s="72"/>
      <c r="AD115" s="62"/>
      <c r="AE115" s="62"/>
    </row>
    <row r="116" spans="1:31" s="130" customFormat="1" ht="150" x14ac:dyDescent="0.2">
      <c r="A116" s="15" t="s">
        <v>1138</v>
      </c>
      <c r="B116" s="16" t="s">
        <v>1139</v>
      </c>
      <c r="C116" s="17" t="s">
        <v>40</v>
      </c>
      <c r="D116" s="71" t="s">
        <v>80</v>
      </c>
      <c r="E116" s="71" t="s">
        <v>66</v>
      </c>
      <c r="F116" s="18">
        <f>VLOOKUP(טבלה13[[#This Row],[זיהוי]],'[1]Unsaved_15008758 (1)'!$A:$D,4,FALSE)</f>
        <v>46843</v>
      </c>
      <c r="G116" s="18" t="s">
        <v>1140</v>
      </c>
      <c r="H116" s="71" t="s">
        <v>73</v>
      </c>
      <c r="I116" s="72" t="str">
        <f t="shared" si="1"/>
        <v>WBS: WBE-148
שם פרויקט: צפית-החלפת מנתקים, מ"ז ומ"מ 400 ק"ו
מנה״פ: בן חמו, דביר 
יעד תכנית פיתוח: 31/03/2028
יעד מסתמן: מדובר בפרויקט בשלבים בכל עונת מעבר להפסקות עד לתאריך 30/03/2028</v>
      </c>
      <c r="J116" s="51" t="s">
        <v>1141</v>
      </c>
      <c r="K116" s="51" t="s">
        <v>1142</v>
      </c>
      <c r="L116" s="51" t="s">
        <v>1143</v>
      </c>
      <c r="M116" s="51" t="s">
        <v>1143</v>
      </c>
      <c r="N116" s="51" t="s">
        <v>1144</v>
      </c>
      <c r="O116" s="51" t="s">
        <v>1145</v>
      </c>
      <c r="P116" s="51"/>
      <c r="Q116" s="61" t="s">
        <v>1145</v>
      </c>
      <c r="R116" s="165" t="s">
        <v>1145</v>
      </c>
      <c r="S116" s="165" t="s">
        <v>1146</v>
      </c>
      <c r="T116" s="165" t="s">
        <v>1147</v>
      </c>
      <c r="U116" s="165" t="s">
        <v>1147</v>
      </c>
      <c r="V116" s="165" t="s">
        <v>1147</v>
      </c>
      <c r="W116" s="165" t="s">
        <v>1147</v>
      </c>
      <c r="X116" s="158" t="s">
        <v>1147</v>
      </c>
      <c r="Y116" s="158" t="s">
        <v>1147</v>
      </c>
      <c r="Z116" s="51"/>
      <c r="AA116" s="74"/>
      <c r="AB116" s="47"/>
      <c r="AC116" s="72"/>
      <c r="AD116" s="62"/>
      <c r="AE116" s="62"/>
    </row>
    <row r="117" spans="1:31" s="130" customFormat="1" ht="135" x14ac:dyDescent="0.2">
      <c r="A117" s="15" t="s">
        <v>1148</v>
      </c>
      <c r="B117" s="16" t="s">
        <v>1149</v>
      </c>
      <c r="C117" s="17" t="s">
        <v>473</v>
      </c>
      <c r="D117" s="71" t="s">
        <v>80</v>
      </c>
      <c r="E117" s="71" t="s">
        <v>66</v>
      </c>
      <c r="F117" s="18">
        <f>VLOOKUP(טבלה13[[#This Row],[זיהוי]],'[1]Unsaved_15008758 (1)'!$A:$D,4,FALSE)</f>
        <v>46477</v>
      </c>
      <c r="G117" s="18" t="s">
        <v>1150</v>
      </c>
      <c r="H117" s="71" t="s">
        <v>19</v>
      </c>
      <c r="I117" s="72" t="str">
        <f t="shared" si="1"/>
        <v>WBS: WBM-40487
שם פרויקט: צפית -החלפת ציוד 161 ק"ו-שדות 6,9
מנה״פ: בן חמו, דביר 
יעד תכנית פיתוח: 31/03/2027
יעד מסתמן: מדובר בשלוש עונות מעבר של הפסקות עד ל- 03/2027</v>
      </c>
      <c r="J117" s="51" t="s">
        <v>1151</v>
      </c>
      <c r="K117" s="51" t="s">
        <v>1151</v>
      </c>
      <c r="L117" s="51" t="s">
        <v>1151</v>
      </c>
      <c r="M117" s="51" t="s">
        <v>1151</v>
      </c>
      <c r="N117" s="51" t="s">
        <v>1151</v>
      </c>
      <c r="O117" s="51" t="s">
        <v>1151</v>
      </c>
      <c r="P117" s="51"/>
      <c r="Q117" s="61" t="s">
        <v>1151</v>
      </c>
      <c r="R117" s="165" t="s">
        <v>1151</v>
      </c>
      <c r="S117" s="165" t="s">
        <v>1151</v>
      </c>
      <c r="T117" s="165" t="s">
        <v>1151</v>
      </c>
      <c r="U117" s="165" t="s">
        <v>1151</v>
      </c>
      <c r="V117" s="165" t="s">
        <v>1151</v>
      </c>
      <c r="W117" s="165" t="s">
        <v>1151</v>
      </c>
      <c r="X117" s="158" t="s">
        <v>1151</v>
      </c>
      <c r="Y117" s="158" t="s">
        <v>1151</v>
      </c>
      <c r="Z117" s="51"/>
      <c r="AA117" s="74"/>
      <c r="AB117" s="47"/>
      <c r="AC117" s="72"/>
      <c r="AD117" s="62"/>
      <c r="AE117" s="62"/>
    </row>
    <row r="118" spans="1:31" s="130" customFormat="1" ht="150" x14ac:dyDescent="0.2">
      <c r="A118" s="15" t="s">
        <v>1152</v>
      </c>
      <c r="B118" s="16" t="s">
        <v>1153</v>
      </c>
      <c r="C118" s="17" t="s">
        <v>473</v>
      </c>
      <c r="D118" s="71" t="s">
        <v>80</v>
      </c>
      <c r="E118" s="71" t="s">
        <v>66</v>
      </c>
      <c r="F118" s="18">
        <f>VLOOKUP(טבלה13[[#This Row],[זיהוי]],'[1]Unsaved_15008758 (1)'!$A:$D,4,FALSE)</f>
        <v>46356</v>
      </c>
      <c r="G118" s="18" t="s">
        <v>1154</v>
      </c>
      <c r="H118" s="71" t="s">
        <v>19</v>
      </c>
      <c r="I118" s="72" t="str">
        <f t="shared" si="1"/>
        <v>WBS: WBM-40489-ST2
שם פרויקט: צפית  - החלפת ציוד 161 ק"ו בשדה 14
מנה״פ: בן חמו, דביר 
יעד תכנית פיתוח: 30/11/2026
יעד מסתמן: מדובר בשלוש עונות מעבר של הפסקותעד ל- 03/2027</v>
      </c>
      <c r="J118" s="51" t="s">
        <v>1155</v>
      </c>
      <c r="K118" s="51" t="s">
        <v>1155</v>
      </c>
      <c r="L118" s="51" t="s">
        <v>1155</v>
      </c>
      <c r="M118" s="51" t="s">
        <v>1155</v>
      </c>
      <c r="N118" s="51" t="s">
        <v>1155</v>
      </c>
      <c r="O118" s="51" t="s">
        <v>1155</v>
      </c>
      <c r="P118" s="51"/>
      <c r="Q118" s="61" t="s">
        <v>1155</v>
      </c>
      <c r="R118" s="165" t="s">
        <v>1155</v>
      </c>
      <c r="S118" s="165" t="s">
        <v>1156</v>
      </c>
      <c r="T118" s="165" t="s">
        <v>1157</v>
      </c>
      <c r="U118" s="165" t="s">
        <v>1158</v>
      </c>
      <c r="V118" s="165" t="s">
        <v>1159</v>
      </c>
      <c r="W118" s="165" t="s">
        <v>1159</v>
      </c>
      <c r="X118" s="158" t="s">
        <v>1160</v>
      </c>
      <c r="Y118" s="158" t="s">
        <v>1160</v>
      </c>
      <c r="Z118" s="51" t="s">
        <v>1161</v>
      </c>
      <c r="AA118" s="74" t="s">
        <v>68</v>
      </c>
      <c r="AB118" s="47" t="s">
        <v>44</v>
      </c>
      <c r="AC118" s="72"/>
      <c r="AD118" s="62"/>
      <c r="AE118" s="62"/>
    </row>
    <row r="119" spans="1:31" s="130" customFormat="1" ht="120" x14ac:dyDescent="0.2">
      <c r="A119" s="15" t="s">
        <v>1162</v>
      </c>
      <c r="B119" s="16" t="s">
        <v>1163</v>
      </c>
      <c r="C119" s="17" t="s">
        <v>40</v>
      </c>
      <c r="D119" s="71" t="s">
        <v>80</v>
      </c>
      <c r="E119" s="71" t="s">
        <v>66</v>
      </c>
      <c r="F119" s="18">
        <f>VLOOKUP(טבלה13[[#This Row],[זיהוי]],'[1]Unsaved_15008758 (1)'!$A:$D,4,FALSE)</f>
        <v>46387</v>
      </c>
      <c r="G119" s="25">
        <v>46961</v>
      </c>
      <c r="H119" s="71"/>
      <c r="I119" s="72" t="str">
        <f t="shared" si="1"/>
        <v>WBS: WBE-240
שם פרויקט: סדום צפון-הקמת שדה לצורך קליטת קו מפארן
מנה״פ: בן חמו, דביר 
יעד תכנית פיתוח: 31/12/2026
יעד מסתמן: 27/07/2028</v>
      </c>
      <c r="J119" s="51" t="s">
        <v>1164</v>
      </c>
      <c r="K119" s="51" t="s">
        <v>1165</v>
      </c>
      <c r="L119" s="51" t="s">
        <v>1165</v>
      </c>
      <c r="M119" s="51" t="s">
        <v>1165</v>
      </c>
      <c r="N119" s="51" t="s">
        <v>1165</v>
      </c>
      <c r="O119" s="51" t="s">
        <v>1165</v>
      </c>
      <c r="P119" s="51"/>
      <c r="Q119" s="61" t="s">
        <v>1165</v>
      </c>
      <c r="R119" s="165" t="s">
        <v>1165</v>
      </c>
      <c r="S119" s="165" t="s">
        <v>1165</v>
      </c>
      <c r="T119" s="165" t="s">
        <v>1165</v>
      </c>
      <c r="U119" s="165" t="s">
        <v>1165</v>
      </c>
      <c r="V119" s="165" t="s">
        <v>1165</v>
      </c>
      <c r="W119" s="165" t="s">
        <v>1165</v>
      </c>
      <c r="X119" s="158" t="s">
        <v>1165</v>
      </c>
      <c r="Y119" s="158" t="s">
        <v>1165</v>
      </c>
      <c r="Z119" s="51"/>
      <c r="AA119" s="74"/>
      <c r="AB119" s="47"/>
      <c r="AC119" s="72"/>
      <c r="AD119" s="62"/>
      <c r="AE119" s="62"/>
    </row>
    <row r="120" spans="1:31" s="130" customFormat="1" ht="150" x14ac:dyDescent="0.2">
      <c r="A120" s="15" t="s">
        <v>1166</v>
      </c>
      <c r="B120" s="16" t="s">
        <v>1167</v>
      </c>
      <c r="C120" s="17" t="s">
        <v>473</v>
      </c>
      <c r="D120" s="71" t="s">
        <v>80</v>
      </c>
      <c r="E120" s="71" t="s">
        <v>66</v>
      </c>
      <c r="F120" s="18">
        <f>VLOOKUP(טבלה13[[#This Row],[זיהוי]],'[1]Unsaved_15008758 (1)'!$A:$D,4,FALSE)</f>
        <v>46203</v>
      </c>
      <c r="G120" s="18" t="s">
        <v>1168</v>
      </c>
      <c r="H120" s="71" t="s">
        <v>57</v>
      </c>
      <c r="I120" s="72" t="str">
        <f t="shared" si="1"/>
        <v>WBS: WBM-40305
שם פרויקט: סדום צפון-התא.שדות (3)לכורנוב ו (8) לסדו
מנה״פ: בן חמו, דביר 
יעד תכנית פיתוח: 30/06/2026
יעד מסתמן: 01/07/2026 לא אפשרי, יתקבל יעד חדש לאחר קבלת המסמכים</v>
      </c>
      <c r="J120" s="51" t="s">
        <v>1169</v>
      </c>
      <c r="K120" s="51" t="s">
        <v>1169</v>
      </c>
      <c r="L120" s="51" t="s">
        <v>1169</v>
      </c>
      <c r="M120" s="51" t="s">
        <v>1170</v>
      </c>
      <c r="N120" s="51" t="s">
        <v>1171</v>
      </c>
      <c r="O120" s="51" t="s">
        <v>1172</v>
      </c>
      <c r="P120" s="51"/>
      <c r="Q120" s="61" t="s">
        <v>1172</v>
      </c>
      <c r="R120" s="165" t="s">
        <v>1172</v>
      </c>
      <c r="S120" s="165" t="s">
        <v>1173</v>
      </c>
      <c r="T120" s="165" t="s">
        <v>1174</v>
      </c>
      <c r="U120" s="165" t="s">
        <v>1175</v>
      </c>
      <c r="V120" s="165" t="s">
        <v>1176</v>
      </c>
      <c r="W120" s="165" t="s">
        <v>1177</v>
      </c>
      <c r="X120" s="158" t="s">
        <v>1177</v>
      </c>
      <c r="Y120" s="158" t="s">
        <v>1177</v>
      </c>
      <c r="Z120" s="51" t="s">
        <v>1178</v>
      </c>
      <c r="AA120" s="74" t="s">
        <v>68</v>
      </c>
      <c r="AB120" s="47"/>
      <c r="AC120" s="72"/>
      <c r="AD120" s="62"/>
      <c r="AE120" s="62"/>
    </row>
    <row r="121" spans="1:31" s="130" customFormat="1" ht="120" x14ac:dyDescent="0.2">
      <c r="A121" s="15" t="s">
        <v>1179</v>
      </c>
      <c r="B121" s="16" t="s">
        <v>1180</v>
      </c>
      <c r="C121" s="17" t="s">
        <v>40</v>
      </c>
      <c r="D121" s="71" t="s">
        <v>80</v>
      </c>
      <c r="E121" s="71" t="s">
        <v>66</v>
      </c>
      <c r="F121" s="18">
        <f>VLOOKUP(טבלה13[[#This Row],[זיהוי]],'[1]Unsaved_15008758 (1)'!$A:$D,4,FALSE)</f>
        <v>46071</v>
      </c>
      <c r="G121" s="18">
        <v>46071</v>
      </c>
      <c r="H121" s="71" t="s">
        <v>85</v>
      </c>
      <c r="I121" s="72" t="str">
        <f t="shared" si="1"/>
        <v>WBS: WBE-114
שם פרויקט: סדום צפון-החלפת שנאי  ל-50 מגוו"א והתאמת יציאות מ"ג
מנה״פ: בן חמו, דביר 
יעד תכנית פיתוח: 18/02/2026
יעד מסתמן: 18/02/2026</v>
      </c>
      <c r="J121" s="51" t="s">
        <v>1181</v>
      </c>
      <c r="K121" s="51" t="s">
        <v>1181</v>
      </c>
      <c r="L121" s="51" t="s">
        <v>1181</v>
      </c>
      <c r="M121" s="51" t="s">
        <v>1181</v>
      </c>
      <c r="N121" s="51" t="s">
        <v>1181</v>
      </c>
      <c r="O121" s="51" t="s">
        <v>1181</v>
      </c>
      <c r="P121" s="51"/>
      <c r="Q121" s="61" t="s">
        <v>1181</v>
      </c>
      <c r="R121" s="165" t="s">
        <v>1181</v>
      </c>
      <c r="S121" s="165" t="s">
        <v>1181</v>
      </c>
      <c r="T121" s="165" t="s">
        <v>1181</v>
      </c>
      <c r="U121" s="165" t="s">
        <v>1181</v>
      </c>
      <c r="V121" s="165" t="s">
        <v>1181</v>
      </c>
      <c r="W121" s="165" t="s">
        <v>1181</v>
      </c>
      <c r="X121" s="158" t="s">
        <v>1181</v>
      </c>
      <c r="Y121" s="158" t="s">
        <v>1181</v>
      </c>
      <c r="Z121" s="51"/>
      <c r="AA121" s="74"/>
      <c r="AB121" s="47"/>
      <c r="AC121" s="72"/>
      <c r="AD121" s="62"/>
      <c r="AE121" s="62"/>
    </row>
    <row r="122" spans="1:31" s="130" customFormat="1" ht="135" x14ac:dyDescent="0.2">
      <c r="A122" s="15" t="s">
        <v>1182</v>
      </c>
      <c r="B122" s="16" t="s">
        <v>1183</v>
      </c>
      <c r="C122" s="17" t="s">
        <v>40</v>
      </c>
      <c r="D122" s="71" t="s">
        <v>80</v>
      </c>
      <c r="E122" s="71" t="s">
        <v>66</v>
      </c>
      <c r="F122" s="18">
        <f>VLOOKUP(טבלה13[[#This Row],[זיהוי]],'[1]Unsaved_15008758 (1)'!$A:$D,4,FALSE)</f>
        <v>47483</v>
      </c>
      <c r="G122" s="25">
        <v>47297</v>
      </c>
      <c r="H122" s="71" t="s">
        <v>20</v>
      </c>
      <c r="I122" s="72" t="str">
        <f t="shared" si="1"/>
        <v>WBS: WBE-279
שם פרויקט: מעלה אפריים- משיק ל-wbo-103-הוספת ארבעה שדות מעגלים 161 ק"ו
מנה״פ: בן חמו, דביר 
יעד תכנית פיתוח: 31/12/2029
יעד מסתמן: 28/06/2029</v>
      </c>
      <c r="J122" s="51" t="s">
        <v>1164</v>
      </c>
      <c r="K122" s="51" t="s">
        <v>1164</v>
      </c>
      <c r="L122" s="51" t="s">
        <v>1137</v>
      </c>
      <c r="M122" s="51" t="s">
        <v>1137</v>
      </c>
      <c r="N122" s="51" t="s">
        <v>1137</v>
      </c>
      <c r="O122" s="51" t="s">
        <v>1137</v>
      </c>
      <c r="P122" s="51"/>
      <c r="Q122" s="61" t="s">
        <v>1137</v>
      </c>
      <c r="R122" s="165" t="s">
        <v>1137</v>
      </c>
      <c r="S122" s="165" t="s">
        <v>1137</v>
      </c>
      <c r="T122" s="165" t="s">
        <v>1137</v>
      </c>
      <c r="U122" s="165" t="s">
        <v>1137</v>
      </c>
      <c r="V122" s="165" t="s">
        <v>1137</v>
      </c>
      <c r="W122" s="165" t="s">
        <v>1137</v>
      </c>
      <c r="X122" s="158" t="s">
        <v>1137</v>
      </c>
      <c r="Y122" s="158" t="s">
        <v>1137</v>
      </c>
      <c r="Z122" s="51"/>
      <c r="AA122" s="28"/>
      <c r="AB122" s="51"/>
      <c r="AC122" s="72"/>
      <c r="AD122" s="62"/>
      <c r="AE122" s="62"/>
    </row>
    <row r="123" spans="1:31" s="130" customFormat="1" ht="105" x14ac:dyDescent="0.2">
      <c r="A123" s="97" t="s">
        <v>1184</v>
      </c>
      <c r="B123" s="16" t="s">
        <v>1185</v>
      </c>
      <c r="C123" s="17" t="s">
        <v>473</v>
      </c>
      <c r="D123" s="71" t="s">
        <v>80</v>
      </c>
      <c r="E123" s="71" t="s">
        <v>66</v>
      </c>
      <c r="F123" s="18">
        <f>VLOOKUP(טבלה13[[#This Row],[זיהוי]],'[1]Unsaved_15008758 (1)'!$A:$D,4,FALSE)</f>
        <v>46386</v>
      </c>
      <c r="G123" s="25"/>
      <c r="H123" s="71" t="s">
        <v>46</v>
      </c>
      <c r="I123" s="72" t="str">
        <f t="shared" si="1"/>
        <v>WBS: WBM-60088-024
שם פרויקט: ירושלים ג' – השלמת מאצרות שמן
מנה״פ: בן חמו, דביר 
יעד תכנית פיתוח: 30/12/2026
יעד מסתמן: 00/01/1900</v>
      </c>
      <c r="J123" s="51" t="s">
        <v>1186</v>
      </c>
      <c r="K123" s="51" t="s">
        <v>1186</v>
      </c>
      <c r="L123" s="51" t="s">
        <v>1186</v>
      </c>
      <c r="M123" s="51" t="s">
        <v>1186</v>
      </c>
      <c r="N123" s="51" t="s">
        <v>1186</v>
      </c>
      <c r="O123" s="51" t="s">
        <v>1186</v>
      </c>
      <c r="P123" s="51"/>
      <c r="Q123" s="61" t="s">
        <v>1186</v>
      </c>
      <c r="R123" s="165" t="s">
        <v>1186</v>
      </c>
      <c r="S123" s="165" t="s">
        <v>1186</v>
      </c>
      <c r="T123" s="165" t="s">
        <v>1186</v>
      </c>
      <c r="U123" s="165" t="s">
        <v>1186</v>
      </c>
      <c r="V123" s="165" t="s">
        <v>1187</v>
      </c>
      <c r="W123" s="165" t="s">
        <v>1187</v>
      </c>
      <c r="X123" s="158" t="s">
        <v>1188</v>
      </c>
      <c r="Y123" s="158" t="s">
        <v>1188</v>
      </c>
      <c r="Z123" s="51"/>
      <c r="AA123" s="74"/>
      <c r="AB123" s="47"/>
      <c r="AC123" s="72"/>
      <c r="AD123" s="62"/>
      <c r="AE123" s="62"/>
    </row>
    <row r="124" spans="1:31" s="130" customFormat="1" ht="135" x14ac:dyDescent="0.2">
      <c r="A124" s="15" t="s">
        <v>1189</v>
      </c>
      <c r="B124" s="16" t="s">
        <v>1190</v>
      </c>
      <c r="C124" s="17" t="s">
        <v>473</v>
      </c>
      <c r="D124" s="71" t="s">
        <v>80</v>
      </c>
      <c r="E124" s="71" t="s">
        <v>66</v>
      </c>
      <c r="F124" s="18">
        <f>VLOOKUP(טבלה13[[#This Row],[זיהוי]],'[1]Unsaved_15008758 (1)'!$A:$D,4,FALSE)</f>
        <v>46325</v>
      </c>
      <c r="G124" s="18">
        <v>46387</v>
      </c>
      <c r="H124" s="71" t="s">
        <v>19</v>
      </c>
      <c r="I124" s="72" t="str">
        <f t="shared" ref="I124:I187" si="2">"WBS: " &amp; A124 &amp; CHAR(10) &amp;
"שם פרויקט: " &amp; B124 &amp; CHAR(10) &amp;
"מנה״פ: " &amp; D124 &amp; CHAR(10) &amp;
"יעד תכנית פיתוח: " &amp; TEXT(F124,"dd/mm/yyyy") &amp; CHAR(10) &amp;
"יעד מסתמן: " &amp; TEXT(G124,"dd/mm/yyyy")</f>
        <v>WBS: WBM-40532
שם פרויקט: ירושלים ג'- התאמת שדה מקשר (5,6) ליכולת 1400 א'
מנה״פ: בן חמו, דביר 
יעד תכנית פיתוח: 30/10/2026
יעד מסתמן: 31/12/2026</v>
      </c>
      <c r="J124" s="51" t="s">
        <v>1191</v>
      </c>
      <c r="K124" s="51" t="s">
        <v>1191</v>
      </c>
      <c r="L124" s="51" t="s">
        <v>1191</v>
      </c>
      <c r="M124" s="51" t="s">
        <v>1191</v>
      </c>
      <c r="N124" s="51" t="s">
        <v>1191</v>
      </c>
      <c r="O124" s="51" t="s">
        <v>1191</v>
      </c>
      <c r="P124" s="51"/>
      <c r="Q124" s="31" t="s">
        <v>1192</v>
      </c>
      <c r="R124" s="157" t="s">
        <v>1192</v>
      </c>
      <c r="S124" s="157" t="s">
        <v>1192</v>
      </c>
      <c r="T124" s="157" t="s">
        <v>1192</v>
      </c>
      <c r="U124" s="157" t="s">
        <v>1193</v>
      </c>
      <c r="V124" s="157" t="s">
        <v>1193</v>
      </c>
      <c r="W124" s="157" t="s">
        <v>1193</v>
      </c>
      <c r="X124" s="199" t="s">
        <v>1193</v>
      </c>
      <c r="Y124" s="199" t="s">
        <v>1193</v>
      </c>
      <c r="Z124" s="51"/>
      <c r="AA124" s="98"/>
      <c r="AB124" s="47"/>
      <c r="AC124" s="72"/>
      <c r="AD124" s="62"/>
      <c r="AE124" s="62"/>
    </row>
    <row r="125" spans="1:31" s="130" customFormat="1" ht="120" x14ac:dyDescent="0.2">
      <c r="A125" s="99" t="s">
        <v>1194</v>
      </c>
      <c r="B125" s="16" t="s">
        <v>1195</v>
      </c>
      <c r="C125" s="17" t="s">
        <v>473</v>
      </c>
      <c r="D125" s="71" t="s">
        <v>80</v>
      </c>
      <c r="E125" s="71" t="s">
        <v>66</v>
      </c>
      <c r="F125" s="18">
        <f>VLOOKUP(טבלה13[[#This Row],[זיהוי]],'[1]Unsaved_15008758 (1)'!$A:$D,4,FALSE)</f>
        <v>46598</v>
      </c>
      <c r="G125" s="18">
        <v>46568</v>
      </c>
      <c r="H125" s="71" t="s">
        <v>46</v>
      </c>
      <c r="I125" s="72" t="str">
        <f t="shared" si="2"/>
        <v>WBS: WBM-40531
שם פרויקט: ירושלים ג'- התאמת שדה 3 ליכולת 1400 א'
מנה״פ: בן חמו, דביר 
יעד תכנית פיתוח: 30/07/2027
יעד מסתמן: 30/06/2027</v>
      </c>
      <c r="J125" s="51" t="s">
        <v>1196</v>
      </c>
      <c r="K125" s="51" t="s">
        <v>1196</v>
      </c>
      <c r="L125" s="51" t="s">
        <v>1197</v>
      </c>
      <c r="M125" s="51" t="s">
        <v>1198</v>
      </c>
      <c r="N125" s="51" t="s">
        <v>1198</v>
      </c>
      <c r="O125" s="51" t="s">
        <v>1198</v>
      </c>
      <c r="P125" s="51"/>
      <c r="Q125" s="61" t="s">
        <v>1198</v>
      </c>
      <c r="R125" s="165" t="s">
        <v>1198</v>
      </c>
      <c r="S125" s="165" t="s">
        <v>1198</v>
      </c>
      <c r="T125" s="165" t="s">
        <v>1199</v>
      </c>
      <c r="U125" s="165" t="s">
        <v>1200</v>
      </c>
      <c r="V125" s="165" t="s">
        <v>1200</v>
      </c>
      <c r="W125" s="165" t="s">
        <v>1201</v>
      </c>
      <c r="X125" s="158" t="s">
        <v>1202</v>
      </c>
      <c r="Y125" s="158" t="s">
        <v>1202</v>
      </c>
      <c r="Z125" s="51" t="s">
        <v>1203</v>
      </c>
      <c r="AA125" s="98" t="s">
        <v>68</v>
      </c>
      <c r="AB125" s="47" t="s">
        <v>44</v>
      </c>
      <c r="AC125" s="72"/>
      <c r="AD125" s="62"/>
      <c r="AE125" s="62"/>
    </row>
    <row r="126" spans="1:31" s="130" customFormat="1" ht="120" x14ac:dyDescent="0.2">
      <c r="A126" s="15" t="s">
        <v>1204</v>
      </c>
      <c r="B126" s="16" t="s">
        <v>1205</v>
      </c>
      <c r="C126" s="17" t="s">
        <v>40</v>
      </c>
      <c r="D126" s="71" t="s">
        <v>80</v>
      </c>
      <c r="E126" s="71" t="s">
        <v>66</v>
      </c>
      <c r="F126" s="18">
        <f>VLOOKUP(טבלה13[[#This Row],[זיהוי]],'[1]Unsaved_15008758 (1)'!$A:$D,4,FALSE)</f>
        <v>46234</v>
      </c>
      <c r="G126" s="25">
        <v>46233</v>
      </c>
      <c r="H126" s="71" t="s">
        <v>85</v>
      </c>
      <c r="I126" s="72" t="str">
        <f t="shared" si="2"/>
        <v>WBS: WBE-258
שם פרויקט: ירושלים ג- החלפת שנאי 521 וציוד בשדה 161 ק"ו מס' 2
מנה״פ: בן חמו, דביר 
יעד תכנית פיתוח: 31/07/2026
יעד מסתמן: 30/07/2026</v>
      </c>
      <c r="J126" s="51" t="s">
        <v>1206</v>
      </c>
      <c r="K126" s="51" t="s">
        <v>1206</v>
      </c>
      <c r="L126" s="51" t="s">
        <v>1207</v>
      </c>
      <c r="M126" s="51" t="s">
        <v>1208</v>
      </c>
      <c r="N126" s="51" t="s">
        <v>1209</v>
      </c>
      <c r="O126" s="51" t="s">
        <v>1210</v>
      </c>
      <c r="P126" s="51"/>
      <c r="Q126" s="61" t="s">
        <v>1211</v>
      </c>
      <c r="R126" s="165" t="s">
        <v>1212</v>
      </c>
      <c r="S126" s="165" t="s">
        <v>1213</v>
      </c>
      <c r="T126" s="165" t="s">
        <v>1213</v>
      </c>
      <c r="U126" s="165" t="s">
        <v>1213</v>
      </c>
      <c r="V126" s="165" t="s">
        <v>1213</v>
      </c>
      <c r="W126" s="165" t="s">
        <v>1213</v>
      </c>
      <c r="X126" s="158" t="s">
        <v>1213</v>
      </c>
      <c r="Y126" s="158" t="s">
        <v>1213</v>
      </c>
      <c r="Z126" s="51"/>
      <c r="AA126" s="74"/>
      <c r="AB126" s="47"/>
      <c r="AC126" s="72"/>
      <c r="AD126" s="62"/>
      <c r="AE126" s="62"/>
    </row>
    <row r="127" spans="1:31" s="130" customFormat="1" ht="135" x14ac:dyDescent="0.2">
      <c r="A127" s="15" t="s">
        <v>1214</v>
      </c>
      <c r="B127" s="100" t="s">
        <v>1215</v>
      </c>
      <c r="C127" s="17" t="s">
        <v>473</v>
      </c>
      <c r="D127" s="71" t="s">
        <v>80</v>
      </c>
      <c r="E127" s="71" t="s">
        <v>66</v>
      </c>
      <c r="F127" s="18">
        <f>VLOOKUP(טבלה13[[#This Row],[זיהוי]],'[1]Unsaved_15008758 (1)'!$A:$D,4,FALSE)</f>
        <v>46325</v>
      </c>
      <c r="G127" s="18" t="s">
        <v>1216</v>
      </c>
      <c r="H127" s="71" t="s">
        <v>46</v>
      </c>
      <c r="I127" s="72" t="str">
        <f t="shared" si="2"/>
        <v>WBS: WBM-00895
שם פרויקט: סדום דרום
מנה״פ: בן חמו, דביר 
יעד תכנית פיתוח: 30/10/2026
יעד מסתמן: 30/06/2026 לא אפשרי,עיכוב בקבלת קבלן נכון להודעה אחרונה החישמול יהיה ב-09.2026</v>
      </c>
      <c r="J127" s="51" t="s">
        <v>1217</v>
      </c>
      <c r="K127" s="51" t="s">
        <v>1218</v>
      </c>
      <c r="L127" s="51" t="s">
        <v>1219</v>
      </c>
      <c r="M127" s="51" t="s">
        <v>1220</v>
      </c>
      <c r="N127" s="51" t="s">
        <v>1221</v>
      </c>
      <c r="O127" s="31" t="s">
        <v>1222</v>
      </c>
      <c r="P127" s="31"/>
      <c r="Q127" s="148" t="s">
        <v>1223</v>
      </c>
      <c r="R127" s="171" t="s">
        <v>1223</v>
      </c>
      <c r="S127" s="171" t="s">
        <v>1224</v>
      </c>
      <c r="T127" s="171" t="s">
        <v>1225</v>
      </c>
      <c r="U127" s="171" t="s">
        <v>1226</v>
      </c>
      <c r="V127" s="171" t="s">
        <v>1226</v>
      </c>
      <c r="W127" s="171" t="s">
        <v>1227</v>
      </c>
      <c r="X127" s="212" t="s">
        <v>1228</v>
      </c>
      <c r="Y127" s="212" t="s">
        <v>2285</v>
      </c>
      <c r="Z127" s="51" t="s">
        <v>1229</v>
      </c>
      <c r="AA127" s="73"/>
      <c r="AB127" s="47"/>
      <c r="AC127" s="72"/>
      <c r="AD127" s="62"/>
      <c r="AE127" s="62"/>
    </row>
    <row r="128" spans="1:31" s="130" customFormat="1" ht="150" x14ac:dyDescent="0.2">
      <c r="A128" s="15" t="s">
        <v>1230</v>
      </c>
      <c r="B128" s="16" t="s">
        <v>1231</v>
      </c>
      <c r="C128" s="17" t="s">
        <v>40</v>
      </c>
      <c r="D128" s="71" t="s">
        <v>80</v>
      </c>
      <c r="E128" s="71" t="s">
        <v>66</v>
      </c>
      <c r="F128" s="18">
        <f>VLOOKUP(טבלה13[[#This Row],[זיהוי]],'[1]Unsaved_15008758 (1)'!$A:$D,4,FALSE)</f>
        <v>47299</v>
      </c>
      <c r="G128" s="25">
        <v>47057</v>
      </c>
      <c r="H128" s="71" t="s">
        <v>57</v>
      </c>
      <c r="I128" s="72" t="str">
        <f t="shared" si="2"/>
        <v>WBS: WBE-194
שם פרויקט: קרית הלאום
משיק wbo-122-הרחבת מסדר פנימי 161 ק"ו ב-3 שדות מ"ע , 2שדות קווים למעגלים מתחמ"ג ירושלים
מנה״פ: בן חמו, דביר 
יעד תכנית פיתוח: 30/06/2029
יעד מסתמן: 31/10/2028</v>
      </c>
      <c r="J128" s="82" t="s">
        <v>1232</v>
      </c>
      <c r="K128" s="82" t="s">
        <v>1233</v>
      </c>
      <c r="L128" s="82" t="s">
        <v>1234</v>
      </c>
      <c r="M128" s="82" t="s">
        <v>1234</v>
      </c>
      <c r="N128" s="82" t="s">
        <v>1234</v>
      </c>
      <c r="O128" s="82" t="s">
        <v>1234</v>
      </c>
      <c r="P128" s="82"/>
      <c r="Q128" s="149" t="s">
        <v>1235</v>
      </c>
      <c r="R128" s="172" t="s">
        <v>1236</v>
      </c>
      <c r="S128" s="172" t="s">
        <v>1236</v>
      </c>
      <c r="T128" s="172" t="s">
        <v>1236</v>
      </c>
      <c r="U128" s="172" t="s">
        <v>1236</v>
      </c>
      <c r="V128" s="172" t="s">
        <v>1236</v>
      </c>
      <c r="W128" s="172" t="s">
        <v>1236</v>
      </c>
      <c r="X128" s="213" t="s">
        <v>1236</v>
      </c>
      <c r="Y128" s="213" t="s">
        <v>1236</v>
      </c>
      <c r="Z128" s="82"/>
      <c r="AA128" s="74"/>
      <c r="AB128" s="47"/>
      <c r="AC128" s="72"/>
      <c r="AD128" s="62"/>
      <c r="AE128" s="62"/>
    </row>
    <row r="129" spans="1:31" s="130" customFormat="1" ht="135" x14ac:dyDescent="0.2">
      <c r="A129" s="15" t="s">
        <v>1237</v>
      </c>
      <c r="B129" s="16" t="s">
        <v>1238</v>
      </c>
      <c r="C129" s="17" t="s">
        <v>40</v>
      </c>
      <c r="D129" s="71" t="s">
        <v>80</v>
      </c>
      <c r="E129" s="71" t="s">
        <v>66</v>
      </c>
      <c r="F129" s="18">
        <f>VLOOKUP(טבלה13[[#This Row],[זיהוי]],'[1]Unsaved_15008758 (1)'!$A:$D,4,FALSE)</f>
        <v>48699</v>
      </c>
      <c r="G129" s="25">
        <v>47965</v>
      </c>
      <c r="H129" s="71" t="s">
        <v>20</v>
      </c>
      <c r="I129" s="72" t="str">
        <f t="shared" si="2"/>
        <v>WBS: WBK-022
שם פרויקט: גן שורק מסדר 400 ק"ו-הקמת דיאמטר 5 עם 2 יציאות 400 ק"ו לתחמ"ג תקומה
מנה״פ: בן חמו, דביר 
יעד תכנית פיתוח: 30/04/2033
יעד מסתמן: 27/04/2031</v>
      </c>
      <c r="J129" s="82" t="s">
        <v>1239</v>
      </c>
      <c r="K129" s="82" t="s">
        <v>1239</v>
      </c>
      <c r="L129" s="82" t="s">
        <v>1239</v>
      </c>
      <c r="M129" s="82" t="s">
        <v>1239</v>
      </c>
      <c r="N129" s="82" t="s">
        <v>1239</v>
      </c>
      <c r="O129" s="82" t="s">
        <v>1239</v>
      </c>
      <c r="P129" s="82"/>
      <c r="Q129" s="149" t="s">
        <v>1239</v>
      </c>
      <c r="R129" s="172" t="s">
        <v>1239</v>
      </c>
      <c r="S129" s="172" t="s">
        <v>1239</v>
      </c>
      <c r="T129" s="172" t="s">
        <v>1239</v>
      </c>
      <c r="U129" s="172" t="s">
        <v>1239</v>
      </c>
      <c r="V129" s="172" t="s">
        <v>1239</v>
      </c>
      <c r="W129" s="172" t="s">
        <v>1239</v>
      </c>
      <c r="X129" s="213" t="s">
        <v>1239</v>
      </c>
      <c r="Y129" s="213" t="s">
        <v>1239</v>
      </c>
      <c r="Z129" s="43" t="s">
        <v>1240</v>
      </c>
      <c r="AA129" s="73"/>
      <c r="AB129" s="47"/>
      <c r="AC129" s="72"/>
      <c r="AD129" s="62"/>
      <c r="AE129" s="62"/>
    </row>
    <row r="130" spans="1:31" s="130" customFormat="1" ht="120" x14ac:dyDescent="0.2">
      <c r="A130" s="19" t="s">
        <v>1241</v>
      </c>
      <c r="B130" s="20" t="s">
        <v>1242</v>
      </c>
      <c r="C130" s="17" t="s">
        <v>40</v>
      </c>
      <c r="D130" s="71" t="s">
        <v>80</v>
      </c>
      <c r="E130" s="71" t="s">
        <v>66</v>
      </c>
      <c r="F130" s="18">
        <f>VLOOKUP(טבלה13[[#This Row],[זיהוי]],'[1]Unsaved_15008758 (1)'!$A:$D,4,FALSE)</f>
        <v>46964</v>
      </c>
      <c r="G130" s="25">
        <v>46812</v>
      </c>
      <c r="H130" s="71" t="s">
        <v>20</v>
      </c>
      <c r="I130" s="72" t="str">
        <f t="shared" si="2"/>
        <v>WBS: WBE-287
שם פרויקט: גן שורק-חיבור 4 מעגלי כבלים מתח"כ שורק 900 לשדות 6,7,8,9
מנה״פ: בן חמו, דביר 
יעד תכנית פיתוח: 30/07/2028
יעד מסתמן: 29/02/2028</v>
      </c>
      <c r="J130" s="82" t="s">
        <v>1243</v>
      </c>
      <c r="K130" s="82" t="s">
        <v>1243</v>
      </c>
      <c r="L130" s="82" t="s">
        <v>1243</v>
      </c>
      <c r="M130" s="82" t="s">
        <v>1243</v>
      </c>
      <c r="N130" s="82" t="s">
        <v>1244</v>
      </c>
      <c r="O130" s="82" t="s">
        <v>1244</v>
      </c>
      <c r="P130" s="82"/>
      <c r="Q130" s="149" t="s">
        <v>1245</v>
      </c>
      <c r="R130" s="172" t="s">
        <v>1246</v>
      </c>
      <c r="S130" s="172" t="s">
        <v>1247</v>
      </c>
      <c r="T130" s="172" t="s">
        <v>1248</v>
      </c>
      <c r="U130" s="172" t="s">
        <v>1248</v>
      </c>
      <c r="V130" s="172" t="s">
        <v>1249</v>
      </c>
      <c r="W130" s="172" t="s">
        <v>1249</v>
      </c>
      <c r="X130" s="213" t="s">
        <v>1249</v>
      </c>
      <c r="Y130" s="213" t="s">
        <v>1249</v>
      </c>
      <c r="Z130" s="51"/>
      <c r="AA130" s="74" t="s">
        <v>68</v>
      </c>
      <c r="AB130" s="47"/>
      <c r="AC130" s="72"/>
      <c r="AD130" s="62"/>
      <c r="AE130" s="62"/>
    </row>
    <row r="131" spans="1:31" s="130" customFormat="1" ht="225" x14ac:dyDescent="0.2">
      <c r="A131" s="15" t="s">
        <v>14</v>
      </c>
      <c r="B131" s="16" t="s">
        <v>1250</v>
      </c>
      <c r="C131" s="17" t="s">
        <v>33</v>
      </c>
      <c r="D131" s="71" t="s">
        <v>88</v>
      </c>
      <c r="E131" s="71" t="s">
        <v>62</v>
      </c>
      <c r="F131" s="25">
        <v>46721</v>
      </c>
      <c r="G131" s="25">
        <v>46721</v>
      </c>
      <c r="H131" s="71" t="s">
        <v>46</v>
      </c>
      <c r="I131" s="72" t="str">
        <f t="shared" si="2"/>
        <v>WBS: WBC-078
שם פרויקט: תל השומר- הקמת תחמ"ש פנימית 161/24 ק"ו
מנה״פ: יהודר בכר, אורית
יעד תכנית פיתוח: 30/11/2027
יעד מסתמן: 30/11/2027</v>
      </c>
      <c r="J131" s="51" t="s">
        <v>1251</v>
      </c>
      <c r="K131" s="51" t="s">
        <v>1252</v>
      </c>
      <c r="L131" s="51" t="s">
        <v>1252</v>
      </c>
      <c r="M131" s="51" t="s">
        <v>1253</v>
      </c>
      <c r="N131" s="51" t="s">
        <v>1254</v>
      </c>
      <c r="O131" s="51" t="s">
        <v>1255</v>
      </c>
      <c r="P131" s="51"/>
      <c r="Q131" s="51" t="s">
        <v>1256</v>
      </c>
      <c r="R131" s="76" t="s">
        <v>1256</v>
      </c>
      <c r="S131" s="76" t="s">
        <v>1257</v>
      </c>
      <c r="T131" s="76" t="s">
        <v>1258</v>
      </c>
      <c r="U131" s="76" t="s">
        <v>1259</v>
      </c>
      <c r="V131" s="76" t="s">
        <v>1260</v>
      </c>
      <c r="W131" s="76" t="s">
        <v>1261</v>
      </c>
      <c r="X131" s="198" t="s">
        <v>1262</v>
      </c>
      <c r="Y131" s="198" t="s">
        <v>2281</v>
      </c>
      <c r="Z131" s="51" t="s">
        <v>1263</v>
      </c>
      <c r="AA131" s="74" t="s">
        <v>81</v>
      </c>
      <c r="AB131" s="47" t="s">
        <v>39</v>
      </c>
      <c r="AC131" s="72"/>
      <c r="AD131" s="62"/>
      <c r="AE131" s="62" t="s">
        <v>146</v>
      </c>
    </row>
    <row r="132" spans="1:31" s="130" customFormat="1" ht="378" x14ac:dyDescent="0.2">
      <c r="A132" s="15" t="s">
        <v>1264</v>
      </c>
      <c r="B132" s="16" t="s">
        <v>1265</v>
      </c>
      <c r="C132" s="17" t="s">
        <v>33</v>
      </c>
      <c r="D132" s="71" t="s">
        <v>88</v>
      </c>
      <c r="E132" s="71" t="s">
        <v>62</v>
      </c>
      <c r="F132" s="18">
        <f>VLOOKUP(טבלה13[[#This Row],[זיהוי]],'[1]Unsaved_15008758 (1)'!$A:$D,4,FALSE)</f>
        <v>46326</v>
      </c>
      <c r="G132" s="25" t="s">
        <v>1266</v>
      </c>
      <c r="H132" s="71" t="s">
        <v>78</v>
      </c>
      <c r="I132" s="72" t="str">
        <f t="shared" si="2"/>
        <v>WBS: WBC-073
שם פרויקט: רחובות צפון- הקמת תחמ"ש פנימית 161/24 ק"
מנה״פ: יהודר בכר, אורית
יעד תכנית פיתוח: 31/10/2026
יעד מסתמן: 30/10/2026*</v>
      </c>
      <c r="J132" s="53" t="s">
        <v>1267</v>
      </c>
      <c r="K132" s="53" t="s">
        <v>1268</v>
      </c>
      <c r="L132" s="53" t="s">
        <v>1269</v>
      </c>
      <c r="M132" s="53" t="s">
        <v>1270</v>
      </c>
      <c r="N132" s="53" t="s">
        <v>1271</v>
      </c>
      <c r="O132" s="53" t="s">
        <v>1272</v>
      </c>
      <c r="P132" s="53"/>
      <c r="Q132" s="53" t="s">
        <v>1273</v>
      </c>
      <c r="R132" s="170" t="s">
        <v>1274</v>
      </c>
      <c r="S132" s="170" t="s">
        <v>1275</v>
      </c>
      <c r="T132" s="170" t="s">
        <v>1276</v>
      </c>
      <c r="U132" s="170" t="s">
        <v>1277</v>
      </c>
      <c r="V132" s="170" t="s">
        <v>1278</v>
      </c>
      <c r="W132" s="91" t="s">
        <v>1279</v>
      </c>
      <c r="X132" s="207" t="s">
        <v>1280</v>
      </c>
      <c r="Y132" s="201" t="s">
        <v>2295</v>
      </c>
      <c r="Z132" s="104" t="s">
        <v>2296</v>
      </c>
      <c r="AA132" s="73" t="s">
        <v>47</v>
      </c>
      <c r="AB132" s="47" t="s">
        <v>44</v>
      </c>
      <c r="AC132" s="72"/>
      <c r="AD132" s="62"/>
      <c r="AE132" s="62" t="s">
        <v>209</v>
      </c>
    </row>
    <row r="133" spans="1:31" s="130" customFormat="1" ht="120" x14ac:dyDescent="0.2">
      <c r="A133" s="83" t="s">
        <v>1281</v>
      </c>
      <c r="B133" s="16" t="s">
        <v>1282</v>
      </c>
      <c r="C133" s="17" t="s">
        <v>33</v>
      </c>
      <c r="D133" s="71" t="s">
        <v>88</v>
      </c>
      <c r="E133" s="71" t="s">
        <v>62</v>
      </c>
      <c r="F133" s="18">
        <f>VLOOKUP(טבלה13[[#This Row],[זיהוי]],'[1]Unsaved_15008758 (1)'!$A:$D,4,FALSE)</f>
        <v>45644</v>
      </c>
      <c r="G133" s="18" t="s">
        <v>1283</v>
      </c>
      <c r="H133" s="71" t="s">
        <v>85</v>
      </c>
      <c r="I133" s="72" t="str">
        <f t="shared" si="2"/>
        <v>WBS: WBC-042
שם פרויקט: קרית משה
הקמת תחמ"ש פנימית
מנה״פ: יהודר בכר, אורית
יעד תכנית פיתוח: 18/12/2024
יעד מסתמן: חושמל 18/12/24</v>
      </c>
      <c r="J133" s="51" t="s">
        <v>1284</v>
      </c>
      <c r="K133" s="51" t="s">
        <v>1284</v>
      </c>
      <c r="L133" s="51" t="s">
        <v>1284</v>
      </c>
      <c r="M133" s="51" t="s">
        <v>1284</v>
      </c>
      <c r="N133" s="51" t="s">
        <v>1284</v>
      </c>
      <c r="O133" s="51" t="s">
        <v>1284</v>
      </c>
      <c r="P133" s="51"/>
      <c r="Q133" s="51" t="s">
        <v>1285</v>
      </c>
      <c r="R133" s="76" t="s">
        <v>1286</v>
      </c>
      <c r="S133" s="184" t="s">
        <v>1287</v>
      </c>
      <c r="T133" s="185" t="s">
        <v>1287</v>
      </c>
      <c r="U133" s="185" t="s">
        <v>1287</v>
      </c>
      <c r="V133" s="185" t="s">
        <v>1287</v>
      </c>
      <c r="W133" s="91" t="s">
        <v>1288</v>
      </c>
      <c r="X133" s="207" t="s">
        <v>1289</v>
      </c>
      <c r="Y133" s="207" t="s">
        <v>1289</v>
      </c>
      <c r="Z133" s="51" t="s">
        <v>1285</v>
      </c>
      <c r="AA133" s="74" t="s">
        <v>68</v>
      </c>
      <c r="AB133" s="47"/>
      <c r="AC133" s="72"/>
      <c r="AD133" s="62"/>
      <c r="AE133" s="62"/>
    </row>
    <row r="134" spans="1:31" s="130" customFormat="1" ht="120" x14ac:dyDescent="0.2">
      <c r="A134" s="15" t="s">
        <v>1290</v>
      </c>
      <c r="B134" s="16" t="s">
        <v>1291</v>
      </c>
      <c r="C134" s="17" t="s">
        <v>40</v>
      </c>
      <c r="D134" s="71" t="s">
        <v>88</v>
      </c>
      <c r="E134" s="71" t="s">
        <v>62</v>
      </c>
      <c r="F134" s="18">
        <f>VLOOKUP(טבלה13[[#This Row],[זיהוי]],'[1]Unsaved_15008758 (1)'!$A:$D,4,FALSE)</f>
        <v>45666</v>
      </c>
      <c r="G134" s="18" t="s">
        <v>784</v>
      </c>
      <c r="H134" s="71" t="s">
        <v>85</v>
      </c>
      <c r="I134" s="72" t="str">
        <f t="shared" si="2"/>
        <v>WBS: WBE-170
שם פרויקט: לוד-הוספת שנאי 526 161/24 ק"ו 50 מגוו"א
מנה״פ: יהודר בכר, אורית
יעד תכנית פיתוח: 09/01/2025
יעד מסתמן: חושמל</v>
      </c>
      <c r="J134" s="51" t="s">
        <v>1292</v>
      </c>
      <c r="K134" s="51" t="s">
        <v>1292</v>
      </c>
      <c r="L134" s="51" t="s">
        <v>1292</v>
      </c>
      <c r="M134" s="51" t="s">
        <v>1292</v>
      </c>
      <c r="N134" s="51" t="s">
        <v>1292</v>
      </c>
      <c r="O134" s="51" t="s">
        <v>1292</v>
      </c>
      <c r="P134" s="51"/>
      <c r="Q134" s="51" t="s">
        <v>1293</v>
      </c>
      <c r="R134" s="76" t="s">
        <v>1293</v>
      </c>
      <c r="S134" s="76" t="s">
        <v>1293</v>
      </c>
      <c r="T134" s="76" t="s">
        <v>1293</v>
      </c>
      <c r="U134" s="76" t="s">
        <v>1293</v>
      </c>
      <c r="V134" s="76" t="s">
        <v>1293</v>
      </c>
      <c r="W134" s="76" t="s">
        <v>1293</v>
      </c>
      <c r="X134" s="198" t="s">
        <v>1293</v>
      </c>
      <c r="Y134" s="198" t="s">
        <v>1293</v>
      </c>
      <c r="Z134" s="51" t="s">
        <v>1293</v>
      </c>
      <c r="AA134" s="74" t="s">
        <v>76</v>
      </c>
      <c r="AB134" s="47"/>
      <c r="AC134" s="72"/>
      <c r="AD134" s="62"/>
      <c r="AE134" s="62"/>
    </row>
    <row r="135" spans="1:31" s="130" customFormat="1" ht="409.5" x14ac:dyDescent="0.2">
      <c r="A135" s="15" t="s">
        <v>1294</v>
      </c>
      <c r="B135" s="16" t="s">
        <v>1295</v>
      </c>
      <c r="C135" s="17" t="s">
        <v>33</v>
      </c>
      <c r="D135" s="71" t="s">
        <v>88</v>
      </c>
      <c r="E135" s="71" t="s">
        <v>62</v>
      </c>
      <c r="F135" s="18">
        <f>VLOOKUP(טבלה13[[#This Row],[זיהוי]],'[1]Unsaved_15008758 (1)'!$A:$D,4,FALSE)</f>
        <v>46356</v>
      </c>
      <c r="G135" s="25" t="s">
        <v>1296</v>
      </c>
      <c r="H135" s="71" t="s">
        <v>73</v>
      </c>
      <c r="I135" s="72" t="str">
        <f t="shared" si="2"/>
        <v>WBS: WBC-028
שם פרויקט: בת ים - הקמת תחמ"ש פנימית 161/24 ק"ו
מנה״פ: יהודר בכר, אורית
יעד תכנית פיתוח: 30/11/2026
יעד מסתמן: 30/11/2026*</v>
      </c>
      <c r="J135" s="51" t="s">
        <v>1297</v>
      </c>
      <c r="K135" s="51" t="s">
        <v>1298</v>
      </c>
      <c r="L135" s="51" t="s">
        <v>1298</v>
      </c>
      <c r="M135" s="51" t="s">
        <v>1299</v>
      </c>
      <c r="N135" s="51" t="s">
        <v>1300</v>
      </c>
      <c r="O135" s="51" t="s">
        <v>1301</v>
      </c>
      <c r="P135" s="51"/>
      <c r="Q135" s="51" t="s">
        <v>1302</v>
      </c>
      <c r="R135" s="76" t="s">
        <v>1303</v>
      </c>
      <c r="S135" s="184" t="s">
        <v>1304</v>
      </c>
      <c r="T135" s="185" t="s">
        <v>1305</v>
      </c>
      <c r="U135" s="185" t="s">
        <v>1306</v>
      </c>
      <c r="V135" s="191" t="s">
        <v>1307</v>
      </c>
      <c r="W135" s="91" t="s">
        <v>1308</v>
      </c>
      <c r="X135" s="207" t="s">
        <v>1309</v>
      </c>
      <c r="Y135" s="224" t="s">
        <v>2293</v>
      </c>
      <c r="Z135" s="224" t="s">
        <v>2294</v>
      </c>
      <c r="AA135" s="74" t="s">
        <v>76</v>
      </c>
      <c r="AB135" s="47" t="s">
        <v>44</v>
      </c>
      <c r="AC135" s="72"/>
      <c r="AD135" s="62" t="s">
        <v>32</v>
      </c>
      <c r="AE135" s="62" t="s">
        <v>209</v>
      </c>
    </row>
    <row r="136" spans="1:31" s="130" customFormat="1" ht="120" x14ac:dyDescent="0.2">
      <c r="A136" s="19" t="s">
        <v>1310</v>
      </c>
      <c r="B136" s="20" t="s">
        <v>1311</v>
      </c>
      <c r="C136" s="17" t="s">
        <v>40</v>
      </c>
      <c r="D136" s="71" t="s">
        <v>89</v>
      </c>
      <c r="E136" s="71" t="s">
        <v>60</v>
      </c>
      <c r="F136" s="18">
        <v>47299</v>
      </c>
      <c r="G136" s="25">
        <v>47118</v>
      </c>
      <c r="H136" s="71" t="s">
        <v>20</v>
      </c>
      <c r="I136" s="72" t="str">
        <f t="shared" si="2"/>
        <v>WBS: WBK-015
שם פרויקט: קיסריה- התקנת ש"ק שלישי 650 מגוו"א
מנה״פ: יעקבי, ניר
יעד תכנית פיתוח: 30/06/2029
יעד מסתמן: 31/12/2028</v>
      </c>
      <c r="J136" s="51" t="s">
        <v>1312</v>
      </c>
      <c r="K136" s="51" t="s">
        <v>1312</v>
      </c>
      <c r="L136" s="51" t="s">
        <v>1313</v>
      </c>
      <c r="M136" s="51" t="s">
        <v>1313</v>
      </c>
      <c r="N136" s="51" t="s">
        <v>1313</v>
      </c>
      <c r="O136" s="51" t="s">
        <v>1313</v>
      </c>
      <c r="P136" s="51" t="s">
        <v>1314</v>
      </c>
      <c r="Q136" s="51" t="s">
        <v>1315</v>
      </c>
      <c r="R136" s="76" t="s">
        <v>1316</v>
      </c>
      <c r="S136" s="60" t="s">
        <v>1317</v>
      </c>
      <c r="T136" s="60" t="s">
        <v>1318</v>
      </c>
      <c r="U136" s="60" t="s">
        <v>1318</v>
      </c>
      <c r="V136" s="60" t="s">
        <v>1318</v>
      </c>
      <c r="W136" s="60" t="s">
        <v>1319</v>
      </c>
      <c r="X136" s="195" t="s">
        <v>1319</v>
      </c>
      <c r="Y136" s="198" t="s">
        <v>2188</v>
      </c>
      <c r="Z136" s="51" t="s">
        <v>1320</v>
      </c>
      <c r="AA136" s="30" t="s">
        <v>39</v>
      </c>
      <c r="AB136" s="47" t="s">
        <v>64</v>
      </c>
      <c r="AC136" s="72"/>
      <c r="AD136" s="62"/>
      <c r="AE136" s="62"/>
    </row>
    <row r="137" spans="1:31" s="130" customFormat="1" ht="120" x14ac:dyDescent="0.2">
      <c r="A137" s="15" t="s">
        <v>1321</v>
      </c>
      <c r="B137" s="16" t="s">
        <v>1322</v>
      </c>
      <c r="C137" s="17" t="s">
        <v>40</v>
      </c>
      <c r="D137" s="71" t="s">
        <v>89</v>
      </c>
      <c r="E137" s="71" t="s">
        <v>60</v>
      </c>
      <c r="F137" s="18">
        <f>VLOOKUP(טבלה13[[#This Row],[זיהוי]],'[1]Unsaved_15008758 (1)'!$A:$D,4,FALSE)</f>
        <v>46568</v>
      </c>
      <c r="G137" s="25">
        <v>46568</v>
      </c>
      <c r="H137" s="71" t="s">
        <v>19</v>
      </c>
      <c r="I137" s="72" t="str">
        <f t="shared" si="2"/>
        <v>WBS: WBE-221
שם פרויקט: ציפורית-התקנת שנאי רביעי והחלפת 2 שנאים
מנה״פ: יעקבי, ניר
יעד תכנית פיתוח: 30/06/2027
יעד מסתמן: 30/06/2027</v>
      </c>
      <c r="J137" s="51" t="s">
        <v>1323</v>
      </c>
      <c r="K137" s="51" t="s">
        <v>1323</v>
      </c>
      <c r="L137" s="51" t="s">
        <v>1324</v>
      </c>
      <c r="M137" s="51" t="s">
        <v>1325</v>
      </c>
      <c r="N137" s="51" t="s">
        <v>1326</v>
      </c>
      <c r="O137" s="51" t="s">
        <v>1327</v>
      </c>
      <c r="P137" s="51" t="s">
        <v>1327</v>
      </c>
      <c r="Q137" s="51" t="s">
        <v>1327</v>
      </c>
      <c r="R137" s="76" t="s">
        <v>1327</v>
      </c>
      <c r="S137" s="76" t="s">
        <v>1327</v>
      </c>
      <c r="T137" s="76" t="s">
        <v>1327</v>
      </c>
      <c r="U137" s="76" t="s">
        <v>1327</v>
      </c>
      <c r="V137" s="76" t="s">
        <v>1327</v>
      </c>
      <c r="W137" s="76" t="s">
        <v>1327</v>
      </c>
      <c r="X137" s="198" t="s">
        <v>1327</v>
      </c>
      <c r="Y137" s="198" t="s">
        <v>1327</v>
      </c>
      <c r="Z137" s="43"/>
      <c r="AA137" s="29"/>
      <c r="AB137" s="47"/>
      <c r="AC137" s="72"/>
      <c r="AD137" s="62"/>
      <c r="AE137" s="62"/>
    </row>
    <row r="138" spans="1:31" s="130" customFormat="1" ht="165" x14ac:dyDescent="0.2">
      <c r="A138" s="15" t="s">
        <v>1328</v>
      </c>
      <c r="B138" s="16" t="s">
        <v>1329</v>
      </c>
      <c r="C138" s="17" t="s">
        <v>40</v>
      </c>
      <c r="D138" s="71" t="s">
        <v>89</v>
      </c>
      <c r="E138" s="71" t="s">
        <v>60</v>
      </c>
      <c r="F138" s="18">
        <f>VLOOKUP(טבלה13[[#This Row],[זיהוי]],'[1]Unsaved_15008758 (1)'!$A:$D,4,FALSE)</f>
        <v>46326</v>
      </c>
      <c r="G138" s="25">
        <v>46387</v>
      </c>
      <c r="H138" s="71" t="s">
        <v>46</v>
      </c>
      <c r="I138" s="72" t="str">
        <f t="shared" si="2"/>
        <v>WBS: WBE-168
שם פרויקט: צור שלום - התקנת שנאי 524 161/24 ק"ו, 50 מגוו"א בשדה 10 בתחמ"ש צור שלום. התקנת סוללות קבלים 2x5 מגווא"ר.
מנה״פ: יעקבי, ניר
יעד תכנית פיתוח: 31/10/2026
יעד מסתמן: 31/12/2026</v>
      </c>
      <c r="J138" s="77" t="s">
        <v>1330</v>
      </c>
      <c r="K138" s="77" t="s">
        <v>1331</v>
      </c>
      <c r="L138" s="77" t="s">
        <v>1332</v>
      </c>
      <c r="M138" s="77" t="s">
        <v>1333</v>
      </c>
      <c r="N138" s="77" t="s">
        <v>1334</v>
      </c>
      <c r="O138" s="77" t="s">
        <v>1335</v>
      </c>
      <c r="P138" s="77" t="s">
        <v>1335</v>
      </c>
      <c r="Q138" s="77" t="s">
        <v>1336</v>
      </c>
      <c r="R138" s="173" t="s">
        <v>1337</v>
      </c>
      <c r="S138" s="173" t="s">
        <v>1338</v>
      </c>
      <c r="T138" s="173" t="s">
        <v>1339</v>
      </c>
      <c r="U138" s="173" t="s">
        <v>1340</v>
      </c>
      <c r="V138" s="173" t="s">
        <v>1341</v>
      </c>
      <c r="W138" s="173" t="s">
        <v>1342</v>
      </c>
      <c r="X138" s="214" t="s">
        <v>1343</v>
      </c>
      <c r="Y138" s="214" t="s">
        <v>2209</v>
      </c>
      <c r="Z138" s="51" t="s">
        <v>1344</v>
      </c>
      <c r="AA138" s="74" t="s">
        <v>39</v>
      </c>
      <c r="AB138" s="47"/>
      <c r="AC138" s="72"/>
      <c r="AD138" s="62"/>
      <c r="AE138" s="62" t="s">
        <v>146</v>
      </c>
    </row>
    <row r="139" spans="1:31" s="130" customFormat="1" ht="180" x14ac:dyDescent="0.2">
      <c r="A139" s="15" t="s">
        <v>1345</v>
      </c>
      <c r="B139" s="16" t="s">
        <v>1346</v>
      </c>
      <c r="C139" s="17" t="s">
        <v>40</v>
      </c>
      <c r="D139" s="71" t="s">
        <v>89</v>
      </c>
      <c r="E139" s="71" t="s">
        <v>60</v>
      </c>
      <c r="F139" s="18">
        <f>VLOOKUP(טבלה13[[#This Row],[זיהוי]],'[1]Unsaved_15008758 (1)'!$A:$D,4,FALSE)</f>
        <v>46752</v>
      </c>
      <c r="G139" s="18" t="s">
        <v>1347</v>
      </c>
      <c r="H139" s="71" t="s">
        <v>46</v>
      </c>
      <c r="I139" s="72" t="str">
        <f t="shared" si="2"/>
        <v>WBS: WBE-263
שם פרויקט: כרמיאל-החלפת 4 שנ.מ-33 ל-50 מו"א-רב שלבי
מנה״פ: יעקבי, ניר
יעד תכנית פיתוח: 31/12/2027
יעד מסתמן: שנאי 522 ב12/2026 , שנאי 521 ב06/2027 ,שנאי 523 12/2027, שנאי 524 ב06/2028</v>
      </c>
      <c r="J139" s="51" t="s">
        <v>1348</v>
      </c>
      <c r="K139" s="51" t="s">
        <v>1348</v>
      </c>
      <c r="L139" s="51" t="s">
        <v>1348</v>
      </c>
      <c r="M139" s="51" t="s">
        <v>1348</v>
      </c>
      <c r="N139" s="51" t="s">
        <v>1349</v>
      </c>
      <c r="O139" s="51" t="s">
        <v>1349</v>
      </c>
      <c r="P139" s="51" t="s">
        <v>1349</v>
      </c>
      <c r="Q139" s="51" t="s">
        <v>1350</v>
      </c>
      <c r="R139" s="76" t="s">
        <v>1351</v>
      </c>
      <c r="S139" s="76" t="s">
        <v>1351</v>
      </c>
      <c r="T139" s="76" t="s">
        <v>1352</v>
      </c>
      <c r="U139" s="56" t="s">
        <v>1353</v>
      </c>
      <c r="V139" s="56" t="s">
        <v>1353</v>
      </c>
      <c r="W139" s="56" t="s">
        <v>1354</v>
      </c>
      <c r="X139" s="197" t="s">
        <v>1355</v>
      </c>
      <c r="Y139" s="197" t="s">
        <v>2189</v>
      </c>
      <c r="Z139" s="51" t="s">
        <v>2190</v>
      </c>
      <c r="AA139" s="28" t="s">
        <v>76</v>
      </c>
      <c r="AB139" s="71"/>
      <c r="AC139" s="72" t="s">
        <v>32</v>
      </c>
      <c r="AD139" s="62"/>
      <c r="AE139" s="62" t="s">
        <v>146</v>
      </c>
    </row>
    <row r="140" spans="1:31" s="130" customFormat="1" ht="210" x14ac:dyDescent="0.2">
      <c r="A140" s="15" t="s">
        <v>1356</v>
      </c>
      <c r="B140" s="16" t="s">
        <v>1357</v>
      </c>
      <c r="C140" s="17" t="s">
        <v>40</v>
      </c>
      <c r="D140" s="71" t="s">
        <v>89</v>
      </c>
      <c r="E140" s="71" t="s">
        <v>60</v>
      </c>
      <c r="F140" s="18">
        <f>VLOOKUP(טבלה13[[#This Row],[זיהוי]],'[1]Unsaved_15008758 (1)'!$A:$D,4,FALSE)</f>
        <v>46568</v>
      </c>
      <c r="G140" s="18" t="s">
        <v>1358</v>
      </c>
      <c r="H140" s="71" t="s">
        <v>73</v>
      </c>
      <c r="I140" s="72" t="str">
        <f t="shared" si="2"/>
        <v xml:space="preserve">WBS: WBE-226
שם פרויקט: כורסי-רב שלבי-החלפת 2 שנאים 521,522 והתקנת 2 שנאים 523,524
מנה״פ: יעקבי, ניר
יעד תכנית פיתוח: 30/06/2027
יעד מסתמן: שנאי 521 11/2026
שנאים 523,524 
30/06/2027
שנאי 522
28/02/2028
</v>
      </c>
      <c r="J140" s="58" t="s">
        <v>1359</v>
      </c>
      <c r="K140" s="58" t="s">
        <v>1360</v>
      </c>
      <c r="L140" s="58" t="s">
        <v>1361</v>
      </c>
      <c r="M140" s="58" t="s">
        <v>1361</v>
      </c>
      <c r="N140" s="58" t="s">
        <v>1361</v>
      </c>
      <c r="O140" s="58" t="s">
        <v>1361</v>
      </c>
      <c r="P140" s="58" t="s">
        <v>1361</v>
      </c>
      <c r="Q140" s="58" t="s">
        <v>1362</v>
      </c>
      <c r="R140" s="52" t="s">
        <v>1363</v>
      </c>
      <c r="S140" s="52" t="s">
        <v>1363</v>
      </c>
      <c r="T140" s="52" t="s">
        <v>1364</v>
      </c>
      <c r="U140" s="52" t="s">
        <v>1365</v>
      </c>
      <c r="V140" s="52" t="s">
        <v>1366</v>
      </c>
      <c r="W140" s="52" t="s">
        <v>1367</v>
      </c>
      <c r="X140" s="196" t="s">
        <v>1368</v>
      </c>
      <c r="Y140" s="196" t="s">
        <v>2191</v>
      </c>
      <c r="Z140" s="51"/>
      <c r="AA140" s="74"/>
      <c r="AB140" s="47"/>
      <c r="AC140" s="72"/>
      <c r="AD140" s="62"/>
      <c r="AE140" s="62" t="s">
        <v>209</v>
      </c>
    </row>
    <row r="141" spans="1:31" s="130" customFormat="1" ht="150" x14ac:dyDescent="0.2">
      <c r="A141" s="15" t="s">
        <v>1369</v>
      </c>
      <c r="B141" s="16" t="s">
        <v>1370</v>
      </c>
      <c r="C141" s="17" t="s">
        <v>40</v>
      </c>
      <c r="D141" s="71" t="s">
        <v>89</v>
      </c>
      <c r="E141" s="71" t="s">
        <v>60</v>
      </c>
      <c r="F141" s="18">
        <f>VLOOKUP(טבלה13[[#This Row],[זיהוי]],'[1]Unsaved_15008758 (1)'!$A:$D,4,FALSE)</f>
        <v>46356</v>
      </c>
      <c r="G141" s="25">
        <v>46387</v>
      </c>
      <c r="H141" s="71" t="s">
        <v>46</v>
      </c>
      <c r="I141" s="72" t="str">
        <f t="shared" si="2"/>
        <v>WBS: WBE-233
שם פרויקט: יזרעאל-הח' 2 שנאים161/24 30 ב-50מגוו"א כ"א
מנה״פ: יעקבי, ניר
יעד תכנית פיתוח: 30/11/2026
יעד מסתמן: 31/12/2026</v>
      </c>
      <c r="J141" s="21" t="s">
        <v>1371</v>
      </c>
      <c r="K141" s="21" t="s">
        <v>1371</v>
      </c>
      <c r="L141" s="21" t="s">
        <v>1372</v>
      </c>
      <c r="M141" s="21" t="s">
        <v>1373</v>
      </c>
      <c r="N141" s="21" t="s">
        <v>1374</v>
      </c>
      <c r="O141" s="21" t="s">
        <v>1375</v>
      </c>
      <c r="P141" s="21" t="s">
        <v>1375</v>
      </c>
      <c r="Q141" s="21" t="s">
        <v>1375</v>
      </c>
      <c r="R141" s="60" t="s">
        <v>1375</v>
      </c>
      <c r="S141" s="60" t="s">
        <v>1376</v>
      </c>
      <c r="T141" s="60" t="s">
        <v>1376</v>
      </c>
      <c r="U141" s="60" t="s">
        <v>1376</v>
      </c>
      <c r="V141" s="60" t="s">
        <v>1376</v>
      </c>
      <c r="W141" s="60" t="s">
        <v>1376</v>
      </c>
      <c r="X141" s="195" t="s">
        <v>1376</v>
      </c>
      <c r="Y141" s="198" t="s">
        <v>2192</v>
      </c>
      <c r="Z141" s="51"/>
      <c r="AA141" s="47"/>
      <c r="AB141" s="47"/>
      <c r="AC141" s="72"/>
      <c r="AD141" s="62"/>
      <c r="AE141" s="62"/>
    </row>
    <row r="142" spans="1:31" s="130" customFormat="1" ht="120" x14ac:dyDescent="0.2">
      <c r="A142" s="15" t="s">
        <v>1377</v>
      </c>
      <c r="B142" s="16" t="s">
        <v>1378</v>
      </c>
      <c r="C142" s="17" t="s">
        <v>40</v>
      </c>
      <c r="D142" s="71" t="s">
        <v>89</v>
      </c>
      <c r="E142" s="71" t="s">
        <v>60</v>
      </c>
      <c r="F142" s="18">
        <f>VLOOKUP(טבלה13[[#This Row],[זיהוי]],'[1]Unsaved_15008758 (1)'!$A:$D,4,FALSE)</f>
        <v>46568</v>
      </c>
      <c r="G142" s="25">
        <v>46751</v>
      </c>
      <c r="H142" s="71" t="s">
        <v>46</v>
      </c>
      <c r="I142" s="72" t="str">
        <f t="shared" si="2"/>
        <v>WBS: WBE-135
שם פרויקט: יזרעאל- החלפת שנאים 522 ו-524 ל-50 מגוו"א.
מנה״פ: יעקבי, ניר
יעד תכנית פיתוח: 30/06/2027
יעד מסתמן: 30/12/2027</v>
      </c>
      <c r="J142" s="51" t="s">
        <v>1379</v>
      </c>
      <c r="K142" s="51" t="s">
        <v>1379</v>
      </c>
      <c r="L142" s="51" t="s">
        <v>1380</v>
      </c>
      <c r="M142" s="51" t="s">
        <v>1380</v>
      </c>
      <c r="N142" s="51" t="s">
        <v>1381</v>
      </c>
      <c r="O142" s="51" t="s">
        <v>1381</v>
      </c>
      <c r="P142" s="51" t="s">
        <v>1380</v>
      </c>
      <c r="Q142" s="51" t="s">
        <v>1380</v>
      </c>
      <c r="R142" s="76" t="s">
        <v>1380</v>
      </c>
      <c r="S142" s="76" t="s">
        <v>1380</v>
      </c>
      <c r="T142" s="76" t="s">
        <v>1382</v>
      </c>
      <c r="U142" s="76" t="s">
        <v>1383</v>
      </c>
      <c r="V142" s="76" t="s">
        <v>1384</v>
      </c>
      <c r="W142" s="76" t="s">
        <v>1385</v>
      </c>
      <c r="X142" s="198" t="s">
        <v>1385</v>
      </c>
      <c r="Y142" s="198" t="s">
        <v>1385</v>
      </c>
      <c r="Z142" s="51" t="s">
        <v>2193</v>
      </c>
      <c r="AA142" s="73"/>
      <c r="AB142" s="47"/>
      <c r="AC142" s="72"/>
      <c r="AD142" s="62"/>
      <c r="AE142" s="62"/>
    </row>
    <row r="143" spans="1:31" s="130" customFormat="1" ht="105" x14ac:dyDescent="0.2">
      <c r="A143" s="15" t="s">
        <v>1386</v>
      </c>
      <c r="B143" s="16" t="s">
        <v>1387</v>
      </c>
      <c r="C143" s="17" t="s">
        <v>40</v>
      </c>
      <c r="D143" s="71" t="s">
        <v>89</v>
      </c>
      <c r="E143" s="71" t="s">
        <v>60</v>
      </c>
      <c r="F143" s="18">
        <f>VLOOKUP(טבלה13[[#This Row],[זיהוי]],'[1]Unsaved_15008758 (1)'!$A:$D,4,FALSE)</f>
        <v>46021</v>
      </c>
      <c r="G143" s="18" t="s">
        <v>784</v>
      </c>
      <c r="H143" s="71" t="s">
        <v>85</v>
      </c>
      <c r="I143" s="72" t="str">
        <f t="shared" si="2"/>
        <v>WBS: WBE-169
שם פרויקט: יהלום-הוספת שנאי 50 MVA רב שלבי
מנה״פ: יעקבי, ניר
יעד תכנית פיתוח: 30/12/2025
יעד מסתמן: חושמל</v>
      </c>
      <c r="J143" s="51" t="s">
        <v>1388</v>
      </c>
      <c r="K143" s="51" t="s">
        <v>1389</v>
      </c>
      <c r="L143" s="51" t="s">
        <v>1390</v>
      </c>
      <c r="M143" s="51" t="s">
        <v>1391</v>
      </c>
      <c r="N143" s="51" t="s">
        <v>1391</v>
      </c>
      <c r="O143" s="51" t="s">
        <v>1391</v>
      </c>
      <c r="P143" s="51" t="s">
        <v>1391</v>
      </c>
      <c r="Q143" s="51" t="s">
        <v>1391</v>
      </c>
      <c r="R143" s="76" t="s">
        <v>1391</v>
      </c>
      <c r="S143" s="76" t="s">
        <v>1391</v>
      </c>
      <c r="T143" s="76" t="s">
        <v>1391</v>
      </c>
      <c r="U143" s="76" t="s">
        <v>1391</v>
      </c>
      <c r="V143" s="76" t="s">
        <v>1391</v>
      </c>
      <c r="W143" s="76" t="s">
        <v>1391</v>
      </c>
      <c r="X143" s="198" t="s">
        <v>1391</v>
      </c>
      <c r="Y143" s="198" t="s">
        <v>1391</v>
      </c>
      <c r="Z143" s="51"/>
      <c r="AA143" s="74"/>
      <c r="AB143" s="47"/>
      <c r="AC143" s="72"/>
      <c r="AD143" s="62"/>
      <c r="AE143" s="62"/>
    </row>
    <row r="144" spans="1:31" s="130" customFormat="1" ht="165" x14ac:dyDescent="0.2">
      <c r="A144" s="15" t="s">
        <v>1392</v>
      </c>
      <c r="B144" s="16" t="s">
        <v>1393</v>
      </c>
      <c r="C144" s="17" t="s">
        <v>40</v>
      </c>
      <c r="D144" s="71" t="s">
        <v>89</v>
      </c>
      <c r="E144" s="71" t="s">
        <v>60</v>
      </c>
      <c r="F144" s="18">
        <f>VLOOKUP(טבלה13[[#This Row],[זיהוי]],'[1]Unsaved_15008758 (1)'!$A:$D,4,FALSE)</f>
        <v>46265</v>
      </c>
      <c r="G144" s="25">
        <v>46446</v>
      </c>
      <c r="H144" s="71" t="s">
        <v>46</v>
      </c>
      <c r="I144" s="72" t="str">
        <f t="shared" si="2"/>
        <v>WBS: WBE-252
שם פרויקט: חולה - החלפת שנאי 522 מ- 33 ל- 50 מגוו"א והחלפת מסדר מ"ג פ"צ 2
מנה״פ: יעקבי, ניר
יעד תכנית פיתוח: 31/08/2026
יעד מסתמן: 28/02/2027</v>
      </c>
      <c r="J144" s="51" t="s">
        <v>1394</v>
      </c>
      <c r="K144" s="51" t="s">
        <v>1395</v>
      </c>
      <c r="L144" s="51" t="s">
        <v>1395</v>
      </c>
      <c r="M144" s="51" t="s">
        <v>1396</v>
      </c>
      <c r="N144" s="51" t="s">
        <v>1397</v>
      </c>
      <c r="O144" s="51" t="s">
        <v>1397</v>
      </c>
      <c r="P144" s="51" t="s">
        <v>1398</v>
      </c>
      <c r="Q144" s="51" t="s">
        <v>1398</v>
      </c>
      <c r="R144" s="76" t="s">
        <v>1398</v>
      </c>
      <c r="S144" s="76" t="s">
        <v>1399</v>
      </c>
      <c r="T144" s="76" t="s">
        <v>1400</v>
      </c>
      <c r="U144" s="76" t="s">
        <v>1400</v>
      </c>
      <c r="V144" s="76" t="s">
        <v>1401</v>
      </c>
      <c r="W144" s="76" t="s">
        <v>1402</v>
      </c>
      <c r="X144" s="198" t="s">
        <v>1402</v>
      </c>
      <c r="Y144" s="198" t="s">
        <v>1402</v>
      </c>
      <c r="Z144" s="51" t="s">
        <v>2194</v>
      </c>
      <c r="AA144" s="74" t="s">
        <v>76</v>
      </c>
      <c r="AB144" s="47"/>
      <c r="AC144" s="72" t="s">
        <v>32</v>
      </c>
      <c r="AD144" s="62"/>
      <c r="AE144" s="62" t="s">
        <v>146</v>
      </c>
    </row>
    <row r="145" spans="1:31" s="130" customFormat="1" ht="120" x14ac:dyDescent="0.2">
      <c r="A145" s="15" t="s">
        <v>1403</v>
      </c>
      <c r="B145" s="16" t="s">
        <v>1404</v>
      </c>
      <c r="C145" s="17" t="s">
        <v>40</v>
      </c>
      <c r="D145" s="71" t="s">
        <v>89</v>
      </c>
      <c r="E145" s="71" t="s">
        <v>60</v>
      </c>
      <c r="F145" s="18">
        <f>VLOOKUP(טבלה13[[#This Row],[זיהוי]],'[1]Unsaved_15008758 (1)'!$A:$D,4,FALSE)</f>
        <v>46934</v>
      </c>
      <c r="G145" s="25">
        <v>46842</v>
      </c>
      <c r="H145" s="71" t="s">
        <v>19</v>
      </c>
      <c r="I145" s="72" t="str">
        <f t="shared" si="2"/>
        <v>WBS: WBE-199
שם פרויקט: זבולון-התקנת שנאי שלישי 161/24 ק"ו 50 מגוו"א
מנה״פ: יעקבי, ניר
יעד תכנית פיתוח: 30/06/2028
יעד מסתמן: 30/03/2028</v>
      </c>
      <c r="J145" s="51" t="s">
        <v>1405</v>
      </c>
      <c r="K145" s="51" t="s">
        <v>1405</v>
      </c>
      <c r="L145" s="51" t="s">
        <v>1405</v>
      </c>
      <c r="M145" s="51" t="s">
        <v>1405</v>
      </c>
      <c r="N145" s="51" t="s">
        <v>1405</v>
      </c>
      <c r="O145" s="51" t="s">
        <v>1405</v>
      </c>
      <c r="P145" s="51" t="s">
        <v>1405</v>
      </c>
      <c r="Q145" s="51" t="s">
        <v>1405</v>
      </c>
      <c r="R145" s="76" t="s">
        <v>1405</v>
      </c>
      <c r="S145" s="76" t="s">
        <v>1405</v>
      </c>
      <c r="T145" s="76" t="s">
        <v>1405</v>
      </c>
      <c r="U145" s="76" t="s">
        <v>1405</v>
      </c>
      <c r="V145" s="76" t="s">
        <v>1405</v>
      </c>
      <c r="W145" s="76" t="s">
        <v>1405</v>
      </c>
      <c r="X145" s="198" t="s">
        <v>1405</v>
      </c>
      <c r="Y145" s="198" t="s">
        <v>1405</v>
      </c>
      <c r="Z145" s="51"/>
      <c r="AA145" s="74"/>
      <c r="AB145" s="47"/>
      <c r="AC145" s="72"/>
      <c r="AD145" s="62"/>
      <c r="AE145" s="62"/>
    </row>
    <row r="146" spans="1:31" s="130" customFormat="1" ht="195" x14ac:dyDescent="0.2">
      <c r="A146" s="19" t="s">
        <v>1406</v>
      </c>
      <c r="B146" s="20" t="s">
        <v>1407</v>
      </c>
      <c r="C146" s="17" t="s">
        <v>40</v>
      </c>
      <c r="D146" s="71" t="s">
        <v>89</v>
      </c>
      <c r="E146" s="71" t="s">
        <v>60</v>
      </c>
      <c r="F146" s="18">
        <f>VLOOKUP(טבלה13[[#This Row],[זיהוי]],'[1]Unsaved_15008758 (1)'!$A:$D,4,FALSE)</f>
        <v>47026</v>
      </c>
      <c r="G146" s="25">
        <v>47118</v>
      </c>
      <c r="H146" s="71" t="s">
        <v>19</v>
      </c>
      <c r="I146" s="72" t="str">
        <f t="shared" si="2"/>
        <v>WBS: WBK-013
שם פרויקט: זבולון-השלמת שדה 23 והתאמתו ליכולת 2500 א' במסדר 161 ק"ו. התקנת אוטו שנאי 400/170 ק"ו רביעי, בהספק 575 מגוו"א
מנה״פ: יעקבי, ניר
יעד תכנית פיתוח: 30/09/2028
יעד מסתמן: 31/12/2028</v>
      </c>
      <c r="J146" s="51" t="s">
        <v>1408</v>
      </c>
      <c r="K146" s="51" t="s">
        <v>1408</v>
      </c>
      <c r="L146" s="51" t="s">
        <v>1408</v>
      </c>
      <c r="M146" s="51" t="s">
        <v>1409</v>
      </c>
      <c r="N146" s="51" t="s">
        <v>1409</v>
      </c>
      <c r="O146" s="51" t="s">
        <v>1409</v>
      </c>
      <c r="P146" s="51" t="s">
        <v>1409</v>
      </c>
      <c r="Q146" s="51" t="s">
        <v>1410</v>
      </c>
      <c r="R146" s="76" t="s">
        <v>1410</v>
      </c>
      <c r="S146" s="76" t="s">
        <v>1410</v>
      </c>
      <c r="T146" s="76" t="s">
        <v>1411</v>
      </c>
      <c r="U146" s="76" t="s">
        <v>1411</v>
      </c>
      <c r="V146" s="76" t="s">
        <v>1411</v>
      </c>
      <c r="W146" s="76" t="s">
        <v>1412</v>
      </c>
      <c r="X146" s="198" t="s">
        <v>1412</v>
      </c>
      <c r="Y146" s="198" t="s">
        <v>2187</v>
      </c>
      <c r="Z146" s="51" t="s">
        <v>1413</v>
      </c>
      <c r="AA146" s="73" t="s">
        <v>39</v>
      </c>
      <c r="AB146" s="47" t="s">
        <v>64</v>
      </c>
      <c r="AC146" s="72"/>
      <c r="AD146" s="62"/>
      <c r="AE146" s="62"/>
    </row>
    <row r="147" spans="1:31" s="130" customFormat="1" ht="165" x14ac:dyDescent="0.2">
      <c r="A147" s="15" t="s">
        <v>1414</v>
      </c>
      <c r="B147" s="16" t="s">
        <v>1415</v>
      </c>
      <c r="C147" s="17" t="s">
        <v>33</v>
      </c>
      <c r="D147" s="71" t="s">
        <v>89</v>
      </c>
      <c r="E147" s="71" t="s">
        <v>60</v>
      </c>
      <c r="F147" s="18">
        <f>VLOOKUP(טבלה13[[#This Row],[זיהוי]],'[1]Unsaved_15008758 (1)'!$A:$D,4,FALSE)</f>
        <v>46233</v>
      </c>
      <c r="G147" s="25">
        <v>46324</v>
      </c>
      <c r="H147" s="71" t="s">
        <v>42</v>
      </c>
      <c r="I147" s="72" t="str">
        <f t="shared" si="2"/>
        <v>WBS: WBC-206
שם פרויקט: הדרי שאן(טירת צבי)-חח"י-התקנת 4 שנאים 50 מגוו"א
מנה״פ: יעקבי, ניר
יעד תכנית פיתוח: 30/07/2026
יעד מסתמן: 29/10/2026</v>
      </c>
      <c r="J147" s="21" t="s">
        <v>1416</v>
      </c>
      <c r="K147" s="21" t="s">
        <v>1416</v>
      </c>
      <c r="L147" s="21" t="s">
        <v>1416</v>
      </c>
      <c r="M147" s="21" t="s">
        <v>1416</v>
      </c>
      <c r="N147" s="21" t="s">
        <v>1417</v>
      </c>
      <c r="O147" s="21" t="s">
        <v>1418</v>
      </c>
      <c r="P147" s="21" t="s">
        <v>1419</v>
      </c>
      <c r="Q147" s="155" t="s">
        <v>1420</v>
      </c>
      <c r="R147" s="76" t="s">
        <v>1421</v>
      </c>
      <c r="S147" s="76" t="s">
        <v>1422</v>
      </c>
      <c r="T147" s="76" t="s">
        <v>1422</v>
      </c>
      <c r="U147" s="76" t="s">
        <v>1423</v>
      </c>
      <c r="V147" s="76" t="s">
        <v>1424</v>
      </c>
      <c r="W147" s="76" t="s">
        <v>1425</v>
      </c>
      <c r="X147" s="198" t="s">
        <v>1425</v>
      </c>
      <c r="Y147" s="198" t="s">
        <v>2195</v>
      </c>
      <c r="Z147" s="51" t="s">
        <v>2199</v>
      </c>
      <c r="AA147" s="47" t="s">
        <v>44</v>
      </c>
      <c r="AB147" s="30"/>
      <c r="AC147" s="72"/>
      <c r="AD147" s="62"/>
      <c r="AE147" s="62" t="s">
        <v>209</v>
      </c>
    </row>
    <row r="148" spans="1:31" s="130" customFormat="1" ht="120" x14ac:dyDescent="0.2">
      <c r="A148" s="15" t="s">
        <v>1426</v>
      </c>
      <c r="B148" s="16" t="s">
        <v>1427</v>
      </c>
      <c r="C148" s="17" t="s">
        <v>40</v>
      </c>
      <c r="D148" s="71" t="s">
        <v>89</v>
      </c>
      <c r="E148" s="71" t="s">
        <v>60</v>
      </c>
      <c r="F148" s="18">
        <f>VLOOKUP(טבלה13[[#This Row],[זיהוי]],'[1]Unsaved_15008758 (1)'!$A:$D,4,FALSE)</f>
        <v>46752</v>
      </c>
      <c r="G148" s="25">
        <v>46812</v>
      </c>
      <c r="H148" s="71" t="s">
        <v>19</v>
      </c>
      <c r="I148" s="72" t="str">
        <f t="shared" si="2"/>
        <v>WBS: WBE-197
שם פרויקט: אדמירליטי -התקנת שנאי שלישי 161/24 ק"ו, 50 מגוו"א
מנה״פ: יעקבי, ניר
יעד תכנית פיתוח: 31/12/2027
יעד מסתמן: 29/02/2028</v>
      </c>
      <c r="J148" s="21" t="s">
        <v>1428</v>
      </c>
      <c r="K148" s="21" t="s">
        <v>1428</v>
      </c>
      <c r="L148" s="21" t="s">
        <v>1428</v>
      </c>
      <c r="M148" s="21" t="s">
        <v>1428</v>
      </c>
      <c r="N148" s="21" t="s">
        <v>1429</v>
      </c>
      <c r="O148" s="21" t="s">
        <v>1429</v>
      </c>
      <c r="P148" s="21" t="s">
        <v>1429</v>
      </c>
      <c r="Q148" s="21" t="s">
        <v>1429</v>
      </c>
      <c r="R148" s="60" t="s">
        <v>1429</v>
      </c>
      <c r="S148" s="60" t="s">
        <v>1430</v>
      </c>
      <c r="T148" s="60" t="s">
        <v>1430</v>
      </c>
      <c r="U148" s="60" t="s">
        <v>1431</v>
      </c>
      <c r="V148" s="60" t="s">
        <v>1431</v>
      </c>
      <c r="W148" s="60" t="s">
        <v>1431</v>
      </c>
      <c r="X148" s="195" t="s">
        <v>1432</v>
      </c>
      <c r="Y148" s="198" t="s">
        <v>2196</v>
      </c>
      <c r="Z148" s="51"/>
      <c r="AA148" s="74"/>
      <c r="AB148" s="47"/>
      <c r="AC148" s="72"/>
      <c r="AD148" s="62"/>
      <c r="AE148" s="62"/>
    </row>
    <row r="149" spans="1:31" s="130" customFormat="1" ht="120" x14ac:dyDescent="0.2">
      <c r="A149" s="15" t="s">
        <v>1433</v>
      </c>
      <c r="B149" s="16" t="s">
        <v>1434</v>
      </c>
      <c r="C149" s="17" t="s">
        <v>261</v>
      </c>
      <c r="D149" s="71" t="s">
        <v>89</v>
      </c>
      <c r="E149" s="71" t="s">
        <v>60</v>
      </c>
      <c r="F149" s="18">
        <f>VLOOKUP(טבלה13[[#This Row],[זיהוי]],'[1]Unsaved_15008758 (1)'!$A:$D,4,FALSE)</f>
        <v>46215</v>
      </c>
      <c r="G149" s="18">
        <v>46205</v>
      </c>
      <c r="H149" s="71" t="s">
        <v>85</v>
      </c>
      <c r="I149" s="72" t="str">
        <f>"WBS: " &amp; A149 &amp; CHAR(10) &amp;
"שם פרויקט: " &amp; B149 &amp; CHAR(10) &amp;
"מנה״פ: " &amp; D149 &amp; CHAR(10) &amp;
"יעד תכנית פיתוח: " &amp; TEXT(F149,"dd/mm/yyyy") &amp; CHAR(10) &amp;
"יעד מסתמן: " &amp; TEXT(G149,"dd/mm/yyyy")</f>
        <v>WBS: WBD-127
שם פרויקט: כרמיאל ניידת- תכנון הצבת תחמ"ש ניידת
מנה״פ: יעקבי, ניר
יעד תכנית פיתוח: 12/07/2026
יעד מסתמן: 02/07/2026</v>
      </c>
      <c r="J149" s="51" t="s">
        <v>1435</v>
      </c>
      <c r="K149" s="51" t="s">
        <v>1435</v>
      </c>
      <c r="L149" s="51" t="s">
        <v>1435</v>
      </c>
      <c r="M149" s="51" t="s">
        <v>1436</v>
      </c>
      <c r="N149" s="51" t="s">
        <v>1436</v>
      </c>
      <c r="O149" s="51" t="s">
        <v>1437</v>
      </c>
      <c r="P149" s="51" t="s">
        <v>1438</v>
      </c>
      <c r="Q149" s="51" t="s">
        <v>1439</v>
      </c>
      <c r="R149" s="76" t="s">
        <v>1439</v>
      </c>
      <c r="S149" s="76" t="s">
        <v>1439</v>
      </c>
      <c r="T149" s="76" t="s">
        <v>1439</v>
      </c>
      <c r="U149" s="76" t="s">
        <v>1439</v>
      </c>
      <c r="V149" s="76" t="s">
        <v>1439</v>
      </c>
      <c r="W149" s="76" t="s">
        <v>1439</v>
      </c>
      <c r="X149" s="198" t="s">
        <v>1439</v>
      </c>
      <c r="Y149" s="198" t="s">
        <v>1439</v>
      </c>
      <c r="Z149" s="51"/>
      <c r="AA149" s="78"/>
      <c r="AB149" s="79"/>
      <c r="AC149" s="72"/>
      <c r="AD149" s="62"/>
      <c r="AE149" s="62"/>
    </row>
    <row r="150" spans="1:31" s="130" customFormat="1" ht="120" x14ac:dyDescent="0.2">
      <c r="A150" s="15" t="s">
        <v>1440</v>
      </c>
      <c r="B150" s="16" t="s">
        <v>1441</v>
      </c>
      <c r="C150" s="17" t="s">
        <v>261</v>
      </c>
      <c r="D150" s="71" t="s">
        <v>89</v>
      </c>
      <c r="E150" s="71" t="s">
        <v>60</v>
      </c>
      <c r="F150" s="18">
        <f>VLOOKUP(טבלה13[[#This Row],[זיהוי]],'[1]Unsaved_15008758 (1)'!$A:$D,4,FALSE)</f>
        <v>46085</v>
      </c>
      <c r="G150" s="18">
        <v>46085</v>
      </c>
      <c r="H150" s="71" t="s">
        <v>85</v>
      </c>
      <c r="I150" s="72" t="str">
        <f>"WBS: " &amp; A150 &amp; CHAR(10) &amp;
"שם פרויקט: " &amp; B150 &amp; CHAR(10) &amp;
"מנה״פ: " &amp; D150 &amp; CHAR(10) &amp;
"יעד תכנית פיתוח: " &amp; TEXT(F150,"dd/mm/yyyy") &amp; CHAR(10) &amp;
"יעד מסתמן: " &amp; TEXT(G150,"dd/mm/yyyy")</f>
        <v>WBS: WBD-129
שם פרויקט: הדרי שאן- תכנון הצבת תחמ"ש ניידת, 30 מגוו"א
מנה״פ: יעקבי, ניר
יעד תכנית פיתוח: 04/03/2026
יעד מסתמן: 04/03/2026</v>
      </c>
      <c r="J150" s="31" t="s">
        <v>1442</v>
      </c>
      <c r="K150" s="31" t="s">
        <v>1442</v>
      </c>
      <c r="L150" s="31" t="s">
        <v>1442</v>
      </c>
      <c r="M150" s="31" t="s">
        <v>1442</v>
      </c>
      <c r="N150" s="31" t="s">
        <v>1442</v>
      </c>
      <c r="O150" s="31" t="s">
        <v>1442</v>
      </c>
      <c r="P150" s="31" t="s">
        <v>1442</v>
      </c>
      <c r="Q150" s="31" t="s">
        <v>1442</v>
      </c>
      <c r="R150" s="157" t="s">
        <v>1442</v>
      </c>
      <c r="S150" s="157" t="s">
        <v>1442</v>
      </c>
      <c r="T150" s="157" t="s">
        <v>1442</v>
      </c>
      <c r="U150" s="157" t="s">
        <v>1442</v>
      </c>
      <c r="V150" s="157" t="s">
        <v>1442</v>
      </c>
      <c r="W150" s="157" t="s">
        <v>1442</v>
      </c>
      <c r="X150" s="199" t="s">
        <v>1442</v>
      </c>
      <c r="Y150" s="199" t="s">
        <v>1442</v>
      </c>
      <c r="Z150" s="51"/>
      <c r="AA150" s="78"/>
      <c r="AB150" s="79"/>
      <c r="AC150" s="72"/>
      <c r="AD150" s="62"/>
      <c r="AE150" s="62"/>
    </row>
    <row r="151" spans="1:31" s="130" customFormat="1" ht="120" x14ac:dyDescent="0.2">
      <c r="A151" s="15" t="s">
        <v>1443</v>
      </c>
      <c r="B151" s="16" t="s">
        <v>1444</v>
      </c>
      <c r="C151" s="17" t="s">
        <v>40</v>
      </c>
      <c r="D151" s="71" t="s">
        <v>89</v>
      </c>
      <c r="E151" s="71" t="s">
        <v>60</v>
      </c>
      <c r="F151" s="18">
        <f>VLOOKUP(טבלה13[[#This Row],[זיהוי]],'[1]Unsaved_15008758 (1)'!$A:$D,4,FALSE)</f>
        <v>46752</v>
      </c>
      <c r="G151" s="25">
        <v>46751</v>
      </c>
      <c r="H151" s="71" t="s">
        <v>19</v>
      </c>
      <c r="I151" s="72" t="str">
        <f t="shared" si="2"/>
        <v>WBS: WBE-253
שם פרויקט: "כברי - החלפת שנאי 523  ומסדר מ""ג פ""צ 3"
מנה״פ: יעקבי, ניר
יעד תכנית פיתוח: 31/12/2027
יעד מסתמן: 30/12/2027</v>
      </c>
      <c r="J151" s="51" t="s">
        <v>1445</v>
      </c>
      <c r="K151" s="51" t="s">
        <v>1445</v>
      </c>
      <c r="L151" s="51" t="s">
        <v>1445</v>
      </c>
      <c r="M151" s="51" t="s">
        <v>1445</v>
      </c>
      <c r="N151" s="51" t="s">
        <v>1445</v>
      </c>
      <c r="O151" s="51" t="s">
        <v>1445</v>
      </c>
      <c r="P151" s="51" t="s">
        <v>1445</v>
      </c>
      <c r="Q151" s="51" t="s">
        <v>1445</v>
      </c>
      <c r="R151" s="76" t="s">
        <v>1445</v>
      </c>
      <c r="S151" s="76" t="s">
        <v>1405</v>
      </c>
      <c r="T151" s="76" t="s">
        <v>1405</v>
      </c>
      <c r="U151" s="76" t="s">
        <v>1405</v>
      </c>
      <c r="V151" s="76" t="s">
        <v>1405</v>
      </c>
      <c r="W151" s="76" t="s">
        <v>1405</v>
      </c>
      <c r="X151" s="198" t="s">
        <v>1405</v>
      </c>
      <c r="Y151" s="198" t="s">
        <v>1405</v>
      </c>
      <c r="Z151" s="51"/>
      <c r="AA151" s="74"/>
      <c r="AB151" s="47"/>
      <c r="AC151" s="72"/>
      <c r="AD151" s="62"/>
      <c r="AE151" s="62"/>
    </row>
    <row r="152" spans="1:31" s="130" customFormat="1" ht="199.5" customHeight="1" x14ac:dyDescent="0.2">
      <c r="A152" s="15" t="s">
        <v>1446</v>
      </c>
      <c r="B152" s="16" t="s">
        <v>1447</v>
      </c>
      <c r="C152" s="17" t="s">
        <v>261</v>
      </c>
      <c r="D152" s="71" t="s">
        <v>1448</v>
      </c>
      <c r="E152" s="71"/>
      <c r="F152" s="18">
        <f>VLOOKUP(טבלה13[[#This Row],[זיהוי]],'[1]Unsaved_15008758 (1)'!$A:$D,4,FALSE)</f>
        <v>46078</v>
      </c>
      <c r="G152" s="18" t="s">
        <v>784</v>
      </c>
      <c r="H152" s="71" t="s">
        <v>85</v>
      </c>
      <c r="I152" s="72" t="str">
        <f t="shared" si="2"/>
        <v>WBS: WBD-092
שם פרויקט: שרון ניידת-הצבת תחמ"ש ניידת
מנה״פ: כוכבה כהן
יעד תכנית פיתוח: 25/02/2026
יעד מסתמן: חושמל</v>
      </c>
      <c r="J152" s="55" t="s">
        <v>1449</v>
      </c>
      <c r="K152" s="55" t="s">
        <v>1450</v>
      </c>
      <c r="L152" s="55" t="s">
        <v>1450</v>
      </c>
      <c r="M152" s="55" t="s">
        <v>1451</v>
      </c>
      <c r="N152" s="55" t="s">
        <v>1451</v>
      </c>
      <c r="O152" s="55" t="s">
        <v>1452</v>
      </c>
      <c r="P152" s="55" t="s">
        <v>1453</v>
      </c>
      <c r="Q152" s="55" t="s">
        <v>1454</v>
      </c>
      <c r="R152" s="57" t="s">
        <v>1455</v>
      </c>
      <c r="S152" s="57" t="s">
        <v>1456</v>
      </c>
      <c r="T152" s="57" t="s">
        <v>1457</v>
      </c>
      <c r="U152" s="57" t="s">
        <v>1458</v>
      </c>
      <c r="V152" s="57" t="s">
        <v>1459</v>
      </c>
      <c r="W152" s="57" t="s">
        <v>1460</v>
      </c>
      <c r="X152" s="178" t="s">
        <v>1461</v>
      </c>
      <c r="Y152" s="178" t="s">
        <v>2288</v>
      </c>
      <c r="Z152" s="51"/>
      <c r="AA152" s="74"/>
      <c r="AB152" s="47"/>
      <c r="AC152" s="72"/>
      <c r="AD152" s="62"/>
      <c r="AE152" s="62"/>
    </row>
    <row r="153" spans="1:31" s="130" customFormat="1" ht="409.5" x14ac:dyDescent="0.2">
      <c r="A153" s="15" t="s">
        <v>1462</v>
      </c>
      <c r="B153" s="16" t="s">
        <v>1463</v>
      </c>
      <c r="C153" s="17" t="s">
        <v>261</v>
      </c>
      <c r="D153" s="71" t="s">
        <v>1448</v>
      </c>
      <c r="E153" s="71"/>
      <c r="F153" s="18">
        <f>VLOOKUP(טבלה13[[#This Row],[זיהוי]],'[1]Unsaved_15008758 (1)'!$A:$D,4,FALSE)</f>
        <v>46387</v>
      </c>
      <c r="G153" s="18" t="s">
        <v>1464</v>
      </c>
      <c r="H153" s="71" t="s">
        <v>20</v>
      </c>
      <c r="I153" s="72" t="str">
        <f t="shared" si="2"/>
        <v xml:space="preserve">WBS: WBD-118
שם פרויקט: שוהם-ב.ס.ר-הצבת תחמ"ש ניידת, 30 מגוו"א
מנה״פ: כוכבה כהן
יעד תכנית פיתוח: 31/12/2026
יעד מסתמן: טרם ידוע </v>
      </c>
      <c r="J153" s="56" t="s">
        <v>1465</v>
      </c>
      <c r="K153" s="56" t="s">
        <v>1466</v>
      </c>
      <c r="L153" s="42" t="s">
        <v>1466</v>
      </c>
      <c r="M153" s="93" t="s">
        <v>1467</v>
      </c>
      <c r="N153" s="93" t="s">
        <v>1468</v>
      </c>
      <c r="O153" s="93" t="s">
        <v>1468</v>
      </c>
      <c r="P153" s="93" t="s">
        <v>1468</v>
      </c>
      <c r="Q153" s="93" t="s">
        <v>1468</v>
      </c>
      <c r="R153" s="56" t="s">
        <v>1468</v>
      </c>
      <c r="S153" s="56" t="s">
        <v>1468</v>
      </c>
      <c r="T153" s="56" t="s">
        <v>1468</v>
      </c>
      <c r="U153" s="56" t="s">
        <v>1468</v>
      </c>
      <c r="V153" s="56" t="s">
        <v>1469</v>
      </c>
      <c r="W153" s="56" t="s">
        <v>1469</v>
      </c>
      <c r="X153" s="197" t="s">
        <v>1469</v>
      </c>
      <c r="Y153" s="197" t="s">
        <v>1469</v>
      </c>
      <c r="Z153" s="51"/>
      <c r="AA153" s="74"/>
      <c r="AB153" s="47"/>
      <c r="AC153" s="72"/>
      <c r="AD153" s="62"/>
      <c r="AE153" s="62"/>
    </row>
    <row r="154" spans="1:31" s="130" customFormat="1" ht="409.5" x14ac:dyDescent="0.2">
      <c r="A154" s="15" t="s">
        <v>1470</v>
      </c>
      <c r="B154" s="16" t="s">
        <v>1471</v>
      </c>
      <c r="C154" s="17" t="s">
        <v>261</v>
      </c>
      <c r="D154" s="71" t="s">
        <v>1448</v>
      </c>
      <c r="E154" s="71"/>
      <c r="F154" s="18">
        <f>VLOOKUP(טבלה13[[#This Row],[זיהוי]],'[1]Unsaved_15008758 (1)'!$A:$D,4,FALSE)</f>
        <v>46173</v>
      </c>
      <c r="G154" s="18">
        <v>46537</v>
      </c>
      <c r="H154" s="71" t="s">
        <v>22</v>
      </c>
      <c r="I154" s="72" t="str">
        <f t="shared" si="2"/>
        <v>WBS: WBD-117
שם פרויקט: עזריאלי ניידות- הצבת 2 תחמ"ש ניידות, 20 מגוו"א כ"א
מנה״פ: כוכבה כהן
יעד תכנית פיתוח: 31/05/2026
יעד מסתמן: 30/05/2027</v>
      </c>
      <c r="J154" s="57" t="s">
        <v>1472</v>
      </c>
      <c r="K154" s="57" t="s">
        <v>1473</v>
      </c>
      <c r="L154" s="57" t="s">
        <v>1474</v>
      </c>
      <c r="M154" s="57" t="s">
        <v>1475</v>
      </c>
      <c r="N154" s="57" t="s">
        <v>1475</v>
      </c>
      <c r="O154" s="57" t="s">
        <v>1476</v>
      </c>
      <c r="P154" s="57" t="s">
        <v>1476</v>
      </c>
      <c r="Q154" s="57" t="s">
        <v>1477</v>
      </c>
      <c r="R154" s="57" t="s">
        <v>1477</v>
      </c>
      <c r="S154" s="57" t="s">
        <v>1478</v>
      </c>
      <c r="T154" s="57" t="s">
        <v>1479</v>
      </c>
      <c r="U154" s="57" t="s">
        <v>1479</v>
      </c>
      <c r="V154" s="57" t="s">
        <v>1480</v>
      </c>
      <c r="W154" s="57" t="s">
        <v>1481</v>
      </c>
      <c r="X154" s="178" t="s">
        <v>1482</v>
      </c>
      <c r="Y154" s="178" t="s">
        <v>2291</v>
      </c>
      <c r="Z154" s="51"/>
      <c r="AA154" s="74" t="s">
        <v>68</v>
      </c>
      <c r="AB154" s="47"/>
      <c r="AC154" s="72"/>
      <c r="AD154" s="62"/>
      <c r="AE154" s="62" t="s">
        <v>146</v>
      </c>
    </row>
    <row r="155" spans="1:31" s="130" customFormat="1" ht="303.75" customHeight="1" x14ac:dyDescent="0.2">
      <c r="A155" s="15" t="s">
        <v>1483</v>
      </c>
      <c r="B155" s="16" t="s">
        <v>1484</v>
      </c>
      <c r="C155" s="17" t="s">
        <v>261</v>
      </c>
      <c r="D155" s="71" t="s">
        <v>1448</v>
      </c>
      <c r="E155" s="71"/>
      <c r="F155" s="18">
        <f>VLOOKUP(טבלה13[[#This Row],[זיהוי]],'[1]Unsaved_15008758 (1)'!$A:$D,4,FALSE)</f>
        <v>46537</v>
      </c>
      <c r="G155" s="18">
        <v>46537</v>
      </c>
      <c r="H155" s="71" t="s">
        <v>19</v>
      </c>
      <c r="I155" s="72" t="str">
        <f t="shared" si="2"/>
        <v>WBS: WBD-099
שם פרויקט: ספיר ניידת- תכנון הצבת 2 ניידות
מנה״פ: כוכבה כהן
יעד תכנית פיתוח: 30/05/2027
יעד מסתמן: 30/05/2027</v>
      </c>
      <c r="J155" s="58" t="s">
        <v>1485</v>
      </c>
      <c r="K155" s="58" t="s">
        <v>1486</v>
      </c>
      <c r="L155" s="58" t="s">
        <v>1486</v>
      </c>
      <c r="M155" s="52" t="s">
        <v>1487</v>
      </c>
      <c r="N155" s="52" t="s">
        <v>1487</v>
      </c>
      <c r="O155" s="52" t="s">
        <v>1487</v>
      </c>
      <c r="P155" s="52" t="s">
        <v>1487</v>
      </c>
      <c r="Q155" s="52" t="s">
        <v>1488</v>
      </c>
      <c r="R155" s="52" t="s">
        <v>1489</v>
      </c>
      <c r="S155" s="52" t="s">
        <v>1490</v>
      </c>
      <c r="T155" s="52" t="s">
        <v>1491</v>
      </c>
      <c r="U155" s="52" t="s">
        <v>1491</v>
      </c>
      <c r="V155" s="52" t="s">
        <v>1492</v>
      </c>
      <c r="W155" s="52" t="s">
        <v>1493</v>
      </c>
      <c r="X155" s="196" t="s">
        <v>1494</v>
      </c>
      <c r="Y155" s="196" t="s">
        <v>2292</v>
      </c>
      <c r="Z155" s="101"/>
      <c r="AA155" s="102"/>
      <c r="AB155" s="47"/>
      <c r="AC155" s="72"/>
      <c r="AD155" s="62" t="s">
        <v>32</v>
      </c>
      <c r="AE155" s="62" t="s">
        <v>209</v>
      </c>
    </row>
    <row r="156" spans="1:31" s="130" customFormat="1" ht="120" x14ac:dyDescent="0.2">
      <c r="A156" s="15" t="s">
        <v>1495</v>
      </c>
      <c r="B156" s="16" t="s">
        <v>1496</v>
      </c>
      <c r="C156" s="17" t="s">
        <v>40</v>
      </c>
      <c r="D156" s="71" t="s">
        <v>91</v>
      </c>
      <c r="E156" s="71" t="s">
        <v>72</v>
      </c>
      <c r="F156" s="18">
        <f>VLOOKUP(טבלה13[[#This Row],[זיהוי]],'[1]Unsaved_15008758 (1)'!$A:$D,4,FALSE)</f>
        <v>46568</v>
      </c>
      <c r="G156" s="25">
        <v>46597</v>
      </c>
      <c r="H156" s="71" t="s">
        <v>57</v>
      </c>
      <c r="I156" s="72" t="str">
        <f>"WBS: " &amp; A156 &amp; CHAR(10) &amp;
"שם פרויקט: " &amp; B156 &amp; CHAR(10) &amp;
"מנה״פ: " &amp; D156 &amp; CHAR(10) &amp;
"יעד תכנית פיתוח: " &amp; TEXT(F156,"dd/mm/yyyy") &amp; CHAR(10) &amp;
"יעד מסתמן: " &amp; TEXT(G156,"dd/mm/yyyy")</f>
        <v>WBS: WBE-295
שם פרויקט: נתניה-התקנת שנאי רביעי 161/24 ק"ו , 50 מגוו"א
מנה״פ: לופטון כהן, אדווה
יעד תכנית פיתוח: 30/06/2027
יעד מסתמן: 29/07/2027</v>
      </c>
      <c r="J156" s="31" t="s">
        <v>1497</v>
      </c>
      <c r="K156" s="31" t="s">
        <v>1497</v>
      </c>
      <c r="L156" s="31" t="s">
        <v>1498</v>
      </c>
      <c r="M156" s="31" t="s">
        <v>1498</v>
      </c>
      <c r="N156" s="31" t="s">
        <v>1498</v>
      </c>
      <c r="O156" s="31" t="s">
        <v>1499</v>
      </c>
      <c r="P156" s="31" t="s">
        <v>1500</v>
      </c>
      <c r="Q156" s="31" t="s">
        <v>1500</v>
      </c>
      <c r="R156" s="157" t="s">
        <v>1501</v>
      </c>
      <c r="S156" s="157" t="s">
        <v>1501</v>
      </c>
      <c r="T156" s="157" t="s">
        <v>1502</v>
      </c>
      <c r="U156" s="157" t="s">
        <v>1502</v>
      </c>
      <c r="V156" s="157" t="s">
        <v>1503</v>
      </c>
      <c r="W156" s="157" t="s">
        <v>1504</v>
      </c>
      <c r="X156" s="199" t="s">
        <v>1504</v>
      </c>
      <c r="Y156" s="199" t="s">
        <v>2198</v>
      </c>
      <c r="Z156" s="51"/>
      <c r="AA156" s="78"/>
      <c r="AB156" s="79"/>
      <c r="AC156" s="72"/>
      <c r="AD156" s="62"/>
      <c r="AE156" s="62"/>
    </row>
    <row r="157" spans="1:31" s="130" customFormat="1" ht="120" x14ac:dyDescent="0.2">
      <c r="A157" s="15" t="s">
        <v>1505</v>
      </c>
      <c r="B157" s="16" t="s">
        <v>1506</v>
      </c>
      <c r="C157" s="17" t="s">
        <v>40</v>
      </c>
      <c r="D157" s="71" t="s">
        <v>91</v>
      </c>
      <c r="E157" s="71" t="s">
        <v>72</v>
      </c>
      <c r="F157" s="18">
        <f>VLOOKUP(טבלה13[[#This Row],[זיהוי]],'[1]Unsaved_15008758 (1)'!$A:$D,4,FALSE)</f>
        <v>46387</v>
      </c>
      <c r="G157" s="25">
        <v>46643</v>
      </c>
      <c r="H157" s="71" t="s">
        <v>82</v>
      </c>
      <c r="I157" s="72" t="str">
        <f t="shared" si="2"/>
        <v>WBS: WBE-274
שם פרויקט: תל אור - 2 מתקני אגירת אנרגיה בסוללות
מנה״פ: לופטון כהן, אדווה
יעד תכנית פיתוח: 31/12/2026
יעד מסתמן: 13/09/2027</v>
      </c>
      <c r="J157" s="59" t="s">
        <v>1507</v>
      </c>
      <c r="K157" s="59" t="s">
        <v>1507</v>
      </c>
      <c r="L157" s="59" t="s">
        <v>1507</v>
      </c>
      <c r="M157" s="59" t="s">
        <v>1507</v>
      </c>
      <c r="N157" s="127" t="s">
        <v>1507</v>
      </c>
      <c r="O157" s="127" t="s">
        <v>1507</v>
      </c>
      <c r="P157" s="127" t="s">
        <v>1507</v>
      </c>
      <c r="Q157" s="127" t="s">
        <v>1507</v>
      </c>
      <c r="R157" s="159" t="s">
        <v>1507</v>
      </c>
      <c r="S157" s="159" t="s">
        <v>1507</v>
      </c>
      <c r="T157" s="159" t="s">
        <v>1507</v>
      </c>
      <c r="U157" s="159" t="s">
        <v>1507</v>
      </c>
      <c r="V157" s="159" t="s">
        <v>1507</v>
      </c>
      <c r="W157" s="56" t="s">
        <v>1508</v>
      </c>
      <c r="X157" s="197" t="s">
        <v>1509</v>
      </c>
      <c r="Y157" s="197" t="s">
        <v>1509</v>
      </c>
      <c r="Z157" s="127"/>
      <c r="AA157" s="74"/>
      <c r="AB157" s="47"/>
      <c r="AC157" s="72"/>
      <c r="AD157" s="62"/>
      <c r="AE157" s="62"/>
    </row>
    <row r="158" spans="1:31" s="130" customFormat="1" ht="120" x14ac:dyDescent="0.2">
      <c r="A158" s="15" t="s">
        <v>1510</v>
      </c>
      <c r="B158" s="16" t="s">
        <v>1511</v>
      </c>
      <c r="C158" s="17" t="s">
        <v>261</v>
      </c>
      <c r="D158" s="71" t="s">
        <v>91</v>
      </c>
      <c r="E158" s="71" t="s">
        <v>72</v>
      </c>
      <c r="F158" s="18">
        <f>VLOOKUP(טבלה13[[#This Row],[זיהוי]],'[1]Unsaved_15008758 (1)'!$A:$D,4,FALSE)</f>
        <v>46091</v>
      </c>
      <c r="G158" s="44">
        <v>46091</v>
      </c>
      <c r="H158" s="71" t="s">
        <v>85</v>
      </c>
      <c r="I158" s="72" t="str">
        <f t="shared" si="2"/>
        <v>WBS: WBD-087
שם פרויקט: שער שומרון – התקנת תחמ"ש ניידת 20 מגוו"א
מנה״פ: לופטון כהן, אדווה
יעד תכנית פיתוח: 10/03/2026
יעד מסתמן: 10/03/2026</v>
      </c>
      <c r="J158" s="43" t="s">
        <v>1512</v>
      </c>
      <c r="K158" s="43" t="s">
        <v>1512</v>
      </c>
      <c r="L158" s="43" t="s">
        <v>1513</v>
      </c>
      <c r="M158" s="43" t="s">
        <v>1513</v>
      </c>
      <c r="N158" s="43" t="s">
        <v>1514</v>
      </c>
      <c r="O158" s="43" t="s">
        <v>1514</v>
      </c>
      <c r="P158" s="43" t="s">
        <v>1515</v>
      </c>
      <c r="Q158" s="43" t="s">
        <v>1515</v>
      </c>
      <c r="R158" s="105" t="s">
        <v>1513</v>
      </c>
      <c r="S158" s="105" t="s">
        <v>1516</v>
      </c>
      <c r="T158" s="105" t="s">
        <v>1516</v>
      </c>
      <c r="U158" s="105" t="s">
        <v>1516</v>
      </c>
      <c r="V158" s="105" t="s">
        <v>1516</v>
      </c>
      <c r="W158" s="105" t="s">
        <v>1516</v>
      </c>
      <c r="X158" s="215" t="s">
        <v>1516</v>
      </c>
      <c r="Y158" s="215" t="s">
        <v>1516</v>
      </c>
      <c r="Z158" s="43"/>
      <c r="AA158" s="74"/>
      <c r="AB158" s="47"/>
      <c r="AC158" s="72"/>
      <c r="AD158" s="62"/>
      <c r="AE158" s="62"/>
    </row>
    <row r="159" spans="1:31" s="130" customFormat="1" ht="183" customHeight="1" x14ac:dyDescent="0.25">
      <c r="A159" s="15" t="s">
        <v>1517</v>
      </c>
      <c r="B159" s="16" t="s">
        <v>1518</v>
      </c>
      <c r="C159" s="17" t="s">
        <v>261</v>
      </c>
      <c r="D159" s="71" t="s">
        <v>91</v>
      </c>
      <c r="E159" s="71" t="s">
        <v>72</v>
      </c>
      <c r="F159" s="18">
        <f>VLOOKUP(טבלה13[[#This Row],[זיהוי]],'[1]Unsaved_15008758 (1)'!$A:$D,4,FALSE)</f>
        <v>46183</v>
      </c>
      <c r="G159" s="18" t="s">
        <v>1519</v>
      </c>
      <c r="H159" s="71" t="s">
        <v>85</v>
      </c>
      <c r="I159" s="72" t="str">
        <f t="shared" si="2"/>
        <v>WBS: WBD-084
שם פרויקט: רמת רחל ניידת- העתקת ניידת
מנה״פ: לופטון כהן, אדווה
יעד תכנית פיתוח: 10/06/2026
יעד מסתמן: 10/06/2026 חושמל</v>
      </c>
      <c r="J159" s="105" t="s">
        <v>1520</v>
      </c>
      <c r="K159" s="105" t="s">
        <v>1521</v>
      </c>
      <c r="L159" s="105" t="s">
        <v>1522</v>
      </c>
      <c r="M159" s="105" t="s">
        <v>1523</v>
      </c>
      <c r="N159" s="105" t="s">
        <v>1524</v>
      </c>
      <c r="O159" s="105" t="s">
        <v>1525</v>
      </c>
      <c r="P159" s="105" t="s">
        <v>1526</v>
      </c>
      <c r="Q159" s="105" t="s">
        <v>1527</v>
      </c>
      <c r="R159" s="105" t="s">
        <v>1528</v>
      </c>
      <c r="S159" s="105" t="s">
        <v>1529</v>
      </c>
      <c r="T159" s="105" t="s">
        <v>1530</v>
      </c>
      <c r="U159" s="105" t="s">
        <v>1531</v>
      </c>
      <c r="V159" s="105" t="s">
        <v>1531</v>
      </c>
      <c r="W159" s="105" t="s">
        <v>1531</v>
      </c>
      <c r="X159" s="215" t="s">
        <v>1531</v>
      </c>
      <c r="Y159" s="215" t="s">
        <v>1531</v>
      </c>
      <c r="Z159" s="187"/>
      <c r="AA159" s="96"/>
      <c r="AB159" s="47"/>
      <c r="AC159" s="72"/>
      <c r="AD159" s="62"/>
      <c r="AE159" s="62"/>
    </row>
    <row r="160" spans="1:31" s="130" customFormat="1" ht="375" x14ac:dyDescent="0.2">
      <c r="A160" s="15" t="s">
        <v>1532</v>
      </c>
      <c r="B160" s="16" t="s">
        <v>1533</v>
      </c>
      <c r="C160" s="17" t="s">
        <v>40</v>
      </c>
      <c r="D160" s="71" t="s">
        <v>91</v>
      </c>
      <c r="E160" s="71" t="s">
        <v>72</v>
      </c>
      <c r="F160" s="18">
        <f>VLOOKUP(טבלה13[[#This Row],[זיהוי]],'[1]Unsaved_15008758 (1)'!$A:$D,4,FALSE)</f>
        <v>46387</v>
      </c>
      <c r="G160" s="25">
        <v>46643</v>
      </c>
      <c r="H160" s="71" t="s">
        <v>82</v>
      </c>
      <c r="I160" s="72" t="str">
        <f t="shared" si="2"/>
        <v>WBS: WBE-276
שם פרויקט: קרית שמונה- מתקן אגירת אנרגיה בסוללות
מנה״פ: לופטון כהן, אדווה
יעד תכנית פיתוח: 31/12/2026
יעד מסתמן: 13/09/2027</v>
      </c>
      <c r="J160" s="52" t="s">
        <v>1534</v>
      </c>
      <c r="K160" s="52" t="s">
        <v>1534</v>
      </c>
      <c r="L160" s="52" t="s">
        <v>1534</v>
      </c>
      <c r="M160" s="52" t="s">
        <v>1535</v>
      </c>
      <c r="N160" s="52" t="s">
        <v>1535</v>
      </c>
      <c r="O160" s="52" t="s">
        <v>1536</v>
      </c>
      <c r="P160" s="52" t="s">
        <v>1537</v>
      </c>
      <c r="Q160" s="52" t="s">
        <v>1537</v>
      </c>
      <c r="R160" s="52" t="s">
        <v>1537</v>
      </c>
      <c r="S160" s="52" t="s">
        <v>1538</v>
      </c>
      <c r="T160" s="52" t="s">
        <v>1538</v>
      </c>
      <c r="U160" s="52" t="s">
        <v>1539</v>
      </c>
      <c r="V160" s="52" t="s">
        <v>1539</v>
      </c>
      <c r="W160" s="56" t="s">
        <v>1540</v>
      </c>
      <c r="X160" s="197" t="s">
        <v>1541</v>
      </c>
      <c r="Y160" s="197" t="s">
        <v>1541</v>
      </c>
      <c r="Z160" s="104" t="s">
        <v>1542</v>
      </c>
      <c r="AA160" s="74" t="s">
        <v>68</v>
      </c>
      <c r="AB160" s="74" t="s">
        <v>44</v>
      </c>
      <c r="AC160" s="72"/>
      <c r="AD160" s="62"/>
      <c r="AE160" s="62"/>
    </row>
    <row r="161" spans="1:31" s="130" customFormat="1" ht="120" x14ac:dyDescent="0.2">
      <c r="A161" s="15" t="s">
        <v>1543</v>
      </c>
      <c r="B161" s="16" t="s">
        <v>1544</v>
      </c>
      <c r="C161" s="17" t="s">
        <v>261</v>
      </c>
      <c r="D161" s="71" t="s">
        <v>91</v>
      </c>
      <c r="E161" s="71" t="s">
        <v>72</v>
      </c>
      <c r="F161" s="18">
        <f>VLOOKUP(טבלה13[[#This Row],[זיהוי]],'[1]Unsaved_15008758 (1)'!$A:$D,4,FALSE)</f>
        <v>46159</v>
      </c>
      <c r="G161" s="44">
        <v>46159</v>
      </c>
      <c r="H161" s="71" t="s">
        <v>85</v>
      </c>
      <c r="I161" s="72" t="str">
        <f t="shared" si="2"/>
        <v>WBS: WBD-088
שם פרויקט: קרית ארבע ניידת -  התקנת תחמ"ש ניידת
מנה״פ: לופטון כהן, אדווה
יעד תכנית פיתוח: 17/05/2026
יעד מסתמן: 17/05/2026</v>
      </c>
      <c r="J161" s="45" t="s">
        <v>1545</v>
      </c>
      <c r="K161" s="45" t="s">
        <v>1545</v>
      </c>
      <c r="L161" s="45" t="s">
        <v>1546</v>
      </c>
      <c r="M161" s="45" t="s">
        <v>1546</v>
      </c>
      <c r="N161" s="45" t="s">
        <v>1546</v>
      </c>
      <c r="O161" s="45" t="s">
        <v>1547</v>
      </c>
      <c r="P161" s="45" t="s">
        <v>1547</v>
      </c>
      <c r="Q161" s="45" t="s">
        <v>1547</v>
      </c>
      <c r="R161" s="22" t="s">
        <v>1548</v>
      </c>
      <c r="S161" s="22" t="s">
        <v>1549</v>
      </c>
      <c r="T161" s="22" t="s">
        <v>1549</v>
      </c>
      <c r="U161" s="22" t="s">
        <v>1549</v>
      </c>
      <c r="V161" s="22" t="s">
        <v>1549</v>
      </c>
      <c r="W161" s="22" t="s">
        <v>1549</v>
      </c>
      <c r="X161" s="206" t="s">
        <v>1549</v>
      </c>
      <c r="Y161" s="196" t="s">
        <v>1549</v>
      </c>
      <c r="Z161" s="104"/>
      <c r="AA161" s="74"/>
      <c r="AB161" s="74"/>
      <c r="AC161" s="72"/>
      <c r="AD161" s="62"/>
      <c r="AE161" s="62" t="s">
        <v>209</v>
      </c>
    </row>
    <row r="162" spans="1:31" s="130" customFormat="1" ht="120" x14ac:dyDescent="0.2">
      <c r="A162" s="15" t="s">
        <v>1550</v>
      </c>
      <c r="B162" s="16" t="s">
        <v>1551</v>
      </c>
      <c r="C162" s="17" t="s">
        <v>40</v>
      </c>
      <c r="D162" s="71" t="s">
        <v>91</v>
      </c>
      <c r="E162" s="71" t="s">
        <v>72</v>
      </c>
      <c r="F162" s="18">
        <f>VLOOKUP(טבלה13[[#This Row],[זיהוי]],'[1]Unsaved_15008758 (1)'!$A:$D,4,FALSE)</f>
        <v>46752</v>
      </c>
      <c r="G162" s="25">
        <v>46643</v>
      </c>
      <c r="H162" s="71" t="s">
        <v>82</v>
      </c>
      <c r="I162" s="72" t="str">
        <f t="shared" si="2"/>
        <v>WBS: WBE-265
שם פרויקט: קציעות-  2 מתקנים לאגירת אנרגיה בסוללות
מנה״פ: לופטון כהן, אדווה
יעד תכנית פיתוח: 31/12/2027
יעד מסתמן: 13/09/2027</v>
      </c>
      <c r="J162" s="51" t="s">
        <v>1552</v>
      </c>
      <c r="K162" s="51" t="s">
        <v>1552</v>
      </c>
      <c r="L162" s="51" t="s">
        <v>1552</v>
      </c>
      <c r="M162" s="51" t="s">
        <v>1552</v>
      </c>
      <c r="N162" s="51" t="s">
        <v>1553</v>
      </c>
      <c r="O162" s="51" t="s">
        <v>1553</v>
      </c>
      <c r="P162" s="51" t="s">
        <v>1553</v>
      </c>
      <c r="Q162" s="51" t="s">
        <v>1553</v>
      </c>
      <c r="R162" s="76" t="s">
        <v>1553</v>
      </c>
      <c r="S162" s="76" t="s">
        <v>1553</v>
      </c>
      <c r="T162" s="76" t="s">
        <v>1553</v>
      </c>
      <c r="U162" s="76" t="s">
        <v>1553</v>
      </c>
      <c r="V162" s="76" t="s">
        <v>1553</v>
      </c>
      <c r="W162" s="76" t="s">
        <v>1554</v>
      </c>
      <c r="X162" s="197" t="s">
        <v>1555</v>
      </c>
      <c r="Y162" s="197" t="s">
        <v>1555</v>
      </c>
      <c r="Z162" s="105" t="s">
        <v>1556</v>
      </c>
      <c r="AA162" s="43"/>
      <c r="AB162" s="106" t="s">
        <v>39</v>
      </c>
      <c r="AC162" s="72"/>
      <c r="AD162" s="62"/>
      <c r="AE162" s="62"/>
    </row>
    <row r="163" spans="1:31" s="130" customFormat="1" ht="360" x14ac:dyDescent="0.2">
      <c r="A163" s="15" t="s">
        <v>1557</v>
      </c>
      <c r="B163" s="16" t="s">
        <v>1558</v>
      </c>
      <c r="C163" s="17" t="s">
        <v>40</v>
      </c>
      <c r="D163" s="71" t="s">
        <v>65</v>
      </c>
      <c r="E163" s="71" t="s">
        <v>62</v>
      </c>
      <c r="F163" s="18">
        <f>VLOOKUP(טבלה13[[#This Row],[זיהוי]],'[1]Unsaved_15008758 (1)'!$A:$D,4,FALSE)</f>
        <v>46752</v>
      </c>
      <c r="G163" s="25">
        <v>46643</v>
      </c>
      <c r="H163" s="71" t="s">
        <v>82</v>
      </c>
      <c r="I163" s="72" t="str">
        <f t="shared" si="2"/>
        <v>WBS: WBE-140
שם פרויקט: ערד - 2 מתקנים לאגירת אנרגיה בסוללות
מנה״פ: אוריאל שטרית 
יעד תכנית פיתוח: 31/12/2027
יעד מסתמן: 13/09/2027</v>
      </c>
      <c r="J163" s="21" t="s">
        <v>1559</v>
      </c>
      <c r="K163" s="21" t="s">
        <v>1560</v>
      </c>
      <c r="L163" s="21" t="s">
        <v>1560</v>
      </c>
      <c r="M163" s="21" t="s">
        <v>1561</v>
      </c>
      <c r="N163" s="21" t="s">
        <v>1561</v>
      </c>
      <c r="O163" s="21" t="s">
        <v>1562</v>
      </c>
      <c r="P163" s="21" t="s">
        <v>1563</v>
      </c>
      <c r="Q163" s="21" t="s">
        <v>1564</v>
      </c>
      <c r="R163" s="60" t="s">
        <v>1565</v>
      </c>
      <c r="S163" s="60" t="s">
        <v>1566</v>
      </c>
      <c r="T163" s="60" t="s">
        <v>1566</v>
      </c>
      <c r="U163" s="60" t="s">
        <v>1566</v>
      </c>
      <c r="V163" s="60" t="s">
        <v>1567</v>
      </c>
      <c r="W163" s="60" t="s">
        <v>1568</v>
      </c>
      <c r="X163" s="195" t="s">
        <v>1568</v>
      </c>
      <c r="Y163" s="198" t="s">
        <v>1568</v>
      </c>
      <c r="Z163" s="51"/>
      <c r="AA163" s="74"/>
      <c r="AB163" s="74"/>
      <c r="AC163" s="72"/>
      <c r="AD163" s="62"/>
      <c r="AE163" s="62"/>
    </row>
    <row r="164" spans="1:31" s="130" customFormat="1" ht="120" x14ac:dyDescent="0.2">
      <c r="A164" s="15" t="s">
        <v>1569</v>
      </c>
      <c r="B164" s="16" t="s">
        <v>1570</v>
      </c>
      <c r="C164" s="17" t="s">
        <v>40</v>
      </c>
      <c r="D164" s="71" t="s">
        <v>91</v>
      </c>
      <c r="E164" s="51" t="s">
        <v>72</v>
      </c>
      <c r="F164" s="18">
        <f>VLOOKUP(טבלה13[[#This Row],[זיהוי]],'[1]Unsaved_15008758 (1)'!$A:$D,4,FALSE)</f>
        <v>46752</v>
      </c>
      <c r="G164" s="25">
        <v>46643</v>
      </c>
      <c r="H164" s="71" t="s">
        <v>82</v>
      </c>
      <c r="I164" s="72" t="str">
        <f t="shared" si="2"/>
        <v>WBS: WBE-275
שם פרויקט: עין חרוד - מתקן אגירת אנרגיה בסוללות
מנה״פ: לופטון כהן, אדווה
יעד תכנית פיתוח: 31/12/2027
יעד מסתמן: 13/09/2027</v>
      </c>
      <c r="J164" s="51" t="s">
        <v>1507</v>
      </c>
      <c r="K164" s="51" t="s">
        <v>1507</v>
      </c>
      <c r="L164" s="51" t="s">
        <v>1507</v>
      </c>
      <c r="M164" s="51" t="s">
        <v>1507</v>
      </c>
      <c r="N164" s="51" t="s">
        <v>1507</v>
      </c>
      <c r="O164" s="51" t="s">
        <v>1507</v>
      </c>
      <c r="P164" s="51" t="s">
        <v>1507</v>
      </c>
      <c r="Q164" s="51" t="s">
        <v>1507</v>
      </c>
      <c r="R164" s="76" t="s">
        <v>1507</v>
      </c>
      <c r="S164" s="76" t="s">
        <v>1507</v>
      </c>
      <c r="T164" s="76" t="s">
        <v>1507</v>
      </c>
      <c r="U164" s="76" t="s">
        <v>1507</v>
      </c>
      <c r="V164" s="76" t="s">
        <v>1507</v>
      </c>
      <c r="W164" s="192" t="s">
        <v>1571</v>
      </c>
      <c r="X164" s="197" t="s">
        <v>1509</v>
      </c>
      <c r="Y164" s="197" t="s">
        <v>1509</v>
      </c>
      <c r="Z164" s="51"/>
      <c r="AA164" s="74"/>
      <c r="AB164" s="47"/>
      <c r="AC164" s="72"/>
      <c r="AD164" s="62"/>
      <c r="AE164" s="62"/>
    </row>
    <row r="165" spans="1:31" s="130" customFormat="1" ht="165" x14ac:dyDescent="0.2">
      <c r="A165" s="15" t="s">
        <v>1572</v>
      </c>
      <c r="B165" s="16" t="s">
        <v>1573</v>
      </c>
      <c r="C165" s="17" t="s">
        <v>40</v>
      </c>
      <c r="D165" s="71" t="s">
        <v>65</v>
      </c>
      <c r="E165" s="71" t="s">
        <v>62</v>
      </c>
      <c r="F165" s="18">
        <f>VLOOKUP(טבלה13[[#This Row],[זיהוי]],'[1]Unsaved_15008758 (1)'!$A:$D,4,FALSE)</f>
        <v>46752</v>
      </c>
      <c r="G165" s="25">
        <v>46643</v>
      </c>
      <c r="H165" s="71" t="s">
        <v>82</v>
      </c>
      <c r="I165" s="72" t="str">
        <f t="shared" si="2"/>
        <v>WBS: WBE-268
שם פרויקט: נחל שחורת- מתקן אגירת אנרגיה בסוללות
מנה״פ: אוריאל שטרית 
יעד תכנית פיתוח: 31/12/2027
יעד מסתמן: 13/09/2027</v>
      </c>
      <c r="J165" s="51" t="s">
        <v>1574</v>
      </c>
      <c r="K165" s="51" t="s">
        <v>1574</v>
      </c>
      <c r="L165" s="51" t="s">
        <v>1574</v>
      </c>
      <c r="M165" s="51" t="s">
        <v>1575</v>
      </c>
      <c r="N165" s="51" t="s">
        <v>1575</v>
      </c>
      <c r="O165" s="51" t="s">
        <v>1575</v>
      </c>
      <c r="P165" s="51" t="s">
        <v>1575</v>
      </c>
      <c r="Q165" s="51" t="s">
        <v>1575</v>
      </c>
      <c r="R165" s="76" t="s">
        <v>1575</v>
      </c>
      <c r="S165" s="76" t="s">
        <v>1575</v>
      </c>
      <c r="T165" s="76" t="s">
        <v>1575</v>
      </c>
      <c r="U165" s="76" t="s">
        <v>1575</v>
      </c>
      <c r="V165" s="76" t="s">
        <v>1575</v>
      </c>
      <c r="W165" s="76" t="s">
        <v>1575</v>
      </c>
      <c r="X165" s="198" t="s">
        <v>1575</v>
      </c>
      <c r="Y165" s="198" t="s">
        <v>1575</v>
      </c>
      <c r="Z165" s="51"/>
      <c r="AA165" s="74"/>
      <c r="AB165" s="47"/>
      <c r="AC165" s="72"/>
      <c r="AD165" s="62"/>
      <c r="AE165" s="62"/>
    </row>
    <row r="166" spans="1:31" s="130" customFormat="1" ht="120" x14ac:dyDescent="0.2">
      <c r="A166" s="15" t="s">
        <v>1576</v>
      </c>
      <c r="B166" s="16" t="s">
        <v>1577</v>
      </c>
      <c r="C166" s="17" t="s">
        <v>261</v>
      </c>
      <c r="D166" s="71" t="s">
        <v>91</v>
      </c>
      <c r="E166" s="71" t="s">
        <v>72</v>
      </c>
      <c r="F166" s="18">
        <f>VLOOKUP(טבלה13[[#This Row],[זיהוי]],'[1]Unsaved_15008758 (1)'!$A:$D,4,FALSE)</f>
        <v>46022</v>
      </c>
      <c r="G166" s="18">
        <v>46022</v>
      </c>
      <c r="H166" s="71" t="s">
        <v>23</v>
      </c>
      <c r="I166" s="72" t="str">
        <f t="shared" si="2"/>
        <v>WBS: WBD-054
שם פרויקט: חצבה (ספיר) ניידת-תחמ"ש ניידת 161/36 ק"ו
מנה״פ: לופטון כהן, אדווה
יעד תכנית פיתוח: 31/12/2025
יעד מסתמן: 31/12/2025</v>
      </c>
      <c r="J166" s="51" t="s">
        <v>1578</v>
      </c>
      <c r="K166" s="51" t="s">
        <v>1578</v>
      </c>
      <c r="L166" s="51" t="s">
        <v>1579</v>
      </c>
      <c r="M166" s="51" t="s">
        <v>1579</v>
      </c>
      <c r="N166" s="51" t="s">
        <v>1579</v>
      </c>
      <c r="O166" s="51" t="s">
        <v>1579</v>
      </c>
      <c r="P166" s="51" t="s">
        <v>1579</v>
      </c>
      <c r="Q166" s="51" t="s">
        <v>1579</v>
      </c>
      <c r="R166" s="76" t="s">
        <v>1579</v>
      </c>
      <c r="S166" s="76" t="s">
        <v>1579</v>
      </c>
      <c r="T166" s="76" t="s">
        <v>1579</v>
      </c>
      <c r="U166" s="76" t="s">
        <v>1579</v>
      </c>
      <c r="V166" s="76" t="s">
        <v>1579</v>
      </c>
      <c r="W166" s="76" t="s">
        <v>1579</v>
      </c>
      <c r="X166" s="198" t="s">
        <v>1579</v>
      </c>
      <c r="Y166" s="198" t="s">
        <v>1579</v>
      </c>
      <c r="Z166" s="51"/>
      <c r="AA166" s="74"/>
      <c r="AB166" s="47"/>
      <c r="AC166" s="72"/>
      <c r="AD166" s="62"/>
      <c r="AE166" s="62"/>
    </row>
    <row r="167" spans="1:31" s="130" customFormat="1" ht="120" x14ac:dyDescent="0.2">
      <c r="A167" s="15" t="s">
        <v>1580</v>
      </c>
      <c r="B167" s="16" t="s">
        <v>1581</v>
      </c>
      <c r="C167" s="17" t="s">
        <v>261</v>
      </c>
      <c r="D167" s="71" t="s">
        <v>91</v>
      </c>
      <c r="E167" s="71" t="s">
        <v>72</v>
      </c>
      <c r="F167" s="18">
        <f>VLOOKUP(טבלה13[[#This Row],[זיהוי]],'[1]Unsaved_15008758 (1)'!$A:$D,4,FALSE)</f>
        <v>45991</v>
      </c>
      <c r="G167" s="18" t="s">
        <v>1582</v>
      </c>
      <c r="H167" s="71" t="s">
        <v>23</v>
      </c>
      <c r="I167" s="72" t="str">
        <f t="shared" si="2"/>
        <v>WBS: WBD-100
שם פרויקט: בית הגדי ניידת- הצבת תחמ"ש ניידת
מנה״פ: לופטון כהן, אדווה
יעד תכנית פיתוח: 30/11/2025
יעד מסתמן: חושמל 30/08/2025</v>
      </c>
      <c r="J167" s="51" t="s">
        <v>1583</v>
      </c>
      <c r="K167" s="51" t="s">
        <v>1583</v>
      </c>
      <c r="L167" s="51" t="s">
        <v>1583</v>
      </c>
      <c r="M167" s="51" t="s">
        <v>1583</v>
      </c>
      <c r="N167" s="51" t="s">
        <v>1583</v>
      </c>
      <c r="O167" s="51" t="s">
        <v>1583</v>
      </c>
      <c r="P167" s="51" t="s">
        <v>1583</v>
      </c>
      <c r="Q167" s="51" t="s">
        <v>1583</v>
      </c>
      <c r="R167" s="76" t="s">
        <v>1583</v>
      </c>
      <c r="S167" s="76" t="s">
        <v>1583</v>
      </c>
      <c r="T167" s="76" t="s">
        <v>1583</v>
      </c>
      <c r="U167" s="76" t="s">
        <v>1583</v>
      </c>
      <c r="V167" s="76" t="s">
        <v>1583</v>
      </c>
      <c r="W167" s="76" t="s">
        <v>1583</v>
      </c>
      <c r="X167" s="198" t="s">
        <v>1583</v>
      </c>
      <c r="Y167" s="198" t="s">
        <v>1583</v>
      </c>
      <c r="Z167" s="43"/>
      <c r="AA167" s="103"/>
      <c r="AB167" s="47"/>
      <c r="AC167" s="72"/>
      <c r="AD167" s="62"/>
      <c r="AE167" s="62"/>
    </row>
    <row r="168" spans="1:31" s="130" customFormat="1" ht="405" x14ac:dyDescent="0.2">
      <c r="A168" s="15" t="s">
        <v>1584</v>
      </c>
      <c r="B168" s="16" t="s">
        <v>1585</v>
      </c>
      <c r="C168" s="17" t="s">
        <v>40</v>
      </c>
      <c r="D168" s="71" t="s">
        <v>91</v>
      </c>
      <c r="E168" s="71" t="s">
        <v>72</v>
      </c>
      <c r="F168" s="18">
        <f>VLOOKUP(טבלה13[[#This Row],[זיהוי]],'[1]Unsaved_15008758 (1)'!$A:$D,4,FALSE)</f>
        <v>46752</v>
      </c>
      <c r="G168" s="18">
        <v>46751</v>
      </c>
      <c r="H168" s="71" t="s">
        <v>82</v>
      </c>
      <c r="I168" s="72" t="str">
        <f t="shared" si="2"/>
        <v>WBS: WBE-139
שם פרויקט: ב"ש מערב -מתקן אגירת אנרגיה בסוללות
מנה״פ: לופטון כהן, אדווה
יעד תכנית פיתוח: 31/12/2027
יעד מסתמן: 30/12/2027</v>
      </c>
      <c r="J168" s="21" t="s">
        <v>1586</v>
      </c>
      <c r="K168" s="21" t="s">
        <v>1586</v>
      </c>
      <c r="L168" s="21" t="s">
        <v>1586</v>
      </c>
      <c r="M168" s="21" t="s">
        <v>1587</v>
      </c>
      <c r="N168" s="21" t="s">
        <v>1588</v>
      </c>
      <c r="O168" s="21" t="s">
        <v>1588</v>
      </c>
      <c r="P168" s="21" t="s">
        <v>1589</v>
      </c>
      <c r="Q168" s="21" t="s">
        <v>1590</v>
      </c>
      <c r="R168" s="60" t="s">
        <v>1591</v>
      </c>
      <c r="S168" s="60" t="s">
        <v>1591</v>
      </c>
      <c r="T168" s="60" t="s">
        <v>1591</v>
      </c>
      <c r="U168" s="60" t="s">
        <v>1591</v>
      </c>
      <c r="V168" s="60" t="s">
        <v>1591</v>
      </c>
      <c r="W168" s="188" t="s">
        <v>1592</v>
      </c>
      <c r="X168" s="197" t="s">
        <v>1509</v>
      </c>
      <c r="Y168" s="197" t="s">
        <v>1509</v>
      </c>
      <c r="Z168" s="51"/>
      <c r="AA168" s="74"/>
      <c r="AB168" s="47"/>
      <c r="AC168" s="72"/>
      <c r="AD168" s="62"/>
      <c r="AE168" s="62"/>
    </row>
    <row r="169" spans="1:31" s="130" customFormat="1" ht="120" x14ac:dyDescent="0.2">
      <c r="A169" s="15" t="s">
        <v>1593</v>
      </c>
      <c r="B169" s="16" t="s">
        <v>1594</v>
      </c>
      <c r="C169" s="17" t="s">
        <v>40</v>
      </c>
      <c r="D169" s="71" t="s">
        <v>87</v>
      </c>
      <c r="E169" s="71" t="s">
        <v>59</v>
      </c>
      <c r="F169" s="18">
        <f>VLOOKUP(טבלה13[[#This Row],[זיהוי]],'[1]Unsaved_15008758 (1)'!$A:$D,4,FALSE)</f>
        <v>47118</v>
      </c>
      <c r="G169" s="25">
        <v>47057</v>
      </c>
      <c r="H169" s="71" t="s">
        <v>19</v>
      </c>
      <c r="I169" s="72" t="str">
        <f t="shared" si="2"/>
        <v>WBS: WBE-164
שם פרויקט: קישון -שדרוג תחמ"ש והחלפת שנאים 521, 522
מנה״פ: גולן, לירון
יעד תכנית פיתוח: 31/12/2028
יעד מסתמן: 31/10/2028</v>
      </c>
      <c r="J169" s="51" t="s">
        <v>1595</v>
      </c>
      <c r="K169" s="51" t="s">
        <v>1595</v>
      </c>
      <c r="L169" s="51" t="s">
        <v>1595</v>
      </c>
      <c r="M169" s="51" t="s">
        <v>1595</v>
      </c>
      <c r="N169" s="51" t="s">
        <v>1595</v>
      </c>
      <c r="O169" s="51" t="s">
        <v>1595</v>
      </c>
      <c r="P169" s="51" t="s">
        <v>1595</v>
      </c>
      <c r="Q169" s="51" t="s">
        <v>1595</v>
      </c>
      <c r="R169" s="76" t="s">
        <v>1595</v>
      </c>
      <c r="S169" s="76" t="s">
        <v>1595</v>
      </c>
      <c r="T169" s="76" t="s">
        <v>1595</v>
      </c>
      <c r="U169" s="157" t="s">
        <v>1595</v>
      </c>
      <c r="V169" s="157" t="s">
        <v>1595</v>
      </c>
      <c r="W169" s="157" t="s">
        <v>1595</v>
      </c>
      <c r="X169" s="199" t="s">
        <v>1595</v>
      </c>
      <c r="Y169" s="166" t="s">
        <v>2301</v>
      </c>
      <c r="Z169" s="51" t="s">
        <v>2237</v>
      </c>
      <c r="AA169" s="74" t="s">
        <v>68</v>
      </c>
      <c r="AB169" s="47" t="s">
        <v>39</v>
      </c>
      <c r="AC169" s="72"/>
      <c r="AD169" s="62"/>
      <c r="AE169" s="62"/>
    </row>
    <row r="170" spans="1:31" s="130" customFormat="1" ht="105" x14ac:dyDescent="0.2">
      <c r="A170" s="15" t="s">
        <v>1596</v>
      </c>
      <c r="B170" s="16" t="s">
        <v>1597</v>
      </c>
      <c r="C170" s="17" t="s">
        <v>40</v>
      </c>
      <c r="D170" s="71" t="s">
        <v>87</v>
      </c>
      <c r="E170" s="71" t="s">
        <v>59</v>
      </c>
      <c r="F170" s="18">
        <f>VLOOKUP(טבלה13[[#This Row],[זיהוי]],'[1]Unsaved_15008758 (1)'!$A:$D,4,FALSE)</f>
        <v>46387</v>
      </c>
      <c r="G170" s="25">
        <v>46356</v>
      </c>
      <c r="H170" s="71" t="s">
        <v>73</v>
      </c>
      <c r="I170" s="72" t="str">
        <f t="shared" si="2"/>
        <v>WBS: WBE-145
שם פרויקט: קישון - החלפת שנאים  524, 523
מנה״פ: גולן, לירון
יעד תכנית פיתוח: 31/12/2026
יעד מסתמן: 30/11/2026</v>
      </c>
      <c r="J170" s="76" t="s">
        <v>1598</v>
      </c>
      <c r="K170" s="51" t="s">
        <v>1599</v>
      </c>
      <c r="L170" s="51" t="s">
        <v>1600</v>
      </c>
      <c r="M170" s="51" t="s">
        <v>1600</v>
      </c>
      <c r="N170" s="51" t="s">
        <v>1600</v>
      </c>
      <c r="O170" s="51" t="s">
        <v>1601</v>
      </c>
      <c r="P170" s="51" t="s">
        <v>1602</v>
      </c>
      <c r="Q170" s="51" t="s">
        <v>1603</v>
      </c>
      <c r="R170" s="76" t="s">
        <v>1604</v>
      </c>
      <c r="S170" s="76" t="s">
        <v>1604</v>
      </c>
      <c r="T170" s="181" t="s">
        <v>1605</v>
      </c>
      <c r="U170" s="105" t="s">
        <v>1606</v>
      </c>
      <c r="V170" s="105" t="s">
        <v>1607</v>
      </c>
      <c r="W170" s="161" t="s">
        <v>1608</v>
      </c>
      <c r="X170" s="204" t="s">
        <v>1609</v>
      </c>
      <c r="Y170" s="161" t="s">
        <v>2238</v>
      </c>
      <c r="Z170" s="82"/>
      <c r="AA170" s="74"/>
      <c r="AB170" s="74"/>
      <c r="AC170" s="72"/>
      <c r="AD170" s="62"/>
      <c r="AE170" s="62"/>
    </row>
    <row r="171" spans="1:31" s="130" customFormat="1" ht="210" x14ac:dyDescent="0.2">
      <c r="A171" s="33" t="s">
        <v>1610</v>
      </c>
      <c r="B171" s="16" t="s">
        <v>1611</v>
      </c>
      <c r="C171" s="17" t="s">
        <v>473</v>
      </c>
      <c r="D171" s="71" t="s">
        <v>87</v>
      </c>
      <c r="E171" s="71" t="s">
        <v>59</v>
      </c>
      <c r="F171" s="18"/>
      <c r="G171" s="18" t="s">
        <v>1612</v>
      </c>
      <c r="H171" s="71" t="s">
        <v>63</v>
      </c>
      <c r="I171" s="72" t="str">
        <f>"WBS: " &amp; A171 &amp; CHAR(10) &amp;
"שם פרויקט: " &amp; B171 &amp; CHAR(10) &amp;
"מנה״פ: " &amp; D171 &amp; CHAR(10) &amp;
"יעד תכנית פיתוח: " &amp; TEXT(F171,"dd/mm/yyyy") &amp; CHAR(10) &amp;
"יעד מסתמן: " &amp; TEXT(G171,"dd/mm/yyyy")</f>
        <v>WBS: WBM-406333
WBM-40534
WBM-40200
שם פרויקט: קישון שדות 11,17,20,25 ומ"ז
מנה״פ: גולן, לירון
יעד תכנית פיתוח: 00/01/1900
יעד מסתמן: 28/02/2027
31/05/2027
31/12/2026</v>
      </c>
      <c r="J171" s="60" t="s">
        <v>1613</v>
      </c>
      <c r="K171" s="21" t="s">
        <v>1613</v>
      </c>
      <c r="L171" s="21" t="s">
        <v>1613</v>
      </c>
      <c r="M171" s="21" t="s">
        <v>1613</v>
      </c>
      <c r="N171" s="21" t="s">
        <v>1614</v>
      </c>
      <c r="O171" s="21" t="s">
        <v>1614</v>
      </c>
      <c r="P171" s="21" t="s">
        <v>1615</v>
      </c>
      <c r="Q171" s="21" t="s">
        <v>1616</v>
      </c>
      <c r="R171" s="60" t="s">
        <v>1617</v>
      </c>
      <c r="S171" s="60" t="s">
        <v>1618</v>
      </c>
      <c r="T171" s="60" t="s">
        <v>1619</v>
      </c>
      <c r="U171" s="182" t="s">
        <v>1619</v>
      </c>
      <c r="V171" s="164" t="s">
        <v>1620</v>
      </c>
      <c r="W171" s="164" t="s">
        <v>1621</v>
      </c>
      <c r="X171" s="205" t="s">
        <v>1622</v>
      </c>
      <c r="Y171" s="164" t="s">
        <v>2240</v>
      </c>
      <c r="Z171" s="58" t="s">
        <v>2239</v>
      </c>
      <c r="AA171" s="47" t="s">
        <v>47</v>
      </c>
      <c r="AB171" s="47"/>
      <c r="AC171" s="72"/>
      <c r="AD171" s="62"/>
      <c r="AE171" s="62"/>
    </row>
    <row r="172" spans="1:31" s="130" customFormat="1" ht="120" x14ac:dyDescent="0.2">
      <c r="A172" s="15" t="s">
        <v>6</v>
      </c>
      <c r="B172" s="16" t="s">
        <v>1623</v>
      </c>
      <c r="C172" s="17" t="s">
        <v>40</v>
      </c>
      <c r="D172" s="71" t="s">
        <v>87</v>
      </c>
      <c r="E172" s="71" t="s">
        <v>59</v>
      </c>
      <c r="F172" s="18">
        <f>VLOOKUP(טבלה13[[#This Row],[זיהוי]],'[1]Unsaved_15008758 (1)'!$A:$D,4,FALSE)</f>
        <v>46203</v>
      </c>
      <c r="G172" s="25">
        <v>46478</v>
      </c>
      <c r="H172" s="71" t="s">
        <v>63</v>
      </c>
      <c r="I172" s="72" t="str">
        <f t="shared" si="2"/>
        <v>WBS: WBE-186
שם פרויקט: צפת -התקנת שנאי רביעי 161/24 ק"ו, 50 מגוו"א
מנה״פ: גולן, לירון
יעד תכנית פיתוח: 30/06/2026
יעד מסתמן: 01/04/2027</v>
      </c>
      <c r="J172" s="51" t="s">
        <v>1624</v>
      </c>
      <c r="K172" s="51" t="s">
        <v>1625</v>
      </c>
      <c r="L172" s="51" t="s">
        <v>1626</v>
      </c>
      <c r="M172" s="51" t="s">
        <v>1627</v>
      </c>
      <c r="N172" s="51" t="s">
        <v>1627</v>
      </c>
      <c r="O172" s="51" t="s">
        <v>1627</v>
      </c>
      <c r="P172" s="51" t="s">
        <v>1628</v>
      </c>
      <c r="Q172" s="51" t="s">
        <v>1628</v>
      </c>
      <c r="R172" s="76" t="s">
        <v>1629</v>
      </c>
      <c r="S172" s="76" t="s">
        <v>1630</v>
      </c>
      <c r="T172" s="76" t="s">
        <v>1631</v>
      </c>
      <c r="U172" s="76" t="s">
        <v>1631</v>
      </c>
      <c r="V172" s="76" t="s">
        <v>1632</v>
      </c>
      <c r="W172" s="76" t="s">
        <v>1633</v>
      </c>
      <c r="X172" s="198" t="s">
        <v>1634</v>
      </c>
      <c r="Y172" s="76" t="s">
        <v>1622</v>
      </c>
      <c r="Z172" s="51"/>
      <c r="AA172" s="74"/>
      <c r="AB172" s="47"/>
      <c r="AC172" s="72"/>
      <c r="AD172" s="62"/>
      <c r="AE172" s="62"/>
    </row>
    <row r="173" spans="1:31" s="130" customFormat="1" ht="120" x14ac:dyDescent="0.2">
      <c r="A173" s="15" t="s">
        <v>1635</v>
      </c>
      <c r="B173" s="16" t="s">
        <v>1636</v>
      </c>
      <c r="C173" s="17" t="s">
        <v>40</v>
      </c>
      <c r="D173" s="71" t="s">
        <v>87</v>
      </c>
      <c r="E173" s="71" t="s">
        <v>59</v>
      </c>
      <c r="F173" s="18">
        <f>VLOOKUP(טבלה13[[#This Row],[זיהוי]],'[1]Unsaved_15008758 (1)'!$A:$D,4,FALSE)</f>
        <v>46721</v>
      </c>
      <c r="G173" s="25">
        <v>46568</v>
      </c>
      <c r="H173" s="71" t="s">
        <v>63</v>
      </c>
      <c r="I173" s="72" t="str">
        <f t="shared" si="2"/>
        <v>WBS: WBE-195
שם פרויקט: עתלית- התקנת שנאי שלישי (524) 161/24 ק"ו, 50 מגוו"א
מנה״פ: גולן, לירון
יעד תכנית פיתוח: 30/11/2027
יעד מסתמן: 30/06/2027</v>
      </c>
      <c r="J173" s="51" t="s">
        <v>1637</v>
      </c>
      <c r="K173" s="51" t="s">
        <v>1637</v>
      </c>
      <c r="L173" s="51" t="s">
        <v>1638</v>
      </c>
      <c r="M173" s="51" t="s">
        <v>1639</v>
      </c>
      <c r="N173" s="51" t="s">
        <v>1640</v>
      </c>
      <c r="O173" s="51" t="s">
        <v>1641</v>
      </c>
      <c r="P173" s="51" t="s">
        <v>1642</v>
      </c>
      <c r="Q173" s="51" t="s">
        <v>1642</v>
      </c>
      <c r="R173" s="76" t="s">
        <v>1642</v>
      </c>
      <c r="S173" s="76" t="s">
        <v>1643</v>
      </c>
      <c r="T173" s="76" t="s">
        <v>1644</v>
      </c>
      <c r="U173" s="76" t="s">
        <v>1644</v>
      </c>
      <c r="V173" s="76" t="s">
        <v>1645</v>
      </c>
      <c r="W173" s="76" t="s">
        <v>1646</v>
      </c>
      <c r="X173" s="198" t="s">
        <v>1647</v>
      </c>
      <c r="Y173" s="198" t="s">
        <v>1647</v>
      </c>
      <c r="Z173" s="51"/>
      <c r="AA173" s="74"/>
      <c r="AB173" s="47"/>
      <c r="AC173" s="72"/>
      <c r="AD173" s="62"/>
      <c r="AE173" s="62"/>
    </row>
    <row r="174" spans="1:31" s="130" customFormat="1" ht="120" customHeight="1" x14ac:dyDescent="0.2">
      <c r="A174" s="15" t="s">
        <v>1648</v>
      </c>
      <c r="B174" s="16" t="s">
        <v>1649</v>
      </c>
      <c r="C174" s="17" t="s">
        <v>40</v>
      </c>
      <c r="D174" s="71" t="s">
        <v>34</v>
      </c>
      <c r="E174" s="71" t="s">
        <v>70</v>
      </c>
      <c r="F174" s="18">
        <f>VLOOKUP(טבלה13[[#This Row],[זיהוי]],'[1]Unsaved_15008758 (1)'!$A:$D,4,FALSE)</f>
        <v>46295</v>
      </c>
      <c r="G174" s="18" t="s">
        <v>1650</v>
      </c>
      <c r="H174" s="71" t="s">
        <v>23</v>
      </c>
      <c r="I174" s="72" t="str">
        <f t="shared" si="2"/>
        <v>WBS: WBE-141
שם פרויקט: פארן - מתקן אגירת אנרגיה בסוללות
מנה״פ: מזרחי, סולי
יעד תכנית פיתוח: 30/09/2026
יעד מסתמן: חושמל 30/10/2024</v>
      </c>
      <c r="J174" s="32" t="s">
        <v>1651</v>
      </c>
      <c r="K174" s="32" t="s">
        <v>1651</v>
      </c>
      <c r="L174" s="32" t="s">
        <v>1651</v>
      </c>
      <c r="M174" s="32" t="s">
        <v>1652</v>
      </c>
      <c r="N174" s="32" t="s">
        <v>1653</v>
      </c>
      <c r="O174" s="32" t="s">
        <v>1653</v>
      </c>
      <c r="P174" s="32" t="s">
        <v>1653</v>
      </c>
      <c r="Q174" s="32" t="s">
        <v>1653</v>
      </c>
      <c r="R174" s="168" t="s">
        <v>1653</v>
      </c>
      <c r="S174" s="168" t="s">
        <v>1653</v>
      </c>
      <c r="T174" s="168" t="s">
        <v>1653</v>
      </c>
      <c r="U174" s="168" t="s">
        <v>1653</v>
      </c>
      <c r="V174" s="168" t="s">
        <v>1653</v>
      </c>
      <c r="W174" s="168" t="s">
        <v>1654</v>
      </c>
      <c r="X174" s="216" t="s">
        <v>1655</v>
      </c>
      <c r="Y174" s="216" t="s">
        <v>1655</v>
      </c>
      <c r="Z174" s="51"/>
      <c r="AA174" s="74"/>
      <c r="AB174" s="47"/>
      <c r="AC174" s="72"/>
      <c r="AD174" s="62"/>
      <c r="AE174" s="62"/>
    </row>
    <row r="175" spans="1:31" s="130" customFormat="1" ht="120" x14ac:dyDescent="0.2">
      <c r="A175" s="15" t="s">
        <v>1656</v>
      </c>
      <c r="B175" s="16" t="s">
        <v>1657</v>
      </c>
      <c r="C175" s="17" t="s">
        <v>40</v>
      </c>
      <c r="D175" s="71" t="s">
        <v>34</v>
      </c>
      <c r="E175" s="128" t="s">
        <v>70</v>
      </c>
      <c r="F175" s="18">
        <f>VLOOKUP(טבלה13[[#This Row],[זיהוי]],'[1]Unsaved_15008758 (1)'!$A:$D,4,FALSE)</f>
        <v>46295</v>
      </c>
      <c r="G175" s="18" t="s">
        <v>1658</v>
      </c>
      <c r="H175" s="71" t="s">
        <v>23</v>
      </c>
      <c r="I175" s="72" t="str">
        <f t="shared" si="2"/>
        <v>WBS: WBE-134
שם פרויקט: נתיבות - התקנת מתקן אגירת אנרגיה
מנה״פ: מזרחי, סולי
יעד תכנית פיתוח: 30/09/2026
יעד מסתמן: חושמל 30/12/2024</v>
      </c>
      <c r="J175" s="32" t="s">
        <v>1659</v>
      </c>
      <c r="K175" s="32" t="s">
        <v>1659</v>
      </c>
      <c r="L175" s="32" t="s">
        <v>1659</v>
      </c>
      <c r="M175" s="32" t="s">
        <v>1659</v>
      </c>
      <c r="N175" s="32" t="s">
        <v>1659</v>
      </c>
      <c r="O175" s="32" t="s">
        <v>1659</v>
      </c>
      <c r="P175" s="32" t="s">
        <v>1660</v>
      </c>
      <c r="Q175" s="32" t="s">
        <v>1660</v>
      </c>
      <c r="R175" s="168" t="s">
        <v>1660</v>
      </c>
      <c r="S175" s="168" t="s">
        <v>1661</v>
      </c>
      <c r="T175" s="168" t="s">
        <v>1661</v>
      </c>
      <c r="U175" s="168" t="s">
        <v>1662</v>
      </c>
      <c r="V175" s="168" t="s">
        <v>1662</v>
      </c>
      <c r="W175" s="168" t="s">
        <v>1662</v>
      </c>
      <c r="X175" s="216" t="s">
        <v>1662</v>
      </c>
      <c r="Y175" s="216" t="s">
        <v>1662</v>
      </c>
      <c r="Z175" s="51"/>
      <c r="AA175" s="74"/>
      <c r="AB175" s="47"/>
      <c r="AC175" s="72"/>
      <c r="AD175" s="62"/>
      <c r="AE175" s="62"/>
    </row>
    <row r="176" spans="1:31" s="130" customFormat="1" ht="135" x14ac:dyDescent="0.2">
      <c r="A176" s="15" t="s">
        <v>1663</v>
      </c>
      <c r="B176" s="16" t="s">
        <v>1664</v>
      </c>
      <c r="C176" s="17" t="s">
        <v>473</v>
      </c>
      <c r="D176" s="71" t="s">
        <v>34</v>
      </c>
      <c r="E176" s="71" t="s">
        <v>70</v>
      </c>
      <c r="F176" s="18">
        <f>VLOOKUP(טבלה13[[#This Row],[זיהוי]],'[1]Unsaved_15008758 (1)'!$A:$D,4,FALSE)</f>
        <v>46843</v>
      </c>
      <c r="G176" s="25"/>
      <c r="H176" s="71" t="s">
        <v>19</v>
      </c>
      <c r="I176" s="72" t="str">
        <f t="shared" si="2"/>
        <v>WBS: WBM-00289
שם פרויקט: כפר סבא-התקנת 3 ס"ק 5*2 מגווא"ר כ"א
מנה״פ: מזרחי, סולי
יעד תכנית פיתוח: 31/03/2028
יעד מסתמן: 00/01/1900</v>
      </c>
      <c r="J176" s="51" t="s">
        <v>1665</v>
      </c>
      <c r="K176" s="51" t="s">
        <v>1665</v>
      </c>
      <c r="L176" s="51" t="s">
        <v>1665</v>
      </c>
      <c r="M176" s="51" t="s">
        <v>1665</v>
      </c>
      <c r="N176" s="51" t="s">
        <v>1665</v>
      </c>
      <c r="O176" s="51" t="s">
        <v>1666</v>
      </c>
      <c r="P176" s="51" t="s">
        <v>1666</v>
      </c>
      <c r="Q176" s="51" t="s">
        <v>1666</v>
      </c>
      <c r="R176" s="60" t="s">
        <v>1667</v>
      </c>
      <c r="S176" s="60" t="s">
        <v>1668</v>
      </c>
      <c r="T176" s="60" t="s">
        <v>1668</v>
      </c>
      <c r="U176" s="60" t="s">
        <v>1668</v>
      </c>
      <c r="V176" s="60" t="s">
        <v>1668</v>
      </c>
      <c r="W176" s="60" t="s">
        <v>1668</v>
      </c>
      <c r="X176" s="195" t="s">
        <v>1668</v>
      </c>
      <c r="Y176" s="195" t="s">
        <v>1668</v>
      </c>
      <c r="Z176" s="51"/>
      <c r="AA176" s="73" t="s">
        <v>68</v>
      </c>
      <c r="AB176" s="47"/>
      <c r="AC176" s="72"/>
      <c r="AD176" s="62"/>
      <c r="AE176" s="62"/>
    </row>
    <row r="177" spans="1:31" s="130" customFormat="1" ht="267" customHeight="1" x14ac:dyDescent="0.2">
      <c r="A177" s="15" t="s">
        <v>1669</v>
      </c>
      <c r="B177" s="16" t="s">
        <v>1670</v>
      </c>
      <c r="C177" s="17" t="s">
        <v>40</v>
      </c>
      <c r="D177" s="71" t="s">
        <v>34</v>
      </c>
      <c r="E177" s="71" t="s">
        <v>70</v>
      </c>
      <c r="F177" s="25">
        <v>46538</v>
      </c>
      <c r="G177" s="25">
        <v>46537</v>
      </c>
      <c r="H177" s="71" t="s">
        <v>21</v>
      </c>
      <c r="I177" s="72" t="str">
        <f t="shared" si="2"/>
        <v>WBS: WBE-182
שם פרויקט: כפר סבא-הרחבת מסדר 161 ק"ו והתקנת שנאי רביעי 161/24 ק"ו  50 מגוו"א
מנה״פ: מזרחי, סולי
יעד תכנית פיתוח: 31/05/2027
יעד מסתמן: 30/05/2027</v>
      </c>
      <c r="J177" s="21" t="s">
        <v>1671</v>
      </c>
      <c r="K177" s="21" t="s">
        <v>1672</v>
      </c>
      <c r="L177" s="21" t="s">
        <v>1673</v>
      </c>
      <c r="M177" s="51" t="s">
        <v>1674</v>
      </c>
      <c r="N177" s="51" t="s">
        <v>1675</v>
      </c>
      <c r="O177" s="51" t="s">
        <v>1676</v>
      </c>
      <c r="P177" s="51" t="s">
        <v>1677</v>
      </c>
      <c r="Q177" s="51" t="s">
        <v>1678</v>
      </c>
      <c r="R177" s="60" t="s">
        <v>1679</v>
      </c>
      <c r="S177" s="60" t="s">
        <v>1680</v>
      </c>
      <c r="T177" s="60" t="s">
        <v>1680</v>
      </c>
      <c r="U177" s="60" t="s">
        <v>1681</v>
      </c>
      <c r="V177" s="60" t="s">
        <v>1682</v>
      </c>
      <c r="W177" s="60" t="s">
        <v>1683</v>
      </c>
      <c r="X177" s="195" t="s">
        <v>1684</v>
      </c>
      <c r="Y177" s="195" t="s">
        <v>2302</v>
      </c>
      <c r="Z177" s="51"/>
      <c r="AA177" s="74" t="s">
        <v>68</v>
      </c>
      <c r="AB177" s="47" t="s">
        <v>39</v>
      </c>
      <c r="AC177" s="72"/>
      <c r="AD177" s="62"/>
      <c r="AE177" s="62" t="s">
        <v>146</v>
      </c>
    </row>
    <row r="178" spans="1:31" s="130" customFormat="1" ht="255" x14ac:dyDescent="0.2">
      <c r="A178" s="107" t="s">
        <v>3</v>
      </c>
      <c r="B178" s="16" t="s">
        <v>1685</v>
      </c>
      <c r="C178" s="17" t="s">
        <v>40</v>
      </c>
      <c r="D178" s="71" t="s">
        <v>34</v>
      </c>
      <c r="E178" s="71" t="s">
        <v>70</v>
      </c>
      <c r="F178" s="18">
        <v>46630</v>
      </c>
      <c r="G178" s="25">
        <v>46630</v>
      </c>
      <c r="H178" s="71" t="s">
        <v>63</v>
      </c>
      <c r="I178" s="72" t="str">
        <f>"WBS: " &amp; A178 &amp; CHAR(10) &amp;
"שם פרויקט: " &amp; B178 &amp; CHAR(10) &amp;
"מנה״פ: " &amp; D178 &amp; CHAR(10) &amp;
"יעד תכנית פיתוח: " &amp; TEXT(F178,"dd/mm/yyyy") &amp; CHAR(10) &amp;
"יעד מסתמן: " &amp; TEXT(G178,"dd/mm/yyyy")</f>
        <v>WBS: WBE-306
שם פרויקט: זמורות - הקמת בניין פיקוד ו- 4 מסדרי מ''ג
מנה״פ: מזרחי, סולי
יעד תכנית פיתוח: 31/08/2027
יעד מסתמן: 31/08/2027</v>
      </c>
      <c r="J178" s="21" t="s">
        <v>1686</v>
      </c>
      <c r="K178" s="21" t="s">
        <v>1687</v>
      </c>
      <c r="L178" s="21" t="s">
        <v>1688</v>
      </c>
      <c r="M178" s="51" t="s">
        <v>1689</v>
      </c>
      <c r="N178" s="51" t="s">
        <v>1690</v>
      </c>
      <c r="O178" s="51" t="s">
        <v>1691</v>
      </c>
      <c r="P178" s="51" t="s">
        <v>1691</v>
      </c>
      <c r="Q178" s="51" t="s">
        <v>1692</v>
      </c>
      <c r="R178" s="76" t="s">
        <v>1692</v>
      </c>
      <c r="S178" s="76" t="s">
        <v>1693</v>
      </c>
      <c r="T178" s="76" t="s">
        <v>1694</v>
      </c>
      <c r="U178" s="60" t="s">
        <v>1695</v>
      </c>
      <c r="V178" s="60" t="s">
        <v>1696</v>
      </c>
      <c r="W178" s="60" t="s">
        <v>1697</v>
      </c>
      <c r="X178" s="195" t="s">
        <v>1698</v>
      </c>
      <c r="Y178" s="195" t="s">
        <v>2218</v>
      </c>
      <c r="Z178" s="51"/>
      <c r="AA178" s="74"/>
      <c r="AB178" s="47"/>
      <c r="AC178" s="72"/>
      <c r="AD178" s="62"/>
      <c r="AE178" s="62"/>
    </row>
    <row r="179" spans="1:31" s="130" customFormat="1" ht="120" x14ac:dyDescent="0.2">
      <c r="A179" s="15" t="s">
        <v>1699</v>
      </c>
      <c r="B179" s="16" t="s">
        <v>1700</v>
      </c>
      <c r="C179" s="17" t="s">
        <v>40</v>
      </c>
      <c r="D179" s="71" t="s">
        <v>34</v>
      </c>
      <c r="E179" s="71" t="s">
        <v>70</v>
      </c>
      <c r="F179" s="18">
        <f>VLOOKUP(טבלה13[[#This Row],[זיהוי]],'[1]Unsaved_15008758 (1)'!$A:$D,4,FALSE)</f>
        <v>46234</v>
      </c>
      <c r="G179" s="18">
        <v>46226</v>
      </c>
      <c r="H179" s="71" t="s">
        <v>85</v>
      </c>
      <c r="I179" s="72" t="str">
        <f t="shared" si="2"/>
        <v>WBS: WBE-115
שם פרויקט: זמורות-הוספת שנאי רביעי 524 50 מגוו"א ומסדר מ"ג (מכולה)
מנה״פ: מזרחי, סולי
יעד תכנית פיתוח: 31/07/2026
יעד מסתמן: 23/07/2026</v>
      </c>
      <c r="J179" s="51" t="s">
        <v>1701</v>
      </c>
      <c r="K179" s="51" t="s">
        <v>1702</v>
      </c>
      <c r="L179" s="51" t="s">
        <v>1703</v>
      </c>
      <c r="M179" s="51" t="s">
        <v>1704</v>
      </c>
      <c r="N179" s="51" t="s">
        <v>1705</v>
      </c>
      <c r="O179" s="51" t="s">
        <v>1706</v>
      </c>
      <c r="P179" s="51" t="s">
        <v>1707</v>
      </c>
      <c r="Q179" s="51" t="s">
        <v>1708</v>
      </c>
      <c r="R179" s="60" t="s">
        <v>1709</v>
      </c>
      <c r="S179" s="60" t="s">
        <v>1710</v>
      </c>
      <c r="T179" s="60" t="s">
        <v>1711</v>
      </c>
      <c r="U179" s="60" t="s">
        <v>1712</v>
      </c>
      <c r="V179" s="60" t="s">
        <v>1713</v>
      </c>
      <c r="W179" s="60" t="s">
        <v>1713</v>
      </c>
      <c r="X179" s="195" t="s">
        <v>1713</v>
      </c>
      <c r="Y179" s="195" t="s">
        <v>2219</v>
      </c>
      <c r="Z179" s="51"/>
      <c r="AA179" s="74"/>
      <c r="AB179" s="47"/>
      <c r="AC179" s="72"/>
      <c r="AD179" s="62"/>
      <c r="AE179" s="62"/>
    </row>
    <row r="180" spans="1:31" s="130" customFormat="1" ht="120" x14ac:dyDescent="0.2">
      <c r="A180" s="15" t="s">
        <v>1714</v>
      </c>
      <c r="B180" s="16" t="s">
        <v>1715</v>
      </c>
      <c r="C180" s="17" t="s">
        <v>40</v>
      </c>
      <c r="D180" s="71" t="s">
        <v>34</v>
      </c>
      <c r="E180" s="71" t="s">
        <v>70</v>
      </c>
      <c r="F180" s="18">
        <f>VLOOKUP(טבלה13[[#This Row],[זיהוי]],'[1]Unsaved_15008758 (1)'!$A:$D,4,FALSE)</f>
        <v>46295</v>
      </c>
      <c r="G180" s="18" t="s">
        <v>1650</v>
      </c>
      <c r="H180" s="71" t="s">
        <v>23</v>
      </c>
      <c r="I180" s="72" t="str">
        <f t="shared" si="2"/>
        <v>WBS: WBE-172
שם פרויקט: דימונה-התקנת מת.אגירת אנרגיה בליתיום יון
מנה״פ: מזרחי, סולי
יעד תכנית פיתוח: 30/09/2026
יעד מסתמן: חושמל 30/10/2024</v>
      </c>
      <c r="J180" s="32" t="s">
        <v>1716</v>
      </c>
      <c r="K180" s="32" t="s">
        <v>1716</v>
      </c>
      <c r="L180" s="32" t="s">
        <v>1716</v>
      </c>
      <c r="M180" s="32" t="s">
        <v>1716</v>
      </c>
      <c r="N180" s="32" t="s">
        <v>1716</v>
      </c>
      <c r="O180" s="32" t="s">
        <v>1716</v>
      </c>
      <c r="P180" s="32" t="s">
        <v>1660</v>
      </c>
      <c r="Q180" s="32" t="s">
        <v>1660</v>
      </c>
      <c r="R180" s="168" t="s">
        <v>1660</v>
      </c>
      <c r="S180" s="168" t="s">
        <v>1717</v>
      </c>
      <c r="T180" s="168" t="s">
        <v>1717</v>
      </c>
      <c r="U180" s="168" t="s">
        <v>1718</v>
      </c>
      <c r="V180" s="168" t="s">
        <v>1718</v>
      </c>
      <c r="W180" s="168" t="s">
        <v>1719</v>
      </c>
      <c r="X180" s="216" t="s">
        <v>1720</v>
      </c>
      <c r="Y180" s="216" t="s">
        <v>1720</v>
      </c>
      <c r="Z180" s="51"/>
      <c r="AA180" s="74"/>
      <c r="AB180" s="47"/>
      <c r="AC180" s="72"/>
      <c r="AD180" s="62"/>
      <c r="AE180" s="62"/>
    </row>
    <row r="181" spans="1:31" s="130" customFormat="1" ht="210" x14ac:dyDescent="0.2">
      <c r="A181" s="15" t="s">
        <v>1721</v>
      </c>
      <c r="B181" s="16" t="s">
        <v>1722</v>
      </c>
      <c r="C181" s="17" t="s">
        <v>40</v>
      </c>
      <c r="D181" s="71" t="s">
        <v>34</v>
      </c>
      <c r="E181" s="71" t="s">
        <v>70</v>
      </c>
      <c r="F181" s="18">
        <f>VLOOKUP(טבלה13[[#This Row],[זיהוי]],'[1]Unsaved_15008758 (1)'!$A:$D,4,FALSE)</f>
        <v>46538</v>
      </c>
      <c r="G181" s="25">
        <v>46326</v>
      </c>
      <c r="H181" s="71" t="s">
        <v>21</v>
      </c>
      <c r="I181" s="72" t="str">
        <f t="shared" si="2"/>
        <v>WBS: WBE-185
שם פרויקט: גליל-התקנת 2 שנאים 50 מגוו"א 161/24 ק"ו
מנה״פ: מזרחי, סולי
יעד תכנית פיתוח: 31/05/2027
יעד מסתמן: 31/10/2026</v>
      </c>
      <c r="J181" s="21" t="s">
        <v>1723</v>
      </c>
      <c r="K181" s="21" t="s">
        <v>1724</v>
      </c>
      <c r="L181" s="21" t="s">
        <v>1725</v>
      </c>
      <c r="M181" s="51" t="s">
        <v>1726</v>
      </c>
      <c r="N181" s="51" t="s">
        <v>1727</v>
      </c>
      <c r="O181" s="51" t="s">
        <v>1728</v>
      </c>
      <c r="P181" s="51" t="s">
        <v>1729</v>
      </c>
      <c r="Q181" s="21" t="s">
        <v>1730</v>
      </c>
      <c r="R181" s="60" t="s">
        <v>1730</v>
      </c>
      <c r="S181" s="60" t="s">
        <v>1731</v>
      </c>
      <c r="T181" s="60" t="s">
        <v>1732</v>
      </c>
      <c r="U181" s="60" t="s">
        <v>1733</v>
      </c>
      <c r="V181" s="60" t="s">
        <v>1734</v>
      </c>
      <c r="W181" s="60" t="s">
        <v>1735</v>
      </c>
      <c r="X181" s="195" t="s">
        <v>1736</v>
      </c>
      <c r="Y181" s="195" t="s">
        <v>2220</v>
      </c>
      <c r="Z181" s="51"/>
      <c r="AA181" s="74"/>
      <c r="AB181" s="47"/>
      <c r="AC181" s="72"/>
      <c r="AD181" s="62"/>
      <c r="AE181" s="62" t="s">
        <v>146</v>
      </c>
    </row>
    <row r="182" spans="1:31" s="130" customFormat="1" ht="409.5" x14ac:dyDescent="0.2">
      <c r="A182" s="15" t="s">
        <v>1737</v>
      </c>
      <c r="B182" s="16" t="s">
        <v>1738</v>
      </c>
      <c r="C182" s="17" t="s">
        <v>33</v>
      </c>
      <c r="D182" s="71" t="s">
        <v>34</v>
      </c>
      <c r="E182" s="71" t="s">
        <v>70</v>
      </c>
      <c r="F182" s="18">
        <f>VLOOKUP(טבלה13[[#This Row],[זיהוי]],'[1]Unsaved_15008758 (1)'!$A:$D,4,FALSE)</f>
        <v>46537</v>
      </c>
      <c r="G182" s="140" t="s">
        <v>1739</v>
      </c>
      <c r="H182" s="71" t="s">
        <v>42</v>
      </c>
      <c r="I182" s="72" t="str">
        <f t="shared" si="2"/>
        <v xml:space="preserve">WBS: WBJ-002
שם פרויקט: גליל-הקמת תחמ"ג 400/161, 650*2 מגוו"א-רב שלבי
מנה״פ: מזרחי, סולי
יעד תכנית פיתוח: 30/05/2027
יעד מסתמן: 31/08/2026 מסדר 161 ק"ו
מסדר 400 ק"ו 28/02/2027 (מוכנות לחשמול  
(ומותנא בהמשך בדיקות מגזר הביצוע </v>
      </c>
      <c r="J182" s="129" t="s">
        <v>1740</v>
      </c>
      <c r="K182" s="129" t="s">
        <v>1741</v>
      </c>
      <c r="L182" s="129" t="s">
        <v>1742</v>
      </c>
      <c r="M182" s="129" t="s">
        <v>1743</v>
      </c>
      <c r="N182" s="75" t="s">
        <v>1744</v>
      </c>
      <c r="O182" s="75" t="s">
        <v>1745</v>
      </c>
      <c r="P182" s="75" t="s">
        <v>1746</v>
      </c>
      <c r="Q182" s="75" t="s">
        <v>1747</v>
      </c>
      <c r="R182" s="178" t="s">
        <v>1748</v>
      </c>
      <c r="S182" s="178" t="s">
        <v>1749</v>
      </c>
      <c r="T182" s="178" t="s">
        <v>1750</v>
      </c>
      <c r="U182" s="178" t="s">
        <v>1751</v>
      </c>
      <c r="V182" s="178" t="s">
        <v>1752</v>
      </c>
      <c r="W182" s="178" t="s">
        <v>1753</v>
      </c>
      <c r="X182" s="178" t="s">
        <v>1754</v>
      </c>
      <c r="Y182" s="178" t="s">
        <v>2303</v>
      </c>
      <c r="Z182" s="46"/>
      <c r="AA182" s="74"/>
      <c r="AB182" s="47"/>
      <c r="AC182" s="72"/>
      <c r="AD182" s="62"/>
      <c r="AE182" s="62" t="s">
        <v>209</v>
      </c>
    </row>
    <row r="183" spans="1:31" s="130" customFormat="1" ht="120" x14ac:dyDescent="0.2">
      <c r="A183" s="15" t="s">
        <v>1755</v>
      </c>
      <c r="B183" s="16" t="s">
        <v>1756</v>
      </c>
      <c r="C183" s="17" t="s">
        <v>40</v>
      </c>
      <c r="D183" s="71" t="s">
        <v>34</v>
      </c>
      <c r="E183" s="71" t="s">
        <v>70</v>
      </c>
      <c r="F183" s="18">
        <f>VLOOKUP(טבלה13[[#This Row],[זיהוי]],'[1]Unsaved_15008758 (1)'!$A:$D,4,FALSE)</f>
        <v>46295</v>
      </c>
      <c r="G183" s="18" t="s">
        <v>1650</v>
      </c>
      <c r="H183" s="71" t="s">
        <v>23</v>
      </c>
      <c r="I183" s="72" t="str">
        <f t="shared" si="2"/>
        <v>WBS: WBE-131
שם פרויקט: בשור - התקנת מתקן אגירת אנרגיה
מנה״פ: מזרחי, סולי
יעד תכנית פיתוח: 30/09/2026
יעד מסתמן: חושמל 30/10/2024</v>
      </c>
      <c r="J183" s="51" t="s">
        <v>1757</v>
      </c>
      <c r="K183" s="51" t="s">
        <v>1757</v>
      </c>
      <c r="L183" s="51" t="s">
        <v>1757</v>
      </c>
      <c r="M183" s="51" t="s">
        <v>1757</v>
      </c>
      <c r="N183" s="51" t="s">
        <v>1757</v>
      </c>
      <c r="O183" s="51" t="s">
        <v>1757</v>
      </c>
      <c r="P183" s="32" t="s">
        <v>1660</v>
      </c>
      <c r="Q183" s="32" t="s">
        <v>1660</v>
      </c>
      <c r="R183" s="168" t="s">
        <v>1660</v>
      </c>
      <c r="S183" s="168" t="s">
        <v>1717</v>
      </c>
      <c r="T183" s="168" t="s">
        <v>1717</v>
      </c>
      <c r="U183" s="168" t="s">
        <v>1758</v>
      </c>
      <c r="V183" s="168" t="s">
        <v>1758</v>
      </c>
      <c r="W183" s="168" t="s">
        <v>1758</v>
      </c>
      <c r="X183" s="216" t="s">
        <v>1758</v>
      </c>
      <c r="Y183" s="216" t="s">
        <v>1758</v>
      </c>
      <c r="Z183" s="51"/>
      <c r="AA183" s="108"/>
      <c r="AB183" s="109"/>
      <c r="AC183" s="72"/>
      <c r="AD183" s="62"/>
      <c r="AE183" s="62"/>
    </row>
    <row r="184" spans="1:31" s="130" customFormat="1" ht="180" x14ac:dyDescent="0.2">
      <c r="A184" s="15" t="s">
        <v>1759</v>
      </c>
      <c r="B184" s="16" t="s">
        <v>1760</v>
      </c>
      <c r="C184" s="17" t="s">
        <v>40</v>
      </c>
      <c r="D184" s="71" t="s">
        <v>65</v>
      </c>
      <c r="E184" s="71" t="s">
        <v>62</v>
      </c>
      <c r="F184" s="18">
        <f>VLOOKUP(טבלה13[[#This Row],[זיהוי]],'[1]Unsaved_15008758 (1)'!$A:$D,4,FALSE)</f>
        <v>46783</v>
      </c>
      <c r="G184" s="18" t="s">
        <v>1761</v>
      </c>
      <c r="H184" s="71"/>
      <c r="I184" s="72" t="str">
        <f>"WBS: " &amp; A184 &amp; CHAR(10) &amp;
"שם פרויקט: " &amp; B184 &amp; CHAR(10) &amp;
"מנה״פ: " &amp; D184 &amp; CHAR(10) &amp;
"יעד תכנית פיתוח: " &amp; TEXT(F184,"dd/mm/yyyy") &amp; CHAR(10) &amp;
"יעד מסתמן: " &amp; TEXT(G184,"dd/mm/yyyy")</f>
        <v>WBS: WBE-284
שם פרויקט: בשור-הקמת שדה שנאי 161 ק"ו  מותאם ליכולת 2500 אמפר
מנה״פ: אוריאל שטרית 
יעד תכנית פיתוח: 31/01/2028
יעד מסתמן: לא ניתן לקבוע עד להגשת תכנון מאושר</v>
      </c>
      <c r="J184" s="51" t="s">
        <v>1762</v>
      </c>
      <c r="K184" s="51" t="s">
        <v>1762</v>
      </c>
      <c r="L184" s="51" t="s">
        <v>1762</v>
      </c>
      <c r="M184" s="51" t="s">
        <v>1762</v>
      </c>
      <c r="N184" s="51" t="s">
        <v>1763</v>
      </c>
      <c r="O184" s="51" t="s">
        <v>1764</v>
      </c>
      <c r="P184" s="51" t="s">
        <v>1765</v>
      </c>
      <c r="Q184" s="51" t="s">
        <v>1765</v>
      </c>
      <c r="R184" s="76" t="s">
        <v>1765</v>
      </c>
      <c r="S184" s="76" t="s">
        <v>1765</v>
      </c>
      <c r="T184" s="76" t="s">
        <v>1766</v>
      </c>
      <c r="U184" s="76" t="s">
        <v>1766</v>
      </c>
      <c r="V184" s="76" t="s">
        <v>1767</v>
      </c>
      <c r="W184" s="76" t="s">
        <v>1768</v>
      </c>
      <c r="X184" s="198" t="s">
        <v>1769</v>
      </c>
      <c r="Y184" s="198" t="s">
        <v>2231</v>
      </c>
      <c r="Z184" s="51"/>
      <c r="AA184" s="73" t="s">
        <v>68</v>
      </c>
      <c r="AB184" s="47"/>
      <c r="AC184" s="72"/>
      <c r="AD184" s="62"/>
      <c r="AE184" s="62"/>
    </row>
    <row r="185" spans="1:31" s="130" customFormat="1" ht="164.45" customHeight="1" x14ac:dyDescent="0.2">
      <c r="A185" s="15" t="s">
        <v>1770</v>
      </c>
      <c r="B185" s="16" t="s">
        <v>1771</v>
      </c>
      <c r="C185" s="17" t="s">
        <v>40</v>
      </c>
      <c r="D185" s="71" t="s">
        <v>65</v>
      </c>
      <c r="E185" s="71" t="s">
        <v>62</v>
      </c>
      <c r="F185" s="18">
        <f>VLOOKUP(טבלה13[[#This Row],[זיהוי]],'[1]Unsaved_15008758 (1)'!$A:$D,4,FALSE)</f>
        <v>46265</v>
      </c>
      <c r="G185" s="18" t="s">
        <v>1772</v>
      </c>
      <c r="H185" s="71" t="s">
        <v>21</v>
      </c>
      <c r="I185" s="72" t="str">
        <f>"WBS: " &amp; A185 &amp; CHAR(10) &amp;
"שם פרויקט: " &amp; B185 &amp; CHAR(10) &amp;
"מנה״פ: " &amp; D185 &amp; CHAR(10) &amp;
"יעד תכנית פיתוח: " &amp; TEXT(F185,"dd/mm/yyyy") &amp; CHAR(10) &amp;
"יעד מסתמן: " &amp; TEXT(G185,"dd/mm/yyyy")</f>
        <v>WBS: WBE-119
שם פרויקט: בשור- התקנת שנאי  50 מגוו"א ומאצרת שמן לשנאי
מנה״פ: אוריאל שטרית 
יעד תכנית פיתוח: 31/08/2026
יעד מסתמן:  09/08/26</v>
      </c>
      <c r="J185" s="51" t="s">
        <v>1773</v>
      </c>
      <c r="K185" s="51" t="s">
        <v>1774</v>
      </c>
      <c r="L185" s="51" t="s">
        <v>1775</v>
      </c>
      <c r="M185" s="51" t="s">
        <v>1776</v>
      </c>
      <c r="N185" s="51" t="s">
        <v>1777</v>
      </c>
      <c r="O185" s="51" t="s">
        <v>1778</v>
      </c>
      <c r="P185" s="51" t="s">
        <v>1779</v>
      </c>
      <c r="Q185" s="51" t="s">
        <v>1780</v>
      </c>
      <c r="R185" s="76" t="s">
        <v>1781</v>
      </c>
      <c r="S185" s="76" t="s">
        <v>1782</v>
      </c>
      <c r="T185" s="76" t="s">
        <v>1782</v>
      </c>
      <c r="U185" s="76" t="s">
        <v>1782</v>
      </c>
      <c r="V185" s="76" t="s">
        <v>1783</v>
      </c>
      <c r="W185" s="76" t="s">
        <v>1784</v>
      </c>
      <c r="X185" s="198" t="s">
        <v>1784</v>
      </c>
      <c r="Y185" s="76" t="s">
        <v>2234</v>
      </c>
      <c r="Z185" s="51"/>
      <c r="AA185" s="78"/>
      <c r="AB185" s="79"/>
      <c r="AC185" s="72"/>
      <c r="AD185" s="62" t="s">
        <v>32</v>
      </c>
      <c r="AE185" s="62" t="s">
        <v>146</v>
      </c>
    </row>
    <row r="186" spans="1:31" s="130" customFormat="1" ht="240" x14ac:dyDescent="0.2">
      <c r="A186" s="15" t="s">
        <v>1785</v>
      </c>
      <c r="B186" s="16" t="s">
        <v>1786</v>
      </c>
      <c r="C186" s="17" t="s">
        <v>473</v>
      </c>
      <c r="D186" s="71" t="s">
        <v>65</v>
      </c>
      <c r="E186" s="71" t="s">
        <v>62</v>
      </c>
      <c r="F186" s="18">
        <f>VLOOKUP(טבלה13[[#This Row],[זיהוי]],'[1]Unsaved_15008758 (1)'!$A:$D,4,FALSE)</f>
        <v>46203</v>
      </c>
      <c r="G186" s="18">
        <v>46295</v>
      </c>
      <c r="H186" s="71" t="s">
        <v>46</v>
      </c>
      <c r="I186" s="72" t="str">
        <f>"WBS: " &amp; A186 &amp; CHAR(10) &amp;
"שם פרויקט: " &amp; B186 &amp; CHAR(10) &amp;
"מנה״פ: " &amp; D186 &amp; CHAR(10) &amp;
"יעד תכנית פיתוח: " &amp; TEXT(F186,"dd/mm/yyyy") &amp; CHAR(10) &amp;
"יעד מסתמן: " &amp; TEXT(G186,"dd/mm/yyyy")</f>
        <v>WBS: WBM-40609
שם פרויקט: בשור- הקמת בניין פקוד, התקנת 3 מסדרי מ''ג והעתקת היציאות למסדרים החדשים ומאצרת שמן לשנאי
מנה״פ: אוריאל שטרית 
יעד תכנית פיתוח: 30/06/2026
יעד מסתמן: 30/09/2026</v>
      </c>
      <c r="J186" s="23" t="s">
        <v>1787</v>
      </c>
      <c r="K186" s="23" t="s">
        <v>1788</v>
      </c>
      <c r="L186" s="23" t="s">
        <v>1789</v>
      </c>
      <c r="M186" s="31" t="s">
        <v>1789</v>
      </c>
      <c r="N186" s="31" t="s">
        <v>1789</v>
      </c>
      <c r="O186" s="31" t="s">
        <v>1790</v>
      </c>
      <c r="P186" s="31" t="s">
        <v>1791</v>
      </c>
      <c r="Q186" s="31" t="s">
        <v>1792</v>
      </c>
      <c r="R186" s="157" t="s">
        <v>1792</v>
      </c>
      <c r="S186" s="157" t="s">
        <v>1793</v>
      </c>
      <c r="T186" s="157" t="s">
        <v>1793</v>
      </c>
      <c r="U186" s="157" t="s">
        <v>1793</v>
      </c>
      <c r="V186" s="157" t="s">
        <v>1793</v>
      </c>
      <c r="W186" s="157" t="s">
        <v>1793</v>
      </c>
      <c r="X186" s="199" t="s">
        <v>1793</v>
      </c>
      <c r="Y186" s="157" t="s">
        <v>2235</v>
      </c>
      <c r="Z186" s="51"/>
      <c r="AA186" s="78"/>
      <c r="AB186" s="79"/>
      <c r="AC186" s="72"/>
      <c r="AD186" s="62"/>
      <c r="AE186" s="62"/>
    </row>
    <row r="187" spans="1:31" s="130" customFormat="1" ht="270" x14ac:dyDescent="0.2">
      <c r="A187" s="15" t="s">
        <v>15</v>
      </c>
      <c r="B187" s="16" t="s">
        <v>1794</v>
      </c>
      <c r="C187" s="17" t="s">
        <v>40</v>
      </c>
      <c r="D187" s="71" t="s">
        <v>65</v>
      </c>
      <c r="E187" s="71" t="s">
        <v>62</v>
      </c>
      <c r="F187" s="18">
        <f>VLOOKUP(טבלה13[[#This Row],[זיהוי]],'[1]Unsaved_15008758 (1)'!$A:$D,4,FALSE)</f>
        <v>46691</v>
      </c>
      <c r="G187" s="18" t="s">
        <v>1795</v>
      </c>
      <c r="H187" s="71" t="s">
        <v>46</v>
      </c>
      <c r="I187" s="72" t="str">
        <f t="shared" si="2"/>
        <v>WBS: WBE-239
שם פרויקט: בשור-הקמת 2 שדות קו 161חדשים והתא' שד' קו והקמת 2 שד' קו161ק"ו חדשים לניר יצחק
מנה״פ: אוריאל שטרית 
יעד תכנית פיתוח: 31/10/2027
יעד מסתמן: שני שדות - 30/12/2026 , שני שדות 30/09/2027</v>
      </c>
      <c r="J187" s="21" t="s">
        <v>1796</v>
      </c>
      <c r="K187" s="21" t="s">
        <v>1797</v>
      </c>
      <c r="L187" s="21" t="s">
        <v>1797</v>
      </c>
      <c r="M187" s="51" t="s">
        <v>1798</v>
      </c>
      <c r="N187" s="51" t="s">
        <v>1799</v>
      </c>
      <c r="O187" s="51" t="s">
        <v>1800</v>
      </c>
      <c r="P187" s="51" t="s">
        <v>1801</v>
      </c>
      <c r="Q187" s="21" t="s">
        <v>1802</v>
      </c>
      <c r="R187" s="76" t="s">
        <v>1803</v>
      </c>
      <c r="S187" s="76" t="s">
        <v>1803</v>
      </c>
      <c r="T187" s="76" t="s">
        <v>1804</v>
      </c>
      <c r="U187" s="76" t="s">
        <v>1804</v>
      </c>
      <c r="V187" s="76" t="s">
        <v>1805</v>
      </c>
      <c r="W187" s="76" t="s">
        <v>1806</v>
      </c>
      <c r="X187" s="198" t="s">
        <v>1807</v>
      </c>
      <c r="Y187" s="198" t="s">
        <v>2236</v>
      </c>
      <c r="Z187" s="51"/>
      <c r="AA187" s="74" t="s">
        <v>81</v>
      </c>
      <c r="AB187" s="47"/>
      <c r="AC187" s="72"/>
      <c r="AD187" s="62"/>
      <c r="AE187" s="62"/>
    </row>
    <row r="188" spans="1:31" s="130" customFormat="1" ht="120" x14ac:dyDescent="0.2">
      <c r="A188" s="15" t="s">
        <v>1808</v>
      </c>
      <c r="B188" s="16" t="s">
        <v>1809</v>
      </c>
      <c r="C188" s="17" t="s">
        <v>40</v>
      </c>
      <c r="D188" s="71" t="s">
        <v>34</v>
      </c>
      <c r="E188" s="71" t="s">
        <v>70</v>
      </c>
      <c r="F188" s="18">
        <f>VLOOKUP(טבלה13[[#This Row],[זיהוי]],'[1]Unsaved_15008758 (1)'!$A:$D,4,FALSE)</f>
        <v>46295</v>
      </c>
      <c r="G188" s="18" t="s">
        <v>1650</v>
      </c>
      <c r="H188" s="71" t="s">
        <v>23</v>
      </c>
      <c r="I188" s="72" t="str">
        <f t="shared" ref="I188:I234" si="3">"WBS: " &amp; A188 &amp; CHAR(10) &amp;
"שם פרויקט: " &amp; B188 &amp; CHAR(10) &amp;
"מנה״פ: " &amp; D188 &amp; CHAR(10) &amp;
"יעד תכנית פיתוח: " &amp; TEXT(F188,"dd/mm/yyyy") &amp; CHAR(10) &amp;
"יעד מסתמן: " &amp; TEXT(G188,"dd/mm/yyyy")</f>
        <v>WBS: WBE-129
שם פרויקט: אילת- התקנת מתקן אגירת אנרגיה + פירוק
מנה״פ: מזרחי, סולי
יעד תכנית פיתוח: 30/09/2026
יעד מסתמן: חושמל 30/10/2024</v>
      </c>
      <c r="J188" s="32" t="s">
        <v>1810</v>
      </c>
      <c r="K188" s="32" t="s">
        <v>1810</v>
      </c>
      <c r="L188" s="32" t="s">
        <v>1810</v>
      </c>
      <c r="M188" s="32" t="s">
        <v>1810</v>
      </c>
      <c r="N188" s="32" t="s">
        <v>1810</v>
      </c>
      <c r="O188" s="32" t="s">
        <v>1810</v>
      </c>
      <c r="P188" s="32" t="s">
        <v>1660</v>
      </c>
      <c r="Q188" s="32" t="s">
        <v>1660</v>
      </c>
      <c r="R188" s="168" t="s">
        <v>1660</v>
      </c>
      <c r="S188" s="168" t="s">
        <v>1717</v>
      </c>
      <c r="T188" s="168" t="s">
        <v>1717</v>
      </c>
      <c r="U188" s="168" t="s">
        <v>1758</v>
      </c>
      <c r="V188" s="168" t="s">
        <v>1758</v>
      </c>
      <c r="W188" s="168" t="s">
        <v>1811</v>
      </c>
      <c r="X188" s="216" t="s">
        <v>1812</v>
      </c>
      <c r="Y188" s="216" t="s">
        <v>1812</v>
      </c>
      <c r="Z188" s="51"/>
      <c r="AA188" s="74"/>
      <c r="AB188" s="47"/>
      <c r="AC188" s="72"/>
      <c r="AD188" s="62"/>
      <c r="AE188" s="62"/>
    </row>
    <row r="189" spans="1:31" s="130" customFormat="1" ht="120" x14ac:dyDescent="0.2">
      <c r="A189" s="15" t="s">
        <v>1813</v>
      </c>
      <c r="B189" s="16" t="s">
        <v>1814</v>
      </c>
      <c r="C189" s="17" t="s">
        <v>40</v>
      </c>
      <c r="D189" s="71" t="s">
        <v>34</v>
      </c>
      <c r="E189" s="71" t="s">
        <v>70</v>
      </c>
      <c r="F189" s="18">
        <f>VLOOKUP(טבלה13[[#This Row],[זיהוי]],'[1]Unsaved_15008758 (1)'!$A:$D,4,FALSE)</f>
        <v>46387</v>
      </c>
      <c r="G189" s="18">
        <v>46124</v>
      </c>
      <c r="H189" s="71" t="s">
        <v>85</v>
      </c>
      <c r="I189" s="72" t="str">
        <f t="shared" si="3"/>
        <v>WBS: WBE-244
שם פרויקט: אופקים - עע"א - התקנת שנאי 45 מו"א לרכבת
מנה״פ: מזרחי, סולי
יעד תכנית פיתוח: 31/12/2026
יעד מסתמן: 12/04/2026</v>
      </c>
      <c r="J189" s="21" t="s">
        <v>1815</v>
      </c>
      <c r="K189" s="21" t="s">
        <v>1815</v>
      </c>
      <c r="L189" s="21" t="s">
        <v>1815</v>
      </c>
      <c r="M189" s="51" t="s">
        <v>1815</v>
      </c>
      <c r="N189" s="51" t="s">
        <v>1815</v>
      </c>
      <c r="O189" s="51" t="s">
        <v>1816</v>
      </c>
      <c r="P189" s="51" t="s">
        <v>1816</v>
      </c>
      <c r="Q189" s="51" t="s">
        <v>1816</v>
      </c>
      <c r="R189" s="76" t="s">
        <v>1816</v>
      </c>
      <c r="S189" s="76" t="s">
        <v>1816</v>
      </c>
      <c r="T189" s="76" t="s">
        <v>1816</v>
      </c>
      <c r="U189" s="76" t="s">
        <v>1816</v>
      </c>
      <c r="V189" s="76" t="s">
        <v>1816</v>
      </c>
      <c r="W189" s="76" t="s">
        <v>1816</v>
      </c>
      <c r="X189" s="198" t="s">
        <v>1816</v>
      </c>
      <c r="Y189" s="198" t="s">
        <v>1816</v>
      </c>
      <c r="Z189" s="51"/>
      <c r="AA189" s="74"/>
      <c r="AB189" s="47"/>
      <c r="AC189" s="72"/>
      <c r="AD189" s="62"/>
      <c r="AE189" s="62"/>
    </row>
    <row r="190" spans="1:31" s="130" customFormat="1" ht="409.6" customHeight="1" x14ac:dyDescent="0.2">
      <c r="A190" s="15" t="s">
        <v>37</v>
      </c>
      <c r="B190" s="16" t="s">
        <v>1817</v>
      </c>
      <c r="C190" s="17" t="s">
        <v>33</v>
      </c>
      <c r="D190" s="71" t="s">
        <v>34</v>
      </c>
      <c r="E190" s="71" t="s">
        <v>70</v>
      </c>
      <c r="F190" s="18">
        <f>VLOOKUP(טבלה13[[#This Row],[זיהוי]],'[1]Unsaved_15008758 (1)'!$A:$D,4,FALSE)</f>
        <v>46233</v>
      </c>
      <c r="G190" s="18" t="s">
        <v>1818</v>
      </c>
      <c r="H190" s="71" t="s">
        <v>42</v>
      </c>
      <c r="I190" s="72" t="str">
        <f t="shared" si="3"/>
        <v xml:space="preserve">WBS: WBC-024
שם פרויקט: אוניברסיטת תל אביב-הקמת תחמ"ש פנימית 161
מנה״פ: מזרחי, סולי
יעד תכנית פיתוח: 30/07/2026
יעד מסתמן:  30/9/2026 
</v>
      </c>
      <c r="J190" s="110" t="s">
        <v>1819</v>
      </c>
      <c r="K190" s="110" t="s">
        <v>1820</v>
      </c>
      <c r="L190" s="110" t="s">
        <v>1821</v>
      </c>
      <c r="M190" s="110" t="s">
        <v>1822</v>
      </c>
      <c r="N190" s="110" t="s">
        <v>1823</v>
      </c>
      <c r="O190" s="110" t="s">
        <v>1824</v>
      </c>
      <c r="P190" s="110" t="s">
        <v>1825</v>
      </c>
      <c r="Q190" s="110" t="s">
        <v>1826</v>
      </c>
      <c r="R190" s="174" t="s">
        <v>1827</v>
      </c>
      <c r="S190" s="174" t="s">
        <v>1828</v>
      </c>
      <c r="T190" s="174" t="s">
        <v>1829</v>
      </c>
      <c r="U190" s="174" t="s">
        <v>1830</v>
      </c>
      <c r="V190" s="174" t="s">
        <v>1831</v>
      </c>
      <c r="W190" s="174" t="s">
        <v>1832</v>
      </c>
      <c r="X190" s="217" t="s">
        <v>1832</v>
      </c>
      <c r="Y190" s="211" t="s">
        <v>2300</v>
      </c>
      <c r="Z190" s="51"/>
      <c r="AA190" s="43"/>
      <c r="AB190" s="111"/>
      <c r="AC190" s="72"/>
      <c r="AD190" s="62"/>
      <c r="AE190" s="62" t="s">
        <v>209</v>
      </c>
    </row>
    <row r="191" spans="1:31" s="130" customFormat="1" ht="173.25" x14ac:dyDescent="0.2">
      <c r="A191" s="94" t="s">
        <v>1833</v>
      </c>
      <c r="B191" s="16" t="s">
        <v>1834</v>
      </c>
      <c r="C191" s="17" t="s">
        <v>33</v>
      </c>
      <c r="D191" s="71" t="s">
        <v>34</v>
      </c>
      <c r="E191" s="71" t="s">
        <v>70</v>
      </c>
      <c r="F191" s="18">
        <f>VLOOKUP(טבלה13[[#This Row],[זיהוי]],'[1]Unsaved_15008758 (1)'!$A:$D,4,FALSE)</f>
        <v>49247</v>
      </c>
      <c r="G191" s="18">
        <v>47818</v>
      </c>
      <c r="H191" s="71" t="s">
        <v>19</v>
      </c>
      <c r="I191" s="72" t="str">
        <f>"WBS: " &amp; A191 &amp; CHAR(10) &amp;
"שם פרויקט: " &amp; B191 &amp; CHAR(10) &amp;
"מנה״פ: " &amp; D191 &amp; CHAR(10) &amp;
"יעד תכנית פיתוח: " &amp; TEXT(F191,"dd/mm/yyyy") &amp; CHAR(10) &amp;
"יעד מסתמן: " &amp; TEXT(G191,"dd/mm/yyyy")</f>
        <v>WBS: WBC-082
שם פרויקט: תחמ"ש נווה ימין 
(כפר סבא)
מנה״פ: מזרחי, סולי
יעד תכנית פיתוח: 30/10/2034
יעד מסתמן: 01/12/2030</v>
      </c>
      <c r="J191" s="112" t="s">
        <v>1835</v>
      </c>
      <c r="K191" s="112" t="s">
        <v>1836</v>
      </c>
      <c r="L191" s="112" t="s">
        <v>1836</v>
      </c>
      <c r="M191" s="112" t="s">
        <v>1836</v>
      </c>
      <c r="N191" s="112" t="s">
        <v>1837</v>
      </c>
      <c r="O191" s="112" t="s">
        <v>1838</v>
      </c>
      <c r="P191" s="112" t="s">
        <v>1839</v>
      </c>
      <c r="Q191" s="112" t="s">
        <v>1839</v>
      </c>
      <c r="R191" s="175" t="s">
        <v>1840</v>
      </c>
      <c r="S191" s="175" t="s">
        <v>1841</v>
      </c>
      <c r="T191" s="175" t="s">
        <v>1842</v>
      </c>
      <c r="U191" s="175" t="s">
        <v>1843</v>
      </c>
      <c r="V191" s="175" t="s">
        <v>1844</v>
      </c>
      <c r="W191" s="175" t="s">
        <v>1845</v>
      </c>
      <c r="X191" s="218" t="s">
        <v>1846</v>
      </c>
      <c r="Y191" s="218" t="s">
        <v>1846</v>
      </c>
      <c r="Z191" s="51"/>
      <c r="AA191" s="46"/>
      <c r="AB191" s="79"/>
      <c r="AC191" s="72"/>
      <c r="AD191" s="62"/>
      <c r="AE191" s="62"/>
    </row>
    <row r="192" spans="1:31" s="130" customFormat="1" ht="135" x14ac:dyDescent="0.2">
      <c r="A192" s="135" t="s">
        <v>1847</v>
      </c>
      <c r="B192" s="134" t="s">
        <v>1848</v>
      </c>
      <c r="C192" s="17" t="s">
        <v>40</v>
      </c>
      <c r="D192" s="71" t="s">
        <v>93</v>
      </c>
      <c r="E192" s="71" t="s">
        <v>56</v>
      </c>
      <c r="F192" s="18">
        <f>VLOOKUP(טבלה13[[#This Row],[זיהוי]],'[1]Unsaved_15008758 (1)'!$A:$D,4,FALSE)</f>
        <v>47118</v>
      </c>
      <c r="G192" s="25">
        <v>46996</v>
      </c>
      <c r="H192" s="71" t="s">
        <v>20</v>
      </c>
      <c r="I192" s="72" t="str">
        <f>"WBS: " &amp; A192 &amp; CHAR(10) &amp;
"שם פרויקט: " &amp; B192 &amp; CHAR(10) &amp;
"מנה״פ: " &amp; D192 &amp; CHAR(10) &amp;
"יעד תכנית פיתוח: " &amp; TEXT(F192,"dd/mm/yyyy") &amp; CHAR(10) &amp;
"יעד מסתמן: " &amp; TEXT(G192,"dd/mm/yyyy")</f>
        <v>WBS: WBE-183
שם פרויקט: ת"א מרכז-התקנת שנאי רביעי 161/13.8/13.8 ק"ו 56 מגוו"א
מנה״פ: פוטרמן, שרון 
יעד תכנית פיתוח: 31/12/2028
יעד מסתמן: 31/08/2028</v>
      </c>
      <c r="J192" s="31"/>
      <c r="K192" s="31"/>
      <c r="L192" s="31" t="s">
        <v>1849</v>
      </c>
      <c r="M192" s="31" t="s">
        <v>1849</v>
      </c>
      <c r="N192" s="31" t="s">
        <v>1849</v>
      </c>
      <c r="O192" s="31" t="s">
        <v>1849</v>
      </c>
      <c r="P192" s="31" t="s">
        <v>1849</v>
      </c>
      <c r="Q192" s="31" t="s">
        <v>1849</v>
      </c>
      <c r="R192" s="157" t="s">
        <v>1849</v>
      </c>
      <c r="S192" s="157" t="s">
        <v>1849</v>
      </c>
      <c r="T192" s="157" t="s">
        <v>1849</v>
      </c>
      <c r="U192" s="157" t="s">
        <v>1849</v>
      </c>
      <c r="V192" s="157" t="s">
        <v>1849</v>
      </c>
      <c r="W192" s="157" t="s">
        <v>1849</v>
      </c>
      <c r="X192" s="199" t="s">
        <v>1849</v>
      </c>
      <c r="Y192" s="199" t="s">
        <v>1849</v>
      </c>
      <c r="Z192" s="51"/>
      <c r="AA192" s="46"/>
      <c r="AB192" s="79"/>
      <c r="AC192" s="72"/>
      <c r="AD192" s="62"/>
      <c r="AE192" s="62"/>
    </row>
    <row r="193" spans="1:31" s="130" customFormat="1" ht="105" x14ac:dyDescent="0.2">
      <c r="A193" s="135" t="s">
        <v>1850</v>
      </c>
      <c r="B193" s="134" t="s">
        <v>1851</v>
      </c>
      <c r="C193" s="17" t="s">
        <v>40</v>
      </c>
      <c r="D193" s="71" t="s">
        <v>1852</v>
      </c>
      <c r="E193" s="71" t="s">
        <v>1852</v>
      </c>
      <c r="F193" s="18">
        <f>VLOOKUP(טבלה13[[#This Row],[זיהוי]],'[1]Unsaved_15008758 (1)'!$A:$D,4,FALSE)</f>
        <v>46843</v>
      </c>
      <c r="G193" s="25"/>
      <c r="H193" s="71" t="s">
        <v>57</v>
      </c>
      <c r="I193" s="72" t="str">
        <f>"WBS: " &amp; A193 &amp; CHAR(10) &amp;
"שם פרויקט: " &amp; B193 &amp; CHAR(10) &amp;
"מנה״פ: " &amp; D193 &amp; CHAR(10) &amp;
"יעד תכנית פיתוח: " &amp; TEXT(F193,"dd/mm/yyyy") &amp; CHAR(10) &amp;
"יעד מסתמן: " &amp; TEXT(G193,"dd/mm/yyyy")</f>
        <v>WBS: WBE-302
שם פרויקט: מודיעין-הקמת שני שדות 1 ו-13
מנה״פ: טרם הוקצאה
יעד תכנית פיתוח: 31/03/2028
יעד מסתמן: 00/01/1900</v>
      </c>
      <c r="J193" s="31"/>
      <c r="K193" s="31"/>
      <c r="L193" s="31" t="s">
        <v>1853</v>
      </c>
      <c r="M193" s="31" t="s">
        <v>1853</v>
      </c>
      <c r="N193" s="31" t="s">
        <v>1853</v>
      </c>
      <c r="O193" s="31" t="s">
        <v>1853</v>
      </c>
      <c r="P193" s="71" t="s">
        <v>57</v>
      </c>
      <c r="Q193" s="71" t="s">
        <v>57</v>
      </c>
      <c r="R193" s="176" t="s">
        <v>57</v>
      </c>
      <c r="S193" s="176" t="s">
        <v>57</v>
      </c>
      <c r="T193" s="176" t="s">
        <v>57</v>
      </c>
      <c r="U193" s="176" t="s">
        <v>57</v>
      </c>
      <c r="V193" s="176" t="s">
        <v>57</v>
      </c>
      <c r="W193" s="176" t="s">
        <v>57</v>
      </c>
      <c r="X193" s="219" t="s">
        <v>57</v>
      </c>
      <c r="Y193" s="219" t="s">
        <v>57</v>
      </c>
      <c r="Z193" s="51"/>
      <c r="AA193" s="46"/>
      <c r="AB193" s="79"/>
      <c r="AC193" s="72"/>
      <c r="AD193" s="62"/>
      <c r="AE193" s="62"/>
    </row>
    <row r="194" spans="1:31" s="130" customFormat="1" ht="256.7" customHeight="1" x14ac:dyDescent="0.2">
      <c r="A194" s="15" t="s">
        <v>1854</v>
      </c>
      <c r="B194" s="16" t="s">
        <v>1855</v>
      </c>
      <c r="C194" s="17" t="s">
        <v>40</v>
      </c>
      <c r="D194" s="71" t="s">
        <v>93</v>
      </c>
      <c r="E194" s="71" t="s">
        <v>56</v>
      </c>
      <c r="F194" s="18">
        <f>VLOOKUP(טבלה13[[#This Row],[זיהוי]],'[1]Unsaved_15008758 (1)'!$A:$D,4,FALSE)</f>
        <v>46477</v>
      </c>
      <c r="G194" s="25">
        <v>46415</v>
      </c>
      <c r="H194" s="71" t="s">
        <v>46</v>
      </c>
      <c r="I194" s="72" t="str">
        <f t="shared" si="3"/>
        <v>WBS: WBE-281
שם פרויקט: מודיעין – התקנת שנאי שישי (525) 50 מגוו"א.
מנה״פ: פוטרמן, שרון 
יעד תכנית פיתוח: 31/03/2027
יעד מסתמן: 28/01/2027</v>
      </c>
      <c r="J194" s="51" t="s">
        <v>1856</v>
      </c>
      <c r="K194" s="51" t="s">
        <v>1857</v>
      </c>
      <c r="L194" s="51" t="s">
        <v>1857</v>
      </c>
      <c r="M194" s="51" t="s">
        <v>1857</v>
      </c>
      <c r="N194" s="51" t="s">
        <v>1858</v>
      </c>
      <c r="O194" s="51" t="s">
        <v>1858</v>
      </c>
      <c r="P194" s="51" t="s">
        <v>1858</v>
      </c>
      <c r="Q194" s="51" t="s">
        <v>1859</v>
      </c>
      <c r="R194" s="76" t="s">
        <v>1860</v>
      </c>
      <c r="S194" s="76" t="s">
        <v>1860</v>
      </c>
      <c r="T194" s="76" t="s">
        <v>1860</v>
      </c>
      <c r="U194" s="76" t="s">
        <v>1861</v>
      </c>
      <c r="V194" s="76" t="s">
        <v>1862</v>
      </c>
      <c r="W194" s="76" t="s">
        <v>1862</v>
      </c>
      <c r="X194" s="198" t="s">
        <v>2214</v>
      </c>
      <c r="Y194" s="198" t="s">
        <v>2214</v>
      </c>
      <c r="Z194" s="51"/>
      <c r="AA194" s="74" t="s">
        <v>47</v>
      </c>
      <c r="AB194" s="96"/>
      <c r="AC194" s="72"/>
      <c r="AD194" s="62"/>
      <c r="AE194" s="62" t="s">
        <v>146</v>
      </c>
    </row>
    <row r="195" spans="1:31" s="130" customFormat="1" ht="226.7" customHeight="1" x14ac:dyDescent="0.2">
      <c r="A195" s="15" t="s">
        <v>1863</v>
      </c>
      <c r="B195" s="16" t="s">
        <v>1864</v>
      </c>
      <c r="C195" s="17" t="s">
        <v>40</v>
      </c>
      <c r="D195" s="71" t="s">
        <v>93</v>
      </c>
      <c r="E195" s="71" t="s">
        <v>56</v>
      </c>
      <c r="F195" s="18">
        <f>VLOOKUP(טבלה13[[#This Row],[זיהוי]],'[1]Unsaved_15008758 (1)'!$A:$D,4,FALSE)</f>
        <v>46538</v>
      </c>
      <c r="G195" s="25">
        <v>46568</v>
      </c>
      <c r="H195" s="71" t="s">
        <v>63</v>
      </c>
      <c r="I195" s="72" t="str">
        <f t="shared" si="3"/>
        <v>WBS: WBE-198
שם פרויקט: לוד-הוספת שנאי שישי  (525) 161/24 ק"ו 50 מגוו"א
מנה״פ: פוטרמן, שרון 
יעד תכנית פיתוח: 31/05/2027
יעד מסתמן: 30/06/2027</v>
      </c>
      <c r="J195" s="91" t="s">
        <v>1865</v>
      </c>
      <c r="K195" s="91" t="s">
        <v>1865</v>
      </c>
      <c r="L195" s="91" t="s">
        <v>1865</v>
      </c>
      <c r="M195" s="91" t="s">
        <v>1865</v>
      </c>
      <c r="N195" s="91" t="s">
        <v>1865</v>
      </c>
      <c r="O195" s="91" t="s">
        <v>1866</v>
      </c>
      <c r="P195" s="91" t="s">
        <v>1867</v>
      </c>
      <c r="Q195" s="91" t="s">
        <v>1867</v>
      </c>
      <c r="R195" s="91" t="s">
        <v>1867</v>
      </c>
      <c r="S195" s="91" t="s">
        <v>1867</v>
      </c>
      <c r="T195" s="91" t="s">
        <v>1868</v>
      </c>
      <c r="U195" s="91" t="s">
        <v>1868</v>
      </c>
      <c r="V195" s="91" t="s">
        <v>1869</v>
      </c>
      <c r="W195" s="91" t="s">
        <v>1869</v>
      </c>
      <c r="X195" s="207" t="s">
        <v>1870</v>
      </c>
      <c r="Y195" s="207" t="s">
        <v>2215</v>
      </c>
      <c r="Z195" s="91" t="s">
        <v>1871</v>
      </c>
      <c r="AA195" s="43" t="s">
        <v>81</v>
      </c>
      <c r="AB195" s="96"/>
      <c r="AC195" s="72"/>
      <c r="AD195" s="62"/>
      <c r="AE195" s="62" t="s">
        <v>146</v>
      </c>
    </row>
    <row r="196" spans="1:31" s="130" customFormat="1" ht="120" x14ac:dyDescent="0.2">
      <c r="A196" s="15" t="s">
        <v>1872</v>
      </c>
      <c r="B196" s="16" t="s">
        <v>1873</v>
      </c>
      <c r="C196" s="17" t="s">
        <v>40</v>
      </c>
      <c r="D196" s="71" t="s">
        <v>93</v>
      </c>
      <c r="E196" s="71" t="s">
        <v>56</v>
      </c>
      <c r="F196" s="18">
        <f>VLOOKUP(טבלה13[[#This Row],[זיהוי]],'[1]Unsaved_15008758 (1)'!$A:$D,4,FALSE)</f>
        <v>46507</v>
      </c>
      <c r="G196" s="25">
        <v>46568</v>
      </c>
      <c r="H196" s="71" t="s">
        <v>67</v>
      </c>
      <c r="I196" s="72" t="str">
        <f t="shared" si="3"/>
        <v>WBS: WBE-216
שם פרויקט: כנות-התקנת שנאי שלישי 161/24 ק"ו 50 מו"א
מנה״פ: פוטרמן, שרון 
יעד תכנית פיתוח: 30/04/2027
יעד מסתמן: 30/06/2027</v>
      </c>
      <c r="J196" s="91" t="s">
        <v>1874</v>
      </c>
      <c r="K196" s="91" t="s">
        <v>1874</v>
      </c>
      <c r="L196" s="91" t="s">
        <v>1875</v>
      </c>
      <c r="M196" s="91" t="s">
        <v>1875</v>
      </c>
      <c r="N196" s="91" t="s">
        <v>1875</v>
      </c>
      <c r="O196" s="91" t="s">
        <v>1875</v>
      </c>
      <c r="P196" s="91" t="s">
        <v>1875</v>
      </c>
      <c r="Q196" s="91" t="s">
        <v>1876</v>
      </c>
      <c r="R196" s="91" t="s">
        <v>1877</v>
      </c>
      <c r="S196" s="91" t="s">
        <v>1878</v>
      </c>
      <c r="T196" s="91" t="s">
        <v>1879</v>
      </c>
      <c r="U196" s="91" t="s">
        <v>1879</v>
      </c>
      <c r="V196" s="91" t="s">
        <v>1880</v>
      </c>
      <c r="W196" s="91" t="s">
        <v>1880</v>
      </c>
      <c r="X196" s="207" t="s">
        <v>1880</v>
      </c>
      <c r="Y196" s="207" t="s">
        <v>1880</v>
      </c>
      <c r="Z196" s="51"/>
      <c r="AA196" s="113"/>
      <c r="AB196" s="47"/>
      <c r="AC196" s="72"/>
      <c r="AD196" s="62"/>
      <c r="AE196" s="62" t="s">
        <v>146</v>
      </c>
    </row>
    <row r="197" spans="1:31" s="130" customFormat="1" ht="189.6" customHeight="1" x14ac:dyDescent="0.2">
      <c r="A197" s="15" t="s">
        <v>1881</v>
      </c>
      <c r="B197" s="34" t="s">
        <v>1882</v>
      </c>
      <c r="C197" s="17" t="s">
        <v>473</v>
      </c>
      <c r="D197" s="71" t="s">
        <v>93</v>
      </c>
      <c r="E197" s="71" t="s">
        <v>56</v>
      </c>
      <c r="F197" s="18">
        <f>VLOOKUP(טבלה13[[#This Row],[זיהוי]],'[1]Unsaved_15008758 (1)'!$A:$D,4,FALSE)</f>
        <v>46568</v>
      </c>
      <c r="G197" s="25"/>
      <c r="H197" s="71" t="s">
        <v>63</v>
      </c>
      <c r="I197" s="72" t="str">
        <f t="shared" si="3"/>
        <v>WBS: WBM-10482
שם פרויקט: גזר-
ST-1 התקנת מסדר 24 ק"ו, פ"צ 4, השלמת מערכת SCS במסדרי 161 ו 400 ק"ו.
ST-2 החלפת 2 מסדרי מ"ג ומערכת SCS
מנה״פ: פוטרמן, שרון 
יעד תכנית פיתוח: 30/06/2027
יעד מסתמן: 00/01/1900</v>
      </c>
      <c r="J197" s="76" t="s">
        <v>1883</v>
      </c>
      <c r="K197" s="76" t="s">
        <v>1883</v>
      </c>
      <c r="L197" s="76" t="s">
        <v>1883</v>
      </c>
      <c r="M197" s="76" t="s">
        <v>1883</v>
      </c>
      <c r="N197" s="76" t="s">
        <v>1884</v>
      </c>
      <c r="O197" s="76" t="s">
        <v>1885</v>
      </c>
      <c r="P197" s="76" t="s">
        <v>1886</v>
      </c>
      <c r="Q197" s="76" t="s">
        <v>1887</v>
      </c>
      <c r="R197" s="76" t="s">
        <v>1887</v>
      </c>
      <c r="S197" s="76" t="s">
        <v>1887</v>
      </c>
      <c r="T197" s="76" t="s">
        <v>1888</v>
      </c>
      <c r="U197" s="76" t="s">
        <v>1888</v>
      </c>
      <c r="V197" s="76" t="s">
        <v>1889</v>
      </c>
      <c r="W197" s="76" t="s">
        <v>1889</v>
      </c>
      <c r="X197" s="198" t="s">
        <v>1889</v>
      </c>
      <c r="Y197" s="198" t="s">
        <v>1889</v>
      </c>
      <c r="Z197" s="51" t="s">
        <v>1890</v>
      </c>
      <c r="AA197" s="74" t="s">
        <v>39</v>
      </c>
      <c r="AB197" s="47"/>
      <c r="AC197" s="72"/>
      <c r="AD197" s="62"/>
      <c r="AE197" s="62"/>
    </row>
    <row r="198" spans="1:31" s="130" customFormat="1" ht="120" x14ac:dyDescent="0.2">
      <c r="A198" s="15" t="s">
        <v>48</v>
      </c>
      <c r="B198" s="16" t="s">
        <v>1891</v>
      </c>
      <c r="C198" s="17" t="s">
        <v>40</v>
      </c>
      <c r="D198" s="71" t="s">
        <v>93</v>
      </c>
      <c r="E198" s="71" t="s">
        <v>56</v>
      </c>
      <c r="F198" s="18">
        <f>VLOOKUP(טבלה13[[#This Row],[זיהוי]],'[1]Unsaved_15008758 (1)'!$A:$D,4,FALSE)</f>
        <v>46324</v>
      </c>
      <c r="G198" s="25">
        <v>46418</v>
      </c>
      <c r="H198" s="71" t="s">
        <v>21</v>
      </c>
      <c r="I198" s="72" t="str">
        <f t="shared" si="3"/>
        <v>WBS: WBE-179
שם פרויקט: גבעת שאול-הרחבת מסדר 161 ק"ו והתקנת שנאי רביעי
מנה״פ: פוטרמן, שרון 
יעד תכנית פיתוח: 29/10/2026
יעד מסתמן: 31/01/2027</v>
      </c>
      <c r="J198" s="114" t="s">
        <v>1892</v>
      </c>
      <c r="K198" s="114" t="s">
        <v>1893</v>
      </c>
      <c r="L198" s="114" t="s">
        <v>1894</v>
      </c>
      <c r="M198" s="114" t="s">
        <v>1895</v>
      </c>
      <c r="N198" s="114" t="s">
        <v>1895</v>
      </c>
      <c r="O198" s="114" t="s">
        <v>1896</v>
      </c>
      <c r="P198" s="114" t="s">
        <v>1896</v>
      </c>
      <c r="Q198" s="114" t="s">
        <v>1897</v>
      </c>
      <c r="R198" s="114" t="s">
        <v>1898</v>
      </c>
      <c r="S198" s="114" t="s">
        <v>1899</v>
      </c>
      <c r="T198" s="114" t="s">
        <v>1900</v>
      </c>
      <c r="U198" s="114" t="s">
        <v>1900</v>
      </c>
      <c r="V198" s="114" t="s">
        <v>1901</v>
      </c>
      <c r="W198" s="114" t="s">
        <v>1901</v>
      </c>
      <c r="X198" s="220" t="s">
        <v>1901</v>
      </c>
      <c r="Y198" s="220" t="s">
        <v>2216</v>
      </c>
      <c r="Z198" s="51" t="s">
        <v>1902</v>
      </c>
      <c r="AA198" s="74" t="s">
        <v>76</v>
      </c>
      <c r="AB198" s="47"/>
      <c r="AC198" s="72"/>
      <c r="AD198" s="62"/>
      <c r="AE198" s="62" t="s">
        <v>209</v>
      </c>
    </row>
    <row r="199" spans="1:31" s="130" customFormat="1" ht="120" x14ac:dyDescent="0.2">
      <c r="A199" s="15" t="s">
        <v>1903</v>
      </c>
      <c r="B199" s="16" t="s">
        <v>1904</v>
      </c>
      <c r="C199" s="17" t="s">
        <v>40</v>
      </c>
      <c r="D199" s="71" t="s">
        <v>93</v>
      </c>
      <c r="E199" s="71" t="s">
        <v>56</v>
      </c>
      <c r="F199" s="18">
        <v>46326</v>
      </c>
      <c r="G199" s="18">
        <v>46336</v>
      </c>
      <c r="H199" s="71" t="s">
        <v>42</v>
      </c>
      <c r="I199" s="72" t="str">
        <f t="shared" si="3"/>
        <v>WBS: WBE-261
שם פרויקט: ביתר – הוספת שנאי רביעי  36KV 50 MVA
מנה״פ: פוטרמן, שרון 
יעד תכנית פיתוח: 31/10/2026
יעד מסתמן: 10/11/2026</v>
      </c>
      <c r="J199" s="4" t="s">
        <v>1905</v>
      </c>
      <c r="K199" s="4" t="s">
        <v>1905</v>
      </c>
      <c r="L199" s="4" t="s">
        <v>1905</v>
      </c>
      <c r="M199" s="4" t="s">
        <v>1906</v>
      </c>
      <c r="N199" s="4" t="s">
        <v>1906</v>
      </c>
      <c r="O199" s="4" t="s">
        <v>1906</v>
      </c>
      <c r="P199" s="4" t="s">
        <v>1906</v>
      </c>
      <c r="Q199" s="4" t="s">
        <v>1906</v>
      </c>
      <c r="R199" s="60" t="s">
        <v>1906</v>
      </c>
      <c r="S199" s="60" t="s">
        <v>1906</v>
      </c>
      <c r="T199" s="60" t="s">
        <v>1906</v>
      </c>
      <c r="U199" s="60" t="s">
        <v>1906</v>
      </c>
      <c r="V199" s="60" t="s">
        <v>1907</v>
      </c>
      <c r="W199" s="60" t="s">
        <v>1907</v>
      </c>
      <c r="X199" s="195" t="s">
        <v>1908</v>
      </c>
      <c r="Y199" s="195" t="s">
        <v>1908</v>
      </c>
      <c r="Z199" s="51" t="s">
        <v>1909</v>
      </c>
      <c r="AA199" s="74" t="s">
        <v>76</v>
      </c>
      <c r="AB199" s="47"/>
      <c r="AC199" s="72"/>
      <c r="AD199" s="62"/>
      <c r="AE199" s="62"/>
    </row>
    <row r="200" spans="1:31" s="130" customFormat="1" ht="105" x14ac:dyDescent="0.2">
      <c r="A200" s="15" t="s">
        <v>1910</v>
      </c>
      <c r="B200" s="16" t="s">
        <v>1911</v>
      </c>
      <c r="C200" s="17" t="s">
        <v>33</v>
      </c>
      <c r="D200" s="71" t="s">
        <v>93</v>
      </c>
      <c r="E200" s="71" t="s">
        <v>56</v>
      </c>
      <c r="F200" s="18">
        <f>VLOOKUP(טבלה13[[#This Row],[זיהוי]],'[1]Unsaved_15008758 (1)'!$A:$D,4,FALSE)</f>
        <v>46934</v>
      </c>
      <c r="G200" s="25">
        <v>47087</v>
      </c>
      <c r="H200" s="71" t="s">
        <v>22</v>
      </c>
      <c r="I200" s="72" t="str">
        <f t="shared" si="3"/>
        <v>WBS: WBC-031
שם פרויקט: בית וגן - הקמת תחמ"ש פנימית 161/24 ק"ו
מנה״פ: פוטרמן, שרון 
יעד תכנית פיתוח: 30/06/2028
יעד מסתמן: 30/11/2028</v>
      </c>
      <c r="J200" s="114" t="s">
        <v>1912</v>
      </c>
      <c r="K200" s="114" t="s">
        <v>1913</v>
      </c>
      <c r="L200" s="114" t="s">
        <v>1913</v>
      </c>
      <c r="M200" s="114" t="s">
        <v>1913</v>
      </c>
      <c r="N200" s="114" t="s">
        <v>1913</v>
      </c>
      <c r="O200" s="114" t="s">
        <v>1913</v>
      </c>
      <c r="P200" s="114" t="s">
        <v>1913</v>
      </c>
      <c r="Q200" s="114" t="s">
        <v>1913</v>
      </c>
      <c r="R200" s="114" t="s">
        <v>1913</v>
      </c>
      <c r="S200" s="114" t="s">
        <v>1913</v>
      </c>
      <c r="T200" s="114" t="s">
        <v>1914</v>
      </c>
      <c r="U200" s="114" t="s">
        <v>1915</v>
      </c>
      <c r="V200" s="114" t="s">
        <v>1916</v>
      </c>
      <c r="W200" s="114" t="s">
        <v>1916</v>
      </c>
      <c r="X200" s="220" t="s">
        <v>2217</v>
      </c>
      <c r="Y200" s="220" t="s">
        <v>2217</v>
      </c>
      <c r="Z200" s="51"/>
      <c r="AA200" s="74"/>
      <c r="AB200" s="47"/>
      <c r="AC200" s="72"/>
      <c r="AD200" s="62"/>
      <c r="AE200" s="62" t="s">
        <v>146</v>
      </c>
    </row>
    <row r="201" spans="1:31" s="130" customFormat="1" ht="45" x14ac:dyDescent="0.2">
      <c r="A201" s="15" t="s">
        <v>1917</v>
      </c>
      <c r="B201" s="33" t="s">
        <v>1918</v>
      </c>
      <c r="C201" s="17" t="s">
        <v>473</v>
      </c>
      <c r="D201" s="71" t="s">
        <v>93</v>
      </c>
      <c r="E201" s="71" t="s">
        <v>56</v>
      </c>
      <c r="F201" s="18">
        <f>VLOOKUP(טבלה13[[#This Row],[זיהוי]],'[1]Unsaved_15008758 (1)'!$A:$D,4,FALSE)</f>
        <v>46691</v>
      </c>
      <c r="G201" s="25"/>
      <c r="H201" s="71" t="s">
        <v>19</v>
      </c>
      <c r="I201" s="72"/>
      <c r="J201" s="114" t="s">
        <v>1919</v>
      </c>
      <c r="K201" s="114" t="s">
        <v>1920</v>
      </c>
      <c r="L201" s="114" t="s">
        <v>1920</v>
      </c>
      <c r="M201" s="114" t="s">
        <v>1920</v>
      </c>
      <c r="N201" s="114" t="s">
        <v>1920</v>
      </c>
      <c r="O201" s="114" t="s">
        <v>1920</v>
      </c>
      <c r="P201" s="114" t="s">
        <v>1920</v>
      </c>
      <c r="Q201" s="114" t="s">
        <v>1920</v>
      </c>
      <c r="R201" s="114" t="s">
        <v>1920</v>
      </c>
      <c r="S201" s="114" t="s">
        <v>1920</v>
      </c>
      <c r="T201" s="114" t="s">
        <v>1920</v>
      </c>
      <c r="U201" s="114" t="s">
        <v>1920</v>
      </c>
      <c r="V201" s="114" t="s">
        <v>1920</v>
      </c>
      <c r="W201" s="114" t="s">
        <v>1920</v>
      </c>
      <c r="X201" s="220" t="s">
        <v>1920</v>
      </c>
      <c r="Y201" s="220" t="s">
        <v>1920</v>
      </c>
      <c r="Z201" s="51"/>
      <c r="AA201" s="74"/>
      <c r="AB201" s="47"/>
      <c r="AC201" s="72"/>
      <c r="AD201" s="62"/>
      <c r="AE201" s="62"/>
    </row>
    <row r="202" spans="1:31" s="130" customFormat="1" ht="300" x14ac:dyDescent="0.2">
      <c r="A202" s="37" t="s">
        <v>1921</v>
      </c>
      <c r="B202" s="38" t="s">
        <v>1922</v>
      </c>
      <c r="C202" s="39" t="s">
        <v>40</v>
      </c>
      <c r="D202" s="115" t="s">
        <v>86</v>
      </c>
      <c r="E202" s="115" t="s">
        <v>62</v>
      </c>
      <c r="F202" s="18">
        <f>VLOOKUP(טבלה13[[#This Row],[זיהוי]],'[1]Unsaved_15008758 (1)'!$A:$D,4,FALSE)</f>
        <v>48212</v>
      </c>
      <c r="G202" s="25">
        <v>47483</v>
      </c>
      <c r="H202" s="115" t="s">
        <v>19</v>
      </c>
      <c r="I202" s="116" t="str">
        <f>"WBS: " &amp; A202 &amp; CHAR(10) &amp;
"שם פרויקט: " &amp; B202 &amp; CHAR(10) &amp;
"מנה״פ: " &amp; D202 &amp; CHAR(10) &amp;
"יעד תכנית פיתוח: " &amp; TEXT(F202,"dd/mm/yyyy") &amp; CHAR(10) &amp;
"יעד מסתמן: " &amp; TEXT(G202,"dd/mm/yyyy")</f>
        <v>WBS: WBJ-003
שם פרויקט: תחמ"ג ירושלים
מנה״פ: ברקוביץ, משה
יעד תכנית פיתוח: 30/12/2031
יעד מסתמן: 31/12/2029</v>
      </c>
      <c r="J202" s="31" t="s">
        <v>1923</v>
      </c>
      <c r="K202" s="31" t="s">
        <v>1924</v>
      </c>
      <c r="L202" s="31" t="s">
        <v>1925</v>
      </c>
      <c r="M202" s="31" t="s">
        <v>1926</v>
      </c>
      <c r="N202" s="31" t="s">
        <v>1927</v>
      </c>
      <c r="O202" s="31" t="s">
        <v>1928</v>
      </c>
      <c r="P202" s="31" t="s">
        <v>1929</v>
      </c>
      <c r="Q202" s="31" t="s">
        <v>1930</v>
      </c>
      <c r="R202" s="157" t="s">
        <v>1930</v>
      </c>
      <c r="S202" s="157"/>
      <c r="T202" s="157" t="s">
        <v>1931</v>
      </c>
      <c r="U202" s="157" t="s">
        <v>1932</v>
      </c>
      <c r="V202" s="157" t="s">
        <v>1933</v>
      </c>
      <c r="W202" s="157" t="s">
        <v>1934</v>
      </c>
      <c r="X202" s="199" t="s">
        <v>2269</v>
      </c>
      <c r="Y202" s="199" t="s">
        <v>2270</v>
      </c>
      <c r="Z202" s="31" t="s">
        <v>1935</v>
      </c>
      <c r="AA202" s="74" t="s">
        <v>76</v>
      </c>
      <c r="AB202" s="115"/>
      <c r="AC202" s="72"/>
      <c r="AD202" s="62" t="s">
        <v>32</v>
      </c>
      <c r="AE202" s="62" t="s">
        <v>146</v>
      </c>
    </row>
    <row r="203" spans="1:31" s="130" customFormat="1" ht="255" x14ac:dyDescent="0.2">
      <c r="A203" s="41" t="s">
        <v>1936</v>
      </c>
      <c r="B203" s="38" t="s">
        <v>1937</v>
      </c>
      <c r="C203" s="39" t="s">
        <v>473</v>
      </c>
      <c r="D203" s="115" t="s">
        <v>55</v>
      </c>
      <c r="E203" s="115" t="s">
        <v>56</v>
      </c>
      <c r="F203" s="18">
        <f>VLOOKUP(טבלה13[[#This Row],[זיהוי]],'[1]Unsaved_15008758 (1)'!$A:$D,4,FALSE)</f>
        <v>46326</v>
      </c>
      <c r="G203" s="40">
        <v>46325</v>
      </c>
      <c r="H203" s="115" t="s">
        <v>78</v>
      </c>
      <c r="I203" s="116" t="str">
        <f>"WBS: " &amp; A203 &amp; CHAR(10) &amp;
"שם פרויקט: " &amp; B203 &amp; CHAR(10) &amp;
"מנה״פ: " &amp; D203 &amp; CHAR(10) &amp;
"יעד תכנית פיתוח: " &amp; TEXT(F203,"dd/mm/yyyy") &amp; CHAR(10) &amp;
"יעד מסתמן: " &amp; TEXT(G203,"dd/mm/yyyy")</f>
        <v>WBS: WBM-40475
שם פרויקט: הכפר הירוק-הח' 2 מ"ז ,2 בושינג(7,9) מהדק
מנה״פ: אוברקוביץ, ענת
יעד תכנית פיתוח: 31/10/2026
יעד מסתמן: 30/10/2026</v>
      </c>
      <c r="J203" s="31" t="s">
        <v>1938</v>
      </c>
      <c r="K203" s="31" t="s">
        <v>1938</v>
      </c>
      <c r="L203" s="31" t="s">
        <v>1938</v>
      </c>
      <c r="M203" s="31" t="s">
        <v>1938</v>
      </c>
      <c r="N203" s="31" t="s">
        <v>1938</v>
      </c>
      <c r="O203" s="31" t="s">
        <v>1939</v>
      </c>
      <c r="P203" s="31" t="s">
        <v>1940</v>
      </c>
      <c r="Q203" s="31" t="s">
        <v>1941</v>
      </c>
      <c r="R203" s="157" t="s">
        <v>1941</v>
      </c>
      <c r="S203" s="157" t="s">
        <v>1942</v>
      </c>
      <c r="T203" s="157" t="s">
        <v>1943</v>
      </c>
      <c r="U203" s="157" t="s">
        <v>1944</v>
      </c>
      <c r="V203" s="157" t="s">
        <v>1944</v>
      </c>
      <c r="W203" s="157" t="s">
        <v>1945</v>
      </c>
      <c r="X203" s="199" t="s">
        <v>1946</v>
      </c>
      <c r="Y203" s="199" t="s">
        <v>1946</v>
      </c>
      <c r="Z203" s="31" t="s">
        <v>1947</v>
      </c>
      <c r="AA203" s="115"/>
      <c r="AB203" s="71"/>
      <c r="AC203" s="72"/>
      <c r="AD203" s="62"/>
      <c r="AE203" s="62"/>
    </row>
    <row r="204" spans="1:31" s="130" customFormat="1" ht="60" x14ac:dyDescent="0.2">
      <c r="A204" s="48" t="s">
        <v>1948</v>
      </c>
      <c r="B204" s="38" t="s">
        <v>1949</v>
      </c>
      <c r="C204" s="39" t="s">
        <v>33</v>
      </c>
      <c r="D204" s="115" t="s">
        <v>55</v>
      </c>
      <c r="E204" s="115" t="s">
        <v>56</v>
      </c>
      <c r="F204" s="18">
        <f>VLOOKUP(טבלה13[[#This Row],[זיהוי]],'[1]Unsaved_15008758 (1)'!$A:$D,4,FALSE)</f>
        <v>47786</v>
      </c>
      <c r="G204" s="25">
        <v>47603</v>
      </c>
      <c r="H204" s="115" t="s">
        <v>19</v>
      </c>
      <c r="I204" s="116" t="str">
        <f>"WBS: " &amp; A204 &amp; CHAR(10) &amp;
"שם פרויקט: " &amp; B204 &amp; CHAR(10) &amp;
"מנה״פ: " &amp; D204 &amp; CHAR(10) &amp;
"יעד תכנית פיתוח: " &amp; TEXT(F204,"dd/mm/yyyy") &amp; CHAR(10) &amp;
"יעד מסתמן: " &amp; TEXT(G204,"dd/mm/yyyy")</f>
        <v>WBS: WBC-084
שם פרויקט: סירקין- הקמת תחמ"ש פנימית  161/24 ק"ו
מנה״פ: אוברקוביץ, ענת
יעד תכנית פיתוח: 30/10/2030
יעד מסתמן: 30/04/2030</v>
      </c>
      <c r="J204" s="31" t="s">
        <v>1950</v>
      </c>
      <c r="K204" s="31" t="s">
        <v>1950</v>
      </c>
      <c r="L204" s="31" t="s">
        <v>1950</v>
      </c>
      <c r="M204" s="31" t="s">
        <v>1951</v>
      </c>
      <c r="N204" s="31" t="s">
        <v>1952</v>
      </c>
      <c r="O204" s="31" t="s">
        <v>1953</v>
      </c>
      <c r="P204" s="31" t="s">
        <v>1954</v>
      </c>
      <c r="Q204" s="31" t="s">
        <v>1954</v>
      </c>
      <c r="R204" s="157" t="s">
        <v>1955</v>
      </c>
      <c r="S204" s="157" t="s">
        <v>1955</v>
      </c>
      <c r="T204" s="157" t="s">
        <v>1956</v>
      </c>
      <c r="U204" s="157" t="s">
        <v>1956</v>
      </c>
      <c r="V204" s="157" t="s">
        <v>1957</v>
      </c>
      <c r="W204" s="157" t="s">
        <v>1957</v>
      </c>
      <c r="X204" s="199" t="s">
        <v>1957</v>
      </c>
      <c r="Y204" s="199" t="s">
        <v>1957</v>
      </c>
      <c r="Z204" s="31" t="s">
        <v>1958</v>
      </c>
      <c r="AA204" s="115" t="s">
        <v>39</v>
      </c>
      <c r="AB204" s="115"/>
      <c r="AC204" s="72"/>
      <c r="AD204" s="62"/>
      <c r="AE204" s="62"/>
    </row>
    <row r="205" spans="1:31" s="130" customFormat="1" ht="90" x14ac:dyDescent="0.2">
      <c r="A205" s="63" t="s">
        <v>1959</v>
      </c>
      <c r="B205" s="50" t="s">
        <v>1960</v>
      </c>
      <c r="C205" s="37" t="s">
        <v>40</v>
      </c>
      <c r="D205" s="115" t="s">
        <v>93</v>
      </c>
      <c r="E205" s="115" t="s">
        <v>56</v>
      </c>
      <c r="F205" s="18">
        <v>46265</v>
      </c>
      <c r="G205" s="25">
        <v>46280</v>
      </c>
      <c r="H205" s="71" t="s">
        <v>42</v>
      </c>
      <c r="I205" s="31"/>
      <c r="J205" s="31" t="s">
        <v>1961</v>
      </c>
      <c r="K205" s="31" t="s">
        <v>1962</v>
      </c>
      <c r="L205" s="31" t="s">
        <v>1963</v>
      </c>
      <c r="M205" s="31" t="s">
        <v>1963</v>
      </c>
      <c r="N205" s="31" t="s">
        <v>1963</v>
      </c>
      <c r="O205" s="31" t="s">
        <v>1964</v>
      </c>
      <c r="P205" s="31" t="s">
        <v>1964</v>
      </c>
      <c r="Q205" s="31" t="s">
        <v>1965</v>
      </c>
      <c r="R205" s="157" t="s">
        <v>1965</v>
      </c>
      <c r="S205" s="157" t="s">
        <v>1965</v>
      </c>
      <c r="T205" s="157" t="s">
        <v>1965</v>
      </c>
      <c r="U205" s="157" t="s">
        <v>1966</v>
      </c>
      <c r="V205" s="157" t="s">
        <v>1967</v>
      </c>
      <c r="W205" s="157" t="s">
        <v>1967</v>
      </c>
      <c r="X205" s="199" t="s">
        <v>1968</v>
      </c>
      <c r="Y205" s="199" t="s">
        <v>1968</v>
      </c>
      <c r="Z205" s="31"/>
      <c r="AA205" s="115"/>
      <c r="AB205" s="115"/>
      <c r="AC205" s="72"/>
      <c r="AD205" s="62"/>
      <c r="AE205" s="62"/>
    </row>
    <row r="206" spans="1:31" s="130" customFormat="1" ht="45" x14ac:dyDescent="0.2">
      <c r="A206" s="17" t="s">
        <v>1969</v>
      </c>
      <c r="B206" s="43" t="s">
        <v>1970</v>
      </c>
      <c r="C206" s="48" t="s">
        <v>261</v>
      </c>
      <c r="D206" s="71" t="s">
        <v>93</v>
      </c>
      <c r="E206" s="71" t="s">
        <v>56</v>
      </c>
      <c r="F206" s="18">
        <f>VLOOKUP(טבלה13[[#This Row],[זיהוי]],'[1]Unsaved_15008758 (1)'!$A:$D,4,FALSE)</f>
        <v>46568</v>
      </c>
      <c r="G206" s="49">
        <v>46538</v>
      </c>
      <c r="H206" s="71" t="s">
        <v>19</v>
      </c>
      <c r="I206" s="116" t="str">
        <f>"WBS: " &amp; A206 &amp; CHAR(10) &amp;
"שם פרויקט: " &amp; B206 &amp; CHAR(10) &amp;
"מנה״פ: " &amp; D206 &amp; CHAR(10) &amp;
"יעד תכנית פיתוח: " &amp; TEXT(F206,"dd/mm/yyyy") &amp; CHAR(10) &amp;
"יעד מסתמן: " &amp; TEXT(G206,"dd/mm/yyyy")</f>
        <v>WBS: WBD-126
שם פרויקט: בית יהושוע- הוספת ניידת 20
מנה״פ: פוטרמן, שרון 
יעד תכנית פיתוח: 30/06/2027
יעד מסתמן: 31/05/2027</v>
      </c>
      <c r="J206" s="51" t="s">
        <v>1971</v>
      </c>
      <c r="K206" s="51" t="s">
        <v>1972</v>
      </c>
      <c r="L206" s="51" t="s">
        <v>1972</v>
      </c>
      <c r="M206" s="51" t="s">
        <v>1972</v>
      </c>
      <c r="N206" s="51" t="s">
        <v>1972</v>
      </c>
      <c r="O206" s="51" t="s">
        <v>1972</v>
      </c>
      <c r="P206" s="51" t="s">
        <v>1972</v>
      </c>
      <c r="Q206" s="51" t="s">
        <v>1972</v>
      </c>
      <c r="R206" s="76" t="s">
        <v>1972</v>
      </c>
      <c r="S206" s="76" t="s">
        <v>1973</v>
      </c>
      <c r="T206" s="76" t="s">
        <v>1973</v>
      </c>
      <c r="U206" s="76" t="s">
        <v>1973</v>
      </c>
      <c r="V206" s="76" t="s">
        <v>1973</v>
      </c>
      <c r="W206" s="76" t="s">
        <v>1973</v>
      </c>
      <c r="X206" s="198" t="s">
        <v>1974</v>
      </c>
      <c r="Y206" s="198" t="s">
        <v>1974</v>
      </c>
      <c r="Z206" s="51"/>
      <c r="AA206" s="71" t="s">
        <v>68</v>
      </c>
      <c r="AB206" s="71"/>
      <c r="AC206" s="72"/>
      <c r="AD206" s="62"/>
      <c r="AE206" s="62"/>
    </row>
    <row r="207" spans="1:31" s="130" customFormat="1" ht="45" x14ac:dyDescent="0.2">
      <c r="A207" s="15" t="s">
        <v>1975</v>
      </c>
      <c r="B207" s="16" t="s">
        <v>1976</v>
      </c>
      <c r="C207" s="48" t="s">
        <v>40</v>
      </c>
      <c r="D207" s="71" t="s">
        <v>93</v>
      </c>
      <c r="E207" s="71" t="s">
        <v>56</v>
      </c>
      <c r="F207" s="18">
        <f>VLOOKUP(טבלה13[[#This Row],[זיהוי]],'[1]Unsaved_15008758 (1)'!$A:$D,4,FALSE)</f>
        <v>46477</v>
      </c>
      <c r="G207" s="25">
        <v>46476</v>
      </c>
      <c r="H207" s="71" t="s">
        <v>19</v>
      </c>
      <c r="I207" s="62" t="str">
        <f>"WBS: " &amp; A207 &amp; CHAR(10) &amp;
"שם פרויקט: " &amp; B207 &amp; CHAR(10) &amp;
"מנה״פ: " &amp; D207 &amp; CHAR(10) &amp;
"יעד תכנית פיתוח: " &amp; TEXT(F207,"dd/mm/yyyy") &amp; CHAR(10) &amp;
"יעד מסתמן: " &amp; TEXT(G207,"dd/mm/yyyy")</f>
        <v>WBS: WBE-294
שם פרויקט: בית שמש-התקנת שנאי שלישי161/24 ק"ו 50 מגוו"א
מנה״פ: פוטרמן, שרון 
יעד תכנית פיתוח: 31/03/2027
יעד מסתמן: 30/03/2027</v>
      </c>
      <c r="J207" s="31" t="s">
        <v>1977</v>
      </c>
      <c r="K207" s="31" t="s">
        <v>1978</v>
      </c>
      <c r="L207" s="31" t="s">
        <v>1978</v>
      </c>
      <c r="M207" s="31" t="s">
        <v>1979</v>
      </c>
      <c r="N207" s="31" t="s">
        <v>1980</v>
      </c>
      <c r="O207" s="31" t="s">
        <v>1981</v>
      </c>
      <c r="P207" s="31" t="s">
        <v>1981</v>
      </c>
      <c r="Q207" s="31" t="s">
        <v>1981</v>
      </c>
      <c r="R207" s="157" t="s">
        <v>1981</v>
      </c>
      <c r="S207" s="157" t="s">
        <v>1981</v>
      </c>
      <c r="T207" s="157" t="s">
        <v>1981</v>
      </c>
      <c r="U207" s="157" t="s">
        <v>1981</v>
      </c>
      <c r="V207" s="157" t="s">
        <v>1981</v>
      </c>
      <c r="W207" s="157" t="s">
        <v>1981</v>
      </c>
      <c r="X207" s="199" t="s">
        <v>1981</v>
      </c>
      <c r="Y207" s="199" t="s">
        <v>1981</v>
      </c>
      <c r="Z207" s="51"/>
      <c r="AA207" s="71"/>
      <c r="AB207" s="71"/>
      <c r="AC207" s="72"/>
      <c r="AD207" s="62"/>
      <c r="AE207" s="62"/>
    </row>
    <row r="208" spans="1:31" s="130" customFormat="1" ht="45" x14ac:dyDescent="0.2">
      <c r="A208" s="15" t="s">
        <v>1982</v>
      </c>
      <c r="B208" s="16" t="s">
        <v>1983</v>
      </c>
      <c r="C208" s="48" t="s">
        <v>473</v>
      </c>
      <c r="D208" s="71" t="s">
        <v>93</v>
      </c>
      <c r="E208" s="71" t="s">
        <v>56</v>
      </c>
      <c r="F208" s="18">
        <v>46386</v>
      </c>
      <c r="G208" s="49">
        <v>46387</v>
      </c>
      <c r="H208" s="71" t="s">
        <v>19</v>
      </c>
      <c r="I208" s="62" t="str">
        <f>"WBS: " &amp; A208 &amp; CHAR(10) &amp;
"שם פרויקט: " &amp; B208 &amp; CHAR(10) &amp;
"מנה״פ: " &amp; D208 &amp; CHAR(10) &amp;
"יעד תכנית פיתוח: " &amp; TEXT(F208,"dd/mm/yyyy") &amp; CHAR(10) &amp;
"יעד מסתמן: " &amp; TEXT(G208,"dd/mm/yyyy")</f>
        <v>WBS: WBM-40158
שם פרויקט: סתריה - שדרוג שדות קו 15,16 ליכולת 1440א'
מנה״פ: פוטרמן, שרון 
יעד תכנית פיתוח: 30/12/2026
יעד מסתמן: 31/12/2026</v>
      </c>
      <c r="J208" s="31" t="s">
        <v>1984</v>
      </c>
      <c r="K208" s="31" t="s">
        <v>1984</v>
      </c>
      <c r="L208" s="31" t="s">
        <v>1984</v>
      </c>
      <c r="M208" s="31" t="s">
        <v>1984</v>
      </c>
      <c r="N208" s="31" t="s">
        <v>1984</v>
      </c>
      <c r="O208" s="31" t="s">
        <v>1984</v>
      </c>
      <c r="P208" s="31" t="s">
        <v>1985</v>
      </c>
      <c r="Q208" s="31" t="s">
        <v>1985</v>
      </c>
      <c r="R208" s="157" t="s">
        <v>1985</v>
      </c>
      <c r="S208" s="157" t="s">
        <v>1985</v>
      </c>
      <c r="T208" s="157" t="s">
        <v>1986</v>
      </c>
      <c r="U208" s="157" t="s">
        <v>1987</v>
      </c>
      <c r="V208" s="157" t="s">
        <v>1988</v>
      </c>
      <c r="W208" s="157" t="s">
        <v>1988</v>
      </c>
      <c r="X208" s="199" t="s">
        <v>1988</v>
      </c>
      <c r="Y208" s="199" t="s">
        <v>1988</v>
      </c>
      <c r="Z208" s="51" t="s">
        <v>1989</v>
      </c>
      <c r="AA208" s="71" t="s">
        <v>76</v>
      </c>
      <c r="AB208" s="71"/>
      <c r="AC208" s="72"/>
      <c r="AD208" s="62"/>
      <c r="AE208" s="62"/>
    </row>
    <row r="209" spans="1:31" s="130" customFormat="1" ht="90" x14ac:dyDescent="0.2">
      <c r="A209" s="15" t="s">
        <v>2241</v>
      </c>
      <c r="B209" s="16" t="s">
        <v>1990</v>
      </c>
      <c r="C209" s="16" t="s">
        <v>1990</v>
      </c>
      <c r="D209" s="71" t="s">
        <v>87</v>
      </c>
      <c r="E209" s="71" t="s">
        <v>59</v>
      </c>
      <c r="F209" s="18"/>
      <c r="G209" s="18" t="s">
        <v>18</v>
      </c>
      <c r="H209" s="71" t="s">
        <v>85</v>
      </c>
      <c r="I209" s="72" t="str">
        <f t="shared" si="3"/>
        <v>WBS: ניידת 42 
שם פרויקט: קדם ניידות 
מנה״פ: גולן, לירון
יעד תכנית פיתוח: 00/01/1900
יעד מסתמן: הסתיים</v>
      </c>
      <c r="J209" s="51" t="s">
        <v>1991</v>
      </c>
      <c r="K209" s="51" t="s">
        <v>1991</v>
      </c>
      <c r="L209" s="51" t="s">
        <v>1991</v>
      </c>
      <c r="M209" s="51" t="s">
        <v>1991</v>
      </c>
      <c r="N209" s="51" t="s">
        <v>1991</v>
      </c>
      <c r="O209" s="51" t="s">
        <v>1991</v>
      </c>
      <c r="P209" s="51" t="s">
        <v>1991</v>
      </c>
      <c r="Q209" s="51" t="s">
        <v>1991</v>
      </c>
      <c r="R209" s="76" t="s">
        <v>1991</v>
      </c>
      <c r="S209" s="76" t="s">
        <v>1991</v>
      </c>
      <c r="T209" s="76" t="s">
        <v>1991</v>
      </c>
      <c r="U209" s="76" t="s">
        <v>1991</v>
      </c>
      <c r="V209" s="76" t="s">
        <v>1991</v>
      </c>
      <c r="W209" s="76" t="s">
        <v>1991</v>
      </c>
      <c r="X209" s="198" t="s">
        <v>1991</v>
      </c>
      <c r="Y209" s="198" t="s">
        <v>1991</v>
      </c>
      <c r="Z209" s="51"/>
      <c r="AA209" s="74"/>
      <c r="AB209" s="47"/>
      <c r="AC209" s="72"/>
      <c r="AD209" s="62"/>
      <c r="AE209" s="62"/>
    </row>
    <row r="210" spans="1:31" s="130" customFormat="1" ht="90" x14ac:dyDescent="0.2">
      <c r="A210" s="15" t="s">
        <v>2242</v>
      </c>
      <c r="B210" s="16" t="s">
        <v>1990</v>
      </c>
      <c r="C210" s="16" t="s">
        <v>1990</v>
      </c>
      <c r="D210" s="71" t="s">
        <v>87</v>
      </c>
      <c r="E210" s="71" t="s">
        <v>59</v>
      </c>
      <c r="F210" s="18"/>
      <c r="G210" s="18">
        <v>46053</v>
      </c>
      <c r="H210" s="71" t="s">
        <v>85</v>
      </c>
      <c r="I210" s="72" t="str">
        <f t="shared" si="3"/>
        <v>WBS: ניידת 43 
שם פרויקט: קדם ניידות 
מנה״פ: גולן, לירון
יעד תכנית פיתוח: 00/01/1900
יעד מסתמן: 31/01/2026</v>
      </c>
      <c r="J210" s="51" t="s">
        <v>1991</v>
      </c>
      <c r="K210" s="51" t="s">
        <v>1991</v>
      </c>
      <c r="L210" s="51" t="s">
        <v>1991</v>
      </c>
      <c r="M210" s="51" t="s">
        <v>1991</v>
      </c>
      <c r="N210" s="51" t="s">
        <v>1991</v>
      </c>
      <c r="O210" s="51" t="s">
        <v>1991</v>
      </c>
      <c r="P210" s="51" t="s">
        <v>1991</v>
      </c>
      <c r="Q210" s="51" t="s">
        <v>1991</v>
      </c>
      <c r="R210" s="76" t="s">
        <v>1991</v>
      </c>
      <c r="S210" s="76" t="s">
        <v>1991</v>
      </c>
      <c r="T210" s="76" t="s">
        <v>1991</v>
      </c>
      <c r="U210" s="76" t="s">
        <v>1991</v>
      </c>
      <c r="V210" s="76" t="s">
        <v>1991</v>
      </c>
      <c r="W210" s="76" t="s">
        <v>1991</v>
      </c>
      <c r="X210" s="198" t="s">
        <v>1991</v>
      </c>
      <c r="Y210" s="198" t="s">
        <v>1991</v>
      </c>
      <c r="Z210" s="51"/>
      <c r="AA210" s="74"/>
      <c r="AB210" s="47"/>
      <c r="AC210" s="72"/>
      <c r="AD210" s="62"/>
      <c r="AE210" s="62"/>
    </row>
    <row r="211" spans="1:31" s="130" customFormat="1" ht="90" x14ac:dyDescent="0.2">
      <c r="A211" s="15" t="s">
        <v>1992</v>
      </c>
      <c r="B211" s="16" t="s">
        <v>1990</v>
      </c>
      <c r="C211" s="16" t="s">
        <v>1990</v>
      </c>
      <c r="D211" s="71" t="s">
        <v>87</v>
      </c>
      <c r="E211" s="71" t="s">
        <v>59</v>
      </c>
      <c r="F211" s="18"/>
      <c r="G211" s="18">
        <v>46081</v>
      </c>
      <c r="H211" s="71" t="s">
        <v>85</v>
      </c>
      <c r="I211" s="72" t="str">
        <f t="shared" si="3"/>
        <v>WBS: ניידת 44
שם פרויקט: קדם ניידות 
מנה״פ: גולן, לירון
יעד תכנית פיתוח: 00/01/1900
יעד מסתמן: 28/02/2026</v>
      </c>
      <c r="J211" s="51" t="s">
        <v>1993</v>
      </c>
      <c r="K211" s="51" t="s">
        <v>1993</v>
      </c>
      <c r="L211" s="51" t="s">
        <v>1993</v>
      </c>
      <c r="M211" s="51" t="s">
        <v>1993</v>
      </c>
      <c r="N211" s="51" t="s">
        <v>1993</v>
      </c>
      <c r="O211" s="51" t="s">
        <v>1993</v>
      </c>
      <c r="P211" s="51" t="s">
        <v>1993</v>
      </c>
      <c r="Q211" s="51" t="s">
        <v>1993</v>
      </c>
      <c r="R211" s="76" t="s">
        <v>1993</v>
      </c>
      <c r="S211" s="76" t="s">
        <v>1993</v>
      </c>
      <c r="T211" s="76" t="s">
        <v>1993</v>
      </c>
      <c r="U211" s="76" t="s">
        <v>1993</v>
      </c>
      <c r="V211" s="76" t="s">
        <v>1993</v>
      </c>
      <c r="W211" s="76" t="s">
        <v>1993</v>
      </c>
      <c r="X211" s="198" t="s">
        <v>1993</v>
      </c>
      <c r="Y211" s="198" t="s">
        <v>1993</v>
      </c>
      <c r="Z211" s="51"/>
      <c r="AA211" s="74"/>
      <c r="AB211" s="47"/>
      <c r="AC211" s="72"/>
      <c r="AD211" s="62"/>
      <c r="AE211" s="62"/>
    </row>
    <row r="212" spans="1:31" s="130" customFormat="1" ht="90" x14ac:dyDescent="0.2">
      <c r="A212" s="15" t="s">
        <v>1994</v>
      </c>
      <c r="B212" s="16" t="s">
        <v>1990</v>
      </c>
      <c r="C212" s="16" t="s">
        <v>1990</v>
      </c>
      <c r="D212" s="71" t="s">
        <v>87</v>
      </c>
      <c r="E212" s="71" t="s">
        <v>59</v>
      </c>
      <c r="F212" s="18"/>
      <c r="G212" s="18">
        <v>46081</v>
      </c>
      <c r="H212" s="71" t="s">
        <v>85</v>
      </c>
      <c r="I212" s="72" t="str">
        <f t="shared" si="3"/>
        <v>WBS: ניידת 45
שם פרויקט: קדם ניידות 
מנה״פ: גולן, לירון
יעד תכנית פיתוח: 00/01/1900
יעד מסתמן: 28/02/2026</v>
      </c>
      <c r="J212" s="51" t="s">
        <v>1993</v>
      </c>
      <c r="K212" s="51" t="s">
        <v>1993</v>
      </c>
      <c r="L212" s="51" t="s">
        <v>1993</v>
      </c>
      <c r="M212" s="51" t="s">
        <v>1993</v>
      </c>
      <c r="N212" s="51" t="s">
        <v>1993</v>
      </c>
      <c r="O212" s="51" t="s">
        <v>1993</v>
      </c>
      <c r="P212" s="51" t="s">
        <v>1993</v>
      </c>
      <c r="Q212" s="51" t="s">
        <v>1993</v>
      </c>
      <c r="R212" s="76" t="s">
        <v>1993</v>
      </c>
      <c r="S212" s="76" t="s">
        <v>1993</v>
      </c>
      <c r="T212" s="76" t="s">
        <v>1993</v>
      </c>
      <c r="U212" s="76" t="s">
        <v>1993</v>
      </c>
      <c r="V212" s="76" t="s">
        <v>1993</v>
      </c>
      <c r="W212" s="76" t="s">
        <v>1993</v>
      </c>
      <c r="X212" s="198" t="s">
        <v>1993</v>
      </c>
      <c r="Y212" s="198" t="s">
        <v>1993</v>
      </c>
      <c r="Z212" s="51"/>
      <c r="AA212" s="74"/>
      <c r="AB212" s="47"/>
      <c r="AC212" s="72"/>
      <c r="AD212" s="62"/>
      <c r="AE212" s="62"/>
    </row>
    <row r="213" spans="1:31" s="130" customFormat="1" ht="90" x14ac:dyDescent="0.2">
      <c r="A213" s="15" t="s">
        <v>1995</v>
      </c>
      <c r="B213" s="16" t="s">
        <v>1990</v>
      </c>
      <c r="C213" s="16" t="s">
        <v>1990</v>
      </c>
      <c r="D213" s="71" t="s">
        <v>87</v>
      </c>
      <c r="E213" s="71" t="s">
        <v>59</v>
      </c>
      <c r="F213" s="18"/>
      <c r="G213" s="25"/>
      <c r="H213" s="71" t="s">
        <v>85</v>
      </c>
      <c r="I213" s="72" t="str">
        <f>"WBS: " &amp; A213 &amp; CHAR(10) &amp;
"שם פרויקט: " &amp; B213 &amp; CHAR(10) &amp;
"מנה״פ: " &amp; D213 &amp; CHAR(10) &amp;
"יעד תכנית פיתוח: " &amp; TEXT(F213,"dd/mm/yyyy") &amp; CHAR(10) &amp;
"יעד מסתמן: " &amp; TEXT(G213,"dd/mm/yyyy")</f>
        <v>WBS: ניידת 46
שם פרויקט: קדם ניידות 
מנה״פ: גולן, לירון
יעד תכנית פיתוח: 00/01/1900
יעד מסתמן: 00/01/1900</v>
      </c>
      <c r="J213" s="51" t="s">
        <v>1996</v>
      </c>
      <c r="K213" s="51" t="s">
        <v>1996</v>
      </c>
      <c r="L213" s="51" t="s">
        <v>1996</v>
      </c>
      <c r="M213" s="51" t="s">
        <v>1996</v>
      </c>
      <c r="N213" s="51" t="s">
        <v>1996</v>
      </c>
      <c r="O213" s="51" t="s">
        <v>1996</v>
      </c>
      <c r="P213" s="51" t="s">
        <v>1996</v>
      </c>
      <c r="Q213" s="51" t="s">
        <v>1996</v>
      </c>
      <c r="R213" s="76" t="s">
        <v>1996</v>
      </c>
      <c r="S213" s="76" t="s">
        <v>1997</v>
      </c>
      <c r="T213" s="76" t="s">
        <v>1997</v>
      </c>
      <c r="U213" s="76" t="s">
        <v>1997</v>
      </c>
      <c r="V213" s="76" t="s">
        <v>1997</v>
      </c>
      <c r="W213" s="76" t="s">
        <v>1997</v>
      </c>
      <c r="X213" s="198" t="s">
        <v>1997</v>
      </c>
      <c r="Y213" s="198" t="s">
        <v>1997</v>
      </c>
      <c r="Z213" s="51"/>
      <c r="AA213" s="78"/>
      <c r="AB213" s="79"/>
      <c r="AC213" s="72"/>
      <c r="AD213" s="62"/>
      <c r="AE213" s="62"/>
    </row>
    <row r="214" spans="1:31" s="130" customFormat="1" ht="90" x14ac:dyDescent="0.2">
      <c r="A214" s="15" t="s">
        <v>1998</v>
      </c>
      <c r="B214" s="16" t="s">
        <v>1990</v>
      </c>
      <c r="C214" s="16" t="s">
        <v>1990</v>
      </c>
      <c r="D214" s="71" t="s">
        <v>87</v>
      </c>
      <c r="E214" s="71" t="s">
        <v>59</v>
      </c>
      <c r="F214" s="18"/>
      <c r="G214" s="25"/>
      <c r="H214" s="71" t="s">
        <v>85</v>
      </c>
      <c r="I214" s="72" t="str">
        <f>"WBS: " &amp; A214 &amp; CHAR(10) &amp;
"שם פרויקט: " &amp; B214 &amp; CHAR(10) &amp;
"מנה״פ: " &amp; D214 &amp; CHAR(10) &amp;
"יעד תכנית פיתוח: " &amp; TEXT(F214,"dd/mm/yyyy") &amp; CHAR(10) &amp;
"יעד מסתמן: " &amp; TEXT(G214,"dd/mm/yyyy")</f>
        <v>WBS: ניידת 47
שם פרויקט: קדם ניידות 
מנה״פ: גולן, לירון
יעד תכנית פיתוח: 00/01/1900
יעד מסתמן: 00/01/1900</v>
      </c>
      <c r="J214" s="51" t="s">
        <v>1996</v>
      </c>
      <c r="K214" s="51" t="s">
        <v>1996</v>
      </c>
      <c r="L214" s="51" t="s">
        <v>1996</v>
      </c>
      <c r="M214" s="51" t="s">
        <v>1996</v>
      </c>
      <c r="N214" s="51" t="s">
        <v>1996</v>
      </c>
      <c r="O214" s="51" t="s">
        <v>1996</v>
      </c>
      <c r="P214" s="51" t="s">
        <v>1996</v>
      </c>
      <c r="Q214" s="51" t="s">
        <v>1996</v>
      </c>
      <c r="R214" s="76" t="s">
        <v>1996</v>
      </c>
      <c r="S214" s="76" t="s">
        <v>1997</v>
      </c>
      <c r="T214" s="76" t="s">
        <v>1997</v>
      </c>
      <c r="U214" s="76" t="s">
        <v>1997</v>
      </c>
      <c r="V214" s="76" t="s">
        <v>1997</v>
      </c>
      <c r="W214" s="76" t="s">
        <v>1997</v>
      </c>
      <c r="X214" s="198" t="s">
        <v>1997</v>
      </c>
      <c r="Y214" s="198" t="s">
        <v>1997</v>
      </c>
      <c r="Z214" s="51"/>
      <c r="AA214" s="78"/>
      <c r="AB214" s="79"/>
      <c r="AC214" s="72"/>
      <c r="AD214" s="62"/>
      <c r="AE214" s="62"/>
    </row>
    <row r="215" spans="1:31" s="130" customFormat="1" ht="90" x14ac:dyDescent="0.2">
      <c r="A215" s="15" t="s">
        <v>1999</v>
      </c>
      <c r="B215" s="16" t="s">
        <v>1990</v>
      </c>
      <c r="C215" s="16" t="s">
        <v>1990</v>
      </c>
      <c r="D215" s="71" t="s">
        <v>87</v>
      </c>
      <c r="E215" s="71" t="s">
        <v>59</v>
      </c>
      <c r="F215" s="18"/>
      <c r="G215" s="18">
        <v>46081</v>
      </c>
      <c r="H215" s="71" t="s">
        <v>85</v>
      </c>
      <c r="I215" s="72" t="str">
        <f>"WBS: " &amp; A215 &amp; CHAR(10) &amp;
"שם פרויקט: " &amp; B215 &amp; CHAR(10) &amp;
"מנה״פ: " &amp; D215 &amp; CHAR(10) &amp;
"יעד תכנית פיתוח: " &amp; TEXT(F215,"dd/mm/yyyy") &amp; CHAR(10) &amp;
"יעד מסתמן: " &amp; TEXT(G215,"dd/mm/yyyy")</f>
        <v>WBS: ניידת 48
שם פרויקט: קדם ניידות 
מנה״פ: גולן, לירון
יעד תכנית פיתוח: 00/01/1900
יעד מסתמן: 28/02/2026</v>
      </c>
      <c r="J215" s="51" t="s">
        <v>2000</v>
      </c>
      <c r="K215" s="51" t="s">
        <v>2000</v>
      </c>
      <c r="L215" s="51" t="s">
        <v>2000</v>
      </c>
      <c r="M215" s="51" t="s">
        <v>2000</v>
      </c>
      <c r="N215" s="51" t="s">
        <v>2000</v>
      </c>
      <c r="O215" s="51" t="s">
        <v>2000</v>
      </c>
      <c r="P215" s="51" t="s">
        <v>2000</v>
      </c>
      <c r="Q215" s="51" t="s">
        <v>2000</v>
      </c>
      <c r="R215" s="76" t="s">
        <v>2000</v>
      </c>
      <c r="S215" s="76" t="s">
        <v>2001</v>
      </c>
      <c r="T215" s="76" t="s">
        <v>2001</v>
      </c>
      <c r="U215" s="76" t="s">
        <v>2001</v>
      </c>
      <c r="V215" s="76" t="s">
        <v>2001</v>
      </c>
      <c r="W215" s="76" t="s">
        <v>2001</v>
      </c>
      <c r="X215" s="198" t="s">
        <v>2001</v>
      </c>
      <c r="Y215" s="198" t="s">
        <v>2001</v>
      </c>
      <c r="Z215" s="51"/>
      <c r="AA215" s="74"/>
      <c r="AB215" s="47"/>
      <c r="AC215" s="72"/>
      <c r="AD215" s="62"/>
      <c r="AE215" s="62"/>
    </row>
    <row r="216" spans="1:31" s="130" customFormat="1" ht="90" x14ac:dyDescent="0.2">
      <c r="A216" s="15" t="s">
        <v>2002</v>
      </c>
      <c r="B216" s="16" t="s">
        <v>1990</v>
      </c>
      <c r="C216" s="16" t="s">
        <v>1990</v>
      </c>
      <c r="D216" s="71" t="s">
        <v>87</v>
      </c>
      <c r="E216" s="71" t="s">
        <v>59</v>
      </c>
      <c r="F216" s="18"/>
      <c r="G216" s="25"/>
      <c r="H216" s="71"/>
      <c r="I216" s="72" t="str">
        <f t="shared" si="3"/>
        <v>WBS: ניידת 49 חירום
שם פרויקט: קדם ניידות 
מנה״פ: גולן, לירון
יעד תכנית פיתוח: 00/01/1900
יעד מסתמן: 00/01/1900</v>
      </c>
      <c r="J216" s="51" t="s">
        <v>2003</v>
      </c>
      <c r="K216" s="51" t="s">
        <v>2003</v>
      </c>
      <c r="L216" s="51" t="s">
        <v>2003</v>
      </c>
      <c r="M216" s="51" t="s">
        <v>2003</v>
      </c>
      <c r="N216" s="51" t="s">
        <v>2003</v>
      </c>
      <c r="O216" s="51" t="s">
        <v>2003</v>
      </c>
      <c r="P216" s="51" t="s">
        <v>2003</v>
      </c>
      <c r="Q216" s="51" t="s">
        <v>2003</v>
      </c>
      <c r="R216" s="76" t="s">
        <v>2003</v>
      </c>
      <c r="S216" s="76" t="s">
        <v>2003</v>
      </c>
      <c r="T216" s="76" t="s">
        <v>2003</v>
      </c>
      <c r="U216" s="76" t="s">
        <v>2003</v>
      </c>
      <c r="V216" s="76" t="s">
        <v>2003</v>
      </c>
      <c r="W216" s="76" t="s">
        <v>2003</v>
      </c>
      <c r="X216" s="198" t="s">
        <v>2003</v>
      </c>
      <c r="Y216" s="198" t="s">
        <v>2243</v>
      </c>
      <c r="Z216" s="51"/>
      <c r="AA216" s="74"/>
      <c r="AB216" s="47"/>
      <c r="AC216" s="72"/>
      <c r="AD216" s="62"/>
      <c r="AE216" s="62"/>
    </row>
    <row r="217" spans="1:31" s="130" customFormat="1" ht="90" x14ac:dyDescent="0.2">
      <c r="A217" s="15" t="s">
        <v>2004</v>
      </c>
      <c r="B217" s="16" t="s">
        <v>1990</v>
      </c>
      <c r="C217" s="16" t="s">
        <v>1990</v>
      </c>
      <c r="D217" s="71" t="s">
        <v>87</v>
      </c>
      <c r="E217" s="71" t="s">
        <v>59</v>
      </c>
      <c r="F217" s="18"/>
      <c r="G217" s="18">
        <v>46081</v>
      </c>
      <c r="H217" s="71" t="s">
        <v>85</v>
      </c>
      <c r="I217" s="72" t="str">
        <f t="shared" si="3"/>
        <v>WBS: ניידת 50
שם פרויקט: קדם ניידות 
מנה״פ: גולן, לירון
יעד תכנית פיתוח: 00/01/1900
יעד מסתמן: 28/02/2026</v>
      </c>
      <c r="J217" s="51" t="s">
        <v>2005</v>
      </c>
      <c r="K217" s="51" t="s">
        <v>2005</v>
      </c>
      <c r="L217" s="51" t="s">
        <v>2005</v>
      </c>
      <c r="M217" s="51" t="s">
        <v>2005</v>
      </c>
      <c r="N217" s="51" t="s">
        <v>2005</v>
      </c>
      <c r="O217" s="51" t="s">
        <v>2005</v>
      </c>
      <c r="P217" s="51" t="s">
        <v>2005</v>
      </c>
      <c r="Q217" s="51" t="s">
        <v>2005</v>
      </c>
      <c r="R217" s="76" t="s">
        <v>2005</v>
      </c>
      <c r="S217" s="76" t="s">
        <v>2005</v>
      </c>
      <c r="T217" s="76" t="s">
        <v>2005</v>
      </c>
      <c r="U217" s="76" t="s">
        <v>2005</v>
      </c>
      <c r="V217" s="76" t="s">
        <v>2005</v>
      </c>
      <c r="W217" s="76" t="s">
        <v>2005</v>
      </c>
      <c r="X217" s="198" t="s">
        <v>2005</v>
      </c>
      <c r="Y217" s="198" t="s">
        <v>2005</v>
      </c>
      <c r="Z217" s="51"/>
      <c r="AA217" s="74"/>
      <c r="AB217" s="47"/>
      <c r="AC217" s="72"/>
      <c r="AD217" s="62"/>
      <c r="AE217" s="62"/>
    </row>
    <row r="218" spans="1:31" s="130" customFormat="1" ht="90" x14ac:dyDescent="0.2">
      <c r="A218" s="15" t="s">
        <v>2006</v>
      </c>
      <c r="B218" s="16" t="s">
        <v>1990</v>
      </c>
      <c r="C218" s="16" t="s">
        <v>1990</v>
      </c>
      <c r="D218" s="71" t="s">
        <v>87</v>
      </c>
      <c r="E218" s="71" t="s">
        <v>59</v>
      </c>
      <c r="F218" s="18"/>
      <c r="G218" s="18" t="s">
        <v>18</v>
      </c>
      <c r="H218" s="71" t="s">
        <v>85</v>
      </c>
      <c r="I218" s="72" t="str">
        <f t="shared" si="3"/>
        <v>WBS: ניידת 51
שם פרויקט: קדם ניידות 
מנה״פ: גולן, לירון
יעד תכנית פיתוח: 00/01/1900
יעד מסתמן: הסתיים</v>
      </c>
      <c r="J218" s="51" t="s">
        <v>2007</v>
      </c>
      <c r="K218" s="51" t="s">
        <v>2007</v>
      </c>
      <c r="L218" s="51" t="s">
        <v>2007</v>
      </c>
      <c r="M218" s="51" t="s">
        <v>2007</v>
      </c>
      <c r="N218" s="51" t="s">
        <v>2007</v>
      </c>
      <c r="O218" s="51" t="s">
        <v>2007</v>
      </c>
      <c r="P218" s="51" t="s">
        <v>2007</v>
      </c>
      <c r="Q218" s="51" t="s">
        <v>2007</v>
      </c>
      <c r="R218" s="76" t="s">
        <v>2007</v>
      </c>
      <c r="S218" s="76" t="s">
        <v>2007</v>
      </c>
      <c r="T218" s="76" t="s">
        <v>2007</v>
      </c>
      <c r="U218" s="76" t="s">
        <v>2007</v>
      </c>
      <c r="V218" s="76" t="s">
        <v>2007</v>
      </c>
      <c r="W218" s="76" t="s">
        <v>2007</v>
      </c>
      <c r="X218" s="198" t="s">
        <v>2007</v>
      </c>
      <c r="Y218" s="198" t="s">
        <v>2007</v>
      </c>
      <c r="Z218" s="51"/>
      <c r="AA218" s="74"/>
      <c r="AB218" s="47"/>
      <c r="AC218" s="72"/>
      <c r="AD218" s="62"/>
      <c r="AE218" s="62"/>
    </row>
    <row r="219" spans="1:31" s="130" customFormat="1" ht="90" x14ac:dyDescent="0.2">
      <c r="A219" s="15" t="s">
        <v>2008</v>
      </c>
      <c r="B219" s="16" t="s">
        <v>1990</v>
      </c>
      <c r="C219" s="16" t="s">
        <v>1990</v>
      </c>
      <c r="D219" s="71" t="s">
        <v>87</v>
      </c>
      <c r="E219" s="71" t="s">
        <v>59</v>
      </c>
      <c r="F219" s="18"/>
      <c r="G219" s="25"/>
      <c r="H219" s="71" t="s">
        <v>85</v>
      </c>
      <c r="I219" s="72" t="str">
        <f t="shared" si="3"/>
        <v>WBS: ניידת 60
שם פרויקט: קדם ניידות 
מנה״פ: גולן, לירון
יעד תכנית פיתוח: 00/01/1900
יעד מסתמן: 00/01/1900</v>
      </c>
      <c r="J219" s="51" t="s">
        <v>2009</v>
      </c>
      <c r="K219" s="51" t="s">
        <v>2009</v>
      </c>
      <c r="L219" s="51" t="s">
        <v>2009</v>
      </c>
      <c r="M219" s="51" t="s">
        <v>2009</v>
      </c>
      <c r="N219" s="51" t="s">
        <v>2009</v>
      </c>
      <c r="O219" s="51" t="s">
        <v>2009</v>
      </c>
      <c r="P219" s="51" t="s">
        <v>2009</v>
      </c>
      <c r="Q219" s="51" t="s">
        <v>2009</v>
      </c>
      <c r="R219" s="76" t="s">
        <v>2009</v>
      </c>
      <c r="S219" s="76" t="s">
        <v>2009</v>
      </c>
      <c r="T219" s="76" t="s">
        <v>2009</v>
      </c>
      <c r="U219" s="76" t="s">
        <v>2009</v>
      </c>
      <c r="V219" s="76" t="s">
        <v>2009</v>
      </c>
      <c r="W219" s="76" t="s">
        <v>2010</v>
      </c>
      <c r="X219" s="198" t="s">
        <v>2010</v>
      </c>
      <c r="Y219" s="198" t="s">
        <v>2244</v>
      </c>
      <c r="Z219" s="51" t="s">
        <v>2011</v>
      </c>
      <c r="AA219" s="74" t="s">
        <v>47</v>
      </c>
      <c r="AB219" s="47" t="s">
        <v>44</v>
      </c>
      <c r="AC219" s="72"/>
      <c r="AD219" s="62"/>
      <c r="AE219" s="62"/>
    </row>
    <row r="220" spans="1:31" s="130" customFormat="1" ht="90" x14ac:dyDescent="0.2">
      <c r="A220" s="15" t="s">
        <v>2012</v>
      </c>
      <c r="B220" s="16" t="s">
        <v>1990</v>
      </c>
      <c r="C220" s="16" t="s">
        <v>1990</v>
      </c>
      <c r="D220" s="71" t="s">
        <v>87</v>
      </c>
      <c r="E220" s="71" t="s">
        <v>59</v>
      </c>
      <c r="F220" s="18"/>
      <c r="G220" s="25"/>
      <c r="H220" s="71" t="s">
        <v>85</v>
      </c>
      <c r="I220" s="72" t="str">
        <f t="shared" si="3"/>
        <v>WBS: ניידת 61
שם פרויקט: קדם ניידות 
מנה״פ: גולן, לירון
יעד תכנית פיתוח: 00/01/1900
יעד מסתמן: 00/01/1900</v>
      </c>
      <c r="J220" s="51" t="s">
        <v>2009</v>
      </c>
      <c r="K220" s="51" t="s">
        <v>2013</v>
      </c>
      <c r="L220" s="51" t="s">
        <v>2013</v>
      </c>
      <c r="M220" s="51" t="s">
        <v>2013</v>
      </c>
      <c r="N220" s="51" t="s">
        <v>2013</v>
      </c>
      <c r="O220" s="51" t="s">
        <v>2013</v>
      </c>
      <c r="P220" s="51" t="s">
        <v>2013</v>
      </c>
      <c r="Q220" s="51" t="s">
        <v>2013</v>
      </c>
      <c r="R220" s="76" t="s">
        <v>2013</v>
      </c>
      <c r="S220" s="76" t="s">
        <v>2013</v>
      </c>
      <c r="T220" s="76" t="s">
        <v>2013</v>
      </c>
      <c r="U220" s="76" t="s">
        <v>2013</v>
      </c>
      <c r="V220" s="76" t="s">
        <v>2013</v>
      </c>
      <c r="W220" s="76" t="s">
        <v>2013</v>
      </c>
      <c r="X220" s="198" t="s">
        <v>2013</v>
      </c>
      <c r="Y220" s="198" t="s">
        <v>2244</v>
      </c>
      <c r="Z220" s="51" t="s">
        <v>2011</v>
      </c>
      <c r="AA220" s="74" t="s">
        <v>47</v>
      </c>
      <c r="AB220" s="47" t="s">
        <v>44</v>
      </c>
      <c r="AC220" s="72"/>
      <c r="AD220" s="62"/>
      <c r="AE220" s="62"/>
    </row>
    <row r="221" spans="1:31" s="130" customFormat="1" ht="90" x14ac:dyDescent="0.2">
      <c r="A221" s="15" t="s">
        <v>2014</v>
      </c>
      <c r="B221" s="16" t="s">
        <v>1990</v>
      </c>
      <c r="C221" s="16" t="s">
        <v>1990</v>
      </c>
      <c r="D221" s="71" t="s">
        <v>87</v>
      </c>
      <c r="E221" s="71" t="s">
        <v>59</v>
      </c>
      <c r="F221" s="18"/>
      <c r="G221" s="18">
        <v>46053</v>
      </c>
      <c r="H221" s="71" t="s">
        <v>85</v>
      </c>
      <c r="I221" s="72" t="str">
        <f t="shared" si="3"/>
        <v>WBS: ניידת 62
שם פרויקט: קדם ניידות 
מנה״פ: גולן, לירון
יעד תכנית פיתוח: 00/01/1900
יעד מסתמן: 31/01/2026</v>
      </c>
      <c r="J221" s="51" t="s">
        <v>2009</v>
      </c>
      <c r="K221" s="51" t="s">
        <v>2009</v>
      </c>
      <c r="L221" s="51" t="s">
        <v>2009</v>
      </c>
      <c r="M221" s="51" t="s">
        <v>2009</v>
      </c>
      <c r="N221" s="51" t="s">
        <v>2009</v>
      </c>
      <c r="O221" s="51" t="s">
        <v>2009</v>
      </c>
      <c r="P221" s="51" t="s">
        <v>2009</v>
      </c>
      <c r="Q221" s="51" t="s">
        <v>2009</v>
      </c>
      <c r="R221" s="76" t="s">
        <v>2009</v>
      </c>
      <c r="S221" s="76" t="s">
        <v>2009</v>
      </c>
      <c r="T221" s="76" t="s">
        <v>2009</v>
      </c>
      <c r="U221" s="76" t="s">
        <v>2009</v>
      </c>
      <c r="V221" s="76" t="s">
        <v>2009</v>
      </c>
      <c r="W221" s="76" t="s">
        <v>2009</v>
      </c>
      <c r="X221" s="198" t="s">
        <v>2009</v>
      </c>
      <c r="Y221" s="198" t="s">
        <v>2244</v>
      </c>
      <c r="Z221" s="51" t="s">
        <v>2011</v>
      </c>
      <c r="AA221" s="74" t="s">
        <v>47</v>
      </c>
      <c r="AB221" s="47" t="s">
        <v>44</v>
      </c>
      <c r="AC221" s="72"/>
      <c r="AD221" s="62"/>
      <c r="AE221" s="62"/>
    </row>
    <row r="222" spans="1:31" s="130" customFormat="1" ht="90" x14ac:dyDescent="0.2">
      <c r="A222" s="15" t="s">
        <v>2015</v>
      </c>
      <c r="B222" s="16" t="s">
        <v>1990</v>
      </c>
      <c r="C222" s="16" t="s">
        <v>1990</v>
      </c>
      <c r="D222" s="71" t="s">
        <v>87</v>
      </c>
      <c r="E222" s="71" t="s">
        <v>59</v>
      </c>
      <c r="F222" s="18"/>
      <c r="G222" s="18">
        <v>46081</v>
      </c>
      <c r="H222" s="71" t="s">
        <v>85</v>
      </c>
      <c r="I222" s="72" t="str">
        <f t="shared" si="3"/>
        <v>WBS: ניידת 63
שם פרויקט: קדם ניידות 
מנה״פ: גולן, לירון
יעד תכנית פיתוח: 00/01/1900
יעד מסתמן: 28/02/2026</v>
      </c>
      <c r="J222" s="51" t="s">
        <v>2009</v>
      </c>
      <c r="K222" s="51" t="s">
        <v>2009</v>
      </c>
      <c r="L222" s="51" t="s">
        <v>2009</v>
      </c>
      <c r="M222" s="51" t="s">
        <v>2009</v>
      </c>
      <c r="N222" s="51" t="s">
        <v>2009</v>
      </c>
      <c r="O222" s="51" t="s">
        <v>2009</v>
      </c>
      <c r="P222" s="51" t="s">
        <v>2009</v>
      </c>
      <c r="Q222" s="51" t="s">
        <v>2009</v>
      </c>
      <c r="R222" s="76" t="s">
        <v>2009</v>
      </c>
      <c r="S222" s="76" t="s">
        <v>2009</v>
      </c>
      <c r="T222" s="76" t="s">
        <v>2016</v>
      </c>
      <c r="U222" s="76" t="s">
        <v>2016</v>
      </c>
      <c r="V222" s="76" t="s">
        <v>2017</v>
      </c>
      <c r="W222" s="76" t="s">
        <v>2018</v>
      </c>
      <c r="X222" s="198" t="s">
        <v>2019</v>
      </c>
      <c r="Y222" s="198" t="s">
        <v>2246</v>
      </c>
      <c r="Z222" s="51" t="s">
        <v>2011</v>
      </c>
      <c r="AA222" s="74" t="s">
        <v>47</v>
      </c>
      <c r="AB222" s="47" t="s">
        <v>44</v>
      </c>
      <c r="AC222" s="72"/>
      <c r="AD222" s="62"/>
      <c r="AE222" s="62"/>
    </row>
    <row r="223" spans="1:31" s="130" customFormat="1" ht="90" x14ac:dyDescent="0.2">
      <c r="A223" s="15" t="s">
        <v>2020</v>
      </c>
      <c r="B223" s="16" t="s">
        <v>1990</v>
      </c>
      <c r="C223" s="16" t="s">
        <v>1990</v>
      </c>
      <c r="D223" s="71" t="s">
        <v>87</v>
      </c>
      <c r="E223" s="71" t="s">
        <v>59</v>
      </c>
      <c r="F223" s="18"/>
      <c r="G223" s="18">
        <v>46081</v>
      </c>
      <c r="H223" s="71" t="s">
        <v>85</v>
      </c>
      <c r="I223" s="72" t="str">
        <f t="shared" si="3"/>
        <v>WBS: ניידת 64
שם פרויקט: קדם ניידות 
מנה״פ: גולן, לירון
יעד תכנית פיתוח: 00/01/1900
יעד מסתמן: 28/02/2026</v>
      </c>
      <c r="J223" s="51" t="s">
        <v>2009</v>
      </c>
      <c r="K223" s="51" t="s">
        <v>2009</v>
      </c>
      <c r="L223" s="51" t="s">
        <v>2009</v>
      </c>
      <c r="M223" s="51" t="s">
        <v>2009</v>
      </c>
      <c r="N223" s="51" t="s">
        <v>2009</v>
      </c>
      <c r="O223" s="51" t="s">
        <v>2009</v>
      </c>
      <c r="P223" s="51" t="s">
        <v>2009</v>
      </c>
      <c r="Q223" s="51" t="s">
        <v>2009</v>
      </c>
      <c r="R223" s="76" t="s">
        <v>2009</v>
      </c>
      <c r="S223" s="76" t="s">
        <v>2009</v>
      </c>
      <c r="T223" s="76" t="s">
        <v>2009</v>
      </c>
      <c r="U223" s="76" t="s">
        <v>2009</v>
      </c>
      <c r="V223" s="76" t="s">
        <v>2009</v>
      </c>
      <c r="W223" s="76" t="s">
        <v>2009</v>
      </c>
      <c r="X223" s="198" t="s">
        <v>2009</v>
      </c>
      <c r="Y223" s="198" t="s">
        <v>2245</v>
      </c>
      <c r="Z223" s="51" t="s">
        <v>2011</v>
      </c>
      <c r="AA223" s="74" t="s">
        <v>47</v>
      </c>
      <c r="AB223" s="47" t="s">
        <v>44</v>
      </c>
      <c r="AC223" s="72"/>
      <c r="AD223" s="62"/>
      <c r="AE223" s="62"/>
    </row>
    <row r="224" spans="1:31" s="130" customFormat="1" ht="90" x14ac:dyDescent="0.2">
      <c r="A224" s="15" t="s">
        <v>2021</v>
      </c>
      <c r="B224" s="16" t="s">
        <v>1990</v>
      </c>
      <c r="C224" s="16" t="s">
        <v>1990</v>
      </c>
      <c r="D224" s="71" t="s">
        <v>87</v>
      </c>
      <c r="E224" s="71" t="s">
        <v>59</v>
      </c>
      <c r="F224" s="18"/>
      <c r="G224" s="18">
        <v>46081</v>
      </c>
      <c r="H224" s="71" t="s">
        <v>85</v>
      </c>
      <c r="I224" s="72" t="str">
        <f t="shared" si="3"/>
        <v>WBS: ניידת 65
שם פרויקט: קדם ניידות 
מנה״פ: גולן, לירון
יעד תכנית פיתוח: 00/01/1900
יעד מסתמן: 28/02/2026</v>
      </c>
      <c r="J224" s="51" t="s">
        <v>2009</v>
      </c>
      <c r="K224" s="51" t="s">
        <v>2009</v>
      </c>
      <c r="L224" s="51" t="s">
        <v>2009</v>
      </c>
      <c r="M224" s="51" t="s">
        <v>2009</v>
      </c>
      <c r="N224" s="51" t="s">
        <v>2009</v>
      </c>
      <c r="O224" s="51" t="s">
        <v>2009</v>
      </c>
      <c r="P224" s="51" t="s">
        <v>2009</v>
      </c>
      <c r="Q224" s="51" t="s">
        <v>2009</v>
      </c>
      <c r="R224" s="76" t="s">
        <v>2009</v>
      </c>
      <c r="S224" s="76" t="s">
        <v>2009</v>
      </c>
      <c r="T224" s="76" t="s">
        <v>2009</v>
      </c>
      <c r="U224" s="76" t="s">
        <v>2009</v>
      </c>
      <c r="V224" s="76" t="s">
        <v>2009</v>
      </c>
      <c r="W224" s="76" t="s">
        <v>2009</v>
      </c>
      <c r="X224" s="198" t="s">
        <v>2009</v>
      </c>
      <c r="Y224" s="198" t="s">
        <v>2245</v>
      </c>
      <c r="Z224" s="51" t="s">
        <v>2011</v>
      </c>
      <c r="AA224" s="74" t="s">
        <v>47</v>
      </c>
      <c r="AB224" s="47" t="s">
        <v>44</v>
      </c>
      <c r="AC224" s="72"/>
      <c r="AD224" s="62"/>
      <c r="AE224" s="62"/>
    </row>
    <row r="225" spans="1:31" s="130" customFormat="1" ht="90" x14ac:dyDescent="0.2">
      <c r="A225" s="15" t="s">
        <v>2022</v>
      </c>
      <c r="B225" s="16" t="s">
        <v>1990</v>
      </c>
      <c r="C225" s="16" t="s">
        <v>1990</v>
      </c>
      <c r="D225" s="71" t="s">
        <v>87</v>
      </c>
      <c r="E225" s="71" t="s">
        <v>59</v>
      </c>
      <c r="F225" s="18"/>
      <c r="G225" s="18">
        <v>46142</v>
      </c>
      <c r="H225" s="71" t="s">
        <v>85</v>
      </c>
      <c r="I225" s="72" t="str">
        <f t="shared" si="3"/>
        <v>WBS: ניידת 66
שם פרויקט: קדם ניידות 
מנה״פ: גולן, לירון
יעד תכנית פיתוח: 00/01/1900
יעד מסתמן: 30/04/2026</v>
      </c>
      <c r="J225" s="51" t="s">
        <v>2023</v>
      </c>
      <c r="K225" s="51" t="s">
        <v>2023</v>
      </c>
      <c r="L225" s="51" t="s">
        <v>2023</v>
      </c>
      <c r="M225" s="51" t="s">
        <v>2023</v>
      </c>
      <c r="N225" s="51" t="s">
        <v>2023</v>
      </c>
      <c r="O225" s="51" t="s">
        <v>2023</v>
      </c>
      <c r="P225" s="51" t="s">
        <v>2023</v>
      </c>
      <c r="Q225" s="51" t="s">
        <v>2023</v>
      </c>
      <c r="R225" s="76" t="s">
        <v>2023</v>
      </c>
      <c r="S225" s="76" t="s">
        <v>2024</v>
      </c>
      <c r="T225" s="76" t="s">
        <v>2024</v>
      </c>
      <c r="U225" s="76" t="s">
        <v>2024</v>
      </c>
      <c r="V225" s="76" t="s">
        <v>2024</v>
      </c>
      <c r="W225" s="76" t="s">
        <v>2024</v>
      </c>
      <c r="X225" s="198" t="s">
        <v>2024</v>
      </c>
      <c r="Y225" s="198" t="s">
        <v>2024</v>
      </c>
      <c r="Z225" s="117"/>
      <c r="AA225" s="74"/>
      <c r="AB225" s="47"/>
      <c r="AC225" s="72"/>
      <c r="AD225" s="62"/>
      <c r="AE225" s="62"/>
    </row>
    <row r="226" spans="1:31" s="130" customFormat="1" ht="90" x14ac:dyDescent="0.2">
      <c r="A226" s="15" t="s">
        <v>2025</v>
      </c>
      <c r="B226" s="16" t="s">
        <v>1990</v>
      </c>
      <c r="C226" s="16" t="s">
        <v>1990</v>
      </c>
      <c r="D226" s="71" t="s">
        <v>87</v>
      </c>
      <c r="E226" s="71" t="s">
        <v>59</v>
      </c>
      <c r="F226" s="18"/>
      <c r="G226" s="18">
        <v>46142</v>
      </c>
      <c r="H226" s="71" t="s">
        <v>85</v>
      </c>
      <c r="I226" s="72" t="str">
        <f t="shared" si="3"/>
        <v>WBS: ניידת 67
שם פרויקט: קדם ניידות 
מנה״פ: גולן, לירון
יעד תכנית פיתוח: 00/01/1900
יעד מסתמן: 30/04/2026</v>
      </c>
      <c r="J226" s="51" t="s">
        <v>2023</v>
      </c>
      <c r="K226" s="51" t="s">
        <v>2023</v>
      </c>
      <c r="L226" s="51" t="s">
        <v>2023</v>
      </c>
      <c r="M226" s="51" t="s">
        <v>2023</v>
      </c>
      <c r="N226" s="51" t="s">
        <v>2023</v>
      </c>
      <c r="O226" s="51" t="s">
        <v>2023</v>
      </c>
      <c r="P226" s="51" t="s">
        <v>2023</v>
      </c>
      <c r="Q226" s="51" t="s">
        <v>2023</v>
      </c>
      <c r="R226" s="76" t="s">
        <v>2023</v>
      </c>
      <c r="S226" s="76" t="s">
        <v>2024</v>
      </c>
      <c r="T226" s="76" t="s">
        <v>2024</v>
      </c>
      <c r="U226" s="76" t="s">
        <v>2024</v>
      </c>
      <c r="V226" s="76" t="s">
        <v>2024</v>
      </c>
      <c r="W226" s="76" t="s">
        <v>2024</v>
      </c>
      <c r="X226" s="198" t="s">
        <v>2024</v>
      </c>
      <c r="Y226" s="198" t="s">
        <v>2024</v>
      </c>
      <c r="Z226" s="117"/>
      <c r="AA226" s="118"/>
      <c r="AB226" s="119"/>
      <c r="AC226" s="72"/>
      <c r="AD226" s="62"/>
      <c r="AE226" s="62"/>
    </row>
    <row r="227" spans="1:31" s="130" customFormat="1" ht="90" x14ac:dyDescent="0.2">
      <c r="A227" s="15" t="s">
        <v>2026</v>
      </c>
      <c r="B227" s="16" t="s">
        <v>1990</v>
      </c>
      <c r="C227" s="16" t="s">
        <v>1990</v>
      </c>
      <c r="D227" s="71" t="s">
        <v>87</v>
      </c>
      <c r="E227" s="71" t="s">
        <v>59</v>
      </c>
      <c r="F227" s="18"/>
      <c r="G227" s="18">
        <v>46142</v>
      </c>
      <c r="H227" s="71" t="s">
        <v>85</v>
      </c>
      <c r="I227" s="72" t="str">
        <f t="shared" ref="I227:I233" si="4">"WBS: " &amp; A227 &amp; CHAR(10) &amp;
"שם פרויקט: " &amp; B227 &amp; CHAR(10) &amp;
"מנה״פ: " &amp; D227 &amp; CHAR(10) &amp;
"יעד תכנית פיתוח: " &amp; TEXT(F227,"dd/mm/yyyy") &amp; CHAR(10) &amp;
"יעד מסתמן: " &amp; TEXT(G227,"dd/mm/yyyy")</f>
        <v>WBS: ניידת 68
שם פרויקט: קדם ניידות 
מנה״פ: גולן, לירון
יעד תכנית פיתוח: 00/01/1900
יעד מסתמן: 30/04/2026</v>
      </c>
      <c r="J227" s="51" t="s">
        <v>2023</v>
      </c>
      <c r="K227" s="51" t="s">
        <v>2023</v>
      </c>
      <c r="L227" s="51" t="s">
        <v>2023</v>
      </c>
      <c r="M227" s="51" t="s">
        <v>2023</v>
      </c>
      <c r="N227" s="51" t="s">
        <v>2023</v>
      </c>
      <c r="O227" s="51" t="s">
        <v>2023</v>
      </c>
      <c r="P227" s="51" t="s">
        <v>2023</v>
      </c>
      <c r="Q227" s="51" t="s">
        <v>2023</v>
      </c>
      <c r="R227" s="76" t="s">
        <v>2023</v>
      </c>
      <c r="S227" s="76" t="s">
        <v>2024</v>
      </c>
      <c r="T227" s="76" t="s">
        <v>2024</v>
      </c>
      <c r="U227" s="76" t="s">
        <v>2024</v>
      </c>
      <c r="V227" s="76" t="s">
        <v>2024</v>
      </c>
      <c r="W227" s="76" t="s">
        <v>2024</v>
      </c>
      <c r="X227" s="198" t="s">
        <v>2024</v>
      </c>
      <c r="Y227" s="198" t="s">
        <v>2024</v>
      </c>
      <c r="Z227" s="120"/>
      <c r="AA227" s="78"/>
      <c r="AB227" s="79"/>
      <c r="AC227" s="72"/>
      <c r="AD227" s="62"/>
      <c r="AE227" s="62"/>
    </row>
    <row r="228" spans="1:31" s="130" customFormat="1" ht="90" x14ac:dyDescent="0.2">
      <c r="A228" s="15" t="s">
        <v>2027</v>
      </c>
      <c r="B228" s="16" t="s">
        <v>1990</v>
      </c>
      <c r="C228" s="16" t="s">
        <v>1990</v>
      </c>
      <c r="D228" s="71" t="s">
        <v>87</v>
      </c>
      <c r="E228" s="71" t="s">
        <v>59</v>
      </c>
      <c r="F228" s="18"/>
      <c r="G228" s="18">
        <v>46173</v>
      </c>
      <c r="H228" s="71"/>
      <c r="I228" s="72" t="str">
        <f t="shared" si="4"/>
        <v>WBS: ניידת 69
שם פרויקט: קדם ניידות 
מנה״פ: גולן, לירון
יעד תכנית פיתוח: 00/01/1900
יעד מסתמן: 31/05/2026</v>
      </c>
      <c r="J228" s="31" t="s">
        <v>2028</v>
      </c>
      <c r="K228" s="31" t="s">
        <v>2028</v>
      </c>
      <c r="L228" s="31" t="s">
        <v>2028</v>
      </c>
      <c r="M228" s="31" t="s">
        <v>2028</v>
      </c>
      <c r="N228" s="31" t="s">
        <v>2028</v>
      </c>
      <c r="O228" s="31" t="s">
        <v>2028</v>
      </c>
      <c r="P228" s="31" t="s">
        <v>2028</v>
      </c>
      <c r="Q228" s="31" t="s">
        <v>2028</v>
      </c>
      <c r="R228" s="157" t="s">
        <v>2028</v>
      </c>
      <c r="S228" s="157" t="s">
        <v>2029</v>
      </c>
      <c r="T228" s="157" t="s">
        <v>2030</v>
      </c>
      <c r="U228" s="157" t="s">
        <v>2030</v>
      </c>
      <c r="V228" s="157" t="s">
        <v>2030</v>
      </c>
      <c r="W228" s="157" t="s">
        <v>2031</v>
      </c>
      <c r="X228" s="199" t="s">
        <v>2031</v>
      </c>
      <c r="Y228" s="199" t="s">
        <v>2031</v>
      </c>
      <c r="Z228" s="51"/>
      <c r="AA228" s="78"/>
      <c r="AB228" s="79"/>
      <c r="AC228" s="72"/>
      <c r="AD228" s="62"/>
      <c r="AE228" s="62"/>
    </row>
    <row r="229" spans="1:31" s="130" customFormat="1" ht="90" x14ac:dyDescent="0.2">
      <c r="A229" s="15" t="s">
        <v>2033</v>
      </c>
      <c r="B229" s="16" t="s">
        <v>1990</v>
      </c>
      <c r="C229" s="16" t="s">
        <v>1990</v>
      </c>
      <c r="D229" s="71" t="s">
        <v>87</v>
      </c>
      <c r="E229" s="71" t="s">
        <v>59</v>
      </c>
      <c r="F229" s="18"/>
      <c r="G229" s="18">
        <v>46173</v>
      </c>
      <c r="H229" s="71"/>
      <c r="I229" s="72" t="str">
        <f t="shared" si="4"/>
        <v>WBS: ניידת 70
שם פרויקט: קדם ניידות 
מנה״פ: גולן, לירון
יעד תכנית פיתוח: 00/01/1900
יעד מסתמן: 31/05/2026</v>
      </c>
      <c r="J229" s="31" t="s">
        <v>2028</v>
      </c>
      <c r="K229" s="31" t="s">
        <v>2028</v>
      </c>
      <c r="L229" s="31" t="s">
        <v>2028</v>
      </c>
      <c r="M229" s="31" t="s">
        <v>2028</v>
      </c>
      <c r="N229" s="31" t="s">
        <v>2028</v>
      </c>
      <c r="O229" s="31" t="s">
        <v>2028</v>
      </c>
      <c r="P229" s="31" t="s">
        <v>2028</v>
      </c>
      <c r="Q229" s="31" t="s">
        <v>2028</v>
      </c>
      <c r="R229" s="157" t="s">
        <v>2028</v>
      </c>
      <c r="S229" s="157" t="s">
        <v>2029</v>
      </c>
      <c r="T229" s="157" t="s">
        <v>2030</v>
      </c>
      <c r="U229" s="157" t="s">
        <v>2030</v>
      </c>
      <c r="V229" s="157" t="s">
        <v>2030</v>
      </c>
      <c r="W229" s="157" t="s">
        <v>2030</v>
      </c>
      <c r="X229" s="199" t="s">
        <v>2031</v>
      </c>
      <c r="Y229" s="199" t="s">
        <v>2031</v>
      </c>
      <c r="Z229" s="51"/>
      <c r="AA229" s="78"/>
      <c r="AB229" s="79"/>
      <c r="AC229" s="72"/>
      <c r="AD229" s="62"/>
      <c r="AE229" s="62"/>
    </row>
    <row r="230" spans="1:31" s="130" customFormat="1" ht="90" x14ac:dyDescent="0.2">
      <c r="A230" s="15" t="s">
        <v>2034</v>
      </c>
      <c r="B230" s="16" t="s">
        <v>1990</v>
      </c>
      <c r="C230" s="16" t="s">
        <v>1990</v>
      </c>
      <c r="D230" s="71" t="s">
        <v>87</v>
      </c>
      <c r="E230" s="71" t="s">
        <v>59</v>
      </c>
      <c r="F230" s="18"/>
      <c r="G230" s="18">
        <v>46173</v>
      </c>
      <c r="H230" s="71"/>
      <c r="I230" s="72" t="str">
        <f t="shared" si="4"/>
        <v>WBS: ניידת 71
שם פרויקט: קדם ניידות 
מנה״פ: גולן, לירון
יעד תכנית פיתוח: 00/01/1900
יעד מסתמן: 31/05/2026</v>
      </c>
      <c r="J230" s="31" t="s">
        <v>2028</v>
      </c>
      <c r="K230" s="31" t="s">
        <v>2028</v>
      </c>
      <c r="L230" s="31" t="s">
        <v>2028</v>
      </c>
      <c r="M230" s="31" t="s">
        <v>2028</v>
      </c>
      <c r="N230" s="31" t="s">
        <v>2028</v>
      </c>
      <c r="O230" s="31" t="s">
        <v>2028</v>
      </c>
      <c r="P230" s="31" t="s">
        <v>2028</v>
      </c>
      <c r="Q230" s="31" t="s">
        <v>2028</v>
      </c>
      <c r="R230" s="157" t="s">
        <v>2028</v>
      </c>
      <c r="S230" s="157" t="s">
        <v>2029</v>
      </c>
      <c r="T230" s="157" t="s">
        <v>2030</v>
      </c>
      <c r="U230" s="157" t="s">
        <v>2030</v>
      </c>
      <c r="V230" s="157" t="s">
        <v>2030</v>
      </c>
      <c r="W230" s="157" t="s">
        <v>2030</v>
      </c>
      <c r="X230" s="199" t="s">
        <v>2031</v>
      </c>
      <c r="Y230" s="199" t="s">
        <v>2031</v>
      </c>
      <c r="Z230" s="51"/>
      <c r="AA230" s="78"/>
      <c r="AB230" s="79"/>
      <c r="AC230" s="72"/>
      <c r="AD230" s="62"/>
      <c r="AE230" s="62"/>
    </row>
    <row r="231" spans="1:31" s="130" customFormat="1" ht="90" x14ac:dyDescent="0.2">
      <c r="A231" s="15" t="s">
        <v>2035</v>
      </c>
      <c r="B231" s="16" t="s">
        <v>1990</v>
      </c>
      <c r="C231" s="16" t="s">
        <v>1990</v>
      </c>
      <c r="D231" s="71" t="s">
        <v>87</v>
      </c>
      <c r="E231" s="71" t="s">
        <v>59</v>
      </c>
      <c r="F231" s="18"/>
      <c r="G231" s="18">
        <v>46234</v>
      </c>
      <c r="H231" s="71"/>
      <c r="I231" s="72" t="str">
        <f t="shared" si="4"/>
        <v>WBS: ניידת 56
שם פרויקט: קדם ניידות 
מנה״פ: גולן, לירון
יעד תכנית פיתוח: 00/01/1900
יעד מסתמן: 31/07/2026</v>
      </c>
      <c r="J231" s="31" t="s">
        <v>2036</v>
      </c>
      <c r="K231" s="31" t="s">
        <v>2036</v>
      </c>
      <c r="L231" s="31" t="s">
        <v>2037</v>
      </c>
      <c r="M231" s="31" t="s">
        <v>2038</v>
      </c>
      <c r="N231" s="31" t="s">
        <v>2039</v>
      </c>
      <c r="O231" s="31" t="s">
        <v>2039</v>
      </c>
      <c r="P231" s="31" t="s">
        <v>2039</v>
      </c>
      <c r="Q231" s="31" t="s">
        <v>2040</v>
      </c>
      <c r="R231" s="157" t="s">
        <v>2041</v>
      </c>
      <c r="S231" s="157" t="s">
        <v>2041</v>
      </c>
      <c r="T231" s="157" t="s">
        <v>2041</v>
      </c>
      <c r="U231" s="157" t="s">
        <v>2041</v>
      </c>
      <c r="V231" s="157" t="s">
        <v>2041</v>
      </c>
      <c r="W231" s="157" t="s">
        <v>2042</v>
      </c>
      <c r="X231" s="199" t="s">
        <v>2248</v>
      </c>
      <c r="Y231" s="199" t="s">
        <v>2248</v>
      </c>
      <c r="Z231" s="51" t="s">
        <v>2043</v>
      </c>
      <c r="AA231" s="78" t="s">
        <v>39</v>
      </c>
      <c r="AB231" s="79"/>
      <c r="AC231" s="72"/>
      <c r="AD231" s="62"/>
      <c r="AE231" s="62"/>
    </row>
    <row r="232" spans="1:31" s="130" customFormat="1" ht="90" x14ac:dyDescent="0.2">
      <c r="A232" s="15" t="s">
        <v>2044</v>
      </c>
      <c r="B232" s="16" t="s">
        <v>1990</v>
      </c>
      <c r="C232" s="16" t="s">
        <v>1990</v>
      </c>
      <c r="D232" s="71" t="s">
        <v>87</v>
      </c>
      <c r="E232" s="71" t="s">
        <v>59</v>
      </c>
      <c r="F232" s="18"/>
      <c r="G232" s="18">
        <v>46234</v>
      </c>
      <c r="H232" s="71"/>
      <c r="I232" s="72" t="str">
        <f t="shared" si="4"/>
        <v>WBS: ניידת 57
שם פרויקט: קדם ניידות 
מנה״פ: גולן, לירון
יעד תכנית פיתוח: 00/01/1900
יעד מסתמן: 31/07/2026</v>
      </c>
      <c r="J232" s="31" t="s">
        <v>2036</v>
      </c>
      <c r="K232" s="31" t="s">
        <v>2036</v>
      </c>
      <c r="L232" s="31" t="s">
        <v>2037</v>
      </c>
      <c r="M232" s="31" t="s">
        <v>2038</v>
      </c>
      <c r="N232" s="31" t="s">
        <v>2039</v>
      </c>
      <c r="O232" s="31" t="s">
        <v>2039</v>
      </c>
      <c r="P232" s="31" t="s">
        <v>2039</v>
      </c>
      <c r="Q232" s="31" t="s">
        <v>2040</v>
      </c>
      <c r="R232" s="157" t="s">
        <v>2041</v>
      </c>
      <c r="S232" s="157" t="s">
        <v>2041</v>
      </c>
      <c r="T232" s="157" t="s">
        <v>2041</v>
      </c>
      <c r="U232" s="157" t="s">
        <v>2041</v>
      </c>
      <c r="V232" s="157" t="s">
        <v>2041</v>
      </c>
      <c r="W232" s="157" t="s">
        <v>2042</v>
      </c>
      <c r="X232" s="199" t="s">
        <v>2248</v>
      </c>
      <c r="Y232" s="199" t="s">
        <v>2248</v>
      </c>
      <c r="Z232" s="51" t="s">
        <v>2043</v>
      </c>
      <c r="AA232" s="78" t="s">
        <v>39</v>
      </c>
      <c r="AB232" s="79"/>
      <c r="AC232" s="72"/>
      <c r="AD232" s="62"/>
      <c r="AE232" s="62"/>
    </row>
    <row r="233" spans="1:31" s="130" customFormat="1" ht="135" x14ac:dyDescent="0.2">
      <c r="A233" s="15" t="s">
        <v>2045</v>
      </c>
      <c r="B233" s="16" t="s">
        <v>1990</v>
      </c>
      <c r="C233" s="16" t="s">
        <v>1990</v>
      </c>
      <c r="D233" s="71" t="s">
        <v>87</v>
      </c>
      <c r="E233" s="71" t="s">
        <v>59</v>
      </c>
      <c r="F233" s="18"/>
      <c r="G233" s="18">
        <v>46265</v>
      </c>
      <c r="H233" s="71"/>
      <c r="I233" s="72" t="str">
        <f t="shared" si="4"/>
        <v>WBS: ניידת 58
שם פרויקט: קדם ניידות 
מנה״פ: גולן, לירון
יעד תכנית פיתוח: 00/01/1900
יעד מסתמן: 31/08/2026</v>
      </c>
      <c r="J233" s="31" t="s">
        <v>2046</v>
      </c>
      <c r="K233" s="31" t="s">
        <v>2047</v>
      </c>
      <c r="L233" s="31" t="s">
        <v>2048</v>
      </c>
      <c r="M233" s="31" t="s">
        <v>2049</v>
      </c>
      <c r="N233" s="31" t="s">
        <v>2050</v>
      </c>
      <c r="O233" s="31" t="s">
        <v>2050</v>
      </c>
      <c r="P233" s="31" t="s">
        <v>2050</v>
      </c>
      <c r="Q233" s="31" t="s">
        <v>2051</v>
      </c>
      <c r="R233" s="157" t="s">
        <v>2051</v>
      </c>
      <c r="S233" s="157" t="s">
        <v>2051</v>
      </c>
      <c r="T233" s="157" t="s">
        <v>2051</v>
      </c>
      <c r="U233" s="157" t="s">
        <v>2052</v>
      </c>
      <c r="V233" s="157" t="s">
        <v>2052</v>
      </c>
      <c r="W233" s="157" t="s">
        <v>2053</v>
      </c>
      <c r="X233" s="199" t="s">
        <v>2054</v>
      </c>
      <c r="Y233" s="199" t="s">
        <v>2247</v>
      </c>
      <c r="Z233" s="51"/>
      <c r="AA233" s="78"/>
      <c r="AB233" s="79"/>
      <c r="AC233" s="72"/>
      <c r="AD233" s="62" t="s">
        <v>32</v>
      </c>
      <c r="AE233" s="62"/>
    </row>
    <row r="234" spans="1:31" s="130" customFormat="1" ht="129" customHeight="1" x14ac:dyDescent="0.2">
      <c r="A234" s="15" t="s">
        <v>2055</v>
      </c>
      <c r="B234" s="16" t="s">
        <v>1990</v>
      </c>
      <c r="C234" s="16" t="s">
        <v>1990</v>
      </c>
      <c r="D234" s="71" t="s">
        <v>87</v>
      </c>
      <c r="E234" s="71" t="s">
        <v>59</v>
      </c>
      <c r="F234" s="18"/>
      <c r="G234" s="18">
        <v>46265</v>
      </c>
      <c r="H234" s="71"/>
      <c r="I234" s="72" t="str">
        <f t="shared" si="3"/>
        <v>WBS: ניידת 59
שם פרויקט: קדם ניידות 
מנה״פ: גולן, לירון
יעד תכנית פיתוח: 00/01/1900
יעד מסתמן: 31/08/2026</v>
      </c>
      <c r="J234" s="31" t="s">
        <v>2046</v>
      </c>
      <c r="K234" s="31" t="s">
        <v>2046</v>
      </c>
      <c r="L234" s="31" t="s">
        <v>2056</v>
      </c>
      <c r="M234" s="31" t="s">
        <v>2057</v>
      </c>
      <c r="N234" s="31" t="s">
        <v>2058</v>
      </c>
      <c r="O234" s="31" t="s">
        <v>2058</v>
      </c>
      <c r="P234" s="31" t="s">
        <v>2058</v>
      </c>
      <c r="Q234" s="31" t="s">
        <v>2059</v>
      </c>
      <c r="R234" s="157" t="s">
        <v>2059</v>
      </c>
      <c r="S234" s="157" t="s">
        <v>2059</v>
      </c>
      <c r="T234" s="157" t="s">
        <v>2059</v>
      </c>
      <c r="U234" s="157" t="s">
        <v>2060</v>
      </c>
      <c r="V234" s="157" t="s">
        <v>2060</v>
      </c>
      <c r="W234" s="157" t="s">
        <v>2061</v>
      </c>
      <c r="X234" s="199" t="s">
        <v>2054</v>
      </c>
      <c r="Y234" s="199" t="s">
        <v>2247</v>
      </c>
      <c r="Z234" s="51"/>
      <c r="AA234" s="121"/>
      <c r="AB234" s="119"/>
      <c r="AC234" s="72"/>
      <c r="AD234" s="62" t="s">
        <v>32</v>
      </c>
      <c r="AE234" s="62"/>
    </row>
    <row r="235" spans="1:31" s="130" customFormat="1" ht="149.25" customHeight="1" x14ac:dyDescent="0.2">
      <c r="A235" s="37" t="s">
        <v>2062</v>
      </c>
      <c r="B235" s="38" t="s">
        <v>2063</v>
      </c>
      <c r="C235" s="39" t="s">
        <v>473</v>
      </c>
      <c r="D235" s="115" t="s">
        <v>55</v>
      </c>
      <c r="E235" s="115" t="s">
        <v>56</v>
      </c>
      <c r="F235" s="18">
        <f>VLOOKUP(טבלה13[[#This Row],[זיהוי]],'[1]Unsaved_15008758 (1)'!$A:$D,4,FALSE)</f>
        <v>46568</v>
      </c>
      <c r="G235" s="40">
        <v>46568</v>
      </c>
      <c r="H235" s="115" t="s">
        <v>63</v>
      </c>
      <c r="I235" s="116" t="str">
        <f t="shared" ref="I235:I236" si="5">"WBS: " &amp; A235 &amp; CHAR(10) &amp;
"שם פרויקט: " &amp; B235 &amp; CHAR(10) &amp;
"מנה״פ: " &amp; D235 &amp; CHAR(10) &amp;
"יעד תכנית פיתוח: " &amp; TEXT(F235,"dd/mm/yyyy") &amp; CHAR(10) &amp;
"יעד מסתמן: " &amp; TEXT(G235,"dd/mm/yyyy")</f>
        <v>WBS: WBM-40636
שם פרויקט: הרצליה – הוספת 10 שדות מ"ג בעלי יציאות תת קרקעיות בכבלים
מנה״פ: אוברקוביץ, ענת
יעד תכנית פיתוח: 30/06/2027
יעד מסתמן: 30/06/2027</v>
      </c>
      <c r="J235" s="31" t="s">
        <v>2064</v>
      </c>
      <c r="K235" s="31" t="s">
        <v>2064</v>
      </c>
      <c r="L235" s="31" t="s">
        <v>2064</v>
      </c>
      <c r="M235" s="31" t="s">
        <v>2064</v>
      </c>
      <c r="N235" s="31" t="s">
        <v>2064</v>
      </c>
      <c r="O235" s="31" t="s">
        <v>2065</v>
      </c>
      <c r="P235" s="31" t="s">
        <v>2065</v>
      </c>
      <c r="Q235" s="31" t="s">
        <v>2065</v>
      </c>
      <c r="R235" s="157" t="s">
        <v>2066</v>
      </c>
      <c r="S235" s="157" t="s">
        <v>2067</v>
      </c>
      <c r="T235" s="157" t="s">
        <v>2068</v>
      </c>
      <c r="U235" s="157" t="s">
        <v>2069</v>
      </c>
      <c r="V235" s="157" t="s">
        <v>2069</v>
      </c>
      <c r="W235" s="157" t="s">
        <v>2069</v>
      </c>
      <c r="X235" s="199" t="s">
        <v>2070</v>
      </c>
      <c r="Y235" s="199" t="s">
        <v>2267</v>
      </c>
      <c r="Z235" s="31" t="s">
        <v>933</v>
      </c>
      <c r="AA235" s="108"/>
      <c r="AB235" s="109"/>
      <c r="AC235" s="72"/>
      <c r="AD235" s="62"/>
      <c r="AE235" s="62"/>
    </row>
    <row r="236" spans="1:31" s="130" customFormat="1" ht="168.75" customHeight="1" x14ac:dyDescent="0.2">
      <c r="A236" s="37" t="s">
        <v>2071</v>
      </c>
      <c r="B236" s="38" t="s">
        <v>2072</v>
      </c>
      <c r="C236" s="39" t="s">
        <v>473</v>
      </c>
      <c r="D236" s="115" t="s">
        <v>55</v>
      </c>
      <c r="E236" s="115" t="s">
        <v>56</v>
      </c>
      <c r="F236" s="18">
        <f>VLOOKUP(טבלה13[[#This Row],[זיהוי]],'[1]Unsaved_15008758 (1)'!$A:$D,4,FALSE)</f>
        <v>46568</v>
      </c>
      <c r="G236" s="40">
        <v>46568</v>
      </c>
      <c r="H236" s="71" t="s">
        <v>19</v>
      </c>
      <c r="I236" s="116" t="str">
        <f t="shared" si="5"/>
        <v>WBS: WBM-40287
שם פרויקט: הרצליה -החלפת מ"ז,מנתק, משנק ב: 5,11,7-8
מנה״פ: אוברקוביץ, ענת
יעד תכנית פיתוח: 30/06/2027
יעד מסתמן: 30/06/2027</v>
      </c>
      <c r="J236" s="31" t="s">
        <v>2073</v>
      </c>
      <c r="K236" s="31" t="s">
        <v>2073</v>
      </c>
      <c r="L236" s="31" t="s">
        <v>2073</v>
      </c>
      <c r="M236" s="31" t="s">
        <v>2074</v>
      </c>
      <c r="N236" s="31" t="s">
        <v>2075</v>
      </c>
      <c r="O236" s="31" t="s">
        <v>2076</v>
      </c>
      <c r="P236" s="31" t="s">
        <v>2076</v>
      </c>
      <c r="Q236" s="31" t="s">
        <v>1445</v>
      </c>
      <c r="R236" s="157" t="s">
        <v>2077</v>
      </c>
      <c r="S236" s="157" t="s">
        <v>2077</v>
      </c>
      <c r="T236" s="157" t="s">
        <v>2077</v>
      </c>
      <c r="U236" s="157" t="s">
        <v>2077</v>
      </c>
      <c r="V236" s="157" t="s">
        <v>2077</v>
      </c>
      <c r="W236" s="157" t="s">
        <v>2077</v>
      </c>
      <c r="X236" s="199" t="s">
        <v>2077</v>
      </c>
      <c r="Y236" s="199" t="s">
        <v>2077</v>
      </c>
      <c r="Z236" s="31" t="s">
        <v>2078</v>
      </c>
      <c r="AA236" s="115" t="s">
        <v>39</v>
      </c>
      <c r="AB236" s="115"/>
      <c r="AC236" s="72"/>
      <c r="AD236" s="62"/>
      <c r="AE236" s="62"/>
    </row>
    <row r="237" spans="1:31" ht="15" x14ac:dyDescent="0.2">
      <c r="A237" s="35" t="s">
        <v>2079</v>
      </c>
      <c r="B237" s="122" t="s">
        <v>2080</v>
      </c>
      <c r="C237" s="39" t="s">
        <v>473</v>
      </c>
      <c r="D237" s="71" t="s">
        <v>80</v>
      </c>
      <c r="E237" s="71" t="s">
        <v>66</v>
      </c>
      <c r="F237" s="18">
        <f>VLOOKUP(טבלה13[[#This Row],[זיהוי]],'[1]Unsaved_15008758 (1)'!$A:$D,4,FALSE)</f>
        <v>46142</v>
      </c>
      <c r="G237" s="40" t="s">
        <v>2081</v>
      </c>
      <c r="H237" s="115"/>
      <c r="I237" s="116" t="str">
        <f t="shared" ref="I237:I242" si="6">"WBS: " &amp; A237 &amp; CHAR(10) &amp;
"שם פרויקט: " &amp; B237 &amp; CHAR(10) &amp;
"מנה״פ: " &amp; D237 &amp; CHAR(10) &amp;
"יעד תכנית פיתוח: " &amp; TEXT(F237,"dd/mm/yyyy") &amp; CHAR(10) &amp;
"יעד מסתמן: " &amp; TEXT(G237,"dd/mm/yyyy")</f>
        <v>WBS: WBM-10494
שם פרויקט: מנחת-הוספת מכולה מס' 2 לניצול השנאי במלואו
מנה״פ: בן חמו, דביר 
יעד תכנית פיתוח: 30/04/2026
יעד מסתמן: לא ניתן להתייחס כעת</v>
      </c>
      <c r="J237" s="31" t="s">
        <v>2082</v>
      </c>
      <c r="K237" s="31" t="s">
        <v>2083</v>
      </c>
      <c r="L237" s="31" t="s">
        <v>2083</v>
      </c>
      <c r="M237" s="31" t="s">
        <v>2084</v>
      </c>
      <c r="N237" s="31" t="s">
        <v>2085</v>
      </c>
      <c r="O237" s="31" t="s">
        <v>2085</v>
      </c>
      <c r="P237" s="31"/>
      <c r="Q237" s="148" t="s">
        <v>2086</v>
      </c>
      <c r="R237" s="171" t="s">
        <v>2086</v>
      </c>
      <c r="S237" s="171" t="s">
        <v>2087</v>
      </c>
      <c r="T237" s="171" t="s">
        <v>2088</v>
      </c>
      <c r="U237" s="171" t="s">
        <v>2088</v>
      </c>
      <c r="V237" s="171" t="s">
        <v>2089</v>
      </c>
      <c r="W237" s="171" t="s">
        <v>2090</v>
      </c>
      <c r="X237" s="212" t="s">
        <v>2090</v>
      </c>
      <c r="Y237" s="171" t="s">
        <v>2286</v>
      </c>
      <c r="Z237" s="31"/>
      <c r="AA237" s="28" t="s">
        <v>68</v>
      </c>
      <c r="AB237" s="115"/>
      <c r="AC237" s="72"/>
      <c r="AD237" s="62"/>
      <c r="AE237" s="62"/>
    </row>
    <row r="238" spans="1:31" ht="30" x14ac:dyDescent="0.2">
      <c r="A238" s="35" t="s">
        <v>2091</v>
      </c>
      <c r="B238" s="122" t="s">
        <v>2092</v>
      </c>
      <c r="C238" s="39" t="s">
        <v>473</v>
      </c>
      <c r="D238" s="71" t="s">
        <v>80</v>
      </c>
      <c r="E238" s="71" t="s">
        <v>66</v>
      </c>
      <c r="F238" s="18">
        <f>VLOOKUP(טבלה13[[#This Row],[זיהוי]],'[1]Unsaved_15008758 (1)'!$A:$D,4,FALSE)</f>
        <v>46203</v>
      </c>
      <c r="G238" s="40" t="s">
        <v>2081</v>
      </c>
      <c r="H238" s="115"/>
      <c r="I238" s="116" t="str">
        <f t="shared" si="6"/>
        <v>WBS: WBM-70025
שם פרויקט: הרטוב - החלפת משנה זרם בשדה 9 משיק wbo-614
מנה״פ: בן חמו, דביר 
יעד תכנית פיתוח: 30/06/2026
יעד מסתמן: לא ניתן להתייחס כעת</v>
      </c>
      <c r="J238" s="31" t="s">
        <v>2093</v>
      </c>
      <c r="K238" s="31" t="s">
        <v>2093</v>
      </c>
      <c r="L238" s="31" t="s">
        <v>2094</v>
      </c>
      <c r="M238" s="31" t="s">
        <v>2094</v>
      </c>
      <c r="N238" s="31" t="s">
        <v>2095</v>
      </c>
      <c r="O238" s="31" t="s">
        <v>2095</v>
      </c>
      <c r="P238" s="31"/>
      <c r="Q238" s="148" t="s">
        <v>2096</v>
      </c>
      <c r="R238" s="171" t="s">
        <v>2096</v>
      </c>
      <c r="S238" s="171" t="s">
        <v>2096</v>
      </c>
      <c r="T238" s="171" t="s">
        <v>2096</v>
      </c>
      <c r="U238" s="171" t="s">
        <v>2096</v>
      </c>
      <c r="V238" s="171" t="s">
        <v>2096</v>
      </c>
      <c r="W238" s="171" t="s">
        <v>2097</v>
      </c>
      <c r="X238" s="212" t="s">
        <v>2097</v>
      </c>
      <c r="Y238" s="171" t="s">
        <v>2287</v>
      </c>
      <c r="Z238" s="171" t="s">
        <v>2097</v>
      </c>
      <c r="AA238" s="28"/>
      <c r="AB238" s="115"/>
      <c r="AC238" s="72"/>
      <c r="AD238" s="62"/>
      <c r="AE238" s="62"/>
    </row>
    <row r="239" spans="1:31" ht="30" x14ac:dyDescent="0.2">
      <c r="A239" s="35" t="s">
        <v>2098</v>
      </c>
      <c r="B239" s="122" t="s">
        <v>2099</v>
      </c>
      <c r="C239" s="39" t="s">
        <v>473</v>
      </c>
      <c r="D239" s="71" t="s">
        <v>80</v>
      </c>
      <c r="E239" s="71" t="s">
        <v>66</v>
      </c>
      <c r="F239" s="18">
        <f>VLOOKUP(טבלה13[[#This Row],[זיהוי]],'[1]Unsaved_15008758 (1)'!$A:$D,4,FALSE)</f>
        <v>46142</v>
      </c>
      <c r="G239" s="40" t="s">
        <v>2081</v>
      </c>
      <c r="H239" s="115"/>
      <c r="I239" s="116" t="str">
        <f t="shared" si="6"/>
        <v>WBS: WBM-70002
שם פרויקט: החלפת מ"ז, מנתק ומשנק סשדה 5
מנה״פ: בן חמו, דביר 
יעד תכנית פיתוח: 30/04/2026
יעד מסתמן: לא ניתן להתייחס כעת</v>
      </c>
      <c r="J239" s="31" t="s">
        <v>2093</v>
      </c>
      <c r="K239" s="31" t="s">
        <v>2093</v>
      </c>
      <c r="L239" s="31" t="s">
        <v>2094</v>
      </c>
      <c r="M239" s="31" t="s">
        <v>2094</v>
      </c>
      <c r="N239" s="31" t="s">
        <v>2094</v>
      </c>
      <c r="O239" s="31" t="s">
        <v>2094</v>
      </c>
      <c r="P239" s="31"/>
      <c r="Q239" s="148" t="s">
        <v>2094</v>
      </c>
      <c r="R239" s="171" t="s">
        <v>2100</v>
      </c>
      <c r="S239" s="171" t="s">
        <v>2100</v>
      </c>
      <c r="T239" s="171" t="s">
        <v>2101</v>
      </c>
      <c r="U239" s="171" t="s">
        <v>2101</v>
      </c>
      <c r="V239" s="171" t="s">
        <v>2102</v>
      </c>
      <c r="W239" s="171" t="s">
        <v>2097</v>
      </c>
      <c r="X239" s="158" t="s">
        <v>1202</v>
      </c>
      <c r="Y239" s="158" t="s">
        <v>1202</v>
      </c>
      <c r="Z239" s="51" t="s">
        <v>1203</v>
      </c>
      <c r="AA239" s="28" t="s">
        <v>68</v>
      </c>
      <c r="AB239" s="115"/>
      <c r="AC239" s="72"/>
      <c r="AD239" s="62"/>
      <c r="AE239" s="62"/>
    </row>
    <row r="240" spans="1:31" ht="105" x14ac:dyDescent="0.2">
      <c r="A240" s="35" t="s">
        <v>2103</v>
      </c>
      <c r="B240" s="122" t="s">
        <v>2104</v>
      </c>
      <c r="C240" s="39" t="s">
        <v>473</v>
      </c>
      <c r="D240" s="71" t="s">
        <v>80</v>
      </c>
      <c r="E240" s="71" t="s">
        <v>66</v>
      </c>
      <c r="F240" s="18">
        <f>VLOOKUP(טבלה13[[#This Row],[זיהוי]],'[1]Unsaved_15008758 (1)'!$A:$D,4,FALSE)</f>
        <v>46203</v>
      </c>
      <c r="G240" s="40" t="s">
        <v>2081</v>
      </c>
      <c r="H240" s="115"/>
      <c r="I240" s="116" t="str">
        <f t="shared" si="6"/>
        <v>WBS: WBM-01447
שם פרויקט: ירושלים ה-פירוק והתקנת סוללות קבלים עבור שנאים 511, 512, 513
מנה״פ: בן חמו, דביר 
יעד תכנית פיתוח: 30/06/2026
יעד מסתמן: לא ניתן להתייחס כעת</v>
      </c>
      <c r="J240" s="31" t="s">
        <v>2105</v>
      </c>
      <c r="K240" s="31" t="s">
        <v>2106</v>
      </c>
      <c r="L240" s="31" t="s">
        <v>2106</v>
      </c>
      <c r="M240" s="31" t="s">
        <v>2107</v>
      </c>
      <c r="N240" s="31" t="s">
        <v>2107</v>
      </c>
      <c r="O240" s="31" t="s">
        <v>2107</v>
      </c>
      <c r="P240" s="31"/>
      <c r="Q240" s="148" t="s">
        <v>2107</v>
      </c>
      <c r="R240" s="171" t="s">
        <v>2107</v>
      </c>
      <c r="S240" s="171" t="s">
        <v>2107</v>
      </c>
      <c r="T240" s="171" t="s">
        <v>2107</v>
      </c>
      <c r="U240" s="171" t="s">
        <v>2107</v>
      </c>
      <c r="V240" s="171" t="s">
        <v>2107</v>
      </c>
      <c r="W240" s="171" t="s">
        <v>2107</v>
      </c>
      <c r="X240" s="212" t="s">
        <v>2107</v>
      </c>
      <c r="Y240" s="212" t="s">
        <v>2107</v>
      </c>
      <c r="Z240" s="31"/>
      <c r="AA240" s="28"/>
      <c r="AB240" s="115"/>
      <c r="AC240" s="72"/>
      <c r="AD240" s="62" t="s">
        <v>32</v>
      </c>
      <c r="AE240" s="62"/>
    </row>
    <row r="241" spans="1:31" ht="60" x14ac:dyDescent="0.2">
      <c r="A241" s="35" t="s">
        <v>2108</v>
      </c>
      <c r="B241" s="123" t="s">
        <v>2109</v>
      </c>
      <c r="C241" s="39" t="s">
        <v>473</v>
      </c>
      <c r="D241" s="115" t="s">
        <v>80</v>
      </c>
      <c r="E241" s="71" t="s">
        <v>66</v>
      </c>
      <c r="F241" s="18">
        <f>VLOOKUP(טבלה13[[#This Row],[זיהוי]],'[1]Unsaved_15008758 (1)'!$A:$D,4,FALSE)</f>
        <v>46203</v>
      </c>
      <c r="G241" s="40">
        <v>46507</v>
      </c>
      <c r="H241" s="115"/>
      <c r="I241" s="116" t="str">
        <f t="shared" si="6"/>
        <v>WBS: WBM-70040
שם פרויקט: תעשיה אדומים – התקנת  12 מודולים של סק
מנה״פ: בן חמו, דביר 
יעד תכנית פיתוח: 30/06/2026
יעד מסתמן: 30/04/2027</v>
      </c>
      <c r="J241" s="31" t="s">
        <v>2110</v>
      </c>
      <c r="K241" s="31" t="s">
        <v>2110</v>
      </c>
      <c r="L241" s="31" t="s">
        <v>2110</v>
      </c>
      <c r="M241" s="31" t="s">
        <v>1222</v>
      </c>
      <c r="N241" s="31" t="s">
        <v>1222</v>
      </c>
      <c r="O241" s="31" t="s">
        <v>1222</v>
      </c>
      <c r="P241" s="31"/>
      <c r="Q241" s="150" t="s">
        <v>1222</v>
      </c>
      <c r="R241" s="177" t="s">
        <v>1222</v>
      </c>
      <c r="S241" s="177" t="s">
        <v>1222</v>
      </c>
      <c r="T241" s="177" t="s">
        <v>1222</v>
      </c>
      <c r="U241" s="177" t="s">
        <v>2111</v>
      </c>
      <c r="V241" s="171" t="s">
        <v>2112</v>
      </c>
      <c r="W241" s="171" t="s">
        <v>2113</v>
      </c>
      <c r="X241" s="212" t="s">
        <v>2113</v>
      </c>
      <c r="Y241" s="212" t="s">
        <v>2113</v>
      </c>
      <c r="Z241" s="31"/>
      <c r="AA241" s="115"/>
      <c r="AB241" s="115"/>
      <c r="AC241" s="72"/>
      <c r="AD241" s="62" t="s">
        <v>32</v>
      </c>
      <c r="AE241" s="62"/>
    </row>
    <row r="242" spans="1:31" ht="195" x14ac:dyDescent="0.2">
      <c r="A242" s="37" t="s">
        <v>2114</v>
      </c>
      <c r="B242" s="38" t="s">
        <v>2115</v>
      </c>
      <c r="C242" s="17" t="s">
        <v>33</v>
      </c>
      <c r="D242" s="71" t="s">
        <v>34</v>
      </c>
      <c r="E242" s="71" t="s">
        <v>70</v>
      </c>
      <c r="F242" s="18">
        <f>VLOOKUP(טבלה13[[#This Row],[זיהוי]],'[1]Unsaved_15008758 (1)'!$A:$D,4,FALSE)</f>
        <v>47452</v>
      </c>
      <c r="G242" s="25">
        <v>47423</v>
      </c>
      <c r="H242" s="115" t="s">
        <v>22</v>
      </c>
      <c r="I242" s="116" t="str">
        <f t="shared" si="6"/>
        <v>WBS: WBC-131
שם פרויקט: תחמ"ש רעננה מערב
מנה״פ: מזרחי, סולי
יעד תכנית פיתוח: 30/11/2029
יעד מסתמן: 01/11/2029</v>
      </c>
      <c r="J242" s="31" t="s">
        <v>2116</v>
      </c>
      <c r="K242" s="31" t="s">
        <v>2117</v>
      </c>
      <c r="L242" s="31" t="s">
        <v>2118</v>
      </c>
      <c r="M242" s="31" t="s">
        <v>2119</v>
      </c>
      <c r="N242" s="31" t="s">
        <v>2120</v>
      </c>
      <c r="O242" s="31" t="s">
        <v>2120</v>
      </c>
      <c r="P242" s="31" t="s">
        <v>2121</v>
      </c>
      <c r="Q242" s="31" t="s">
        <v>2121</v>
      </c>
      <c r="R242" s="157" t="s">
        <v>2121</v>
      </c>
      <c r="S242" s="157" t="s">
        <v>2122</v>
      </c>
      <c r="T242" s="157" t="s">
        <v>2122</v>
      </c>
      <c r="U242" s="157" t="s">
        <v>2123</v>
      </c>
      <c r="V242" s="76" t="s">
        <v>2123</v>
      </c>
      <c r="W242" s="76" t="s">
        <v>2124</v>
      </c>
      <c r="X242" s="198" t="s">
        <v>2124</v>
      </c>
      <c r="Y242" s="198" t="s">
        <v>2124</v>
      </c>
      <c r="Z242" s="31"/>
      <c r="AA242" s="115"/>
      <c r="AB242" s="115"/>
      <c r="AC242" s="72"/>
      <c r="AD242" s="62"/>
      <c r="AE242" s="62"/>
    </row>
    <row r="243" spans="1:31" ht="409.5" x14ac:dyDescent="0.2">
      <c r="A243" s="37" t="s">
        <v>2125</v>
      </c>
      <c r="B243" s="38" t="s">
        <v>2126</v>
      </c>
      <c r="C243" s="39" t="s">
        <v>33</v>
      </c>
      <c r="D243" s="115" t="s">
        <v>77</v>
      </c>
      <c r="E243" s="115" t="s">
        <v>72</v>
      </c>
      <c r="F243" s="18">
        <f>VLOOKUP(טבלה13[[#This Row],[זיהוי]],'[1]Unsaved_15008758 (1)'!$A:$D,4,FALSE)</f>
        <v>47573</v>
      </c>
      <c r="G243" s="25">
        <v>47572</v>
      </c>
      <c r="H243" s="115" t="s">
        <v>57</v>
      </c>
      <c r="I243" s="116" t="str">
        <f>"WBS: " &amp; A243 &amp; CHAR(10) &amp;
"שם פרויקט: " &amp; B243 &amp; CHAR(10) &amp;
"מנה״פ: " &amp; D243 &amp; CHAR(10) &amp;
"יעד תכנית פיתוח: " &amp; TEXT(F243,"dd/mm/yyyy") &amp; CHAR(10) &amp;
"יעד מסתמן: " &amp; TEXT(G243,"dd/mm/yyyy")</f>
        <v>WBS: WBC-104
שם פרויקט: בית אליעזר-הקמת תחמ"ש פנימית 161/24
מנה״פ: ארליך-בקיש, רחלי
יעד תכנית פיתוח: 31/03/2030
יעד מסתמן: 30/03/2030</v>
      </c>
      <c r="J243" s="31" t="s">
        <v>2127</v>
      </c>
      <c r="K243" s="31" t="s">
        <v>2128</v>
      </c>
      <c r="L243" s="31" t="s">
        <v>2129</v>
      </c>
      <c r="M243" s="31" t="s">
        <v>2129</v>
      </c>
      <c r="N243" s="31" t="s">
        <v>2130</v>
      </c>
      <c r="O243" s="31" t="s">
        <v>2130</v>
      </c>
      <c r="P243" s="31" t="s">
        <v>2130</v>
      </c>
      <c r="Q243" s="31" t="s">
        <v>2131</v>
      </c>
      <c r="R243" s="157" t="s">
        <v>2132</v>
      </c>
      <c r="S243" s="157" t="s">
        <v>2132</v>
      </c>
      <c r="T243" s="157" t="s">
        <v>2132</v>
      </c>
      <c r="U243" s="157" t="s">
        <v>2132</v>
      </c>
      <c r="V243" s="157" t="s">
        <v>2132</v>
      </c>
      <c r="W243" s="157" t="s">
        <v>2132</v>
      </c>
      <c r="X243" s="199" t="s">
        <v>2133</v>
      </c>
      <c r="Y243" s="199" t="s">
        <v>2133</v>
      </c>
      <c r="Z243" s="31"/>
      <c r="AA243" s="115" t="s">
        <v>39</v>
      </c>
      <c r="AB243" s="115"/>
      <c r="AC243" s="72"/>
      <c r="AD243" s="62"/>
      <c r="AE243" s="62"/>
    </row>
    <row r="244" spans="1:31" ht="30" x14ac:dyDescent="0.2">
      <c r="A244" s="15" t="s">
        <v>2134</v>
      </c>
      <c r="B244" s="26" t="s">
        <v>2135</v>
      </c>
      <c r="C244" s="48" t="s">
        <v>40</v>
      </c>
      <c r="D244" s="71" t="s">
        <v>1852</v>
      </c>
      <c r="E244" s="71" t="s">
        <v>1852</v>
      </c>
      <c r="F244" s="18">
        <f>VLOOKUP(טבלה13[[#This Row],[זיהוי]],'[1]Unsaved_15008758 (1)'!$A:$D,4,FALSE)</f>
        <v>46934</v>
      </c>
      <c r="G244" s="25"/>
      <c r="H244" s="71" t="s">
        <v>57</v>
      </c>
      <c r="I244" s="62" t="str">
        <f t="shared" ref="I244:I245" si="7">"WBS: " &amp; A244 &amp; CHAR(10) &amp;
"שם פרויקט: " &amp; B244 &amp; CHAR(10) &amp;
"מנה״פ: " &amp; D244 &amp; CHAR(10) &amp;
"יעד תכנית פיתוח: " &amp; TEXT(F244,"dd/mm/yyyy") &amp; CHAR(10) &amp;
"יעד מסתמן: " &amp; TEXT(G244,"dd/mm/yyyy")</f>
        <v>WBS: WBE-308
שם פרויקט: הרטוב-החלפת שנאי 524 (שדה 14) מ-33 מגוו"א ל-50 מגוו"א
מנה״פ: טרם הוקצאה
יעד תכנית פיתוח: 30/06/2028
יעד מסתמן: 00/01/1900</v>
      </c>
      <c r="J244" s="31"/>
      <c r="K244" s="31" t="s">
        <v>1853</v>
      </c>
      <c r="L244" s="31" t="s">
        <v>1853</v>
      </c>
      <c r="M244" s="31" t="s">
        <v>1853</v>
      </c>
      <c r="N244" s="31" t="s">
        <v>1853</v>
      </c>
      <c r="O244" s="31" t="s">
        <v>1853</v>
      </c>
      <c r="P244" s="71" t="s">
        <v>57</v>
      </c>
      <c r="Q244" s="71" t="s">
        <v>57</v>
      </c>
      <c r="R244" s="176" t="s">
        <v>57</v>
      </c>
      <c r="S244" s="176" t="s">
        <v>57</v>
      </c>
      <c r="T244" s="176" t="s">
        <v>57</v>
      </c>
      <c r="U244" s="176" t="s">
        <v>57</v>
      </c>
      <c r="V244" s="176" t="s">
        <v>57</v>
      </c>
      <c r="W244" s="176" t="s">
        <v>57</v>
      </c>
      <c r="X244" s="219" t="s">
        <v>57</v>
      </c>
      <c r="Y244" s="219" t="s">
        <v>57</v>
      </c>
      <c r="Z244" s="51"/>
      <c r="AA244" s="71"/>
      <c r="AB244" s="71"/>
      <c r="AC244" s="72"/>
      <c r="AD244" s="62"/>
      <c r="AE244" s="62"/>
    </row>
    <row r="245" spans="1:31" ht="45" x14ac:dyDescent="0.2">
      <c r="A245" s="35" t="s">
        <v>2136</v>
      </c>
      <c r="B245" s="38" t="s">
        <v>2137</v>
      </c>
      <c r="C245" s="39" t="s">
        <v>40</v>
      </c>
      <c r="D245" s="115" t="s">
        <v>84</v>
      </c>
      <c r="E245" s="115" t="s">
        <v>59</v>
      </c>
      <c r="F245" s="18">
        <f>VLOOKUP(טבלה13[[#This Row],[זיהוי]],'[1]Unsaved_15008758 (1)'!$A:$D,4,FALSE)</f>
        <v>46934</v>
      </c>
      <c r="G245" s="40">
        <v>46934</v>
      </c>
      <c r="H245" s="115" t="s">
        <v>20</v>
      </c>
      <c r="I245" s="116" t="str">
        <f t="shared" si="7"/>
        <v>WBS: WBE-315
שם פרויקט: חריש-התקנת שנאי שלישי 161/24 ק"ו, 50 מגוו"א. 
מנה״פ: ברח'ד, טובה
יעד תכנית פיתוח: 30/06/2028
יעד מסתמן: 30/06/2028</v>
      </c>
      <c r="J245" s="31"/>
      <c r="K245" s="31" t="s">
        <v>2138</v>
      </c>
      <c r="L245" s="31" t="s">
        <v>2138</v>
      </c>
      <c r="M245" s="31" t="s">
        <v>2138</v>
      </c>
      <c r="N245" s="31" t="s">
        <v>2138</v>
      </c>
      <c r="O245" s="31" t="s">
        <v>2139</v>
      </c>
      <c r="P245" s="31" t="s">
        <v>2140</v>
      </c>
      <c r="Q245" s="31" t="s">
        <v>2140</v>
      </c>
      <c r="R245" s="157" t="s">
        <v>2141</v>
      </c>
      <c r="S245" s="157" t="s">
        <v>2142</v>
      </c>
      <c r="T245" s="157" t="s">
        <v>2141</v>
      </c>
      <c r="U245" s="157" t="s">
        <v>2143</v>
      </c>
      <c r="V245" s="157" t="s">
        <v>2143</v>
      </c>
      <c r="W245" s="157" t="s">
        <v>2143</v>
      </c>
      <c r="X245" s="199" t="s">
        <v>2143</v>
      </c>
      <c r="Y245" s="199" t="s">
        <v>2143</v>
      </c>
      <c r="Z245" s="31"/>
      <c r="AA245" s="29"/>
      <c r="AB245" s="115"/>
      <c r="AC245" s="72"/>
      <c r="AD245" s="62"/>
      <c r="AE245" s="62"/>
    </row>
    <row r="246" spans="1:31" ht="90" x14ac:dyDescent="0.2">
      <c r="A246" s="15" t="s">
        <v>2144</v>
      </c>
      <c r="B246" s="16" t="s">
        <v>1990</v>
      </c>
      <c r="C246" s="16" t="s">
        <v>1990</v>
      </c>
      <c r="D246" s="71" t="s">
        <v>87</v>
      </c>
      <c r="E246" s="71" t="s">
        <v>59</v>
      </c>
      <c r="F246" s="18"/>
      <c r="G246" s="18">
        <v>46387</v>
      </c>
      <c r="H246" s="71"/>
      <c r="I246" s="72" t="str">
        <f>"WBS: " &amp; A246 &amp; CHAR(10) &amp;
"שם פרויקט: " &amp; B246 &amp; CHAR(10) &amp;
"מנה״פ: " &amp; D246 &amp; CHAR(10) &amp;
"יעד תכנית פיתוח: " &amp; TEXT(F246,"dd/mm/yyyy") &amp; CHAR(10) &amp;
"יעד מסתמן: " &amp; TEXT(G246,"dd/mm/yyyy")</f>
        <v>WBS: ניידת 52
שם פרויקט: קדם ניידות 
מנה״פ: גולן, לירון
יעד תכנית פיתוח: 00/01/1900
יעד מסתמן: 31/12/2026</v>
      </c>
      <c r="J246" s="31" t="s">
        <v>2046</v>
      </c>
      <c r="K246" s="31"/>
      <c r="L246" s="31" t="s">
        <v>2145</v>
      </c>
      <c r="M246" s="31" t="s">
        <v>2146</v>
      </c>
      <c r="N246" s="31" t="s">
        <v>2147</v>
      </c>
      <c r="O246" s="31" t="s">
        <v>2148</v>
      </c>
      <c r="P246" s="31" t="s">
        <v>2149</v>
      </c>
      <c r="Q246" s="31" t="s">
        <v>2150</v>
      </c>
      <c r="R246" s="157" t="s">
        <v>2151</v>
      </c>
      <c r="S246" s="157" t="s">
        <v>2151</v>
      </c>
      <c r="T246" s="157" t="s">
        <v>2151</v>
      </c>
      <c r="U246" s="157" t="s">
        <v>2151</v>
      </c>
      <c r="V246" s="157" t="s">
        <v>2151</v>
      </c>
      <c r="W246" s="157" t="s">
        <v>2151</v>
      </c>
      <c r="X246" s="199" t="s">
        <v>2152</v>
      </c>
      <c r="Y246" s="199" t="s">
        <v>2152</v>
      </c>
      <c r="Z246" s="51"/>
      <c r="AA246" s="46"/>
      <c r="AB246" s="54"/>
      <c r="AC246" s="72"/>
      <c r="AD246" s="62" t="s">
        <v>32</v>
      </c>
      <c r="AE246" s="62"/>
    </row>
    <row r="247" spans="1:31" ht="92.25" customHeight="1" x14ac:dyDescent="0.2">
      <c r="A247" s="35" t="s">
        <v>2153</v>
      </c>
      <c r="B247" s="36" t="s">
        <v>1990</v>
      </c>
      <c r="C247" s="16" t="s">
        <v>1990</v>
      </c>
      <c r="D247" s="115" t="s">
        <v>87</v>
      </c>
      <c r="E247" s="115" t="s">
        <v>59</v>
      </c>
      <c r="F247" s="18"/>
      <c r="G247" s="18">
        <v>46387</v>
      </c>
      <c r="H247" s="115"/>
      <c r="I247" s="133" t="str">
        <f>"WBS: " &amp; A247 &amp; CHAR(10) &amp;
"שם פרויקט: " &amp; B247 &amp; CHAR(10) &amp;
"מנה״פ: " &amp; D247 &amp; CHAR(10) &amp;
"יעד תכנית פיתוח: " &amp; TEXT(F247,"dd/mm/yyyy") &amp; CHAR(10) &amp;
"יעד מסתמן: " &amp; TEXT(G247,"dd/mm/yyyy")</f>
        <v>WBS: ניידת 53
שם פרויקט: קדם ניידות 
מנה״פ: גולן, לירון
יעד תכנית פיתוח: 00/01/1900
יעד מסתמן: 31/12/2026</v>
      </c>
      <c r="J247" s="31" t="s">
        <v>2046</v>
      </c>
      <c r="K247" s="31"/>
      <c r="L247" s="31" t="s">
        <v>2145</v>
      </c>
      <c r="M247" s="31" t="s">
        <v>2145</v>
      </c>
      <c r="N247" s="31" t="s">
        <v>2147</v>
      </c>
      <c r="O247" s="31" t="s">
        <v>2154</v>
      </c>
      <c r="P247" s="31" t="s">
        <v>2149</v>
      </c>
      <c r="Q247" s="31" t="s">
        <v>2150</v>
      </c>
      <c r="R247" s="157" t="s">
        <v>2151</v>
      </c>
      <c r="S247" s="157" t="s">
        <v>2151</v>
      </c>
      <c r="T247" s="157" t="s">
        <v>2151</v>
      </c>
      <c r="U247" s="157" t="s">
        <v>2151</v>
      </c>
      <c r="V247" s="157" t="s">
        <v>2151</v>
      </c>
      <c r="W247" s="76" t="s">
        <v>2151</v>
      </c>
      <c r="X247" s="198" t="s">
        <v>2152</v>
      </c>
      <c r="Y247" s="199" t="s">
        <v>2152</v>
      </c>
      <c r="Z247" s="51"/>
      <c r="AA247" s="136"/>
      <c r="AB247" s="137"/>
      <c r="AC247" s="72"/>
      <c r="AD247" s="62" t="s">
        <v>32</v>
      </c>
      <c r="AE247" s="62"/>
    </row>
    <row r="248" spans="1:31" ht="30" x14ac:dyDescent="0.2">
      <c r="A248" s="27" t="s">
        <v>2155</v>
      </c>
      <c r="B248" s="26" t="s">
        <v>2156</v>
      </c>
      <c r="C248" s="48" t="s">
        <v>40</v>
      </c>
      <c r="D248" s="71" t="s">
        <v>91</v>
      </c>
      <c r="E248" s="71" t="s">
        <v>72</v>
      </c>
      <c r="F248" s="49">
        <v>46934</v>
      </c>
      <c r="G248" s="49"/>
      <c r="H248" s="71"/>
      <c r="I248" s="62" t="e">
        <f>"WBS: " &amp; A248 &amp; CHAR(10) &amp;
"שם פרויקט: " &amp; B248 &amp; CHAR(10) &amp;
"מנה״פ: " &amp; D248 &amp; CHAR(10) &amp;
"יעד תכנית פיתוח: " &amp; TEXT(#REF!,"dd/mm/yyyy") &amp; CHAR(10) &amp;
"יעד מסתמן: " &amp; TEXT(F248,"dd/mm/yyyy")</f>
        <v>#REF!</v>
      </c>
      <c r="J248" s="31"/>
      <c r="K248" s="31"/>
      <c r="L248" s="31"/>
      <c r="M248" s="31"/>
      <c r="N248" s="31"/>
      <c r="O248" s="31"/>
      <c r="P248" s="31"/>
      <c r="Q248" s="31"/>
      <c r="R248" s="157"/>
      <c r="S248" s="157"/>
      <c r="T248" s="157"/>
      <c r="U248" s="76"/>
      <c r="V248" s="76"/>
      <c r="W248" s="193" t="s">
        <v>2157</v>
      </c>
      <c r="X248" s="221" t="s">
        <v>2157</v>
      </c>
      <c r="Y248" s="221" t="s">
        <v>2157</v>
      </c>
      <c r="Z248" s="51"/>
      <c r="AA248" s="71"/>
      <c r="AB248" s="71"/>
      <c r="AC248" s="62"/>
      <c r="AD248" s="62"/>
      <c r="AE248" s="62"/>
    </row>
    <row r="249" spans="1:31" ht="30" x14ac:dyDescent="0.2">
      <c r="A249" s="37" t="s">
        <v>2158</v>
      </c>
      <c r="B249" s="38" t="s">
        <v>2159</v>
      </c>
      <c r="C249" s="39" t="s">
        <v>33</v>
      </c>
      <c r="D249" s="115" t="s">
        <v>89</v>
      </c>
      <c r="E249" s="71" t="s">
        <v>60</v>
      </c>
      <c r="F249" s="49">
        <v>47483</v>
      </c>
      <c r="G249" s="49"/>
      <c r="H249" s="115" t="s">
        <v>20</v>
      </c>
      <c r="I249" s="116" t="e">
        <f>"WBS: " &amp; A249 &amp; CHAR(10) &amp;
"שם פרויקט: " &amp; B249 &amp; CHAR(10) &amp;
"מנה״פ: " &amp; D249 &amp; CHAR(10) &amp;
"יעד תכנית פיתוח: " &amp; TEXT(#REF!,"dd/mm/yyyy") &amp; CHAR(10) &amp;
"יעד מסתמן: " &amp; TEXT(F249,"dd/mm/yyyy")</f>
        <v>#REF!</v>
      </c>
      <c r="J249" s="31"/>
      <c r="K249" s="31"/>
      <c r="L249" s="31"/>
      <c r="M249" s="31"/>
      <c r="N249" s="31"/>
      <c r="O249" s="31"/>
      <c r="P249" s="31"/>
      <c r="Q249" s="31"/>
      <c r="R249" s="157"/>
      <c r="S249" s="157"/>
      <c r="T249" s="157"/>
      <c r="U249" s="157"/>
      <c r="V249" s="157" t="s">
        <v>2160</v>
      </c>
      <c r="W249" s="157" t="s">
        <v>2160</v>
      </c>
      <c r="X249" s="199" t="s">
        <v>2160</v>
      </c>
      <c r="Y249" s="199" t="s">
        <v>2160</v>
      </c>
      <c r="Z249" s="51" t="s">
        <v>2161</v>
      </c>
      <c r="AA249" s="115"/>
      <c r="AB249" s="115"/>
      <c r="AC249" s="116"/>
      <c r="AD249" s="116"/>
      <c r="AE249" s="116"/>
    </row>
    <row r="250" spans="1:31" ht="30" x14ac:dyDescent="0.2">
      <c r="A250" s="37" t="s">
        <v>2162</v>
      </c>
      <c r="B250" s="38" t="s">
        <v>2163</v>
      </c>
      <c r="C250" s="39" t="s">
        <v>40</v>
      </c>
      <c r="D250" s="115" t="s">
        <v>34</v>
      </c>
      <c r="E250" s="71" t="s">
        <v>70</v>
      </c>
      <c r="F250" s="49">
        <v>46325</v>
      </c>
      <c r="G250" s="49"/>
      <c r="H250" s="115"/>
      <c r="I250" s="116" t="e">
        <f>"WBS: " &amp; A250 &amp; CHAR(10) &amp;
"שם פרויקט: " &amp; B250 &amp; CHAR(10) &amp;
"מנה״פ: " &amp; D250 &amp; CHAR(10) &amp;
"יעד תכנית פיתוח: " &amp; TEXT(#REF!,"dd/mm/yyyy") &amp; CHAR(10) &amp;
"יעד מסתמן: " &amp; TEXT(F250,"dd/mm/yyyy")</f>
        <v>#REF!</v>
      </c>
      <c r="J250" s="31"/>
      <c r="K250" s="31"/>
      <c r="L250" s="31"/>
      <c r="M250" s="31"/>
      <c r="N250" s="31"/>
      <c r="O250" s="31"/>
      <c r="P250" s="31"/>
      <c r="Q250" s="31"/>
      <c r="R250" s="157"/>
      <c r="S250" s="157"/>
      <c r="T250" s="157"/>
      <c r="U250" s="157"/>
      <c r="V250" s="76"/>
      <c r="W250" s="157" t="s">
        <v>2164</v>
      </c>
      <c r="X250" s="199" t="s">
        <v>2164</v>
      </c>
      <c r="Y250" s="199" t="s">
        <v>2164</v>
      </c>
      <c r="Z250" s="31"/>
      <c r="AA250" s="115"/>
      <c r="AB250" s="115"/>
      <c r="AC250" s="116"/>
      <c r="AD250" s="116"/>
      <c r="AE250" s="116"/>
    </row>
    <row r="251" spans="1:31" ht="99.75" x14ac:dyDescent="0.2">
      <c r="A251" s="27" t="s">
        <v>2165</v>
      </c>
      <c r="B251" s="26" t="s">
        <v>2166</v>
      </c>
      <c r="C251" s="48" t="s">
        <v>261</v>
      </c>
      <c r="D251" s="71" t="s">
        <v>65</v>
      </c>
      <c r="E251" s="71" t="s">
        <v>66</v>
      </c>
      <c r="F251" s="49">
        <v>46387</v>
      </c>
      <c r="G251" s="49"/>
      <c r="H251" s="71"/>
      <c r="I251" s="62" t="e">
        <f>"WBS: " &amp; A251 &amp; CHAR(10) &amp;
"שם פרויקט: " &amp; B251 &amp; CHAR(10) &amp;
"מנה״פ: " &amp; D251 &amp; CHAR(10) &amp;
"יעד תכנית פיתוח: " &amp; TEXT(#REF!,"dd/mm/yyyy") &amp; CHAR(10) &amp;
"יעד מסתמן: " &amp; TEXT(F251,"dd/mm/yyyy")</f>
        <v>#REF!</v>
      </c>
      <c r="J251" s="31"/>
      <c r="K251" s="31"/>
      <c r="L251" s="31"/>
      <c r="M251" s="31"/>
      <c r="N251" s="31"/>
      <c r="O251" s="31"/>
      <c r="P251" s="31"/>
      <c r="Q251" s="31"/>
      <c r="R251" s="157"/>
      <c r="S251" s="157"/>
      <c r="T251" s="157"/>
      <c r="U251" s="157" t="s">
        <v>2167</v>
      </c>
      <c r="V251" s="76" t="s">
        <v>2167</v>
      </c>
      <c r="W251" s="76" t="s">
        <v>2168</v>
      </c>
      <c r="X251" s="198" t="s">
        <v>2169</v>
      </c>
      <c r="Y251" s="198" t="s">
        <v>1807</v>
      </c>
      <c r="Z251" s="51"/>
      <c r="AA251" s="71"/>
      <c r="AB251" s="71"/>
      <c r="AC251" s="62"/>
      <c r="AD251" s="62"/>
      <c r="AE251" s="62"/>
    </row>
    <row r="252" spans="1:31" ht="30" x14ac:dyDescent="0.2">
      <c r="A252" s="27" t="s">
        <v>2170</v>
      </c>
      <c r="B252" s="26" t="s">
        <v>2171</v>
      </c>
      <c r="C252" s="48" t="s">
        <v>40</v>
      </c>
      <c r="D252" s="71" t="s">
        <v>89</v>
      </c>
      <c r="E252" s="71" t="s">
        <v>60</v>
      </c>
      <c r="F252" s="49">
        <v>47118</v>
      </c>
      <c r="G252" s="49"/>
      <c r="H252" s="115" t="s">
        <v>20</v>
      </c>
      <c r="I252" s="62" t="e">
        <f>"WBS: " &amp; A252 &amp; CHAR(10) &amp;
"שם פרויקט: " &amp; B252 &amp; CHAR(10) &amp;
"מנה״פ: " &amp; D252 &amp; CHAR(10) &amp;
"יעד תכנית פיתוח: " &amp; TEXT(#REF!,"dd/mm/yyyy") &amp; CHAR(10) &amp;
"יעד מסתמן: " &amp; TEXT(F252,"dd/mm/yyyy")</f>
        <v>#REF!</v>
      </c>
      <c r="J252" s="31"/>
      <c r="K252" s="31"/>
      <c r="L252" s="31"/>
      <c r="M252" s="31"/>
      <c r="N252" s="31"/>
      <c r="O252" s="31"/>
      <c r="P252" s="31"/>
      <c r="Q252" s="31"/>
      <c r="R252" s="157"/>
      <c r="S252" s="157"/>
      <c r="T252" s="157"/>
      <c r="U252" s="157"/>
      <c r="V252" s="157" t="s">
        <v>2172</v>
      </c>
      <c r="W252" s="157" t="s">
        <v>2173</v>
      </c>
      <c r="X252" s="199" t="s">
        <v>2173</v>
      </c>
      <c r="Y252" s="199" t="s">
        <v>2173</v>
      </c>
      <c r="Z252" s="51" t="s">
        <v>2161</v>
      </c>
      <c r="AA252" s="71"/>
      <c r="AB252" s="71"/>
      <c r="AC252" s="62"/>
      <c r="AD252" s="62"/>
      <c r="AE252" s="62"/>
    </row>
    <row r="253" spans="1:31" ht="30" x14ac:dyDescent="0.2">
      <c r="A253" s="27" t="s">
        <v>2174</v>
      </c>
      <c r="B253" s="26" t="s">
        <v>2175</v>
      </c>
      <c r="C253" s="48" t="s">
        <v>40</v>
      </c>
      <c r="D253" s="71" t="s">
        <v>89</v>
      </c>
      <c r="E253" s="71" t="s">
        <v>60</v>
      </c>
      <c r="F253" s="49">
        <v>47483</v>
      </c>
      <c r="G253" s="49"/>
      <c r="H253" s="115" t="s">
        <v>20</v>
      </c>
      <c r="I253" s="62" t="e">
        <f>"WBS: " &amp; A253 &amp; CHAR(10) &amp;
"שם פרויקט: " &amp; B253 &amp; CHAR(10) &amp;
"מנה״פ: " &amp; D253 &amp; CHAR(10) &amp;
"יעד תכנית פיתוח: " &amp; TEXT(#REF!,"dd/mm/yyyy") &amp; CHAR(10) &amp;
"יעד מסתמן: " &amp; TEXT(F253,"dd/mm/yyyy")</f>
        <v>#REF!</v>
      </c>
      <c r="J253" s="31"/>
      <c r="K253" s="31"/>
      <c r="L253" s="31"/>
      <c r="M253" s="31"/>
      <c r="N253" s="31"/>
      <c r="O253" s="31"/>
      <c r="P253" s="31"/>
      <c r="Q253" s="31"/>
      <c r="R253" s="157"/>
      <c r="S253" s="157"/>
      <c r="T253" s="157"/>
      <c r="U253" s="157"/>
      <c r="V253" s="157" t="s">
        <v>2172</v>
      </c>
      <c r="W253" s="157" t="s">
        <v>2173</v>
      </c>
      <c r="X253" s="199" t="s">
        <v>2173</v>
      </c>
      <c r="Y253" s="199" t="s">
        <v>2173</v>
      </c>
      <c r="Z253" s="51" t="s">
        <v>2161</v>
      </c>
      <c r="AA253" s="71"/>
      <c r="AB253" s="71"/>
      <c r="AC253" s="62"/>
      <c r="AD253" s="62"/>
      <c r="AE253" s="62"/>
    </row>
    <row r="254" spans="1:31" ht="30" x14ac:dyDescent="0.2">
      <c r="A254" s="37" t="s">
        <v>2176</v>
      </c>
      <c r="B254" s="38" t="s">
        <v>2177</v>
      </c>
      <c r="C254" s="39" t="s">
        <v>261</v>
      </c>
      <c r="D254" s="115" t="s">
        <v>89</v>
      </c>
      <c r="E254" s="115" t="s">
        <v>60</v>
      </c>
      <c r="F254" s="40">
        <v>46477</v>
      </c>
      <c r="G254" s="40"/>
      <c r="H254" s="115" t="s">
        <v>57</v>
      </c>
      <c r="I254" s="116" t="e">
        <f>"WBS: " &amp; A254 &amp; CHAR(10) &amp;
"שם פרויקט: " &amp; B254 &amp; CHAR(10) &amp;
"מנה״פ: " &amp; D254 &amp; CHAR(10) &amp;
"יעד תכנית פיתוח: " &amp; TEXT(#REF!,"dd/mm/yyyy") &amp; CHAR(10) &amp;
"יעד מסתמן: " &amp; TEXT(F254,"dd/mm/yyyy")</f>
        <v>#REF!</v>
      </c>
      <c r="J254" s="31"/>
      <c r="K254" s="31"/>
      <c r="L254" s="31"/>
      <c r="M254" s="31"/>
      <c r="N254" s="31"/>
      <c r="O254" s="31"/>
      <c r="P254" s="31"/>
      <c r="Q254" s="31"/>
      <c r="R254" s="157"/>
      <c r="S254" s="157"/>
      <c r="T254" s="157"/>
      <c r="U254" s="157"/>
      <c r="V254" s="157" t="s">
        <v>2172</v>
      </c>
      <c r="W254" s="157" t="s">
        <v>2173</v>
      </c>
      <c r="X254" s="199" t="s">
        <v>2173</v>
      </c>
      <c r="Y254" s="199" t="s">
        <v>2197</v>
      </c>
      <c r="Z254" s="31"/>
      <c r="AA254" s="71"/>
      <c r="AB254" s="71"/>
      <c r="AC254" s="62"/>
      <c r="AD254" s="62"/>
      <c r="AE254" s="62"/>
    </row>
    <row r="255" spans="1:31" ht="28.5" x14ac:dyDescent="0.2">
      <c r="A255" s="48" t="s">
        <v>2178</v>
      </c>
      <c r="B255" s="26" t="s">
        <v>2179</v>
      </c>
      <c r="C255" s="48" t="s">
        <v>261</v>
      </c>
      <c r="D255" s="71" t="s">
        <v>87</v>
      </c>
      <c r="E255" s="71" t="s">
        <v>59</v>
      </c>
      <c r="F255" s="49">
        <v>46507</v>
      </c>
      <c r="G255" s="49"/>
      <c r="H255" s="71" t="s">
        <v>20</v>
      </c>
      <c r="I255" s="62" t="e">
        <f>"WBS: " &amp; A255 &amp; CHAR(10) &amp;
"שם פרויקט: " &amp; B255 &amp; CHAR(10) &amp;
"מנה״פ: " &amp; D255 &amp; CHAR(10) &amp;
"יעד תכנית פיתוח: " &amp; TEXT(#REF!,"dd/mm/yyyy") &amp; CHAR(10) &amp;
"יעד מסתמן: " &amp; TEXT(F255,"dd/mm/yyyy")</f>
        <v>#REF!</v>
      </c>
      <c r="J255" s="51"/>
      <c r="K255" s="51"/>
      <c r="L255" s="51"/>
      <c r="M255" s="51"/>
      <c r="N255" s="51"/>
      <c r="O255" s="51"/>
      <c r="P255" s="51"/>
      <c r="Q255" s="51"/>
      <c r="R255" s="76"/>
      <c r="S255" s="76"/>
      <c r="T255" s="76"/>
      <c r="U255" s="76"/>
      <c r="V255" s="76" t="s">
        <v>1849</v>
      </c>
      <c r="W255" s="76" t="s">
        <v>2180</v>
      </c>
      <c r="X255" s="198" t="s">
        <v>2181</v>
      </c>
      <c r="Y255" s="76" t="s">
        <v>2251</v>
      </c>
      <c r="Z255" s="51"/>
      <c r="AA255" s="71"/>
      <c r="AB255" s="71"/>
      <c r="AC255" s="62"/>
      <c r="AD255" s="62"/>
      <c r="AE255" s="62"/>
    </row>
    <row r="256" spans="1:31" ht="30" x14ac:dyDescent="0.2">
      <c r="A256" s="48" t="s">
        <v>2182</v>
      </c>
      <c r="B256" s="26" t="s">
        <v>2183</v>
      </c>
      <c r="C256" s="48" t="s">
        <v>33</v>
      </c>
      <c r="D256" s="71" t="s">
        <v>43</v>
      </c>
      <c r="E256" s="71" t="s">
        <v>60</v>
      </c>
      <c r="F256" s="49">
        <v>47664</v>
      </c>
      <c r="G256" s="49">
        <v>47664</v>
      </c>
      <c r="H256" s="71" t="s">
        <v>19</v>
      </c>
      <c r="I256" s="62" t="str">
        <f>"WBS: " &amp; A256 &amp; CHAR(10) &amp;
"שם פרויקט: " &amp; B256 &amp; CHAR(10) &amp;
"מנה״פ: " &amp; D256 &amp; CHAR(10) &amp;
"יעד תכנית פיתוח: " &amp; TEXT(F256,"dd/mm/yyyy") &amp; CHAR(10) &amp;
"יעד מסתמן: " &amp; TEXT(G256,"dd/mm/yyyy")</f>
        <v>WBS: WBC-092
שם פרויקט: ניר צבי- הקמת תחמ"ש פנימית 161/24 ק"ו
מנה״פ: אוחנה, אלי
יעד תכנית פיתוח: 30/06/2030
יעד מסתמן: 30/06/2030</v>
      </c>
      <c r="J256" s="51"/>
      <c r="K256" s="51"/>
      <c r="L256" s="51"/>
      <c r="M256" s="51"/>
      <c r="N256" s="51"/>
      <c r="O256" s="51"/>
      <c r="P256" s="51"/>
      <c r="Q256" s="51"/>
      <c r="R256" s="76"/>
      <c r="S256" s="76"/>
      <c r="T256" s="76"/>
      <c r="U256" s="76"/>
      <c r="V256" s="76" t="s">
        <v>2184</v>
      </c>
      <c r="W256" s="76" t="s">
        <v>2184</v>
      </c>
      <c r="X256" s="198" t="s">
        <v>2184</v>
      </c>
      <c r="Y256" s="198" t="s">
        <v>2184</v>
      </c>
      <c r="Z256" s="51"/>
      <c r="AA256" s="71"/>
      <c r="AB256" s="71"/>
      <c r="AC256" s="62"/>
      <c r="AD256" s="62"/>
      <c r="AE256" s="62"/>
    </row>
    <row r="257" spans="1:31" ht="30" x14ac:dyDescent="0.2">
      <c r="A257" s="26" t="s">
        <v>2185</v>
      </c>
      <c r="B257" s="26" t="s">
        <v>2186</v>
      </c>
      <c r="C257" s="39" t="s">
        <v>33</v>
      </c>
      <c r="D257" s="115" t="s">
        <v>89</v>
      </c>
      <c r="E257" s="115" t="s">
        <v>60</v>
      </c>
      <c r="F257" s="40">
        <v>47847</v>
      </c>
      <c r="G257" s="40">
        <v>47847</v>
      </c>
      <c r="H257" s="115" t="s">
        <v>20</v>
      </c>
      <c r="I257" s="116" t="str">
        <f>"WBS: " &amp; A257 &amp; CHAR(10) &amp;
"שם פרויקט: " &amp; B257 &amp; CHAR(10) &amp;
"מנה״פ: " &amp; D257 &amp; CHAR(10) &amp;
"יעד תכנית פיתוח: " &amp; TEXT(F257,"dd/mm/yyyy") &amp; CHAR(10) &amp;
"יעד מסתמן: " &amp; TEXT(G257,"dd/mm/yyyy")</f>
        <v>WBS: WBC-107
שם פרויקט: חבר(עפולה)-הקמת תחמ"ש חיצונית
מנה״פ: יעקבי, ניר
יעד תכנית פיתוח: 30/12/2030
יעד מסתמן: 30/12/2030</v>
      </c>
      <c r="J257" s="31"/>
      <c r="K257" s="31"/>
      <c r="L257" s="31"/>
      <c r="M257" s="31"/>
      <c r="N257" s="31"/>
      <c r="O257" s="31"/>
      <c r="P257" s="31"/>
      <c r="Q257" s="31"/>
      <c r="R257" s="157"/>
      <c r="S257" s="157"/>
      <c r="T257" s="157"/>
      <c r="U257" s="157"/>
      <c r="V257" s="157"/>
      <c r="W257" s="157" t="s">
        <v>2173</v>
      </c>
      <c r="X257" s="199" t="s">
        <v>2173</v>
      </c>
      <c r="Y257" s="199" t="s">
        <v>2173</v>
      </c>
      <c r="Z257" s="51" t="s">
        <v>2161</v>
      </c>
      <c r="AA257" s="115"/>
      <c r="AB257" s="115"/>
      <c r="AC257" s="116"/>
      <c r="AD257" s="116"/>
      <c r="AE257" s="116"/>
    </row>
    <row r="258" spans="1:31" ht="57" x14ac:dyDescent="0.2">
      <c r="A258" s="35" t="s">
        <v>2249</v>
      </c>
      <c r="B258" s="36" t="s">
        <v>1990</v>
      </c>
      <c r="C258" s="226" t="s">
        <v>1990</v>
      </c>
      <c r="D258" s="115" t="s">
        <v>87</v>
      </c>
      <c r="E258" s="115" t="s">
        <v>59</v>
      </c>
      <c r="F258" s="223"/>
      <c r="G258" s="223">
        <v>46387</v>
      </c>
      <c r="H258" s="115"/>
      <c r="I258" s="198" t="s">
        <v>2152</v>
      </c>
      <c r="J258" s="76"/>
      <c r="K258" s="51"/>
      <c r="L258" s="136"/>
      <c r="M258" s="137"/>
      <c r="N258" s="72"/>
      <c r="O258" s="62" t="s">
        <v>32</v>
      </c>
      <c r="P258" s="62"/>
      <c r="Q258" s="146" t="e">
        <v>#N/A</v>
      </c>
      <c r="R258" s="62"/>
      <c r="S258" s="62"/>
      <c r="T258" s="62" t="s">
        <v>2032</v>
      </c>
      <c r="U258" s="157"/>
      <c r="V258" s="157"/>
      <c r="W258" s="157"/>
      <c r="X258" s="199" t="s">
        <v>2250</v>
      </c>
      <c r="Y258" s="199" t="s">
        <v>2250</v>
      </c>
      <c r="Z258" s="31"/>
      <c r="AA258" s="115"/>
      <c r="AB258" s="115"/>
      <c r="AC258" s="116"/>
      <c r="AD258" s="116"/>
      <c r="AE258" s="116"/>
    </row>
    <row r="259" spans="1:31" ht="42.75" x14ac:dyDescent="0.2">
      <c r="A259" s="35" t="s">
        <v>2249</v>
      </c>
      <c r="B259" s="36" t="s">
        <v>1990</v>
      </c>
      <c r="C259" s="226" t="s">
        <v>1990</v>
      </c>
      <c r="D259" s="115" t="s">
        <v>87</v>
      </c>
      <c r="E259" s="115" t="s">
        <v>59</v>
      </c>
      <c r="F259" s="223"/>
      <c r="G259" s="223">
        <v>46387</v>
      </c>
      <c r="H259" s="115"/>
      <c r="I259" s="199" t="s">
        <v>2250</v>
      </c>
      <c r="J259" s="157"/>
      <c r="K259" s="31"/>
      <c r="L259" s="115"/>
      <c r="M259" s="115"/>
      <c r="N259" s="116"/>
      <c r="O259" s="116"/>
      <c r="P259" s="116"/>
      <c r="Q259" s="180"/>
      <c r="R259" s="116"/>
      <c r="S259" s="116"/>
      <c r="T259" s="116"/>
      <c r="U259" s="157"/>
      <c r="V259" s="157"/>
      <c r="W259" s="157"/>
      <c r="X259" s="199" t="s">
        <v>2250</v>
      </c>
      <c r="Y259" s="199" t="s">
        <v>2250</v>
      </c>
      <c r="Z259" s="31"/>
      <c r="AA259" s="115"/>
      <c r="AB259" s="115"/>
      <c r="AC259" s="116"/>
      <c r="AD259" s="116"/>
      <c r="AE259" s="116"/>
    </row>
  </sheetData>
  <sheetProtection formatCells="0" formatColumns="0" formatRows="0" insertColumns="0" insertRows="0" sort="0" autoFilter="0" pivotTables="0"/>
  <protectedRanges>
    <protectedRange algorithmName="SHA-512" hashValue="YBe5/fMenDlSyxCi6b21xxcPOZXCzToaRsLts2PJcn6MPKsvAR9jEsW5Hs0VFd+tcQemHeww2b/+dpEbKC2Ulw==" saltValue="lChUCE7cuyU6QO4+jUNywQ==" spinCount="100000" sqref="A114:A184 A187:A191 A46:A110 A194:A243 A4:A44 B201 A1:A2 A246:A1048576" name="זיהוי"/>
    <protectedRange algorithmName="SHA-512" hashValue="YBe5/fMenDlSyxCi6b21xxcPOZXCzToaRsLts2PJcn6MPKsvAR9jEsW5Hs0VFd+tcQemHeww2b/+dpEbKC2Ulw==" saltValue="lChUCE7cuyU6QO4+jUNywQ==" spinCount="100000" sqref="A111" name="זיהוי_1"/>
    <protectedRange algorithmName="SHA-512" hashValue="YBe5/fMenDlSyxCi6b21xxcPOZXCzToaRsLts2PJcn6MPKsvAR9jEsW5Hs0VFd+tcQemHeww2b/+dpEbKC2Ulw==" saltValue="lChUCE7cuyU6QO4+jUNywQ==" spinCount="100000" sqref="A113" name="זיהוי_2"/>
    <protectedRange algorithmName="SHA-512" hashValue="YBe5/fMenDlSyxCi6b21xxcPOZXCzToaRsLts2PJcn6MPKsvAR9jEsW5Hs0VFd+tcQemHeww2b/+dpEbKC2Ulw==" saltValue="lChUCE7cuyU6QO4+jUNywQ==" spinCount="100000" sqref="A112" name="זיהוי_1_1"/>
    <protectedRange algorithmName="SHA-512" hashValue="YBe5/fMenDlSyxCi6b21xxcPOZXCzToaRsLts2PJcn6MPKsvAR9jEsW5Hs0VFd+tcQemHeww2b/+dpEbKC2Ulw==" saltValue="lChUCE7cuyU6QO4+jUNywQ==" spinCount="100000" sqref="A185:A186" name="זיהוי_3"/>
    <protectedRange algorithmName="SHA-512" hashValue="YBe5/fMenDlSyxCi6b21xxcPOZXCzToaRsLts2PJcn6MPKsvAR9jEsW5Hs0VFd+tcQemHeww2b/+dpEbKC2Ulw==" saltValue="lChUCE7cuyU6QO4+jUNywQ==" spinCount="100000" sqref="A244:A245" name="זיהוי_4"/>
  </protectedRanges>
  <mergeCells count="1">
    <mergeCell ref="AC1:AD1"/>
  </mergeCells>
  <phoneticPr fontId="2" type="noConversion"/>
  <conditionalFormatting sqref="A3:H3 J3:Z4 A4:E15 Z5 J6:Z19 A16:D31 E16:E44 Z20 J25:N25 J26:Z26 G26:G27 J27:U27 Z27 J28:O36 G29:G32 B32:D32 Z33:Z34 A33:D40 Z37:Z38 A41 C41:D41 Z41:Z48 A42:D44 G43:G48 C45:E45 J46:V46 A46:E79 G58:G61 G68 G72 G73:H80 G81:G82 B86:D87 G91:G94 J95:Y96 G97:G98 J97:P98 Z97:Z100 J99:Y99 G100 J101:V101 Z102:Z110 J107:N111 A114:D115 E114:E130 H114:H186 A116:C122 D116:D130 AB122 B123:C125 A126:C126 A127:A129 C127:C129 A130:C130 Z130 A131:E177 J132:V132 Z133 J133:R133 J135:R135 J136:Y137 J138:Z138 J139:T139 J140:Z140 J141:Y141 J142:Z145 J146:Y147 Z153:Z156 J160:V160 J161:Y161 J162:W162 J163:Z163 J164:V165 Z164:Z165 J166:Z166 J167:Y167 J168:V169 Z168:Z175 J170:T170 J171:Y173 J176:Z179 B178:E178 A179:E184 Z180 J181:Z181 J182:Y182 J183:O183 Z183 J184:Z184 C185:E186 J185:Y186 J187:Z187 A187:E190 G187:H199 Z188 J189:Z192 B191:E191 J193 P193:Z193 J194:Z194 Z196:Z201 J197:Y197 H200:H201 H202:AB202 H203:I203 A204:E204 G204:AB208 C205:E208 G209:H220 Z209:Z224 J209:Y234 A209:E236 G221:G222 G223:H234 Z228:Z234 G235:Z235 G236:AB236 AB237:AB240 C237:E241 G237:P241 Z241:AB241 A242:E243 G242:AB243 T244:AB244 F244:H247 Z245 AB245 A246:E247 A248:F248 H248:V248 H252:V254 Z252:AB254 X101:Z101 Q28:Z32 Q35:Z36 J131:Z131 J246:Z247 Q115:Y123 J21:Z24 R25:Z25 J134:Z134 J148:Z152 J154:Y156 J49:Z94 H249:AB251 A249:D255 E249:E250 H255:AB255 F249:F255">
    <cfRule type="cellIs" dxfId="59" priority="238" operator="equal">
      <formula>"סיכון גבוה"</formula>
    </cfRule>
  </conditionalFormatting>
  <conditionalFormatting sqref="A259:H259">
    <cfRule type="cellIs" dxfId="58" priority="1" operator="equal">
      <formula>"סיכון גבוה"</formula>
    </cfRule>
  </conditionalFormatting>
  <conditionalFormatting sqref="A258:K258">
    <cfRule type="cellIs" dxfId="57" priority="2" operator="equal">
      <formula>"סיכון גבוה"</formula>
    </cfRule>
  </conditionalFormatting>
  <conditionalFormatting sqref="A194:E202 G200:G202 A256:B257 A1:AB2">
    <cfRule type="cellIs" dxfId="56" priority="22" operator="equal">
      <formula>"סיכון גבוה"</formula>
    </cfRule>
  </conditionalFormatting>
  <conditionalFormatting sqref="C192:C193">
    <cfRule type="cellIs" dxfId="55" priority="173" operator="equal">
      <formula>"סיכון גבוה"</formula>
    </cfRule>
  </conditionalFormatting>
  <conditionalFormatting sqref="D203">
    <cfRule type="cellIs" dxfId="54" priority="194" operator="equal">
      <formula>"סיכון גבוה"</formula>
    </cfRule>
  </conditionalFormatting>
  <conditionalFormatting sqref="D256">
    <cfRule type="cellIs" dxfId="53" priority="33" operator="equal">
      <formula>"סיכון גבוה"</formula>
    </cfRule>
  </conditionalFormatting>
  <conditionalFormatting sqref="D112:E112">
    <cfRule type="cellIs" dxfId="52" priority="215" operator="equal">
      <formula>"סיכון גבוה"</formula>
    </cfRule>
  </conditionalFormatting>
  <conditionalFormatting sqref="D192:E193">
    <cfRule type="cellIs" dxfId="51" priority="172" operator="equal">
      <formula>"סיכון גבוה"</formula>
    </cfRule>
  </conditionalFormatting>
  <conditionalFormatting sqref="E94:E98">
    <cfRule type="cellIs" dxfId="50" priority="44" operator="equal">
      <formula>"סיכון גבוה"</formula>
    </cfRule>
  </conditionalFormatting>
  <conditionalFormatting sqref="E103:E104">
    <cfRule type="cellIs" dxfId="49" priority="42" operator="equal">
      <formula>"סיכון גבוה"</formula>
    </cfRule>
  </conditionalFormatting>
  <conditionalFormatting sqref="E203">
    <cfRule type="cellIs" dxfId="48" priority="193" operator="equal">
      <formula>"סיכון גבוה"</formula>
    </cfRule>
  </conditionalFormatting>
  <conditionalFormatting sqref="E252:E253">
    <cfRule type="cellIs" dxfId="47" priority="34" operator="equal">
      <formula>"סיכון גבוה"</formula>
    </cfRule>
  </conditionalFormatting>
  <conditionalFormatting sqref="F4:F243">
    <cfRule type="cellIs" dxfId="46" priority="4" operator="equal">
      <formula>"סיכון גבוה"</formula>
    </cfRule>
  </conditionalFormatting>
  <conditionalFormatting sqref="G4:G12">
    <cfRule type="cellIs" dxfId="45" priority="3" operator="equal">
      <formula>"סיכון גבוה"</formula>
    </cfRule>
  </conditionalFormatting>
  <conditionalFormatting sqref="G14:G20">
    <cfRule type="cellIs" dxfId="44" priority="40" operator="equal">
      <formula>"סיכון גבוה"</formula>
    </cfRule>
  </conditionalFormatting>
  <conditionalFormatting sqref="G35:G39">
    <cfRule type="cellIs" dxfId="43" priority="131" operator="equal">
      <formula>"סיכון גבוה"</formula>
    </cfRule>
  </conditionalFormatting>
  <conditionalFormatting sqref="G51">
    <cfRule type="cellIs" dxfId="42" priority="124" operator="equal">
      <formula>"סיכון גבוה"</formula>
    </cfRule>
  </conditionalFormatting>
  <conditionalFormatting sqref="G54:G55">
    <cfRule type="cellIs" dxfId="41" priority="122" operator="equal">
      <formula>"סיכון גבוה"</formula>
    </cfRule>
  </conditionalFormatting>
  <conditionalFormatting sqref="G85:G86">
    <cfRule type="cellIs" dxfId="40" priority="114" operator="equal">
      <formula>"סיכון גבוה"</formula>
    </cfRule>
  </conditionalFormatting>
  <conditionalFormatting sqref="G103:G181">
    <cfRule type="cellIs" dxfId="39" priority="64" operator="equal">
      <formula>"סיכון גבוה"</formula>
    </cfRule>
  </conditionalFormatting>
  <conditionalFormatting sqref="G183:G186">
    <cfRule type="cellIs" dxfId="38" priority="170" operator="equal">
      <formula>"סיכון גבוה"</formula>
    </cfRule>
  </conditionalFormatting>
  <conditionalFormatting sqref="H4:H12 G13:H13 H14:H20 G21:H25 H26:H27 G28:H28 H29:H32 G33:H34 H35:H39 G40:H42 H43:H48 G49:H50 H51 G52:H53 H54:H55 G56:H57 H58:H61 G62:H67 H68 G69:H71 H72 A80:D85 E80:E87 H81:H82 G83:H84 H85:H86 G87:H90 A88:E88 B89:E89 A90:E93 H91:H94 A94 C94:D94 G95:H96 A95:D98 H97:H98 G99:H99 A99:E102 H100 G101:H102 A103:D104 H103:H110 A105:E111 A113:E113">
    <cfRule type="cellIs" dxfId="37" priority="227" operator="equal">
      <formula>"סיכון גבוה"</formula>
    </cfRule>
  </conditionalFormatting>
  <conditionalFormatting sqref="H112">
    <cfRule type="cellIs" dxfId="36" priority="213" operator="equal">
      <formula>"סיכון גבוה"</formula>
    </cfRule>
  </conditionalFormatting>
  <conditionalFormatting sqref="H221:H222">
    <cfRule type="cellIs" dxfId="35" priority="186" operator="equal">
      <formula>"סיכון גבוה"</formula>
    </cfRule>
  </conditionalFormatting>
  <conditionalFormatting sqref="H257">
    <cfRule type="cellIs" dxfId="34" priority="6" operator="equal">
      <formula>"סיכון גבוה"</formula>
    </cfRule>
  </conditionalFormatting>
  <conditionalFormatting sqref="I244:M244 B244:E245 I245:Y245">
    <cfRule type="cellIs" dxfId="33" priority="179" operator="equal">
      <formula>"סיכון גבוה"</formula>
    </cfRule>
  </conditionalFormatting>
  <conditionalFormatting sqref="K193">
    <cfRule type="cellIs" dxfId="32" priority="177" operator="equal">
      <formula>"סיכון גבוה"</formula>
    </cfRule>
  </conditionalFormatting>
  <conditionalFormatting sqref="L193:O193">
    <cfRule type="cellIs" dxfId="31" priority="171" operator="equal">
      <formula>"סיכון גבוה"</formula>
    </cfRule>
  </conditionalFormatting>
  <conditionalFormatting sqref="N244:O244">
    <cfRule type="cellIs" dxfId="30" priority="165" operator="equal">
      <formula>"סיכון גבוה"</formula>
    </cfRule>
  </conditionalFormatting>
  <conditionalFormatting sqref="N56:Y56 A112:C112 Z248:AB248 E251:F251 E253:F255 C256 E256:AB256 C257:G257 I257:V257 AA257:AB257 U258:AB259 I259:M259 A260:AB1048576">
    <cfRule type="cellIs" dxfId="29" priority="216" operator="equal">
      <formula>"סיכון גבוה"</formula>
    </cfRule>
  </conditionalFormatting>
  <conditionalFormatting sqref="O107:Y111">
    <cfRule type="cellIs" dxfId="28" priority="159" operator="equal">
      <formula>"סיכון גבוה"</formula>
    </cfRule>
  </conditionalFormatting>
  <conditionalFormatting sqref="O114:Y114 O115:P127">
    <cfRule type="cellIs" dxfId="27" priority="158" operator="equal">
      <formula>"סיכון גבוה"</formula>
    </cfRule>
  </conditionalFormatting>
  <conditionalFormatting sqref="P28:P36">
    <cfRule type="cellIs" dxfId="26" priority="151" operator="equal">
      <formula>"סיכון גבוה"</formula>
    </cfRule>
  </conditionalFormatting>
  <conditionalFormatting sqref="P244">
    <cfRule type="cellIs" dxfId="25" priority="156" operator="equal">
      <formula>"סיכון גבוה"</formula>
    </cfRule>
  </conditionalFormatting>
  <conditionalFormatting sqref="Q244:R244">
    <cfRule type="cellIs" dxfId="24" priority="157" operator="equal">
      <formula>"סיכון גבוה"</formula>
    </cfRule>
  </conditionalFormatting>
  <conditionalFormatting sqref="Q33:S33 Q34:Y34">
    <cfRule type="cellIs" dxfId="23" priority="149" operator="equal">
      <formula>"סיכון גבוה"</formula>
    </cfRule>
  </conditionalFormatting>
  <conditionalFormatting sqref="Q97:Y98">
    <cfRule type="cellIs" dxfId="22" priority="147" operator="equal">
      <formula>"סיכון גבוה"</formula>
    </cfRule>
  </conditionalFormatting>
  <conditionalFormatting sqref="Q125:Y130">
    <cfRule type="cellIs" dxfId="21" priority="153" operator="equal">
      <formula>"סיכון גבוה"</formula>
    </cfRule>
  </conditionalFormatting>
  <conditionalFormatting sqref="Q237:Z238 Q239:W239 X240:Z240 Q240:Y241">
    <cfRule type="cellIs" dxfId="20" priority="154" operator="equal">
      <formula>"סיכון גבוה"</formula>
    </cfRule>
  </conditionalFormatting>
  <conditionalFormatting sqref="S244">
    <cfRule type="cellIs" dxfId="19" priority="41" operator="equal">
      <formula>"סיכון גבוה"</formula>
    </cfRule>
  </conditionalFormatting>
  <conditionalFormatting sqref="T33">
    <cfRule type="cellIs" dxfId="18" priority="37" operator="equal">
      <formula>"סיכון גבוה"</formula>
    </cfRule>
  </conditionalFormatting>
  <conditionalFormatting sqref="U33:Y33">
    <cfRule type="cellIs" dxfId="17" priority="38" operator="equal">
      <formula>"סיכון גבוה"</formula>
    </cfRule>
  </conditionalFormatting>
  <conditionalFormatting sqref="W257">
    <cfRule type="cellIs" dxfId="16" priority="21" operator="equal">
      <formula>"סיכון גבוה"</formula>
    </cfRule>
  </conditionalFormatting>
  <conditionalFormatting sqref="W165:Y165">
    <cfRule type="cellIs" dxfId="15" priority="24" operator="equal">
      <formula>"סיכון גבוה"</formula>
    </cfRule>
  </conditionalFormatting>
  <conditionalFormatting sqref="W169:Y169">
    <cfRule type="cellIs" dxfId="14" priority="23" operator="equal">
      <formula>"סיכון גבוה"</formula>
    </cfRule>
  </conditionalFormatting>
  <conditionalFormatting sqref="W252:Y254">
    <cfRule type="cellIs" dxfId="13" priority="18" operator="equal">
      <formula>"סיכון גבוה"</formula>
    </cfRule>
  </conditionalFormatting>
  <conditionalFormatting sqref="X257">
    <cfRule type="cellIs" dxfId="12" priority="9" operator="equal">
      <formula>"סיכון גבוה"</formula>
    </cfRule>
  </conditionalFormatting>
  <conditionalFormatting sqref="X239:Y239">
    <cfRule type="cellIs" dxfId="11" priority="11" operator="equal">
      <formula>"סיכון גבוה"</formula>
    </cfRule>
  </conditionalFormatting>
  <conditionalFormatting sqref="Y257">
    <cfRule type="cellIs" dxfId="10" priority="5" operator="equal">
      <formula>"סיכון גבוה"</formula>
    </cfRule>
  </conditionalFormatting>
  <conditionalFormatting sqref="Z113:Z128 J114:N127 J128:P130 A185:B186">
    <cfRule type="cellIs" dxfId="9" priority="209" operator="equal">
      <formula>"סיכון גבוה"</formula>
    </cfRule>
  </conditionalFormatting>
  <conditionalFormatting sqref="Z136">
    <cfRule type="cellIs" dxfId="8" priority="234" operator="equal">
      <formula>"סיכון גבוה"</formula>
    </cfRule>
  </conditionalFormatting>
  <conditionalFormatting sqref="Z139">
    <cfRule type="cellIs" dxfId="7" priority="233" operator="equal">
      <formula>"סיכון גבוה"</formula>
    </cfRule>
  </conditionalFormatting>
  <conditionalFormatting sqref="Z141">
    <cfRule type="cellIs" dxfId="6" priority="232" operator="equal">
      <formula>"סיכון גבוה"</formula>
    </cfRule>
  </conditionalFormatting>
  <conditionalFormatting sqref="Z185:Z186">
    <cfRule type="cellIs" dxfId="5" priority="206" operator="equal">
      <formula>"סיכון גבוה"</formula>
    </cfRule>
  </conditionalFormatting>
  <conditionalFormatting sqref="Z239">
    <cfRule type="cellIs" dxfId="4" priority="10" operator="equal">
      <formula>"סיכון גבוה"</formula>
    </cfRule>
  </conditionalFormatting>
  <conditionalFormatting sqref="Z257">
    <cfRule type="cellIs" dxfId="3" priority="17" operator="equal">
      <formula>"סיכון גבוה"</formula>
    </cfRule>
  </conditionalFormatting>
  <conditionalFormatting sqref="Z147:AA147">
    <cfRule type="cellIs" dxfId="2" priority="231" operator="equal">
      <formula>"סיכון גבוה"</formula>
    </cfRule>
  </conditionalFormatting>
  <conditionalFormatting sqref="AA203">
    <cfRule type="cellIs" dxfId="1" priority="192" operator="equal">
      <formula>"סיכון גבוה"</formula>
    </cfRule>
  </conditionalFormatting>
  <conditionalFormatting sqref="AB139">
    <cfRule type="cellIs" dxfId="0" priority="230" operator="equal">
      <formula>"סיכון גבוה"</formula>
    </cfRule>
  </conditionalFormatting>
  <hyperlinks>
    <hyperlink ref="B205" r:id="rId1" location="/project/5147099/details" display="http://winsrvp0229/pm/ - /project/5147099/details" xr:uid="{00000000-0004-0000-0300-000000000000}"/>
  </hyperlinks>
  <pageMargins left="0.7" right="0.7" top="0.75" bottom="0.75" header="0.3" footer="0.3"/>
  <pageSetup paperSize="9" scale="10" fitToWidth="0" fitToHeight="0" orientation="landscape" r:id="rId2"/>
  <drawing r:id="rId3"/>
  <legacyDrawing r:id="rId4"/>
  <tableParts count="1">
    <tablePart r:id="rId5"/>
  </tableParts>
  <extLst>
    <ext xmlns:x14="http://schemas.microsoft.com/office/spreadsheetml/2009/9/main" uri="{CCE6A557-97BC-4b89-ADB6-D9C93CAAB3DF}">
      <x14:dataValidations xmlns:xm="http://schemas.microsoft.com/office/excel/2006/main" count="6">
        <x14:dataValidation type="list" allowBlank="1" showInputMessage="1" showErrorMessage="1" xr:uid="{00000000-0002-0000-0300-000000000000}">
          <x14:formula1>
            <xm:f>'רשימות בחירה'!$K$5:$K$11</xm:f>
          </x14:formula1>
          <xm:sqref>D102 E246:E248 D99 E249:E254 E114:E192 E3:E110 E255 E194:E242 E258:E259</xm:sqref>
        </x14:dataValidation>
        <x14:dataValidation type="list" allowBlank="1" showInputMessage="1" showErrorMessage="1" xr:uid="{00000000-0002-0000-0300-000001000000}">
          <x14:formula1>
            <xm:f>'רשימות בחירה'!$I$5:$I$27</xm:f>
          </x14:formula1>
          <xm:sqref>D103:D110 D100:D101 D3:D98 D255:D256 D114:D192 D246:D248 D249:D254 D194:D242 D258:D259</xm:sqref>
        </x14:dataValidation>
        <x14:dataValidation type="list" allowBlank="1" showInputMessage="1" showErrorMessage="1" xr:uid="{00000000-0002-0000-0300-000004000000}">
          <x14:formula1>
            <xm:f>'רשימות בחירה'!$B$5:$B$18</xm:f>
          </x14:formula1>
          <xm:sqref>P193:Y193 H1:H110 P244:Y244 H114:H1048576</xm:sqref>
        </x14:dataValidation>
        <x14:dataValidation type="list" allowBlank="1" showInputMessage="1" showErrorMessage="1" xr:uid="{00000000-0002-0000-0300-000005000000}">
          <x14:formula1>
            <xm:f>'רשימות בחירה'!$F$8:$F$17</xm:f>
          </x14:formula1>
          <xm:sqref>AA163:AA166 AA140:AB161 AB123:AB138 AB114 AA204:AB236 AA203 AA122:AA139 AA168:AA171 AB163:AB171 AA246:AB247 AA237:AA240 AA115:AB121 AA3:AB113 AA245 AA243 AA172:AB202 L258:M258</xm:sqref>
        </x14:dataValidation>
        <x14:dataValidation type="list" allowBlank="1" showInputMessage="1" showErrorMessage="1" xr:uid="{C82D5F2E-9EA6-4DCE-8305-4255C88CE23D}">
          <x14:formula1>
            <xm:f>'רשימות בחירה'!$M$5</xm:f>
          </x14:formula1>
          <xm:sqref>N258:N259 AC3:AC259</xm:sqref>
        </x14:dataValidation>
        <x14:dataValidation type="list" allowBlank="1" showInputMessage="1" showErrorMessage="1" xr:uid="{99F78F07-E8A1-4601-9DBD-6B305B8D847F}">
          <x14:formula1>
            <xm:f>'רשימות בחירה'!$N$5</xm:f>
          </x14:formula1>
          <xm:sqref>O258:P259 AD3:AD259</xm:sqref>
        </x14:dataValidation>
      </x14:dataValidations>
    </ext>
    <ext xmlns:x15="http://schemas.microsoft.com/office/spreadsheetml/2010/11/main" uri="{3A4CF648-6AED-40f4-86FF-DC5316D8AED3}">
      <x14:slicerList xmlns:x14="http://schemas.microsoft.com/office/spreadsheetml/2009/9/main">
        <x14:slicer r:id="rId6"/>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מסמך" ma:contentTypeID="0x0101008DDB11D9B6DCE54093A9CA3A13E28498" ma:contentTypeVersion="10" ma:contentTypeDescription="צור מסמך חדש." ma:contentTypeScope="" ma:versionID="444014d52dd52b2cbd8d26dcc67b1cf0">
  <xsd:schema xmlns:xsd="http://www.w3.org/2001/XMLSchema" xmlns:xs="http://www.w3.org/2001/XMLSchema" xmlns:p="http://schemas.microsoft.com/office/2006/metadata/properties" xmlns:ns2="43ca4837-a997-4916-9c4c-5866e95365b5" xmlns:ns3="4b7d7614-ac06-437e-8ae0-e5656870fdbc" targetNamespace="http://schemas.microsoft.com/office/2006/metadata/properties" ma:root="true" ma:fieldsID="ed660faa241da66a9490dc7ac9055278" ns2:_="" ns3:_="">
    <xsd:import namespace="43ca4837-a997-4916-9c4c-5866e95365b5"/>
    <xsd:import namespace="4b7d7614-ac06-437e-8ae0-e5656870fdbc"/>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ObjectDetectorVersions"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3ca4837-a997-4916-9c4c-5866e95365b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4b7d7614-ac06-437e-8ae0-e5656870fdbc" elementFormDefault="qualified">
    <xsd:import namespace="http://schemas.microsoft.com/office/2006/documentManagement/types"/>
    <xsd:import namespace="http://schemas.microsoft.com/office/infopath/2007/PartnerControls"/>
    <xsd:element name="SharedWithUsers" ma:index="10" nillable="true" ma:displayName="משותף עם"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משותף עם פרטים"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סוג תוכן"/>
        <xsd:element ref="dc:title" minOccurs="0" maxOccurs="1" ma:index="4" ma:displayName="כותרת"/>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03594B94-E07B-4F97-9795-3B30859FA96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3ca4837-a997-4916-9c4c-5866e95365b5"/>
    <ds:schemaRef ds:uri="4b7d7614-ac06-437e-8ae0-e5656870fdb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A4F02B38-CD22-4CFB-9632-F1D38DFF31B4}">
  <ds:schemaRefs>
    <ds:schemaRef ds:uri="http://schemas.microsoft.com/sharepoint/v3/contenttype/forms"/>
  </ds:schemaRefs>
</ds:datastoreItem>
</file>

<file path=customXml/itemProps3.xml><?xml version="1.0" encoding="utf-8"?>
<ds:datastoreItem xmlns:ds="http://schemas.openxmlformats.org/officeDocument/2006/customXml" ds:itemID="{CAE3690D-E2E0-4470-B55C-C15A6686D08F}">
  <ds:schemaRefs>
    <ds:schemaRef ds:uri="43ca4837-a997-4916-9c4c-5866e95365b5"/>
    <ds:schemaRef ds:uri="http://purl.org/dc/dcmitype/"/>
    <ds:schemaRef ds:uri="http://purl.org/dc/elements/1.1/"/>
    <ds:schemaRef ds:uri="http://purl.org/dc/terms/"/>
    <ds:schemaRef ds:uri="http://www.w3.org/XML/1998/namespace"/>
    <ds:schemaRef ds:uri="http://schemas.microsoft.com/office/infopath/2007/PartnerControls"/>
    <ds:schemaRef ds:uri="http://schemas.microsoft.com/office/2006/documentManagement/types"/>
    <ds:schemaRef ds:uri="http://schemas.openxmlformats.org/package/2006/metadata/core-properties"/>
    <ds:schemaRef ds:uri="4b7d7614-ac06-437e-8ae0-e5656870fdbc"/>
    <ds:schemaRef ds:uri="http://schemas.microsoft.com/office/2006/metadata/propertie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2</vt:i4>
      </vt:variant>
    </vt:vector>
  </HeadingPairs>
  <TitlesOfParts>
    <vt:vector size="2" baseType="lpstr">
      <vt:lpstr>רשימות בחירה</vt:lpstr>
      <vt:lpstr>דוח שבועי עדכני</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סטאמקר לינוי</dc:creator>
  <cp:keywords/>
  <dc:description/>
  <cp:lastModifiedBy>סטאמקר לינוי</cp:lastModifiedBy>
  <cp:revision/>
  <dcterms:created xsi:type="dcterms:W3CDTF">2025-08-12T04:07:28Z</dcterms:created>
  <dcterms:modified xsi:type="dcterms:W3CDTF">2026-09-01T08:08:19Z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0x0101008DDB11D9B6DCE54093A9CA3A13E28498</vt:lpwstr>
  </property>
</Properties>
</file>